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Analogs" sheetId="5" state="visible" r:id="rId5"/>
    <sheet xmlns:r="http://schemas.openxmlformats.org/officeDocument/2006/relationships" name="SizeBench" sheetId="6" state="visible" r:id="rId6"/>
    <sheet xmlns:r="http://schemas.openxmlformats.org/officeDocument/2006/relationships" name="BBG Verify" sheetId="7" state="visible" r:id="rId7"/>
    <sheet xmlns:r="http://schemas.openxmlformats.org/officeDocument/2006/relationships" name="Taxonomy" sheetId="8" state="visible" r:id="rId8"/>
    <sheet xmlns:r="http://schemas.openxmlformats.org/officeDocument/2006/relationships" name="Verification" sheetId="9" state="visible" r:id="rId9"/>
    <sheet xmlns:r="http://schemas.openxmlformats.org/officeDocument/2006/relationships" name="Calc (scoring engine)" sheetId="10" state="visible" r:id="rId10"/>
    <sheet xmlns:r="http://schemas.openxmlformats.org/officeDocument/2006/relationships" name="Notes" sheetId="11" state="visible" r:id="rId11"/>
  </sheets>
  <definedNames>
    <definedName name="AllDeals">'Calc (scoring engine)'!$K$3:$K$523</definedName>
    <definedName name="AnalogKey">Analogs!$A$13:$A$145</definedName>
    <definedName name="AnalogN">Analogs!$D$13:$D$145</definedName>
    <definedName name="AnalogMed">Analogs!$E$13:$E$145</definedName>
    <definedName name="AnalogHit">Analogs!$F$13:$F$145</definedName>
    <definedName name="SubsecKey">Analogs!$A$149:$A$191</definedName>
    <definedName name="SubsecN">Analogs!$B$149:$B$191</definedName>
    <definedName name="SubsecMed">Analogs!$C$149:$C$191</definedName>
    <definedName name="SubsecHit">Analogs!$D$149:$D$191</definedName>
    <definedName name="SubsecPE">Analogs!$E$149:$E$191</definedName>
    <definedName name="SubsecPS">Analogs!$F$149:$F$191</definedName>
    <definedName name="W_SUB">Notes!$B$17</definedName>
    <definedName name="W_SEC">Notes!$B$18</definedName>
    <definedName name="W_SIZE">Notes!$B$19</definedName>
    <definedName name="W_PROF">Notes!$B$20</definedName>
    <definedName name="W_AH">Notes!$B$21</definedName>
    <definedName name="W_REC">Notes!$B$22</definedName>
    <definedName name="W_CS">Notes!$B$23</definedName>
    <definedName name="W_SIZEHW">Notes!$B$24</definedName>
    <definedName name="W_RECD">Notes!$B$25</definedName>
    <definedName name="SubsectorList">Taxonomy!$E$4:$E$46</definedName>
    <definedName name="_xlnm._FilterDatabase" localSheetId="1" hidden="1">'Database'!$A$4:$AW$515</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quot;%&quot;"/>
    <numFmt numFmtId="173" formatCode="0.0000"/>
  </numFmts>
  <fonts count="9">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b val="1"/>
      <sz val="10"/>
    </font>
    <font>
      <name val="Arial"/>
      <b val="1"/>
      <color rgb="00C00000"/>
      <sz val="10"/>
    </font>
  </fonts>
  <fills count="8">
    <fill>
      <patternFill/>
    </fill>
    <fill>
      <patternFill patternType="gray125"/>
    </fill>
    <fill>
      <patternFill patternType="solid">
        <fgColor rgb="001F3864"/>
      </patternFill>
    </fill>
    <fill>
      <patternFill patternType="solid">
        <fgColor rgb="00305496"/>
      </patternFill>
    </fill>
    <fill>
      <patternFill patternType="solid">
        <fgColor rgb="00F2F2F2"/>
      </patternFill>
    </fill>
    <fill>
      <patternFill patternType="solid">
        <fgColor rgb="00FFC000"/>
      </patternFill>
    </fill>
    <fill>
      <patternFill patternType="solid">
        <fgColor rgb="00DDEBF7"/>
      </patternFill>
    </fill>
    <fill>
      <patternFill patternType="solid">
        <fgColor rgb="00C6EFCE"/>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70">
    <xf numFmtId="0" fontId="0" fillId="0" borderId="0" pivotButton="0" quotePrefix="0" xfId="0"/>
    <xf numFmtId="0" fontId="1" fillId="0" borderId="0" pivotButton="0" quotePrefix="0" xfId="0"/>
    <xf numFmtId="0" fontId="2" fillId="0" borderId="0" pivotButton="0" quotePrefix="0" xfId="0"/>
    <xf numFmtId="0" fontId="7" fillId="0" borderId="0" pivotButton="0" quotePrefix="0" xfId="0"/>
    <xf numFmtId="0" fontId="4" fillId="0" borderId="1" pivotButton="0" quotePrefix="0" xfId="0"/>
    <xf numFmtId="0" fontId="6" fillId="6" borderId="1" pivotButton="0" quotePrefix="0" xfId="0"/>
    <xf numFmtId="0" fontId="4" fillId="4" borderId="1" pivotButton="0" quotePrefix="0" xfId="0"/>
    <xf numFmtId="0" fontId="3" fillId="2" borderId="1" applyAlignment="1" pivotButton="0" quotePrefix="0" xfId="0">
      <alignment horizontal="center" vertical="center" wrapText="1"/>
    </xf>
    <xf numFmtId="9" fontId="4" fillId="4" borderId="1" pivotButton="0" quotePrefix="0" xfId="0"/>
    <xf numFmtId="3" fontId="4" fillId="4" borderId="1" pivotButton="0" quotePrefix="0" xfId="0"/>
    <xf numFmtId="3" fontId="6" fillId="6" borderId="1" pivotButton="0" quotePrefix="0" xfId="0"/>
    <xf numFmtId="169" fontId="4" fillId="4" borderId="1" pivotButton="0" quotePrefix="0" xfId="0"/>
    <xf numFmtId="164" fontId="4" fillId="4" borderId="1" pivotButton="0" quotePrefix="0" xfId="0"/>
    <xf numFmtId="164" fontId="6" fillId="6" borderId="1" pivotButton="0" quotePrefix="0" xfId="0"/>
    <xf numFmtId="167" fontId="4" fillId="4" borderId="1" pivotButton="0" quotePrefix="0" xfId="0"/>
    <xf numFmtId="166" fontId="4" fillId="4" borderId="1" pivotButton="0" quotePrefix="0" xfId="0"/>
    <xf numFmtId="1" fontId="6" fillId="6" borderId="1" pivotButton="0" quotePrefix="0" xfId="0"/>
    <xf numFmtId="0" fontId="0" fillId="0" borderId="4" pivotButton="0" quotePrefix="0" xfId="0"/>
    <xf numFmtId="0" fontId="0" fillId="0" borderId="5" pivotButton="0" quotePrefix="0" xfId="0"/>
    <xf numFmtId="0" fontId="3" fillId="3" borderId="1" applyAlignment="1" pivotButton="0" quotePrefix="0" xfId="0">
      <alignment horizontal="center" vertical="center" wrapText="1"/>
    </xf>
    <xf numFmtId="0" fontId="4" fillId="4" borderId="1" applyAlignment="1" pivotButton="0" quotePrefix="0" xfId="0">
      <alignment horizontal="center"/>
    </xf>
    <xf numFmtId="170" fontId="4" fillId="4" borderId="1" pivotButton="0" quotePrefix="0" xfId="0"/>
    <xf numFmtId="171" fontId="4" fillId="4" borderId="1" pivotButton="0" quotePrefix="0" xfId="0"/>
    <xf numFmtId="1" fontId="4" fillId="4" borderId="1" pivotButton="0" quotePrefix="0" xfId="0"/>
    <xf numFmtId="0" fontId="7" fillId="0" borderId="1" pivotButton="0" quotePrefix="0" xfId="0"/>
    <xf numFmtId="49" fontId="4" fillId="0" borderId="0" pivotButton="0" quotePrefix="0" xfId="0"/>
    <xf numFmtId="0" fontId="4" fillId="0" borderId="0" pivotButton="0" quotePrefix="0" xfId="0"/>
    <xf numFmtId="164" fontId="4" fillId="0" borderId="0" pivotButton="0" quotePrefix="0" xfId="0"/>
    <xf numFmtId="3" fontId="4" fillId="0" borderId="0" pivotButton="0" quotePrefix="0" xfId="0"/>
    <xf numFmtId="165" fontId="4" fillId="0" borderId="0" pivotButton="0" quotePrefix="0" xfId="0"/>
    <xf numFmtId="166" fontId="4" fillId="0" borderId="0" pivotButton="0" quotePrefix="0" xfId="0"/>
    <xf numFmtId="167" fontId="4" fillId="0" borderId="0" pivotButton="0" quotePrefix="0" xfId="0"/>
    <xf numFmtId="2" fontId="4" fillId="0" borderId="0" pivotButton="0" quotePrefix="0" xfId="0"/>
    <xf numFmtId="168" fontId="4" fillId="0" borderId="0" pivotButton="0" quotePrefix="0" xfId="0"/>
    <xf numFmtId="169" fontId="4" fillId="0" borderId="0" pivotButton="0" quotePrefix="0" xfId="0"/>
    <xf numFmtId="170" fontId="4" fillId="0" borderId="0" pivotButton="0" quotePrefix="0" xfId="0"/>
    <xf numFmtId="0" fontId="4" fillId="4" borderId="0" pivotButton="0" quotePrefix="0" xfId="0"/>
    <xf numFmtId="0" fontId="5" fillId="0" borderId="0" pivotButton="0" quotePrefix="0" xfId="0"/>
    <xf numFmtId="170" fontId="4" fillId="4" borderId="0" pivotButton="0" quotePrefix="0" xfId="0"/>
    <xf numFmtId="2" fontId="4" fillId="4" borderId="0" pivotButton="0" quotePrefix="0" xfId="0"/>
    <xf numFmtId="168" fontId="4" fillId="5" borderId="0" pivotButton="0" quotePrefix="0" xfId="0"/>
    <xf numFmtId="3" fontId="4" fillId="4" borderId="0" pivotButton="0" quotePrefix="0" xfId="0"/>
    <xf numFmtId="171" fontId="4" fillId="0" borderId="0" pivotButton="0" quotePrefix="0" xfId="0"/>
    <xf numFmtId="167" fontId="4" fillId="4" borderId="0" pivotButton="0" quotePrefix="0" xfId="0"/>
    <xf numFmtId="0" fontId="4" fillId="5" borderId="0" pivotButton="0" quotePrefix="0" xfId="0"/>
    <xf numFmtId="2" fontId="4" fillId="5" borderId="0" pivotButton="0" quotePrefix="0" xfId="0"/>
    <xf numFmtId="3" fontId="4" fillId="5" borderId="0" pivotButton="0" quotePrefix="0" xfId="0"/>
    <xf numFmtId="167" fontId="4" fillId="5" borderId="0" pivotButton="0" quotePrefix="0" xfId="0"/>
    <xf numFmtId="169" fontId="4" fillId="5" borderId="0" pivotButton="0" quotePrefix="0" xfId="0"/>
    <xf numFmtId="0" fontId="7" fillId="7" borderId="1" pivotButton="0" quotePrefix="0" xfId="0"/>
    <xf numFmtId="1" fontId="4" fillId="0" borderId="1" pivotButton="0" quotePrefix="0" xfId="0"/>
    <xf numFmtId="0" fontId="8" fillId="0" borderId="1" pivotButton="0" quotePrefix="0" xfId="0"/>
    <xf numFmtId="173" fontId="4" fillId="4" borderId="1" pivotButton="0" quotePrefix="0" xfId="0"/>
    <xf numFmtId="49" fontId="4" fillId="0" borderId="1" pivotButton="0" quotePrefix="0" xfId="0"/>
    <xf numFmtId="165" fontId="4" fillId="4" borderId="1" pivotButton="0" quotePrefix="0" xfId="0"/>
    <xf numFmtId="165" fontId="6" fillId="6" borderId="1" pivotButton="0" quotePrefix="0" xfId="0"/>
    <xf numFmtId="171" fontId="4" fillId="0" borderId="1" pivotButton="0" quotePrefix="0" xfId="0"/>
    <xf numFmtId="166" fontId="4" fillId="0" borderId="1" pivotButton="0" quotePrefix="0" xfId="0"/>
    <xf numFmtId="172" fontId="4" fillId="0" borderId="1" pivotButton="0" quotePrefix="0" xfId="0"/>
    <xf numFmtId="0" fontId="2" fillId="0" borderId="1" pivotButton="0" quotePrefix="0" xfId="0"/>
    <xf numFmtId="170" fontId="4" fillId="0" borderId="1" pivotButton="0" quotePrefix="0" xfId="0"/>
    <xf numFmtId="0" fontId="4" fillId="0" borderId="1" applyAlignment="1" pivotButton="0" quotePrefix="0" xfId="0">
      <alignment horizontal="center"/>
    </xf>
    <xf numFmtId="164" fontId="4" fillId="0" borderId="1" pivotButton="0" quotePrefix="0" xfId="0"/>
    <xf numFmtId="3" fontId="4" fillId="0" borderId="1" pivotButton="0" quotePrefix="0" xfId="0"/>
    <xf numFmtId="4" fontId="4" fillId="4" borderId="1" pivotButton="0" quotePrefix="0" xfId="0"/>
    <xf numFmtId="4" fontId="4" fillId="0" borderId="1" pivotButton="0" quotePrefix="0" xfId="0"/>
    <xf numFmtId="0" fontId="7" fillId="4" borderId="0" pivotButton="0" quotePrefix="0" xfId="0"/>
    <xf numFmtId="167" fontId="4" fillId="0" borderId="1" pivotButton="0" quotePrefix="0" xfId="0"/>
    <xf numFmtId="165"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Valuation of the comps: P/E and P/S</a:t>
            </a:r>
          </a:p>
        </rich>
      </tx>
    </title>
    <plotArea>
      <barChart>
        <barDir val="col"/>
        <grouping val="clustered"/>
        <ser>
          <idx val="0"/>
          <order val="0"/>
          <tx>
            <strRef>
              <f>'Screener'!G20</f>
            </strRef>
          </tx>
          <spPr>
            <a:ln xmlns:a="http://schemas.openxmlformats.org/drawingml/2006/main">
              <a:prstDash val="solid"/>
            </a:ln>
          </spPr>
          <cat>
            <numRef>
              <f>'Screener'!$B$21:$B$35</f>
            </numRef>
          </cat>
          <val>
            <numRef>
              <f>'Screener'!$G$21:$G$35</f>
            </numRef>
          </val>
        </ser>
        <ser>
          <idx val="1"/>
          <order val="1"/>
          <tx>
            <strRef>
              <f>'Screener'!H20</f>
            </strRef>
          </tx>
          <spPr>
            <a:ln xmlns:a="http://schemas.openxmlformats.org/drawingml/2006/main">
              <a:prstDash val="solid"/>
            </a:ln>
          </spPr>
          <cat>
            <numRef>
              <f>'Screener'!$B$21:$B$35</f>
            </numRef>
          </cat>
          <val>
            <numRef>
              <f>'Screener'!$H$21:$H$35</f>
            </numRef>
          </val>
        </ser>
        <gapWidth val="150"/>
        <axId val="10"/>
        <axId val="100"/>
      </barChart>
      <catAx>
        <axId val="10"/>
        <scaling>
          <orientation val="minMax"/>
        </scaling>
        <delete val="0"/>
        <axPos val="l"/>
        <title>
          <tx>
            <rich>
              <a:bodyPr xmlns:a="http://schemas.openxmlformats.org/drawingml/2006/main"/>
              <a:p xmlns:a="http://schemas.openxmlformats.org/drawingml/2006/main">
                <a:pPr>
                  <a:defRPr/>
                </a:pPr>
                <a:r>
                  <a:t>comp</a:t>
                </a:r>
              </a:p>
            </rich>
          </tx>
        </title>
        <majorTickMark val="out"/>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multiple (x)</a:t>
                </a:r>
              </a:p>
            </rich>
          </tx>
        </title>
        <numFmt formatCode="0.0" sourceLinked="0"/>
        <majorTickMark val="out"/>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Debut, 1-week and 1-month, all vs the offer price</a:t>
            </a:r>
          </a:p>
        </rich>
      </tx>
    </title>
    <plotArea>
      <barChart>
        <barDir val="col"/>
        <grouping val="clustered"/>
        <ser>
          <idx val="0"/>
          <order val="0"/>
          <tx>
            <strRef>
              <f>'Screener'!L20</f>
            </strRef>
          </tx>
          <spPr>
            <a:ln xmlns:a="http://schemas.openxmlformats.org/drawingml/2006/main">
              <a:prstDash val="solid"/>
            </a:ln>
          </spPr>
          <cat>
            <numRef>
              <f>'Screener'!$B$21:$B$35</f>
            </numRef>
          </cat>
          <val>
            <numRef>
              <f>'Screener'!$L$21:$L$35</f>
            </numRef>
          </val>
        </ser>
        <ser>
          <idx val="1"/>
          <order val="1"/>
          <tx>
            <strRef>
              <f>'Screener'!M20</f>
            </strRef>
          </tx>
          <spPr>
            <a:ln xmlns:a="http://schemas.openxmlformats.org/drawingml/2006/main">
              <a:prstDash val="solid"/>
            </a:ln>
          </spPr>
          <cat>
            <numRef>
              <f>'Screener'!$B$21:$B$35</f>
            </numRef>
          </cat>
          <val>
            <numRef>
              <f>'Screener'!$M$21:$M$35</f>
            </numRef>
          </val>
        </ser>
        <ser>
          <idx val="2"/>
          <order val="2"/>
          <tx>
            <strRef>
              <f>'Screener'!N20</f>
            </strRef>
          </tx>
          <spPr>
            <a:ln xmlns:a="http://schemas.openxmlformats.org/drawingml/2006/main">
              <a:prstDash val="solid"/>
            </a:ln>
          </spPr>
          <cat>
            <numRef>
              <f>'Screener'!$B$21:$B$35</f>
            </numRef>
          </cat>
          <val>
            <numRef>
              <f>'Screener'!$N$21:$N$35</f>
            </numRef>
          </val>
        </ser>
        <gapWidth val="150"/>
        <axId val="10"/>
        <axId val="100"/>
      </barChart>
      <catAx>
        <axId val="10"/>
        <scaling>
          <orientation val="minMax"/>
        </scaling>
        <delete val="0"/>
        <axPos val="l"/>
        <title>
          <tx>
            <rich>
              <a:bodyPr xmlns:a="http://schemas.openxmlformats.org/drawingml/2006/main"/>
              <a:p xmlns:a="http://schemas.openxmlformats.org/drawingml/2006/main">
                <a:pPr>
                  <a:defRPr/>
                </a:pPr>
                <a:r>
                  <a:t>comp</a:t>
                </a:r>
              </a:p>
            </rich>
          </tx>
        </title>
        <majorTickMark val="out"/>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return vs offer (%)</a:t>
                </a:r>
              </a:p>
            </rich>
          </tx>
        </title>
        <numFmt formatCode="0&quot;%&quot;" sourceLinked="0"/>
        <majorTickMark val="out"/>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1-month alpha vs the deal's own sector index</a:t>
            </a:r>
          </a:p>
        </rich>
      </tx>
    </title>
    <plotArea>
      <barChart>
        <barDir val="col"/>
        <grouping val="clustered"/>
        <ser>
          <idx val="0"/>
          <order val="0"/>
          <tx>
            <strRef>
              <f>'Screener'!Q20</f>
            </strRef>
          </tx>
          <spPr>
            <a:ln xmlns:a="http://schemas.openxmlformats.org/drawingml/2006/main">
              <a:prstDash val="solid"/>
            </a:ln>
          </spPr>
          <cat>
            <numRef>
              <f>'Screener'!$B$21:$B$35</f>
            </numRef>
          </cat>
          <val>
            <numRef>
              <f>'Screener'!$Q$21:$Q$35</f>
            </numRef>
          </val>
        </ser>
        <gapWidth val="150"/>
        <axId val="10"/>
        <axId val="100"/>
      </barChart>
      <catAx>
        <axId val="10"/>
        <scaling>
          <orientation val="minMax"/>
        </scaling>
        <delete val="0"/>
        <axPos val="l"/>
        <title>
          <tx>
            <rich>
              <a:bodyPr xmlns:a="http://schemas.openxmlformats.org/drawingml/2006/main"/>
              <a:p xmlns:a="http://schemas.openxmlformats.org/drawingml/2006/main">
                <a:pPr>
                  <a:defRPr/>
                </a:pPr>
                <a:r>
                  <a:t>comp</a:t>
                </a:r>
              </a:p>
            </rich>
          </tx>
        </title>
        <majorTickMark val="out"/>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alpha (% vs index)</a:t>
                </a:r>
              </a:p>
            </rich>
          </tx>
        </title>
        <numFmt formatCode="0&quot;%&quot;" sourceLinked="0"/>
        <majorTickMark val="out"/>
        <minorTickMark val="none"/>
        <crossAx val="10"/>
      </valAx>
    </plotArea>
    <legend>
      <legendPos val="r"/>
    </legend>
    <plotVisOnly val="1"/>
    <dispBlanksAs val="gap"/>
  </chart>
</chartSpace>
</file>

<file path=xl/charts/chart4.xml><?xml version="1.0" encoding="utf-8"?>
<chartSpace xmlns="http://schemas.openxmlformats.org/drawingml/2006/chart">
  <style val="13"/>
  <chart>
    <title>
      <tx>
        <rich>
          <a:bodyPr xmlns:a="http://schemas.openxmlformats.org/drawingml/2006/main"/>
          <a:p xmlns:a="http://schemas.openxmlformats.org/drawingml/2006/main">
            <a:pPr>
              <a:defRPr/>
            </a:pPr>
            <a:r>
              <a:t>Subscription vs day-1 across the comps</a:t>
            </a:r>
          </a:p>
        </rich>
      </tx>
    </title>
    <plotArea>
      <scatterChart>
        <ser>
          <idx val="0"/>
          <order val="0"/>
          <tx>
            <v>comps</v>
          </tx>
          <spPr>
            <a:ln xmlns:a="http://schemas.openxmlformats.org/drawingml/2006/main">
              <a:noFill/>
              <a:prstDash val="solid"/>
            </a:ln>
          </spPr>
          <marker>
            <symbol val="circle"/>
            <size val="7"/>
            <spPr>
              <a:ln xmlns:a="http://schemas.openxmlformats.org/drawingml/2006/main">
                <a:prstDash val="solid"/>
              </a:ln>
            </spPr>
          </marker>
          <xVal>
            <numRef>
              <f>'Screener'!$I$21:$I$35</f>
            </numRef>
          </xVal>
          <yVal>
            <numRef>
              <f>'Screener'!$L$21:$L$35</f>
            </numRef>
          </yVal>
        </ser>
        <axId val="10"/>
        <axId val="20"/>
      </scatterChart>
      <valAx>
        <axId val="10"/>
        <scaling>
          <orientation val="minMax"/>
        </scaling>
        <delete val="0"/>
        <axPos val="l"/>
        <majorGridlines/>
        <title>
          <tx>
            <rich>
              <a:bodyPr xmlns:a="http://schemas.openxmlformats.org/drawingml/2006/main"/>
              <a:p xmlns:a="http://schemas.openxmlformats.org/drawingml/2006/main">
                <a:pPr>
                  <a:defRPr/>
                </a:pPr>
                <a:r>
                  <a:t>public subscription (x)</a:t>
                </a:r>
              </a:p>
            </rich>
          </tx>
        </title>
        <majorTickMark val="out"/>
        <minorTickMark val="none"/>
        <crossAx val="20"/>
      </valAx>
      <valAx>
        <axId val="20"/>
        <scaling>
          <orientation val="minMax"/>
        </scaling>
        <delete val="0"/>
        <axPos val="l"/>
        <majorGridlines/>
        <title>
          <tx>
            <rich>
              <a:bodyPr xmlns:a="http://schemas.openxmlformats.org/drawingml/2006/main"/>
              <a:p xmlns:a="http://schemas.openxmlformats.org/drawingml/2006/main">
                <a:pPr>
                  <a:defRPr/>
                </a:pPr>
                <a:r>
                  <a:t>day-1 return (%)</a:t>
                </a:r>
              </a:p>
            </rich>
          </tx>
        </title>
        <numFmt formatCode="0&quot;%&quot;" sourceLinked="0"/>
        <majorTickMark val="out"/>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51</row>
      <rowOff>0</rowOff>
    </from>
    <ext cx="55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51</row>
      <rowOff>0</rowOff>
    </from>
    <ext cx="55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68</row>
      <rowOff>0</rowOff>
    </from>
    <ext cx="55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68</row>
      <rowOff>0</rowOff>
    </from>
    <ext cx="55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B49"/>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20" customWidth="1" min="3" max="3"/>
    <col width="11" customWidth="1" min="4" max="4"/>
    <col width="11" customWidth="1" min="5" max="5"/>
    <col width="12" customWidth="1" min="6" max="6"/>
    <col width="8" customWidth="1" min="7" max="7"/>
    <col width="8" customWidth="1" min="8" max="8"/>
    <col width="10" customWidth="1" min="9" max="9"/>
    <col width="9"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10" customWidth="1" min="18" max="18"/>
    <col width="16" customWidth="1" min="19" max="19"/>
    <col width="8" customWidth="1" min="20" max="20"/>
    <col width="11" customWidth="1" min="21" max="21"/>
    <col width="11" customWidth="1" min="22" max="22"/>
    <col width="34" customWidth="1" min="23" max="23"/>
    <col width="42" customWidth="1" min="24" max="24"/>
    <col width="9" customWidth="1" min="25" max="25"/>
    <col width="14" customWidth="1" min="26" max="26"/>
    <col width="8" customWidth="1" min="27" max="27"/>
    <col width="46" customWidth="1" min="28" max="28"/>
  </cols>
  <sheetData>
    <row r="1">
      <c r="A1" s="1" t="inlineStr">
        <is>
          <t>COMPS SCREENER</t>
        </is>
      </c>
    </row>
    <row r="2">
      <c r="A2" s="2" t="inlineStr">
        <is>
          <t>Pick a deal (blue). Comps are ranked SUBSECTOR FIRST — a same-subsector deal always beats a same-sector one. The score for every comp is shown in full on the right, so nothing is hidden.</t>
        </is>
      </c>
    </row>
    <row r="3"/>
    <row r="4">
      <c r="A4" s="3" t="inlineStr">
        <is>
          <t>TARGET</t>
        </is>
      </c>
    </row>
    <row r="5">
      <c r="A5" s="4" t="inlineStr">
        <is>
          <t>Pick a deal (pipeline or listed)</t>
        </is>
      </c>
      <c r="B5" s="5" t="inlineStr">
        <is>
          <t>Shein Group</t>
        </is>
      </c>
      <c r="C5" s="2" t="inlineStr">
        <is>
          <t>…or leave it and type your own deal below</t>
        </is>
      </c>
      <c r="G5" s="6">
        <f>IF(AND($D$9="",N($D$10)&lt;=0),"Ranking on profile and recency only — no subsector, no size. Type either one in the TYPE TO OVERRIDE column and the comps re-rank as you type.",IF($D$9="","No subsector — ranking on size, profile and recency. Pick one in the override column to rank subsector-first.",IF(N($D$10)&lt;=0,"No deal size yet (normal for a PHIP-stage applicant) — ranking on subsector, profile and recency. Type the expected HK$m size in the override column to add size proximity.","Ranking subsector-first on "&amp;$D$9&amp;", size HK$"&amp;TEXT($D$10,"#,##0")&amp;"m.")))</f>
        <v/>
      </c>
    </row>
    <row r="6"/>
    <row r="7">
      <c r="B7" s="7" t="inlineStr">
        <is>
          <t>From the pick</t>
        </is>
      </c>
      <c r="C7" s="7" t="inlineStr">
        <is>
          <t>TYPE TO OVERRIDE</t>
        </is>
      </c>
      <c r="D7" s="7" t="inlineStr">
        <is>
          <t>Used by the engine</t>
        </is>
      </c>
      <c r="G7" s="3" t="inlineStr">
        <is>
          <t>SIZE BENCHMARK</t>
        </is>
      </c>
    </row>
    <row r="8">
      <c r="A8" s="4" t="inlineStr">
        <is>
          <t>Sector</t>
        </is>
      </c>
      <c r="B8" s="6">
        <f>IFERROR(INDEX('Calc (scoring engine)'!$L$3:$L$523,MATCH($B$5,AllDeals,0)),"")</f>
        <v/>
      </c>
      <c r="C8" s="5" t="n"/>
      <c r="D8" s="6">
        <f>IF($C8&lt;&gt;"",$C8,$B8)</f>
        <v/>
      </c>
      <c r="G8" s="4" t="inlineStr">
        <is>
          <t>Percentile vs 2021-26 deals</t>
        </is>
      </c>
      <c r="H8" s="8">
        <f>IF(N($D$10)&lt;=0,"n/a",COUNTIF(Database!$H$5:$H$515,"&lt;"&amp;$D$10)/COUNT(Database!$H$5:$H$515))</f>
        <v/>
      </c>
    </row>
    <row r="9">
      <c r="A9" s="4" t="inlineStr">
        <is>
          <t>Subsector</t>
        </is>
      </c>
      <c r="B9" s="6">
        <f>IFERROR(INDEX('Calc (scoring engine)'!$M$3:$M$523,MATCH($B$5,AllDeals,0)),"")</f>
        <v/>
      </c>
      <c r="C9" s="5" t="n"/>
      <c r="D9" s="6">
        <f>IF($C9&lt;&gt;"",$C9,$B9)</f>
        <v/>
      </c>
      <c r="G9" s="4" t="inlineStr">
        <is>
          <t>Bucket</t>
        </is>
      </c>
      <c r="H9" s="6">
        <f>IF(N($D$10)&lt;=0,"size not set",IF($D$10&gt;=20000,"Mega",IF($D$10&gt;=5000,"Large",IF($D$10&gt;=1000,"Mid","Small"))))</f>
        <v/>
      </c>
    </row>
    <row r="10">
      <c r="A10" s="4" t="inlineStr">
        <is>
          <t>Size (HK$m)</t>
        </is>
      </c>
      <c r="B10" s="9">
        <f>IFERROR(INDEX('Calc (scoring engine)'!$N$3:$N$523,MATCH($B$5,AllDeals,0)),"")</f>
        <v/>
      </c>
      <c r="C10" s="10" t="n"/>
      <c r="D10" s="9">
        <f>IF($C10&lt;&gt;"",$C10,$B10)</f>
        <v/>
      </c>
    </row>
    <row r="11">
      <c r="A11" s="4" t="inlineStr">
        <is>
          <t>Profitable (Y/N)</t>
        </is>
      </c>
      <c r="B11" s="6">
        <f>IFERROR(INDEX('Calc (scoring engine)'!$O$3:$O$523,MATCH($B$5,AllDeals,0)),"")</f>
        <v/>
      </c>
      <c r="C11" s="5" t="n"/>
      <c r="D11" s="6">
        <f>IF($C11&lt;&gt;"",$C11,$B11)</f>
        <v/>
      </c>
      <c r="G11" s="3" t="inlineStr">
        <is>
          <t>WHAT THE DATABASE HOLDS ON THIS DEAL</t>
        </is>
      </c>
    </row>
    <row r="12">
      <c r="A12" s="4" t="inlineStr">
        <is>
          <t>H-share (Y/N)</t>
        </is>
      </c>
      <c r="B12" s="6">
        <f>IFERROR(INDEX('Calc (scoring engine)'!$P$3:$P$523,MATCH($B$5,AllDeals,0)),"")</f>
        <v/>
      </c>
      <c r="C12" s="5" t="n"/>
      <c r="D12" s="6">
        <f>IF($C12&lt;&gt;"",$C12,$B12)</f>
        <v/>
      </c>
      <c r="G12" s="4" t="inlineStr">
        <is>
          <t>Day-1</t>
        </is>
      </c>
      <c r="H12" s="11">
        <f>IFERROR(IF(INDEX(Database!$W$5:$W$515,MATCH($B$5,Database!$B$5:$B$515,0))="","—",INDEX(Database!$W$5:$W$515,MATCH($B$5,Database!$B$5:$B$515,0))),"not listed yet")</f>
        <v/>
      </c>
    </row>
    <row r="13">
      <c r="A13" s="4" t="inlineStr">
        <is>
          <t>IPO / expected date</t>
        </is>
      </c>
      <c r="B13" s="12">
        <f>IFERROR(INDEX('Calc (scoring engine)'!$Q$3:$Q$523,MATCH($B$5,AllDeals,0)),"")</f>
        <v/>
      </c>
      <c r="C13" s="13" t="n"/>
      <c r="D13" s="12">
        <f>IF($C13&lt;&gt;"",$C13,IF(ISNUMBER($B13),$B13,TODAY()))</f>
        <v/>
      </c>
      <c r="G13" s="4" t="inlineStr">
        <is>
          <t>1-month</t>
        </is>
      </c>
      <c r="H13" s="11">
        <f>IFERROR(IF(INDEX(Database!$Y$5:$Y$515,MATCH($B$5,Database!$B$5:$B$515,0))="","—",INDEX(Database!$Y$5:$Y$515,MATCH($B$5,Database!$B$5:$B$515,0))),"not listed yet")</f>
        <v/>
      </c>
    </row>
    <row r="14">
      <c r="A14" s="4" t="inlineStr">
        <is>
          <t>Cornerstone investor to match</t>
        </is>
      </c>
      <c r="B14" s="5" t="n"/>
      <c r="C14" s="2" t="inlineStr">
        <is>
          <t>type part of a name (e.g. Hillhouse) — counted into 'Shared CS' on top of the target's own top-5 investors</t>
        </is>
      </c>
      <c r="G14" s="4" t="inlineStr">
        <is>
          <t>Public sub (x)</t>
        </is>
      </c>
      <c r="H14" s="14">
        <f>IFERROR(IF(INDEX(Database!$Q$5:$Q$515,MATCH($B$5,Database!$B$5:$B$515,0))="","—",INDEX(Database!$Q$5:$Q$515,MATCH($B$5,Database!$B$5:$B$515,0))),"not listed yet")</f>
        <v/>
      </c>
    </row>
    <row r="15">
      <c r="A15" s="4" t="inlineStr">
        <is>
          <t>Rank by</t>
        </is>
      </c>
      <c r="B15" s="5" t="inlineStr">
        <is>
          <t>standard</t>
        </is>
      </c>
      <c r="C15" s="2" t="inlineStr">
        <is>
          <t>'cornerstone overlap first' ranks by shared investors, then the standard score</t>
        </is>
      </c>
      <c r="G15" s="4" t="inlineStr">
        <is>
          <t>Cornerstone %</t>
        </is>
      </c>
      <c r="H15" s="15">
        <f>IFERROR(IF(INDEX(Database!$S$5:$S$515,MATCH($B$5,Database!$B$5:$B$515,0))="","—",INDEX(Database!$S$5:$S$515,MATCH($B$5,Database!$B$5:$B$515,0))),"not listed yet")</f>
        <v/>
      </c>
    </row>
    <row r="16">
      <c r="A16" s="4" t="inlineStr">
        <is>
          <t>How many comps to show (3-15)</t>
        </is>
      </c>
      <c r="B16" s="16" t="n">
        <v>10</v>
      </c>
      <c r="C16" s="2" t="inlineStr">
        <is>
          <t>change this number — rows below fill in automatically</t>
        </is>
      </c>
      <c r="G16" s="4" t="inlineStr">
        <is>
          <t>Sponsors</t>
        </is>
      </c>
      <c r="H16" s="6">
        <f>IFERROR(IF(INDEX(Database!$AP$5:$AP$515,MATCH($B$5,Database!$B$5:$B$515,0))="","—",INDEX(Database!$AP$5:$AP$515,MATCH($B$5,Database!$B$5:$B$515,0))),"not listed yet")</f>
        <v/>
      </c>
    </row>
    <row r="17">
      <c r="A17" s="4" t="inlineStr">
        <is>
          <t>A-share filter</t>
        </is>
      </c>
      <c r="B17" s="5" t="inlineStr">
        <is>
          <t>All</t>
        </is>
      </c>
      <c r="C17" s="2" t="inlineStr">
        <is>
          <t>screen only issuers with (or without) a listed A line</t>
        </is>
      </c>
    </row>
    <row r="18"/>
    <row r="19" ht="18" customHeight="1">
      <c r="A19" s="7" t="inlineStr">
        <is>
          <t>IDENTITY</t>
        </is>
      </c>
      <c r="B19" s="17" t="n"/>
      <c r="C19" s="17" t="n"/>
      <c r="D19" s="18" t="n"/>
      <c r="E19" s="7" t="inlineStr">
        <is>
          <t>TERMS</t>
        </is>
      </c>
      <c r="F19" s="17" t="n"/>
      <c r="G19" s="17" t="n"/>
      <c r="H19" s="18" t="n"/>
      <c r="I19" s="7" t="inlineStr">
        <is>
          <t>DEMAND</t>
        </is>
      </c>
      <c r="J19" s="17" t="n"/>
      <c r="K19" s="18" t="n"/>
      <c r="L19" s="7" t="inlineStr">
        <is>
          <t>PERFORMANCE</t>
        </is>
      </c>
      <c r="M19" s="17" t="n"/>
      <c r="N19" s="17" t="n"/>
      <c r="O19" s="17" t="n"/>
      <c r="P19" s="17" t="n"/>
      <c r="Q19" s="17" t="n"/>
      <c r="R19" s="17" t="n"/>
      <c r="S19" s="18" t="n"/>
      <c r="T19" s="7" t="inlineStr">
        <is>
          <t>A / H</t>
        </is>
      </c>
      <c r="U19" s="17" t="n"/>
      <c r="V19" s="18" t="n"/>
      <c r="W19" s="7" t="inlineStr">
        <is>
          <t>BANKS &amp; HOLDERS</t>
        </is>
      </c>
      <c r="X19" s="18" t="n"/>
      <c r="Y19" s="7" t="inlineStr">
        <is>
          <t>SCORING</t>
        </is>
      </c>
      <c r="Z19" s="17" t="n"/>
      <c r="AA19" s="17" t="n"/>
      <c r="AB19" s="18" t="n"/>
    </row>
    <row r="20" ht="26" customHeight="1">
      <c r="A20" s="19" t="inlineStr">
        <is>
          <t>Rank</t>
        </is>
      </c>
      <c r="B20" s="19" t="inlineStr">
        <is>
          <t>Name</t>
        </is>
      </c>
      <c r="C20" s="19" t="inlineStr">
        <is>
          <t>Subsector</t>
        </is>
      </c>
      <c r="D20" s="19" t="inlineStr">
        <is>
          <t>IPO date</t>
        </is>
      </c>
      <c r="E20" s="19" t="inlineStr">
        <is>
          <t>Size (HK$m)</t>
        </is>
      </c>
      <c r="F20" s="19" t="inlineStr">
        <is>
          <t>Mktcap (HK$m)</t>
        </is>
      </c>
      <c r="G20" s="19" t="inlineStr">
        <is>
          <t>P/E (x)</t>
        </is>
      </c>
      <c r="H20" s="19" t="inlineStr">
        <is>
          <t>P/S (x)</t>
        </is>
      </c>
      <c r="I20" s="19" t="inlineStr">
        <is>
          <t>Pub sub (x)</t>
        </is>
      </c>
      <c r="J20" s="19" t="inlineStr">
        <is>
          <t>Intl sub (x)</t>
        </is>
      </c>
      <c r="K20" s="19" t="inlineStr">
        <is>
          <t>Cornerstone %</t>
        </is>
      </c>
      <c r="L20" s="19" t="inlineStr">
        <is>
          <t>Day-1</t>
        </is>
      </c>
      <c r="M20" s="19" t="inlineStr">
        <is>
          <t>1-week</t>
        </is>
      </c>
      <c r="N20" s="19" t="inlineStr">
        <is>
          <t>1-month</t>
        </is>
      </c>
      <c r="O20" s="19" t="inlineStr">
        <is>
          <t>3-month</t>
        </is>
      </c>
      <c r="P20" s="19" t="inlineStr">
        <is>
          <t>1m ex-pop</t>
        </is>
      </c>
      <c r="Q20" s="19" t="inlineStr">
        <is>
          <t>Alpha 1m</t>
        </is>
      </c>
      <c r="R20" s="19" t="inlineStr">
        <is>
          <t>Since IPO</t>
        </is>
      </c>
      <c r="S20" s="19" t="inlineStr">
        <is>
          <t>Shoe outcome</t>
        </is>
      </c>
      <c r="T20" s="19" t="inlineStr">
        <is>
          <t>A/H pair</t>
        </is>
      </c>
      <c r="U20" s="19" t="inlineStr">
        <is>
          <t>H disc at IPO</t>
        </is>
      </c>
      <c r="V20" s="19" t="inlineStr">
        <is>
          <t>A/H prem now</t>
        </is>
      </c>
      <c r="W20" s="19" t="inlineStr">
        <is>
          <t>Bookrunners</t>
        </is>
      </c>
      <c r="X20" s="19" t="inlineStr">
        <is>
          <t>Cornerstone investors</t>
        </is>
      </c>
      <c r="Y20" s="19" t="inlineStr">
        <is>
          <t>Shared CS</t>
        </is>
      </c>
      <c r="Z20" s="19" t="inlineStr">
        <is>
          <t>Match</t>
        </is>
      </c>
      <c r="AA20" s="19" t="inlineStr">
        <is>
          <t>Score</t>
        </is>
      </c>
      <c r="AB20" s="19" t="inlineStr">
        <is>
          <t>why</t>
        </is>
      </c>
    </row>
    <row r="21">
      <c r="A21" s="20">
        <f>IF(1&gt;MAX(3,MIN(15,N($B$16))),"",1)</f>
        <v/>
      </c>
      <c r="B21" s="6">
        <f>IF(1&gt;MAX(3,MIN(15,N($B$16))),"",IFERROR(IF(INDEX(Database!$B$5:$B$515,MATCH(LARGE('Calc (scoring engine)'!$I$5:$I$515,1),'Calc (scoring engine)'!$I$5:$I$515,0))="","—",INDEX(Database!$B$5:$B$515,MATCH(LARGE('Calc (scoring engine)'!$I$5:$I$515,1),'Calc (scoring engine)'!$I$5:$I$515,0))),""))</f>
        <v/>
      </c>
      <c r="C21" s="6">
        <f>IF(1&gt;MAX(3,MIN(15,N($B$16))),"",IFERROR(IF(INDEX(Database!$E$5:$E$515,MATCH(LARGE('Calc (scoring engine)'!$I$5:$I$515,1),'Calc (scoring engine)'!$I$5:$I$515,0))="","—",INDEX(Database!$E$5:$E$515,MATCH(LARGE('Calc (scoring engine)'!$I$5:$I$515,1),'Calc (scoring engine)'!$I$5:$I$515,0))),""))</f>
        <v/>
      </c>
      <c r="D21" s="12">
        <f>IF(1&gt;MAX(3,MIN(15,N($B$16))),"",IFERROR(IF(INDEX(Database!$G$5:$G$515,MATCH(LARGE('Calc (scoring engine)'!$I$5:$I$515,1),'Calc (scoring engine)'!$I$5:$I$515,0))="","—",INDEX(Database!$G$5:$G$515,MATCH(LARGE('Calc (scoring engine)'!$I$5:$I$515,1),'Calc (scoring engine)'!$I$5:$I$515,0))),""))</f>
        <v/>
      </c>
      <c r="E21" s="9">
        <f>IF(1&gt;MAX(3,MIN(15,N($B$16))),"",IFERROR(IF(INDEX(Database!$H$5:$H$515,MATCH(LARGE('Calc (scoring engine)'!$I$5:$I$515,1),'Calc (scoring engine)'!$I$5:$I$515,0))="","—",INDEX(Database!$H$5:$H$515,MATCH(LARGE('Calc (scoring engine)'!$I$5:$I$515,1),'Calc (scoring engine)'!$I$5:$I$515,0))),""))</f>
        <v/>
      </c>
      <c r="F21" s="9">
        <f>IF(1&gt;MAX(3,MIN(15,N($B$16))),"",IFERROR(IF(INDEX(Database!$O$5:$O$515,MATCH(LARGE('Calc (scoring engine)'!$I$5:$I$515,1),'Calc (scoring engine)'!$I$5:$I$515,0))="","—",INDEX(Database!$O$5:$O$515,MATCH(LARGE('Calc (scoring engine)'!$I$5:$I$515,1),'Calc (scoring engine)'!$I$5:$I$515,0))),""))</f>
        <v/>
      </c>
      <c r="G21" s="21">
        <f>IF(1&gt;MAX(3,MIN(15,N($B$16))),"",IFERROR(IF(INDEX(Database!$AI$5:$AI$515,MATCH(LARGE('Calc (scoring engine)'!$I$5:$I$515,1),'Calc (scoring engine)'!$I$5:$I$515,0))="",IF(INDEX(Database!$AH$5:$AH$515,MATCH(LARGE('Calc (scoring engine)'!$I$5:$I$515,1),'Calc (scoring engine)'!$I$5:$I$515,0))="N","n/m","—"),INDEX(Database!$AI$5:$AI$515,MATCH(LARGE('Calc (scoring engine)'!$I$5:$I$515,1),'Calc (scoring engine)'!$I$5:$I$515,0))),""))</f>
        <v/>
      </c>
      <c r="H21" s="21">
        <f>IF(1&gt;MAX(3,MIN(15,N($B$16))),"",IFERROR(IF(INDEX(Database!$AJ$5:$AJ$515,MATCH(LARGE('Calc (scoring engine)'!$I$5:$I$515,1),'Calc (scoring engine)'!$I$5:$I$515,0))="","—",INDEX(Database!$AJ$5:$AJ$515,MATCH(LARGE('Calc (scoring engine)'!$I$5:$I$515,1),'Calc (scoring engine)'!$I$5:$I$515,0))),""))</f>
        <v/>
      </c>
      <c r="I21" s="14">
        <f>IF(1&gt;MAX(3,MIN(15,N($B$16))),"",IFERROR(IF(INDEX(Database!$Q$5:$Q$515,MATCH(LARGE('Calc (scoring engine)'!$I$5:$I$515,1),'Calc (scoring engine)'!$I$5:$I$515,0))="","—",INDEX(Database!$Q$5:$Q$515,MATCH(LARGE('Calc (scoring engine)'!$I$5:$I$515,1),'Calc (scoring engine)'!$I$5:$I$515,0))),""))</f>
        <v/>
      </c>
      <c r="J21" s="14">
        <f>IF(1&gt;MAX(3,MIN(15,N($B$16))),"",IFERROR(IF(INDEX(Database!$R$5:$R$515,MATCH(LARGE('Calc (scoring engine)'!$I$5:$I$515,1),'Calc (scoring engine)'!$I$5:$I$515,0))="","—",INDEX(Database!$R$5:$R$515,MATCH(LARGE('Calc (scoring engine)'!$I$5:$I$515,1),'Calc (scoring engine)'!$I$5:$I$515,0))),""))</f>
        <v/>
      </c>
      <c r="K21" s="15">
        <f>IF(1&gt;MAX(3,MIN(15,N($B$16))),"",IFERROR(IF(INDEX(Database!$S$5:$S$515,MATCH(LARGE('Calc (scoring engine)'!$I$5:$I$515,1),'Calc (scoring engine)'!$I$5:$I$515,0))="","—",INDEX(Database!$S$5:$S$515,MATCH(LARGE('Calc (scoring engine)'!$I$5:$I$515,1),'Calc (scoring engine)'!$I$5:$I$515,0))),""))</f>
        <v/>
      </c>
      <c r="L21" s="11">
        <f>IF(1&gt;MAX(3,MIN(15,N($B$16))),"",IFERROR(IF(INDEX(Database!$W$5:$W$515,MATCH(LARGE('Calc (scoring engine)'!$I$5:$I$515,1),'Calc (scoring engine)'!$I$5:$I$515,0))="","—",INDEX(Database!$W$5:$W$515,MATCH(LARGE('Calc (scoring engine)'!$I$5:$I$515,1),'Calc (scoring engine)'!$I$5:$I$515,0))),""))</f>
        <v/>
      </c>
      <c r="M21" s="11">
        <f>IF(1&gt;MAX(3,MIN(15,N($B$16))),"",IFERROR(IF(INDEX(Database!$X$5:$X$515,MATCH(LARGE('Calc (scoring engine)'!$I$5:$I$515,1),'Calc (scoring engine)'!$I$5:$I$515,0))="","—",INDEX(Database!$X$5:$X$515,MATCH(LARGE('Calc (scoring engine)'!$I$5:$I$515,1),'Calc (scoring engine)'!$I$5:$I$515,0))),""))</f>
        <v/>
      </c>
      <c r="N21" s="11">
        <f>IF(1&gt;MAX(3,MIN(15,N($B$16))),"",IFERROR(IF(INDEX(Database!$Y$5:$Y$515,MATCH(LARGE('Calc (scoring engine)'!$I$5:$I$515,1),'Calc (scoring engine)'!$I$5:$I$515,0))="","—",INDEX(Database!$Y$5:$Y$515,MATCH(LARGE('Calc (scoring engine)'!$I$5:$I$515,1),'Calc (scoring engine)'!$I$5:$I$515,0))),""))</f>
        <v/>
      </c>
      <c r="O21" s="11">
        <f>IF(1&gt;MAX(3,MIN(15,N($B$16))),"",IFERROR(IF(INDEX(Database!$Z$5:$Z$515,MATCH(LARGE('Calc (scoring engine)'!$I$5:$I$515,1),'Calc (scoring engine)'!$I$5:$I$515,0))="","—",INDEX(Database!$Z$5:$Z$515,MATCH(LARGE('Calc (scoring engine)'!$I$5:$I$515,1),'Calc (scoring engine)'!$I$5:$I$515,0))),""))</f>
        <v/>
      </c>
      <c r="P21" s="11">
        <f>IF(1&gt;MAX(3,MIN(15,N($B$16))),"",IFERROR(IF(INDEX(Database!$AA$5:$AA$515,MATCH(LARGE('Calc (scoring engine)'!$I$5:$I$515,1),'Calc (scoring engine)'!$I$5:$I$515,0))="","—",INDEX(Database!$AA$5:$AA$515,MATCH(LARGE('Calc (scoring engine)'!$I$5:$I$515,1),'Calc (scoring engine)'!$I$5:$I$515,0))),""))</f>
        <v/>
      </c>
      <c r="Q21" s="11">
        <f>IF(1&gt;MAX(3,MIN(15,N($B$16))),"",IFERROR(IF(INDEX(Database!$AB$5:$AB$515,MATCH(LARGE('Calc (scoring engine)'!$I$5:$I$515,1),'Calc (scoring engine)'!$I$5:$I$515,0))="","—",INDEX(Database!$AB$5:$AB$515,MATCH(LARGE('Calc (scoring engine)'!$I$5:$I$515,1),'Calc (scoring engine)'!$I$5:$I$515,0))),""))</f>
        <v/>
      </c>
      <c r="R21" s="11">
        <f>IF(1&gt;MAX(3,MIN(15,N($B$16))),"",IFERROR(IF(INDEX(Database!$AE$5:$AE$515,MATCH(LARGE('Calc (scoring engine)'!$I$5:$I$515,1),'Calc (scoring engine)'!$I$5:$I$515,0))="","—",INDEX(Database!$AE$5:$AE$515,MATCH(LARGE('Calc (scoring engine)'!$I$5:$I$515,1),'Calc (scoring engine)'!$I$5:$I$515,0))),""))</f>
        <v/>
      </c>
      <c r="S21" s="6">
        <f>IF(1&gt;MAX(3,MIN(15,N($B$16))),"",IFERROR(IF(INDEX(Database!$V$5:$V$515,MATCH(LARGE('Calc (scoring engine)'!$I$5:$I$515,1),'Calc (scoring engine)'!$I$5:$I$515,0))="","—",INDEX(Database!$V$5:$V$515,MATCH(LARGE('Calc (scoring engine)'!$I$5:$I$515,1),'Calc (scoring engine)'!$I$5:$I$515,0))),""))</f>
        <v/>
      </c>
      <c r="T21" s="6">
        <f>IF(1&gt;MAX(3,MIN(15,N($B$16))),"",IFERROR(IF(INDEX(Database!$AK$5:$AK$515,MATCH(LARGE('Calc (scoring engine)'!$I$5:$I$515,1),'Calc (scoring engine)'!$I$5:$I$515,0))="","—",INDEX(Database!$AK$5:$AK$515,MATCH(LARGE('Calc (scoring engine)'!$I$5:$I$515,1),'Calc (scoring engine)'!$I$5:$I$515,0))),""))</f>
        <v/>
      </c>
      <c r="U21" s="11">
        <f>IF(1&gt;MAX(3,MIN(15,N($B$16))),"",IFERROR(IF(INDEX(Database!$AL$5:$AL$515,MATCH(LARGE('Calc (scoring engine)'!$I$5:$I$515,1),'Calc (scoring engine)'!$I$5:$I$515,0))="","N/A",IF(INDEX(Database!$AM$5:$AM$515,MATCH(LARGE('Calc (scoring engine)'!$I$5:$I$515,1),'Calc (scoring engine)'!$I$5:$I$515,0))="","—",INDEX(Database!$AM$5:$AM$515,MATCH(LARGE('Calc (scoring engine)'!$I$5:$I$515,1),'Calc (scoring engine)'!$I$5:$I$515,0)))),""))</f>
        <v/>
      </c>
      <c r="V21" s="22">
        <f>IF(1&gt;MAX(3,MIN(15,N($B$16))),"",IFERROR(IF(INDEX(Database!$AL$5:$AL$515,MATCH(LARGE('Calc (scoring engine)'!$I$5:$I$515,1),'Calc (scoring engine)'!$I$5:$I$515,0))="","N/A",IF(INDEX(Database!$AO$5:$AO$515,MATCH(LARGE('Calc (scoring engine)'!$I$5:$I$515,1),'Calc (scoring engine)'!$I$5:$I$515,0))="","—",INDEX(Database!$AO$5:$AO$515,MATCH(LARGE('Calc (scoring engine)'!$I$5:$I$515,1),'Calc (scoring engine)'!$I$5:$I$515,0)))),""))</f>
        <v/>
      </c>
      <c r="W21" s="6">
        <f>IF(1&gt;MAX(3,MIN(15,N($B$16))),"",IFERROR(IF(INDEX(Database!$AR$5:$AR$515,MATCH(LARGE('Calc (scoring engine)'!$I$5:$I$515,1),'Calc (scoring engine)'!$I$5:$I$515,0))="","—",INDEX(Database!$AR$5:$AR$515,MATCH(LARGE('Calc (scoring engine)'!$I$5:$I$515,1),'Calc (scoring engine)'!$I$5:$I$515,0))),""))</f>
        <v/>
      </c>
      <c r="X21" s="6">
        <f>IF(1&gt;MAX(3,MIN(15,N($B$16))),"",IFERROR(IF(INDEX(Database!$T$5:$T$515,MATCH(LARGE('Calc (scoring engine)'!$I$5:$I$515,1),'Calc (scoring engine)'!$I$5:$I$515,0))="","—",INDEX(Database!$T$5:$T$515,MATCH(LARGE('Calc (scoring engine)'!$I$5:$I$515,1),'Calc (scoring engine)'!$I$5:$I$515,0))),""))</f>
        <v/>
      </c>
      <c r="Y21" s="23">
        <f>IF(1&gt;MAX(3,MIN(15,N($B$16))),"",IFERROR(IF(INDEX('Calc (scoring engine)'!$H$5:$H$515,MATCH(LARGE('Calc (scoring engine)'!$I$5:$I$515,1),'Calc (scoring engine)'!$I$5:$I$515,0))&gt;0,INDEX('Calc (scoring engine)'!$H$5:$H$515,MATCH(LARGE('Calc (scoring engine)'!$I$5:$I$515,1),'Calc (scoring engine)'!$I$5:$I$515,0)),""),""))</f>
        <v/>
      </c>
      <c r="Z21" s="6">
        <f>IF(1&gt;MAX(3,MIN(15,N($B$16))),"",IF(IFERROR(INDEX('Calc (scoring engine)'!$B$5:$B$515,MATCH(LARGE('Calc (scoring engine)'!$I$5:$I$515,1),'Calc (scoring engine)'!$I$5:$I$515,0)),0)=1,"same subsector","sector only"))</f>
        <v/>
      </c>
      <c r="AA21" s="23">
        <f>IF(1&gt;MAX(3,MIN(15,N($B$16))),"",ROUND(IFERROR(LARGE('Calc (scoring engine)'!$I$5:$I$515,1),0),0))</f>
        <v/>
      </c>
      <c r="AB21" s="6">
        <f>IF(1&gt;MAX(3,MIN(15,N($B$16))),"",IFERROR("sub "&amp;INDEX('Calc (scoring engine)'!$B$5:$B$515,MATCH(LARGE('Calc (scoring engine)'!$I$5:$I$515,1),'Calc (scoring engine)'!$I$5:$I$515,0))*W_SUB&amp;" + size "&amp;ROUND(INDEX('Calc (scoring engine)'!$D$5:$D$515,MATCH(LARGE('Calc (scoring engine)'!$I$5:$I$515,1),'Calc (scoring engine)'!$I$5:$I$515,0))*W_SIZE,0)&amp;" + prof "&amp;INDEX('Calc (scoring engine)'!$E$5:$E$515,MATCH(LARGE('Calc (scoring engine)'!$I$5:$I$515,1),'Calc (scoring engine)'!$I$5:$I$515,0))*W_PROF&amp;" + recency "&amp;ROUND(INDEX('Calc (scoring engine)'!$G$5:$G$515,MATCH(LARGE('Calc (scoring engine)'!$I$5:$I$515,1),'Calc (scoring engine)'!$I$5:$I$515,0))*W_REC,0)&amp;IF(INDEX('Calc (scoring engine)'!$H$5:$H$515,MATCH(LARGE('Calc (scoring engine)'!$I$5:$I$515,1),'Calc (scoring engine)'!$I$5:$I$515,0))&gt;0," + shared CS x"&amp;INDEX('Calc (scoring engine)'!$H$5:$H$515,MATCH(LARGE('Calc (scoring engine)'!$I$5:$I$515,1),'Calc (scoring engine)'!$I$5:$I$515,0)),""),""))</f>
        <v/>
      </c>
    </row>
    <row r="22">
      <c r="A22" s="20">
        <f>IF(2&gt;MAX(3,MIN(15,N($B$16))),"",2)</f>
        <v/>
      </c>
      <c r="B22" s="6">
        <f>IF(2&gt;MAX(3,MIN(15,N($B$16))),"",IFERROR(IF(INDEX(Database!$B$5:$B$515,MATCH(LARGE('Calc (scoring engine)'!$I$5:$I$515,2),'Calc (scoring engine)'!$I$5:$I$515,0))="","—",INDEX(Database!$B$5:$B$515,MATCH(LARGE('Calc (scoring engine)'!$I$5:$I$515,2),'Calc (scoring engine)'!$I$5:$I$515,0))),""))</f>
        <v/>
      </c>
      <c r="C22" s="6">
        <f>IF(2&gt;MAX(3,MIN(15,N($B$16))),"",IFERROR(IF(INDEX(Database!$E$5:$E$515,MATCH(LARGE('Calc (scoring engine)'!$I$5:$I$515,2),'Calc (scoring engine)'!$I$5:$I$515,0))="","—",INDEX(Database!$E$5:$E$515,MATCH(LARGE('Calc (scoring engine)'!$I$5:$I$515,2),'Calc (scoring engine)'!$I$5:$I$515,0))),""))</f>
        <v/>
      </c>
      <c r="D22" s="12">
        <f>IF(2&gt;MAX(3,MIN(15,N($B$16))),"",IFERROR(IF(INDEX(Database!$G$5:$G$515,MATCH(LARGE('Calc (scoring engine)'!$I$5:$I$515,2),'Calc (scoring engine)'!$I$5:$I$515,0))="","—",INDEX(Database!$G$5:$G$515,MATCH(LARGE('Calc (scoring engine)'!$I$5:$I$515,2),'Calc (scoring engine)'!$I$5:$I$515,0))),""))</f>
        <v/>
      </c>
      <c r="E22" s="9">
        <f>IF(2&gt;MAX(3,MIN(15,N($B$16))),"",IFERROR(IF(INDEX(Database!$H$5:$H$515,MATCH(LARGE('Calc (scoring engine)'!$I$5:$I$515,2),'Calc (scoring engine)'!$I$5:$I$515,0))="","—",INDEX(Database!$H$5:$H$515,MATCH(LARGE('Calc (scoring engine)'!$I$5:$I$515,2),'Calc (scoring engine)'!$I$5:$I$515,0))),""))</f>
        <v/>
      </c>
      <c r="F22" s="9">
        <f>IF(2&gt;MAX(3,MIN(15,N($B$16))),"",IFERROR(IF(INDEX(Database!$O$5:$O$515,MATCH(LARGE('Calc (scoring engine)'!$I$5:$I$515,2),'Calc (scoring engine)'!$I$5:$I$515,0))="","—",INDEX(Database!$O$5:$O$515,MATCH(LARGE('Calc (scoring engine)'!$I$5:$I$515,2),'Calc (scoring engine)'!$I$5:$I$515,0))),""))</f>
        <v/>
      </c>
      <c r="G22" s="21">
        <f>IF(2&gt;MAX(3,MIN(15,N($B$16))),"",IFERROR(IF(INDEX(Database!$AI$5:$AI$515,MATCH(LARGE('Calc (scoring engine)'!$I$5:$I$515,2),'Calc (scoring engine)'!$I$5:$I$515,0))="",IF(INDEX(Database!$AH$5:$AH$515,MATCH(LARGE('Calc (scoring engine)'!$I$5:$I$515,2),'Calc (scoring engine)'!$I$5:$I$515,0))="N","n/m","—"),INDEX(Database!$AI$5:$AI$515,MATCH(LARGE('Calc (scoring engine)'!$I$5:$I$515,2),'Calc (scoring engine)'!$I$5:$I$515,0))),""))</f>
        <v/>
      </c>
      <c r="H22" s="21">
        <f>IF(2&gt;MAX(3,MIN(15,N($B$16))),"",IFERROR(IF(INDEX(Database!$AJ$5:$AJ$515,MATCH(LARGE('Calc (scoring engine)'!$I$5:$I$515,2),'Calc (scoring engine)'!$I$5:$I$515,0))="","—",INDEX(Database!$AJ$5:$AJ$515,MATCH(LARGE('Calc (scoring engine)'!$I$5:$I$515,2),'Calc (scoring engine)'!$I$5:$I$515,0))),""))</f>
        <v/>
      </c>
      <c r="I22" s="14">
        <f>IF(2&gt;MAX(3,MIN(15,N($B$16))),"",IFERROR(IF(INDEX(Database!$Q$5:$Q$515,MATCH(LARGE('Calc (scoring engine)'!$I$5:$I$515,2),'Calc (scoring engine)'!$I$5:$I$515,0))="","—",INDEX(Database!$Q$5:$Q$515,MATCH(LARGE('Calc (scoring engine)'!$I$5:$I$515,2),'Calc (scoring engine)'!$I$5:$I$515,0))),""))</f>
        <v/>
      </c>
      <c r="J22" s="14">
        <f>IF(2&gt;MAX(3,MIN(15,N($B$16))),"",IFERROR(IF(INDEX(Database!$R$5:$R$515,MATCH(LARGE('Calc (scoring engine)'!$I$5:$I$515,2),'Calc (scoring engine)'!$I$5:$I$515,0))="","—",INDEX(Database!$R$5:$R$515,MATCH(LARGE('Calc (scoring engine)'!$I$5:$I$515,2),'Calc (scoring engine)'!$I$5:$I$515,0))),""))</f>
        <v/>
      </c>
      <c r="K22" s="15">
        <f>IF(2&gt;MAX(3,MIN(15,N($B$16))),"",IFERROR(IF(INDEX(Database!$S$5:$S$515,MATCH(LARGE('Calc (scoring engine)'!$I$5:$I$515,2),'Calc (scoring engine)'!$I$5:$I$515,0))="","—",INDEX(Database!$S$5:$S$515,MATCH(LARGE('Calc (scoring engine)'!$I$5:$I$515,2),'Calc (scoring engine)'!$I$5:$I$515,0))),""))</f>
        <v/>
      </c>
      <c r="L22" s="11">
        <f>IF(2&gt;MAX(3,MIN(15,N($B$16))),"",IFERROR(IF(INDEX(Database!$W$5:$W$515,MATCH(LARGE('Calc (scoring engine)'!$I$5:$I$515,2),'Calc (scoring engine)'!$I$5:$I$515,0))="","—",INDEX(Database!$W$5:$W$515,MATCH(LARGE('Calc (scoring engine)'!$I$5:$I$515,2),'Calc (scoring engine)'!$I$5:$I$515,0))),""))</f>
        <v/>
      </c>
      <c r="M22" s="11">
        <f>IF(2&gt;MAX(3,MIN(15,N($B$16))),"",IFERROR(IF(INDEX(Database!$X$5:$X$515,MATCH(LARGE('Calc (scoring engine)'!$I$5:$I$515,2),'Calc (scoring engine)'!$I$5:$I$515,0))="","—",INDEX(Database!$X$5:$X$515,MATCH(LARGE('Calc (scoring engine)'!$I$5:$I$515,2),'Calc (scoring engine)'!$I$5:$I$515,0))),""))</f>
        <v/>
      </c>
      <c r="N22" s="11">
        <f>IF(2&gt;MAX(3,MIN(15,N($B$16))),"",IFERROR(IF(INDEX(Database!$Y$5:$Y$515,MATCH(LARGE('Calc (scoring engine)'!$I$5:$I$515,2),'Calc (scoring engine)'!$I$5:$I$515,0))="","—",INDEX(Database!$Y$5:$Y$515,MATCH(LARGE('Calc (scoring engine)'!$I$5:$I$515,2),'Calc (scoring engine)'!$I$5:$I$515,0))),""))</f>
        <v/>
      </c>
      <c r="O22" s="11">
        <f>IF(2&gt;MAX(3,MIN(15,N($B$16))),"",IFERROR(IF(INDEX(Database!$Z$5:$Z$515,MATCH(LARGE('Calc (scoring engine)'!$I$5:$I$515,2),'Calc (scoring engine)'!$I$5:$I$515,0))="","—",INDEX(Database!$Z$5:$Z$515,MATCH(LARGE('Calc (scoring engine)'!$I$5:$I$515,2),'Calc (scoring engine)'!$I$5:$I$515,0))),""))</f>
        <v/>
      </c>
      <c r="P22" s="11">
        <f>IF(2&gt;MAX(3,MIN(15,N($B$16))),"",IFERROR(IF(INDEX(Database!$AA$5:$AA$515,MATCH(LARGE('Calc (scoring engine)'!$I$5:$I$515,2),'Calc (scoring engine)'!$I$5:$I$515,0))="","—",INDEX(Database!$AA$5:$AA$515,MATCH(LARGE('Calc (scoring engine)'!$I$5:$I$515,2),'Calc (scoring engine)'!$I$5:$I$515,0))),""))</f>
        <v/>
      </c>
      <c r="Q22" s="11">
        <f>IF(2&gt;MAX(3,MIN(15,N($B$16))),"",IFERROR(IF(INDEX(Database!$AB$5:$AB$515,MATCH(LARGE('Calc (scoring engine)'!$I$5:$I$515,2),'Calc (scoring engine)'!$I$5:$I$515,0))="","—",INDEX(Database!$AB$5:$AB$515,MATCH(LARGE('Calc (scoring engine)'!$I$5:$I$515,2),'Calc (scoring engine)'!$I$5:$I$515,0))),""))</f>
        <v/>
      </c>
      <c r="R22" s="11">
        <f>IF(2&gt;MAX(3,MIN(15,N($B$16))),"",IFERROR(IF(INDEX(Database!$AE$5:$AE$515,MATCH(LARGE('Calc (scoring engine)'!$I$5:$I$515,2),'Calc (scoring engine)'!$I$5:$I$515,0))="","—",INDEX(Database!$AE$5:$AE$515,MATCH(LARGE('Calc (scoring engine)'!$I$5:$I$515,2),'Calc (scoring engine)'!$I$5:$I$515,0))),""))</f>
        <v/>
      </c>
      <c r="S22" s="6">
        <f>IF(2&gt;MAX(3,MIN(15,N($B$16))),"",IFERROR(IF(INDEX(Database!$V$5:$V$515,MATCH(LARGE('Calc (scoring engine)'!$I$5:$I$515,2),'Calc (scoring engine)'!$I$5:$I$515,0))="","—",INDEX(Database!$V$5:$V$515,MATCH(LARGE('Calc (scoring engine)'!$I$5:$I$515,2),'Calc (scoring engine)'!$I$5:$I$515,0))),""))</f>
        <v/>
      </c>
      <c r="T22" s="6">
        <f>IF(2&gt;MAX(3,MIN(15,N($B$16))),"",IFERROR(IF(INDEX(Database!$AK$5:$AK$515,MATCH(LARGE('Calc (scoring engine)'!$I$5:$I$515,2),'Calc (scoring engine)'!$I$5:$I$515,0))="","—",INDEX(Database!$AK$5:$AK$515,MATCH(LARGE('Calc (scoring engine)'!$I$5:$I$515,2),'Calc (scoring engine)'!$I$5:$I$515,0))),""))</f>
        <v/>
      </c>
      <c r="U22" s="11">
        <f>IF(2&gt;MAX(3,MIN(15,N($B$16))),"",IFERROR(IF(INDEX(Database!$AL$5:$AL$515,MATCH(LARGE('Calc (scoring engine)'!$I$5:$I$515,2),'Calc (scoring engine)'!$I$5:$I$515,0))="","N/A",IF(INDEX(Database!$AM$5:$AM$515,MATCH(LARGE('Calc (scoring engine)'!$I$5:$I$515,2),'Calc (scoring engine)'!$I$5:$I$515,0))="","—",INDEX(Database!$AM$5:$AM$515,MATCH(LARGE('Calc (scoring engine)'!$I$5:$I$515,2),'Calc (scoring engine)'!$I$5:$I$515,0)))),""))</f>
        <v/>
      </c>
      <c r="V22" s="22">
        <f>IF(2&gt;MAX(3,MIN(15,N($B$16))),"",IFERROR(IF(INDEX(Database!$AL$5:$AL$515,MATCH(LARGE('Calc (scoring engine)'!$I$5:$I$515,2),'Calc (scoring engine)'!$I$5:$I$515,0))="","N/A",IF(INDEX(Database!$AO$5:$AO$515,MATCH(LARGE('Calc (scoring engine)'!$I$5:$I$515,2),'Calc (scoring engine)'!$I$5:$I$515,0))="","—",INDEX(Database!$AO$5:$AO$515,MATCH(LARGE('Calc (scoring engine)'!$I$5:$I$515,2),'Calc (scoring engine)'!$I$5:$I$515,0)))),""))</f>
        <v/>
      </c>
      <c r="W22" s="6">
        <f>IF(2&gt;MAX(3,MIN(15,N($B$16))),"",IFERROR(IF(INDEX(Database!$AR$5:$AR$515,MATCH(LARGE('Calc (scoring engine)'!$I$5:$I$515,2),'Calc (scoring engine)'!$I$5:$I$515,0))="","—",INDEX(Database!$AR$5:$AR$515,MATCH(LARGE('Calc (scoring engine)'!$I$5:$I$515,2),'Calc (scoring engine)'!$I$5:$I$515,0))),""))</f>
        <v/>
      </c>
      <c r="X22" s="6">
        <f>IF(2&gt;MAX(3,MIN(15,N($B$16))),"",IFERROR(IF(INDEX(Database!$T$5:$T$515,MATCH(LARGE('Calc (scoring engine)'!$I$5:$I$515,2),'Calc (scoring engine)'!$I$5:$I$515,0))="","—",INDEX(Database!$T$5:$T$515,MATCH(LARGE('Calc (scoring engine)'!$I$5:$I$515,2),'Calc (scoring engine)'!$I$5:$I$515,0))),""))</f>
        <v/>
      </c>
      <c r="Y22" s="23">
        <f>IF(2&gt;MAX(3,MIN(15,N($B$16))),"",IFERROR(IF(INDEX('Calc (scoring engine)'!$H$5:$H$515,MATCH(LARGE('Calc (scoring engine)'!$I$5:$I$515,2),'Calc (scoring engine)'!$I$5:$I$515,0))&gt;0,INDEX('Calc (scoring engine)'!$H$5:$H$515,MATCH(LARGE('Calc (scoring engine)'!$I$5:$I$515,2),'Calc (scoring engine)'!$I$5:$I$515,0)),""),""))</f>
        <v/>
      </c>
      <c r="Z22" s="6">
        <f>IF(2&gt;MAX(3,MIN(15,N($B$16))),"",IF(IFERROR(INDEX('Calc (scoring engine)'!$B$5:$B$515,MATCH(LARGE('Calc (scoring engine)'!$I$5:$I$515,2),'Calc (scoring engine)'!$I$5:$I$515,0)),0)=1,"same subsector","sector only"))</f>
        <v/>
      </c>
      <c r="AA22" s="23">
        <f>IF(2&gt;MAX(3,MIN(15,N($B$16))),"",ROUND(IFERROR(LARGE('Calc (scoring engine)'!$I$5:$I$515,2),0),0))</f>
        <v/>
      </c>
      <c r="AB22" s="6">
        <f>IF(2&gt;MAX(3,MIN(15,N($B$16))),"",IFERROR("sub "&amp;INDEX('Calc (scoring engine)'!$B$5:$B$515,MATCH(LARGE('Calc (scoring engine)'!$I$5:$I$515,2),'Calc (scoring engine)'!$I$5:$I$515,0))*W_SUB&amp;" + size "&amp;ROUND(INDEX('Calc (scoring engine)'!$D$5:$D$515,MATCH(LARGE('Calc (scoring engine)'!$I$5:$I$515,2),'Calc (scoring engine)'!$I$5:$I$515,0))*W_SIZE,0)&amp;" + prof "&amp;INDEX('Calc (scoring engine)'!$E$5:$E$515,MATCH(LARGE('Calc (scoring engine)'!$I$5:$I$515,2),'Calc (scoring engine)'!$I$5:$I$515,0))*W_PROF&amp;" + recency "&amp;ROUND(INDEX('Calc (scoring engine)'!$G$5:$G$515,MATCH(LARGE('Calc (scoring engine)'!$I$5:$I$515,2),'Calc (scoring engine)'!$I$5:$I$515,0))*W_REC,0)&amp;IF(INDEX('Calc (scoring engine)'!$H$5:$H$515,MATCH(LARGE('Calc (scoring engine)'!$I$5:$I$515,2),'Calc (scoring engine)'!$I$5:$I$515,0))&gt;0," + shared CS x"&amp;INDEX('Calc (scoring engine)'!$H$5:$H$515,MATCH(LARGE('Calc (scoring engine)'!$I$5:$I$515,2),'Calc (scoring engine)'!$I$5:$I$515,0)),""),""))</f>
        <v/>
      </c>
    </row>
    <row r="23">
      <c r="A23" s="20">
        <f>IF(3&gt;MAX(3,MIN(15,N($B$16))),"",3)</f>
        <v/>
      </c>
      <c r="B23" s="6">
        <f>IF(3&gt;MAX(3,MIN(15,N($B$16))),"",IFERROR(IF(INDEX(Database!$B$5:$B$515,MATCH(LARGE('Calc (scoring engine)'!$I$5:$I$515,3),'Calc (scoring engine)'!$I$5:$I$515,0))="","—",INDEX(Database!$B$5:$B$515,MATCH(LARGE('Calc (scoring engine)'!$I$5:$I$515,3),'Calc (scoring engine)'!$I$5:$I$515,0))),""))</f>
        <v/>
      </c>
      <c r="C23" s="6">
        <f>IF(3&gt;MAX(3,MIN(15,N($B$16))),"",IFERROR(IF(INDEX(Database!$E$5:$E$515,MATCH(LARGE('Calc (scoring engine)'!$I$5:$I$515,3),'Calc (scoring engine)'!$I$5:$I$515,0))="","—",INDEX(Database!$E$5:$E$515,MATCH(LARGE('Calc (scoring engine)'!$I$5:$I$515,3),'Calc (scoring engine)'!$I$5:$I$515,0))),""))</f>
        <v/>
      </c>
      <c r="D23" s="12">
        <f>IF(3&gt;MAX(3,MIN(15,N($B$16))),"",IFERROR(IF(INDEX(Database!$G$5:$G$515,MATCH(LARGE('Calc (scoring engine)'!$I$5:$I$515,3),'Calc (scoring engine)'!$I$5:$I$515,0))="","—",INDEX(Database!$G$5:$G$515,MATCH(LARGE('Calc (scoring engine)'!$I$5:$I$515,3),'Calc (scoring engine)'!$I$5:$I$515,0))),""))</f>
        <v/>
      </c>
      <c r="E23" s="9">
        <f>IF(3&gt;MAX(3,MIN(15,N($B$16))),"",IFERROR(IF(INDEX(Database!$H$5:$H$515,MATCH(LARGE('Calc (scoring engine)'!$I$5:$I$515,3),'Calc (scoring engine)'!$I$5:$I$515,0))="","—",INDEX(Database!$H$5:$H$515,MATCH(LARGE('Calc (scoring engine)'!$I$5:$I$515,3),'Calc (scoring engine)'!$I$5:$I$515,0))),""))</f>
        <v/>
      </c>
      <c r="F23" s="9">
        <f>IF(3&gt;MAX(3,MIN(15,N($B$16))),"",IFERROR(IF(INDEX(Database!$O$5:$O$515,MATCH(LARGE('Calc (scoring engine)'!$I$5:$I$515,3),'Calc (scoring engine)'!$I$5:$I$515,0))="","—",INDEX(Database!$O$5:$O$515,MATCH(LARGE('Calc (scoring engine)'!$I$5:$I$515,3),'Calc (scoring engine)'!$I$5:$I$515,0))),""))</f>
        <v/>
      </c>
      <c r="G23" s="21">
        <f>IF(3&gt;MAX(3,MIN(15,N($B$16))),"",IFERROR(IF(INDEX(Database!$AI$5:$AI$515,MATCH(LARGE('Calc (scoring engine)'!$I$5:$I$515,3),'Calc (scoring engine)'!$I$5:$I$515,0))="",IF(INDEX(Database!$AH$5:$AH$515,MATCH(LARGE('Calc (scoring engine)'!$I$5:$I$515,3),'Calc (scoring engine)'!$I$5:$I$515,0))="N","n/m","—"),INDEX(Database!$AI$5:$AI$515,MATCH(LARGE('Calc (scoring engine)'!$I$5:$I$515,3),'Calc (scoring engine)'!$I$5:$I$515,0))),""))</f>
        <v/>
      </c>
      <c r="H23" s="21">
        <f>IF(3&gt;MAX(3,MIN(15,N($B$16))),"",IFERROR(IF(INDEX(Database!$AJ$5:$AJ$515,MATCH(LARGE('Calc (scoring engine)'!$I$5:$I$515,3),'Calc (scoring engine)'!$I$5:$I$515,0))="","—",INDEX(Database!$AJ$5:$AJ$515,MATCH(LARGE('Calc (scoring engine)'!$I$5:$I$515,3),'Calc (scoring engine)'!$I$5:$I$515,0))),""))</f>
        <v/>
      </c>
      <c r="I23" s="14">
        <f>IF(3&gt;MAX(3,MIN(15,N($B$16))),"",IFERROR(IF(INDEX(Database!$Q$5:$Q$515,MATCH(LARGE('Calc (scoring engine)'!$I$5:$I$515,3),'Calc (scoring engine)'!$I$5:$I$515,0))="","—",INDEX(Database!$Q$5:$Q$515,MATCH(LARGE('Calc (scoring engine)'!$I$5:$I$515,3),'Calc (scoring engine)'!$I$5:$I$515,0))),""))</f>
        <v/>
      </c>
      <c r="J23" s="14">
        <f>IF(3&gt;MAX(3,MIN(15,N($B$16))),"",IFERROR(IF(INDEX(Database!$R$5:$R$515,MATCH(LARGE('Calc (scoring engine)'!$I$5:$I$515,3),'Calc (scoring engine)'!$I$5:$I$515,0))="","—",INDEX(Database!$R$5:$R$515,MATCH(LARGE('Calc (scoring engine)'!$I$5:$I$515,3),'Calc (scoring engine)'!$I$5:$I$515,0))),""))</f>
        <v/>
      </c>
      <c r="K23" s="15">
        <f>IF(3&gt;MAX(3,MIN(15,N($B$16))),"",IFERROR(IF(INDEX(Database!$S$5:$S$515,MATCH(LARGE('Calc (scoring engine)'!$I$5:$I$515,3),'Calc (scoring engine)'!$I$5:$I$515,0))="","—",INDEX(Database!$S$5:$S$515,MATCH(LARGE('Calc (scoring engine)'!$I$5:$I$515,3),'Calc (scoring engine)'!$I$5:$I$515,0))),""))</f>
        <v/>
      </c>
      <c r="L23" s="11">
        <f>IF(3&gt;MAX(3,MIN(15,N($B$16))),"",IFERROR(IF(INDEX(Database!$W$5:$W$515,MATCH(LARGE('Calc (scoring engine)'!$I$5:$I$515,3),'Calc (scoring engine)'!$I$5:$I$515,0))="","—",INDEX(Database!$W$5:$W$515,MATCH(LARGE('Calc (scoring engine)'!$I$5:$I$515,3),'Calc (scoring engine)'!$I$5:$I$515,0))),""))</f>
        <v/>
      </c>
      <c r="M23" s="11">
        <f>IF(3&gt;MAX(3,MIN(15,N($B$16))),"",IFERROR(IF(INDEX(Database!$X$5:$X$515,MATCH(LARGE('Calc (scoring engine)'!$I$5:$I$515,3),'Calc (scoring engine)'!$I$5:$I$515,0))="","—",INDEX(Database!$X$5:$X$515,MATCH(LARGE('Calc (scoring engine)'!$I$5:$I$515,3),'Calc (scoring engine)'!$I$5:$I$515,0))),""))</f>
        <v/>
      </c>
      <c r="N23" s="11">
        <f>IF(3&gt;MAX(3,MIN(15,N($B$16))),"",IFERROR(IF(INDEX(Database!$Y$5:$Y$515,MATCH(LARGE('Calc (scoring engine)'!$I$5:$I$515,3),'Calc (scoring engine)'!$I$5:$I$515,0))="","—",INDEX(Database!$Y$5:$Y$515,MATCH(LARGE('Calc (scoring engine)'!$I$5:$I$515,3),'Calc (scoring engine)'!$I$5:$I$515,0))),""))</f>
        <v/>
      </c>
      <c r="O23" s="11">
        <f>IF(3&gt;MAX(3,MIN(15,N($B$16))),"",IFERROR(IF(INDEX(Database!$Z$5:$Z$515,MATCH(LARGE('Calc (scoring engine)'!$I$5:$I$515,3),'Calc (scoring engine)'!$I$5:$I$515,0))="","—",INDEX(Database!$Z$5:$Z$515,MATCH(LARGE('Calc (scoring engine)'!$I$5:$I$515,3),'Calc (scoring engine)'!$I$5:$I$515,0))),""))</f>
        <v/>
      </c>
      <c r="P23" s="11">
        <f>IF(3&gt;MAX(3,MIN(15,N($B$16))),"",IFERROR(IF(INDEX(Database!$AA$5:$AA$515,MATCH(LARGE('Calc (scoring engine)'!$I$5:$I$515,3),'Calc (scoring engine)'!$I$5:$I$515,0))="","—",INDEX(Database!$AA$5:$AA$515,MATCH(LARGE('Calc (scoring engine)'!$I$5:$I$515,3),'Calc (scoring engine)'!$I$5:$I$515,0))),""))</f>
        <v/>
      </c>
      <c r="Q23" s="11">
        <f>IF(3&gt;MAX(3,MIN(15,N($B$16))),"",IFERROR(IF(INDEX(Database!$AB$5:$AB$515,MATCH(LARGE('Calc (scoring engine)'!$I$5:$I$515,3),'Calc (scoring engine)'!$I$5:$I$515,0))="","—",INDEX(Database!$AB$5:$AB$515,MATCH(LARGE('Calc (scoring engine)'!$I$5:$I$515,3),'Calc (scoring engine)'!$I$5:$I$515,0))),""))</f>
        <v/>
      </c>
      <c r="R23" s="11">
        <f>IF(3&gt;MAX(3,MIN(15,N($B$16))),"",IFERROR(IF(INDEX(Database!$AE$5:$AE$515,MATCH(LARGE('Calc (scoring engine)'!$I$5:$I$515,3),'Calc (scoring engine)'!$I$5:$I$515,0))="","—",INDEX(Database!$AE$5:$AE$515,MATCH(LARGE('Calc (scoring engine)'!$I$5:$I$515,3),'Calc (scoring engine)'!$I$5:$I$515,0))),""))</f>
        <v/>
      </c>
      <c r="S23" s="6">
        <f>IF(3&gt;MAX(3,MIN(15,N($B$16))),"",IFERROR(IF(INDEX(Database!$V$5:$V$515,MATCH(LARGE('Calc (scoring engine)'!$I$5:$I$515,3),'Calc (scoring engine)'!$I$5:$I$515,0))="","—",INDEX(Database!$V$5:$V$515,MATCH(LARGE('Calc (scoring engine)'!$I$5:$I$515,3),'Calc (scoring engine)'!$I$5:$I$515,0))),""))</f>
        <v/>
      </c>
      <c r="T23" s="6">
        <f>IF(3&gt;MAX(3,MIN(15,N($B$16))),"",IFERROR(IF(INDEX(Database!$AK$5:$AK$515,MATCH(LARGE('Calc (scoring engine)'!$I$5:$I$515,3),'Calc (scoring engine)'!$I$5:$I$515,0))="","—",INDEX(Database!$AK$5:$AK$515,MATCH(LARGE('Calc (scoring engine)'!$I$5:$I$515,3),'Calc (scoring engine)'!$I$5:$I$515,0))),""))</f>
        <v/>
      </c>
      <c r="U23" s="11">
        <f>IF(3&gt;MAX(3,MIN(15,N($B$16))),"",IFERROR(IF(INDEX(Database!$AL$5:$AL$515,MATCH(LARGE('Calc (scoring engine)'!$I$5:$I$515,3),'Calc (scoring engine)'!$I$5:$I$515,0))="","N/A",IF(INDEX(Database!$AM$5:$AM$515,MATCH(LARGE('Calc (scoring engine)'!$I$5:$I$515,3),'Calc (scoring engine)'!$I$5:$I$515,0))="","—",INDEX(Database!$AM$5:$AM$515,MATCH(LARGE('Calc (scoring engine)'!$I$5:$I$515,3),'Calc (scoring engine)'!$I$5:$I$515,0)))),""))</f>
        <v/>
      </c>
      <c r="V23" s="22">
        <f>IF(3&gt;MAX(3,MIN(15,N($B$16))),"",IFERROR(IF(INDEX(Database!$AL$5:$AL$515,MATCH(LARGE('Calc (scoring engine)'!$I$5:$I$515,3),'Calc (scoring engine)'!$I$5:$I$515,0))="","N/A",IF(INDEX(Database!$AO$5:$AO$515,MATCH(LARGE('Calc (scoring engine)'!$I$5:$I$515,3),'Calc (scoring engine)'!$I$5:$I$515,0))="","—",INDEX(Database!$AO$5:$AO$515,MATCH(LARGE('Calc (scoring engine)'!$I$5:$I$515,3),'Calc (scoring engine)'!$I$5:$I$515,0)))),""))</f>
        <v/>
      </c>
      <c r="W23" s="6">
        <f>IF(3&gt;MAX(3,MIN(15,N($B$16))),"",IFERROR(IF(INDEX(Database!$AR$5:$AR$515,MATCH(LARGE('Calc (scoring engine)'!$I$5:$I$515,3),'Calc (scoring engine)'!$I$5:$I$515,0))="","—",INDEX(Database!$AR$5:$AR$515,MATCH(LARGE('Calc (scoring engine)'!$I$5:$I$515,3),'Calc (scoring engine)'!$I$5:$I$515,0))),""))</f>
        <v/>
      </c>
      <c r="X23" s="6">
        <f>IF(3&gt;MAX(3,MIN(15,N($B$16))),"",IFERROR(IF(INDEX(Database!$T$5:$T$515,MATCH(LARGE('Calc (scoring engine)'!$I$5:$I$515,3),'Calc (scoring engine)'!$I$5:$I$515,0))="","—",INDEX(Database!$T$5:$T$515,MATCH(LARGE('Calc (scoring engine)'!$I$5:$I$515,3),'Calc (scoring engine)'!$I$5:$I$515,0))),""))</f>
        <v/>
      </c>
      <c r="Y23" s="23">
        <f>IF(3&gt;MAX(3,MIN(15,N($B$16))),"",IFERROR(IF(INDEX('Calc (scoring engine)'!$H$5:$H$515,MATCH(LARGE('Calc (scoring engine)'!$I$5:$I$515,3),'Calc (scoring engine)'!$I$5:$I$515,0))&gt;0,INDEX('Calc (scoring engine)'!$H$5:$H$515,MATCH(LARGE('Calc (scoring engine)'!$I$5:$I$515,3),'Calc (scoring engine)'!$I$5:$I$515,0)),""),""))</f>
        <v/>
      </c>
      <c r="Z23" s="6">
        <f>IF(3&gt;MAX(3,MIN(15,N($B$16))),"",IF(IFERROR(INDEX('Calc (scoring engine)'!$B$5:$B$515,MATCH(LARGE('Calc (scoring engine)'!$I$5:$I$515,3),'Calc (scoring engine)'!$I$5:$I$515,0)),0)=1,"same subsector","sector only"))</f>
        <v/>
      </c>
      <c r="AA23" s="23">
        <f>IF(3&gt;MAX(3,MIN(15,N($B$16))),"",ROUND(IFERROR(LARGE('Calc (scoring engine)'!$I$5:$I$515,3),0),0))</f>
        <v/>
      </c>
      <c r="AB23" s="6">
        <f>IF(3&gt;MAX(3,MIN(15,N($B$16))),"",IFERROR("sub "&amp;INDEX('Calc (scoring engine)'!$B$5:$B$515,MATCH(LARGE('Calc (scoring engine)'!$I$5:$I$515,3),'Calc (scoring engine)'!$I$5:$I$515,0))*W_SUB&amp;" + size "&amp;ROUND(INDEX('Calc (scoring engine)'!$D$5:$D$515,MATCH(LARGE('Calc (scoring engine)'!$I$5:$I$515,3),'Calc (scoring engine)'!$I$5:$I$515,0))*W_SIZE,0)&amp;" + prof "&amp;INDEX('Calc (scoring engine)'!$E$5:$E$515,MATCH(LARGE('Calc (scoring engine)'!$I$5:$I$515,3),'Calc (scoring engine)'!$I$5:$I$515,0))*W_PROF&amp;" + recency "&amp;ROUND(INDEX('Calc (scoring engine)'!$G$5:$G$515,MATCH(LARGE('Calc (scoring engine)'!$I$5:$I$515,3),'Calc (scoring engine)'!$I$5:$I$515,0))*W_REC,0)&amp;IF(INDEX('Calc (scoring engine)'!$H$5:$H$515,MATCH(LARGE('Calc (scoring engine)'!$I$5:$I$515,3),'Calc (scoring engine)'!$I$5:$I$515,0))&gt;0," + shared CS x"&amp;INDEX('Calc (scoring engine)'!$H$5:$H$515,MATCH(LARGE('Calc (scoring engine)'!$I$5:$I$515,3),'Calc (scoring engine)'!$I$5:$I$515,0)),""),""))</f>
        <v/>
      </c>
    </row>
    <row r="24">
      <c r="A24" s="20">
        <f>IF(4&gt;MAX(3,MIN(15,N($B$16))),"",4)</f>
        <v/>
      </c>
      <c r="B24" s="6">
        <f>IF(4&gt;MAX(3,MIN(15,N($B$16))),"",IFERROR(IF(INDEX(Database!$B$5:$B$515,MATCH(LARGE('Calc (scoring engine)'!$I$5:$I$515,4),'Calc (scoring engine)'!$I$5:$I$515,0))="","—",INDEX(Database!$B$5:$B$515,MATCH(LARGE('Calc (scoring engine)'!$I$5:$I$515,4),'Calc (scoring engine)'!$I$5:$I$515,0))),""))</f>
        <v/>
      </c>
      <c r="C24" s="6">
        <f>IF(4&gt;MAX(3,MIN(15,N($B$16))),"",IFERROR(IF(INDEX(Database!$E$5:$E$515,MATCH(LARGE('Calc (scoring engine)'!$I$5:$I$515,4),'Calc (scoring engine)'!$I$5:$I$515,0))="","—",INDEX(Database!$E$5:$E$515,MATCH(LARGE('Calc (scoring engine)'!$I$5:$I$515,4),'Calc (scoring engine)'!$I$5:$I$515,0))),""))</f>
        <v/>
      </c>
      <c r="D24" s="12">
        <f>IF(4&gt;MAX(3,MIN(15,N($B$16))),"",IFERROR(IF(INDEX(Database!$G$5:$G$515,MATCH(LARGE('Calc (scoring engine)'!$I$5:$I$515,4),'Calc (scoring engine)'!$I$5:$I$515,0))="","—",INDEX(Database!$G$5:$G$515,MATCH(LARGE('Calc (scoring engine)'!$I$5:$I$515,4),'Calc (scoring engine)'!$I$5:$I$515,0))),""))</f>
        <v/>
      </c>
      <c r="E24" s="9">
        <f>IF(4&gt;MAX(3,MIN(15,N($B$16))),"",IFERROR(IF(INDEX(Database!$H$5:$H$515,MATCH(LARGE('Calc (scoring engine)'!$I$5:$I$515,4),'Calc (scoring engine)'!$I$5:$I$515,0))="","—",INDEX(Database!$H$5:$H$515,MATCH(LARGE('Calc (scoring engine)'!$I$5:$I$515,4),'Calc (scoring engine)'!$I$5:$I$515,0))),""))</f>
        <v/>
      </c>
      <c r="F24" s="9">
        <f>IF(4&gt;MAX(3,MIN(15,N($B$16))),"",IFERROR(IF(INDEX(Database!$O$5:$O$515,MATCH(LARGE('Calc (scoring engine)'!$I$5:$I$515,4),'Calc (scoring engine)'!$I$5:$I$515,0))="","—",INDEX(Database!$O$5:$O$515,MATCH(LARGE('Calc (scoring engine)'!$I$5:$I$515,4),'Calc (scoring engine)'!$I$5:$I$515,0))),""))</f>
        <v/>
      </c>
      <c r="G24" s="21">
        <f>IF(4&gt;MAX(3,MIN(15,N($B$16))),"",IFERROR(IF(INDEX(Database!$AI$5:$AI$515,MATCH(LARGE('Calc (scoring engine)'!$I$5:$I$515,4),'Calc (scoring engine)'!$I$5:$I$515,0))="",IF(INDEX(Database!$AH$5:$AH$515,MATCH(LARGE('Calc (scoring engine)'!$I$5:$I$515,4),'Calc (scoring engine)'!$I$5:$I$515,0))="N","n/m","—"),INDEX(Database!$AI$5:$AI$515,MATCH(LARGE('Calc (scoring engine)'!$I$5:$I$515,4),'Calc (scoring engine)'!$I$5:$I$515,0))),""))</f>
        <v/>
      </c>
      <c r="H24" s="21">
        <f>IF(4&gt;MAX(3,MIN(15,N($B$16))),"",IFERROR(IF(INDEX(Database!$AJ$5:$AJ$515,MATCH(LARGE('Calc (scoring engine)'!$I$5:$I$515,4),'Calc (scoring engine)'!$I$5:$I$515,0))="","—",INDEX(Database!$AJ$5:$AJ$515,MATCH(LARGE('Calc (scoring engine)'!$I$5:$I$515,4),'Calc (scoring engine)'!$I$5:$I$515,0))),""))</f>
        <v/>
      </c>
      <c r="I24" s="14">
        <f>IF(4&gt;MAX(3,MIN(15,N($B$16))),"",IFERROR(IF(INDEX(Database!$Q$5:$Q$515,MATCH(LARGE('Calc (scoring engine)'!$I$5:$I$515,4),'Calc (scoring engine)'!$I$5:$I$515,0))="","—",INDEX(Database!$Q$5:$Q$515,MATCH(LARGE('Calc (scoring engine)'!$I$5:$I$515,4),'Calc (scoring engine)'!$I$5:$I$515,0))),""))</f>
        <v/>
      </c>
      <c r="J24" s="14">
        <f>IF(4&gt;MAX(3,MIN(15,N($B$16))),"",IFERROR(IF(INDEX(Database!$R$5:$R$515,MATCH(LARGE('Calc (scoring engine)'!$I$5:$I$515,4),'Calc (scoring engine)'!$I$5:$I$515,0))="","—",INDEX(Database!$R$5:$R$515,MATCH(LARGE('Calc (scoring engine)'!$I$5:$I$515,4),'Calc (scoring engine)'!$I$5:$I$515,0))),""))</f>
        <v/>
      </c>
      <c r="K24" s="15">
        <f>IF(4&gt;MAX(3,MIN(15,N($B$16))),"",IFERROR(IF(INDEX(Database!$S$5:$S$515,MATCH(LARGE('Calc (scoring engine)'!$I$5:$I$515,4),'Calc (scoring engine)'!$I$5:$I$515,0))="","—",INDEX(Database!$S$5:$S$515,MATCH(LARGE('Calc (scoring engine)'!$I$5:$I$515,4),'Calc (scoring engine)'!$I$5:$I$515,0))),""))</f>
        <v/>
      </c>
      <c r="L24" s="11">
        <f>IF(4&gt;MAX(3,MIN(15,N($B$16))),"",IFERROR(IF(INDEX(Database!$W$5:$W$515,MATCH(LARGE('Calc (scoring engine)'!$I$5:$I$515,4),'Calc (scoring engine)'!$I$5:$I$515,0))="","—",INDEX(Database!$W$5:$W$515,MATCH(LARGE('Calc (scoring engine)'!$I$5:$I$515,4),'Calc (scoring engine)'!$I$5:$I$515,0))),""))</f>
        <v/>
      </c>
      <c r="M24" s="11">
        <f>IF(4&gt;MAX(3,MIN(15,N($B$16))),"",IFERROR(IF(INDEX(Database!$X$5:$X$515,MATCH(LARGE('Calc (scoring engine)'!$I$5:$I$515,4),'Calc (scoring engine)'!$I$5:$I$515,0))="","—",INDEX(Database!$X$5:$X$515,MATCH(LARGE('Calc (scoring engine)'!$I$5:$I$515,4),'Calc (scoring engine)'!$I$5:$I$515,0))),""))</f>
        <v/>
      </c>
      <c r="N24" s="11">
        <f>IF(4&gt;MAX(3,MIN(15,N($B$16))),"",IFERROR(IF(INDEX(Database!$Y$5:$Y$515,MATCH(LARGE('Calc (scoring engine)'!$I$5:$I$515,4),'Calc (scoring engine)'!$I$5:$I$515,0))="","—",INDEX(Database!$Y$5:$Y$515,MATCH(LARGE('Calc (scoring engine)'!$I$5:$I$515,4),'Calc (scoring engine)'!$I$5:$I$515,0))),""))</f>
        <v/>
      </c>
      <c r="O24" s="11">
        <f>IF(4&gt;MAX(3,MIN(15,N($B$16))),"",IFERROR(IF(INDEX(Database!$Z$5:$Z$515,MATCH(LARGE('Calc (scoring engine)'!$I$5:$I$515,4),'Calc (scoring engine)'!$I$5:$I$515,0))="","—",INDEX(Database!$Z$5:$Z$515,MATCH(LARGE('Calc (scoring engine)'!$I$5:$I$515,4),'Calc (scoring engine)'!$I$5:$I$515,0))),""))</f>
        <v/>
      </c>
      <c r="P24" s="11">
        <f>IF(4&gt;MAX(3,MIN(15,N($B$16))),"",IFERROR(IF(INDEX(Database!$AA$5:$AA$515,MATCH(LARGE('Calc (scoring engine)'!$I$5:$I$515,4),'Calc (scoring engine)'!$I$5:$I$515,0))="","—",INDEX(Database!$AA$5:$AA$515,MATCH(LARGE('Calc (scoring engine)'!$I$5:$I$515,4),'Calc (scoring engine)'!$I$5:$I$515,0))),""))</f>
        <v/>
      </c>
      <c r="Q24" s="11">
        <f>IF(4&gt;MAX(3,MIN(15,N($B$16))),"",IFERROR(IF(INDEX(Database!$AB$5:$AB$515,MATCH(LARGE('Calc (scoring engine)'!$I$5:$I$515,4),'Calc (scoring engine)'!$I$5:$I$515,0))="","—",INDEX(Database!$AB$5:$AB$515,MATCH(LARGE('Calc (scoring engine)'!$I$5:$I$515,4),'Calc (scoring engine)'!$I$5:$I$515,0))),""))</f>
        <v/>
      </c>
      <c r="R24" s="11">
        <f>IF(4&gt;MAX(3,MIN(15,N($B$16))),"",IFERROR(IF(INDEX(Database!$AE$5:$AE$515,MATCH(LARGE('Calc (scoring engine)'!$I$5:$I$515,4),'Calc (scoring engine)'!$I$5:$I$515,0))="","—",INDEX(Database!$AE$5:$AE$515,MATCH(LARGE('Calc (scoring engine)'!$I$5:$I$515,4),'Calc (scoring engine)'!$I$5:$I$515,0))),""))</f>
        <v/>
      </c>
      <c r="S24" s="6">
        <f>IF(4&gt;MAX(3,MIN(15,N($B$16))),"",IFERROR(IF(INDEX(Database!$V$5:$V$515,MATCH(LARGE('Calc (scoring engine)'!$I$5:$I$515,4),'Calc (scoring engine)'!$I$5:$I$515,0))="","—",INDEX(Database!$V$5:$V$515,MATCH(LARGE('Calc (scoring engine)'!$I$5:$I$515,4),'Calc (scoring engine)'!$I$5:$I$515,0))),""))</f>
        <v/>
      </c>
      <c r="T24" s="6">
        <f>IF(4&gt;MAX(3,MIN(15,N($B$16))),"",IFERROR(IF(INDEX(Database!$AK$5:$AK$515,MATCH(LARGE('Calc (scoring engine)'!$I$5:$I$515,4),'Calc (scoring engine)'!$I$5:$I$515,0))="","—",INDEX(Database!$AK$5:$AK$515,MATCH(LARGE('Calc (scoring engine)'!$I$5:$I$515,4),'Calc (scoring engine)'!$I$5:$I$515,0))),""))</f>
        <v/>
      </c>
      <c r="U24" s="11">
        <f>IF(4&gt;MAX(3,MIN(15,N($B$16))),"",IFERROR(IF(INDEX(Database!$AL$5:$AL$515,MATCH(LARGE('Calc (scoring engine)'!$I$5:$I$515,4),'Calc (scoring engine)'!$I$5:$I$515,0))="","N/A",IF(INDEX(Database!$AM$5:$AM$515,MATCH(LARGE('Calc (scoring engine)'!$I$5:$I$515,4),'Calc (scoring engine)'!$I$5:$I$515,0))="","—",INDEX(Database!$AM$5:$AM$515,MATCH(LARGE('Calc (scoring engine)'!$I$5:$I$515,4),'Calc (scoring engine)'!$I$5:$I$515,0)))),""))</f>
        <v/>
      </c>
      <c r="V24" s="22">
        <f>IF(4&gt;MAX(3,MIN(15,N($B$16))),"",IFERROR(IF(INDEX(Database!$AL$5:$AL$515,MATCH(LARGE('Calc (scoring engine)'!$I$5:$I$515,4),'Calc (scoring engine)'!$I$5:$I$515,0))="","N/A",IF(INDEX(Database!$AO$5:$AO$515,MATCH(LARGE('Calc (scoring engine)'!$I$5:$I$515,4),'Calc (scoring engine)'!$I$5:$I$515,0))="","—",INDEX(Database!$AO$5:$AO$515,MATCH(LARGE('Calc (scoring engine)'!$I$5:$I$515,4),'Calc (scoring engine)'!$I$5:$I$515,0)))),""))</f>
        <v/>
      </c>
      <c r="W24" s="6">
        <f>IF(4&gt;MAX(3,MIN(15,N($B$16))),"",IFERROR(IF(INDEX(Database!$AR$5:$AR$515,MATCH(LARGE('Calc (scoring engine)'!$I$5:$I$515,4),'Calc (scoring engine)'!$I$5:$I$515,0))="","—",INDEX(Database!$AR$5:$AR$515,MATCH(LARGE('Calc (scoring engine)'!$I$5:$I$515,4),'Calc (scoring engine)'!$I$5:$I$515,0))),""))</f>
        <v/>
      </c>
      <c r="X24" s="6">
        <f>IF(4&gt;MAX(3,MIN(15,N($B$16))),"",IFERROR(IF(INDEX(Database!$T$5:$T$515,MATCH(LARGE('Calc (scoring engine)'!$I$5:$I$515,4),'Calc (scoring engine)'!$I$5:$I$515,0))="","—",INDEX(Database!$T$5:$T$515,MATCH(LARGE('Calc (scoring engine)'!$I$5:$I$515,4),'Calc (scoring engine)'!$I$5:$I$515,0))),""))</f>
        <v/>
      </c>
      <c r="Y24" s="23">
        <f>IF(4&gt;MAX(3,MIN(15,N($B$16))),"",IFERROR(IF(INDEX('Calc (scoring engine)'!$H$5:$H$515,MATCH(LARGE('Calc (scoring engine)'!$I$5:$I$515,4),'Calc (scoring engine)'!$I$5:$I$515,0))&gt;0,INDEX('Calc (scoring engine)'!$H$5:$H$515,MATCH(LARGE('Calc (scoring engine)'!$I$5:$I$515,4),'Calc (scoring engine)'!$I$5:$I$515,0)),""),""))</f>
        <v/>
      </c>
      <c r="Z24" s="6">
        <f>IF(4&gt;MAX(3,MIN(15,N($B$16))),"",IF(IFERROR(INDEX('Calc (scoring engine)'!$B$5:$B$515,MATCH(LARGE('Calc (scoring engine)'!$I$5:$I$515,4),'Calc (scoring engine)'!$I$5:$I$515,0)),0)=1,"same subsector","sector only"))</f>
        <v/>
      </c>
      <c r="AA24" s="23">
        <f>IF(4&gt;MAX(3,MIN(15,N($B$16))),"",ROUND(IFERROR(LARGE('Calc (scoring engine)'!$I$5:$I$515,4),0),0))</f>
        <v/>
      </c>
      <c r="AB24" s="6">
        <f>IF(4&gt;MAX(3,MIN(15,N($B$16))),"",IFERROR("sub "&amp;INDEX('Calc (scoring engine)'!$B$5:$B$515,MATCH(LARGE('Calc (scoring engine)'!$I$5:$I$515,4),'Calc (scoring engine)'!$I$5:$I$515,0))*W_SUB&amp;" + size "&amp;ROUND(INDEX('Calc (scoring engine)'!$D$5:$D$515,MATCH(LARGE('Calc (scoring engine)'!$I$5:$I$515,4),'Calc (scoring engine)'!$I$5:$I$515,0))*W_SIZE,0)&amp;" + prof "&amp;INDEX('Calc (scoring engine)'!$E$5:$E$515,MATCH(LARGE('Calc (scoring engine)'!$I$5:$I$515,4),'Calc (scoring engine)'!$I$5:$I$515,0))*W_PROF&amp;" + recency "&amp;ROUND(INDEX('Calc (scoring engine)'!$G$5:$G$515,MATCH(LARGE('Calc (scoring engine)'!$I$5:$I$515,4),'Calc (scoring engine)'!$I$5:$I$515,0))*W_REC,0)&amp;IF(INDEX('Calc (scoring engine)'!$H$5:$H$515,MATCH(LARGE('Calc (scoring engine)'!$I$5:$I$515,4),'Calc (scoring engine)'!$I$5:$I$515,0))&gt;0," + shared CS x"&amp;INDEX('Calc (scoring engine)'!$H$5:$H$515,MATCH(LARGE('Calc (scoring engine)'!$I$5:$I$515,4),'Calc (scoring engine)'!$I$5:$I$515,0)),""),""))</f>
        <v/>
      </c>
    </row>
    <row r="25">
      <c r="A25" s="20">
        <f>IF(5&gt;MAX(3,MIN(15,N($B$16))),"",5)</f>
        <v/>
      </c>
      <c r="B25" s="6">
        <f>IF(5&gt;MAX(3,MIN(15,N($B$16))),"",IFERROR(IF(INDEX(Database!$B$5:$B$515,MATCH(LARGE('Calc (scoring engine)'!$I$5:$I$515,5),'Calc (scoring engine)'!$I$5:$I$515,0))="","—",INDEX(Database!$B$5:$B$515,MATCH(LARGE('Calc (scoring engine)'!$I$5:$I$515,5),'Calc (scoring engine)'!$I$5:$I$515,0))),""))</f>
        <v/>
      </c>
      <c r="C25" s="6">
        <f>IF(5&gt;MAX(3,MIN(15,N($B$16))),"",IFERROR(IF(INDEX(Database!$E$5:$E$515,MATCH(LARGE('Calc (scoring engine)'!$I$5:$I$515,5),'Calc (scoring engine)'!$I$5:$I$515,0))="","—",INDEX(Database!$E$5:$E$515,MATCH(LARGE('Calc (scoring engine)'!$I$5:$I$515,5),'Calc (scoring engine)'!$I$5:$I$515,0))),""))</f>
        <v/>
      </c>
      <c r="D25" s="12">
        <f>IF(5&gt;MAX(3,MIN(15,N($B$16))),"",IFERROR(IF(INDEX(Database!$G$5:$G$515,MATCH(LARGE('Calc (scoring engine)'!$I$5:$I$515,5),'Calc (scoring engine)'!$I$5:$I$515,0))="","—",INDEX(Database!$G$5:$G$515,MATCH(LARGE('Calc (scoring engine)'!$I$5:$I$515,5),'Calc (scoring engine)'!$I$5:$I$515,0))),""))</f>
        <v/>
      </c>
      <c r="E25" s="9">
        <f>IF(5&gt;MAX(3,MIN(15,N($B$16))),"",IFERROR(IF(INDEX(Database!$H$5:$H$515,MATCH(LARGE('Calc (scoring engine)'!$I$5:$I$515,5),'Calc (scoring engine)'!$I$5:$I$515,0))="","—",INDEX(Database!$H$5:$H$515,MATCH(LARGE('Calc (scoring engine)'!$I$5:$I$515,5),'Calc (scoring engine)'!$I$5:$I$515,0))),""))</f>
        <v/>
      </c>
      <c r="F25" s="9">
        <f>IF(5&gt;MAX(3,MIN(15,N($B$16))),"",IFERROR(IF(INDEX(Database!$O$5:$O$515,MATCH(LARGE('Calc (scoring engine)'!$I$5:$I$515,5),'Calc (scoring engine)'!$I$5:$I$515,0))="","—",INDEX(Database!$O$5:$O$515,MATCH(LARGE('Calc (scoring engine)'!$I$5:$I$515,5),'Calc (scoring engine)'!$I$5:$I$515,0))),""))</f>
        <v/>
      </c>
      <c r="G25" s="21">
        <f>IF(5&gt;MAX(3,MIN(15,N($B$16))),"",IFERROR(IF(INDEX(Database!$AI$5:$AI$515,MATCH(LARGE('Calc (scoring engine)'!$I$5:$I$515,5),'Calc (scoring engine)'!$I$5:$I$515,0))="",IF(INDEX(Database!$AH$5:$AH$515,MATCH(LARGE('Calc (scoring engine)'!$I$5:$I$515,5),'Calc (scoring engine)'!$I$5:$I$515,0))="N","n/m","—"),INDEX(Database!$AI$5:$AI$515,MATCH(LARGE('Calc (scoring engine)'!$I$5:$I$515,5),'Calc (scoring engine)'!$I$5:$I$515,0))),""))</f>
        <v/>
      </c>
      <c r="H25" s="21">
        <f>IF(5&gt;MAX(3,MIN(15,N($B$16))),"",IFERROR(IF(INDEX(Database!$AJ$5:$AJ$515,MATCH(LARGE('Calc (scoring engine)'!$I$5:$I$515,5),'Calc (scoring engine)'!$I$5:$I$515,0))="","—",INDEX(Database!$AJ$5:$AJ$515,MATCH(LARGE('Calc (scoring engine)'!$I$5:$I$515,5),'Calc (scoring engine)'!$I$5:$I$515,0))),""))</f>
        <v/>
      </c>
      <c r="I25" s="14">
        <f>IF(5&gt;MAX(3,MIN(15,N($B$16))),"",IFERROR(IF(INDEX(Database!$Q$5:$Q$515,MATCH(LARGE('Calc (scoring engine)'!$I$5:$I$515,5),'Calc (scoring engine)'!$I$5:$I$515,0))="","—",INDEX(Database!$Q$5:$Q$515,MATCH(LARGE('Calc (scoring engine)'!$I$5:$I$515,5),'Calc (scoring engine)'!$I$5:$I$515,0))),""))</f>
        <v/>
      </c>
      <c r="J25" s="14">
        <f>IF(5&gt;MAX(3,MIN(15,N($B$16))),"",IFERROR(IF(INDEX(Database!$R$5:$R$515,MATCH(LARGE('Calc (scoring engine)'!$I$5:$I$515,5),'Calc (scoring engine)'!$I$5:$I$515,0))="","—",INDEX(Database!$R$5:$R$515,MATCH(LARGE('Calc (scoring engine)'!$I$5:$I$515,5),'Calc (scoring engine)'!$I$5:$I$515,0))),""))</f>
        <v/>
      </c>
      <c r="K25" s="15">
        <f>IF(5&gt;MAX(3,MIN(15,N($B$16))),"",IFERROR(IF(INDEX(Database!$S$5:$S$515,MATCH(LARGE('Calc (scoring engine)'!$I$5:$I$515,5),'Calc (scoring engine)'!$I$5:$I$515,0))="","—",INDEX(Database!$S$5:$S$515,MATCH(LARGE('Calc (scoring engine)'!$I$5:$I$515,5),'Calc (scoring engine)'!$I$5:$I$515,0))),""))</f>
        <v/>
      </c>
      <c r="L25" s="11">
        <f>IF(5&gt;MAX(3,MIN(15,N($B$16))),"",IFERROR(IF(INDEX(Database!$W$5:$W$515,MATCH(LARGE('Calc (scoring engine)'!$I$5:$I$515,5),'Calc (scoring engine)'!$I$5:$I$515,0))="","—",INDEX(Database!$W$5:$W$515,MATCH(LARGE('Calc (scoring engine)'!$I$5:$I$515,5),'Calc (scoring engine)'!$I$5:$I$515,0))),""))</f>
        <v/>
      </c>
      <c r="M25" s="11">
        <f>IF(5&gt;MAX(3,MIN(15,N($B$16))),"",IFERROR(IF(INDEX(Database!$X$5:$X$515,MATCH(LARGE('Calc (scoring engine)'!$I$5:$I$515,5),'Calc (scoring engine)'!$I$5:$I$515,0))="","—",INDEX(Database!$X$5:$X$515,MATCH(LARGE('Calc (scoring engine)'!$I$5:$I$515,5),'Calc (scoring engine)'!$I$5:$I$515,0))),""))</f>
        <v/>
      </c>
      <c r="N25" s="11">
        <f>IF(5&gt;MAX(3,MIN(15,N($B$16))),"",IFERROR(IF(INDEX(Database!$Y$5:$Y$515,MATCH(LARGE('Calc (scoring engine)'!$I$5:$I$515,5),'Calc (scoring engine)'!$I$5:$I$515,0))="","—",INDEX(Database!$Y$5:$Y$515,MATCH(LARGE('Calc (scoring engine)'!$I$5:$I$515,5),'Calc (scoring engine)'!$I$5:$I$515,0))),""))</f>
        <v/>
      </c>
      <c r="O25" s="11">
        <f>IF(5&gt;MAX(3,MIN(15,N($B$16))),"",IFERROR(IF(INDEX(Database!$Z$5:$Z$515,MATCH(LARGE('Calc (scoring engine)'!$I$5:$I$515,5),'Calc (scoring engine)'!$I$5:$I$515,0))="","—",INDEX(Database!$Z$5:$Z$515,MATCH(LARGE('Calc (scoring engine)'!$I$5:$I$515,5),'Calc (scoring engine)'!$I$5:$I$515,0))),""))</f>
        <v/>
      </c>
      <c r="P25" s="11">
        <f>IF(5&gt;MAX(3,MIN(15,N($B$16))),"",IFERROR(IF(INDEX(Database!$AA$5:$AA$515,MATCH(LARGE('Calc (scoring engine)'!$I$5:$I$515,5),'Calc (scoring engine)'!$I$5:$I$515,0))="","—",INDEX(Database!$AA$5:$AA$515,MATCH(LARGE('Calc (scoring engine)'!$I$5:$I$515,5),'Calc (scoring engine)'!$I$5:$I$515,0))),""))</f>
        <v/>
      </c>
      <c r="Q25" s="11">
        <f>IF(5&gt;MAX(3,MIN(15,N($B$16))),"",IFERROR(IF(INDEX(Database!$AB$5:$AB$515,MATCH(LARGE('Calc (scoring engine)'!$I$5:$I$515,5),'Calc (scoring engine)'!$I$5:$I$515,0))="","—",INDEX(Database!$AB$5:$AB$515,MATCH(LARGE('Calc (scoring engine)'!$I$5:$I$515,5),'Calc (scoring engine)'!$I$5:$I$515,0))),""))</f>
        <v/>
      </c>
      <c r="R25" s="11">
        <f>IF(5&gt;MAX(3,MIN(15,N($B$16))),"",IFERROR(IF(INDEX(Database!$AE$5:$AE$515,MATCH(LARGE('Calc (scoring engine)'!$I$5:$I$515,5),'Calc (scoring engine)'!$I$5:$I$515,0))="","—",INDEX(Database!$AE$5:$AE$515,MATCH(LARGE('Calc (scoring engine)'!$I$5:$I$515,5),'Calc (scoring engine)'!$I$5:$I$515,0))),""))</f>
        <v/>
      </c>
      <c r="S25" s="6">
        <f>IF(5&gt;MAX(3,MIN(15,N($B$16))),"",IFERROR(IF(INDEX(Database!$V$5:$V$515,MATCH(LARGE('Calc (scoring engine)'!$I$5:$I$515,5),'Calc (scoring engine)'!$I$5:$I$515,0))="","—",INDEX(Database!$V$5:$V$515,MATCH(LARGE('Calc (scoring engine)'!$I$5:$I$515,5),'Calc (scoring engine)'!$I$5:$I$515,0))),""))</f>
        <v/>
      </c>
      <c r="T25" s="6">
        <f>IF(5&gt;MAX(3,MIN(15,N($B$16))),"",IFERROR(IF(INDEX(Database!$AK$5:$AK$515,MATCH(LARGE('Calc (scoring engine)'!$I$5:$I$515,5),'Calc (scoring engine)'!$I$5:$I$515,0))="","—",INDEX(Database!$AK$5:$AK$515,MATCH(LARGE('Calc (scoring engine)'!$I$5:$I$515,5),'Calc (scoring engine)'!$I$5:$I$515,0))),""))</f>
        <v/>
      </c>
      <c r="U25" s="11">
        <f>IF(5&gt;MAX(3,MIN(15,N($B$16))),"",IFERROR(IF(INDEX(Database!$AL$5:$AL$515,MATCH(LARGE('Calc (scoring engine)'!$I$5:$I$515,5),'Calc (scoring engine)'!$I$5:$I$515,0))="","N/A",IF(INDEX(Database!$AM$5:$AM$515,MATCH(LARGE('Calc (scoring engine)'!$I$5:$I$515,5),'Calc (scoring engine)'!$I$5:$I$515,0))="","—",INDEX(Database!$AM$5:$AM$515,MATCH(LARGE('Calc (scoring engine)'!$I$5:$I$515,5),'Calc (scoring engine)'!$I$5:$I$515,0)))),""))</f>
        <v/>
      </c>
      <c r="V25" s="22">
        <f>IF(5&gt;MAX(3,MIN(15,N($B$16))),"",IFERROR(IF(INDEX(Database!$AL$5:$AL$515,MATCH(LARGE('Calc (scoring engine)'!$I$5:$I$515,5),'Calc (scoring engine)'!$I$5:$I$515,0))="","N/A",IF(INDEX(Database!$AO$5:$AO$515,MATCH(LARGE('Calc (scoring engine)'!$I$5:$I$515,5),'Calc (scoring engine)'!$I$5:$I$515,0))="","—",INDEX(Database!$AO$5:$AO$515,MATCH(LARGE('Calc (scoring engine)'!$I$5:$I$515,5),'Calc (scoring engine)'!$I$5:$I$515,0)))),""))</f>
        <v/>
      </c>
      <c r="W25" s="6">
        <f>IF(5&gt;MAX(3,MIN(15,N($B$16))),"",IFERROR(IF(INDEX(Database!$AR$5:$AR$515,MATCH(LARGE('Calc (scoring engine)'!$I$5:$I$515,5),'Calc (scoring engine)'!$I$5:$I$515,0))="","—",INDEX(Database!$AR$5:$AR$515,MATCH(LARGE('Calc (scoring engine)'!$I$5:$I$515,5),'Calc (scoring engine)'!$I$5:$I$515,0))),""))</f>
        <v/>
      </c>
      <c r="X25" s="6">
        <f>IF(5&gt;MAX(3,MIN(15,N($B$16))),"",IFERROR(IF(INDEX(Database!$T$5:$T$515,MATCH(LARGE('Calc (scoring engine)'!$I$5:$I$515,5),'Calc (scoring engine)'!$I$5:$I$515,0))="","—",INDEX(Database!$T$5:$T$515,MATCH(LARGE('Calc (scoring engine)'!$I$5:$I$515,5),'Calc (scoring engine)'!$I$5:$I$515,0))),""))</f>
        <v/>
      </c>
      <c r="Y25" s="23">
        <f>IF(5&gt;MAX(3,MIN(15,N($B$16))),"",IFERROR(IF(INDEX('Calc (scoring engine)'!$H$5:$H$515,MATCH(LARGE('Calc (scoring engine)'!$I$5:$I$515,5),'Calc (scoring engine)'!$I$5:$I$515,0))&gt;0,INDEX('Calc (scoring engine)'!$H$5:$H$515,MATCH(LARGE('Calc (scoring engine)'!$I$5:$I$515,5),'Calc (scoring engine)'!$I$5:$I$515,0)),""),""))</f>
        <v/>
      </c>
      <c r="Z25" s="6">
        <f>IF(5&gt;MAX(3,MIN(15,N($B$16))),"",IF(IFERROR(INDEX('Calc (scoring engine)'!$B$5:$B$515,MATCH(LARGE('Calc (scoring engine)'!$I$5:$I$515,5),'Calc (scoring engine)'!$I$5:$I$515,0)),0)=1,"same subsector","sector only"))</f>
        <v/>
      </c>
      <c r="AA25" s="23">
        <f>IF(5&gt;MAX(3,MIN(15,N($B$16))),"",ROUND(IFERROR(LARGE('Calc (scoring engine)'!$I$5:$I$515,5),0),0))</f>
        <v/>
      </c>
      <c r="AB25" s="6">
        <f>IF(5&gt;MAX(3,MIN(15,N($B$16))),"",IFERROR("sub "&amp;INDEX('Calc (scoring engine)'!$B$5:$B$515,MATCH(LARGE('Calc (scoring engine)'!$I$5:$I$515,5),'Calc (scoring engine)'!$I$5:$I$515,0))*W_SUB&amp;" + size "&amp;ROUND(INDEX('Calc (scoring engine)'!$D$5:$D$515,MATCH(LARGE('Calc (scoring engine)'!$I$5:$I$515,5),'Calc (scoring engine)'!$I$5:$I$515,0))*W_SIZE,0)&amp;" + prof "&amp;INDEX('Calc (scoring engine)'!$E$5:$E$515,MATCH(LARGE('Calc (scoring engine)'!$I$5:$I$515,5),'Calc (scoring engine)'!$I$5:$I$515,0))*W_PROF&amp;" + recency "&amp;ROUND(INDEX('Calc (scoring engine)'!$G$5:$G$515,MATCH(LARGE('Calc (scoring engine)'!$I$5:$I$515,5),'Calc (scoring engine)'!$I$5:$I$515,0))*W_REC,0)&amp;IF(INDEX('Calc (scoring engine)'!$H$5:$H$515,MATCH(LARGE('Calc (scoring engine)'!$I$5:$I$515,5),'Calc (scoring engine)'!$I$5:$I$515,0))&gt;0," + shared CS x"&amp;INDEX('Calc (scoring engine)'!$H$5:$H$515,MATCH(LARGE('Calc (scoring engine)'!$I$5:$I$515,5),'Calc (scoring engine)'!$I$5:$I$515,0)),""),""))</f>
        <v/>
      </c>
    </row>
    <row r="26">
      <c r="A26" s="20">
        <f>IF(6&gt;MAX(3,MIN(15,N($B$16))),"",6)</f>
        <v/>
      </c>
      <c r="B26" s="6">
        <f>IF(6&gt;MAX(3,MIN(15,N($B$16))),"",IFERROR(IF(INDEX(Database!$B$5:$B$515,MATCH(LARGE('Calc (scoring engine)'!$I$5:$I$515,6),'Calc (scoring engine)'!$I$5:$I$515,0))="","—",INDEX(Database!$B$5:$B$515,MATCH(LARGE('Calc (scoring engine)'!$I$5:$I$515,6),'Calc (scoring engine)'!$I$5:$I$515,0))),""))</f>
        <v/>
      </c>
      <c r="C26" s="6">
        <f>IF(6&gt;MAX(3,MIN(15,N($B$16))),"",IFERROR(IF(INDEX(Database!$E$5:$E$515,MATCH(LARGE('Calc (scoring engine)'!$I$5:$I$515,6),'Calc (scoring engine)'!$I$5:$I$515,0))="","—",INDEX(Database!$E$5:$E$515,MATCH(LARGE('Calc (scoring engine)'!$I$5:$I$515,6),'Calc (scoring engine)'!$I$5:$I$515,0))),""))</f>
        <v/>
      </c>
      <c r="D26" s="12">
        <f>IF(6&gt;MAX(3,MIN(15,N($B$16))),"",IFERROR(IF(INDEX(Database!$G$5:$G$515,MATCH(LARGE('Calc (scoring engine)'!$I$5:$I$515,6),'Calc (scoring engine)'!$I$5:$I$515,0))="","—",INDEX(Database!$G$5:$G$515,MATCH(LARGE('Calc (scoring engine)'!$I$5:$I$515,6),'Calc (scoring engine)'!$I$5:$I$515,0))),""))</f>
        <v/>
      </c>
      <c r="E26" s="9">
        <f>IF(6&gt;MAX(3,MIN(15,N($B$16))),"",IFERROR(IF(INDEX(Database!$H$5:$H$515,MATCH(LARGE('Calc (scoring engine)'!$I$5:$I$515,6),'Calc (scoring engine)'!$I$5:$I$515,0))="","—",INDEX(Database!$H$5:$H$515,MATCH(LARGE('Calc (scoring engine)'!$I$5:$I$515,6),'Calc (scoring engine)'!$I$5:$I$515,0))),""))</f>
        <v/>
      </c>
      <c r="F26" s="9">
        <f>IF(6&gt;MAX(3,MIN(15,N($B$16))),"",IFERROR(IF(INDEX(Database!$O$5:$O$515,MATCH(LARGE('Calc (scoring engine)'!$I$5:$I$515,6),'Calc (scoring engine)'!$I$5:$I$515,0))="","—",INDEX(Database!$O$5:$O$515,MATCH(LARGE('Calc (scoring engine)'!$I$5:$I$515,6),'Calc (scoring engine)'!$I$5:$I$515,0))),""))</f>
        <v/>
      </c>
      <c r="G26" s="21">
        <f>IF(6&gt;MAX(3,MIN(15,N($B$16))),"",IFERROR(IF(INDEX(Database!$AI$5:$AI$515,MATCH(LARGE('Calc (scoring engine)'!$I$5:$I$515,6),'Calc (scoring engine)'!$I$5:$I$515,0))="",IF(INDEX(Database!$AH$5:$AH$515,MATCH(LARGE('Calc (scoring engine)'!$I$5:$I$515,6),'Calc (scoring engine)'!$I$5:$I$515,0))="N","n/m","—"),INDEX(Database!$AI$5:$AI$515,MATCH(LARGE('Calc (scoring engine)'!$I$5:$I$515,6),'Calc (scoring engine)'!$I$5:$I$515,0))),""))</f>
        <v/>
      </c>
      <c r="H26" s="21">
        <f>IF(6&gt;MAX(3,MIN(15,N($B$16))),"",IFERROR(IF(INDEX(Database!$AJ$5:$AJ$515,MATCH(LARGE('Calc (scoring engine)'!$I$5:$I$515,6),'Calc (scoring engine)'!$I$5:$I$515,0))="","—",INDEX(Database!$AJ$5:$AJ$515,MATCH(LARGE('Calc (scoring engine)'!$I$5:$I$515,6),'Calc (scoring engine)'!$I$5:$I$515,0))),""))</f>
        <v/>
      </c>
      <c r="I26" s="14">
        <f>IF(6&gt;MAX(3,MIN(15,N($B$16))),"",IFERROR(IF(INDEX(Database!$Q$5:$Q$515,MATCH(LARGE('Calc (scoring engine)'!$I$5:$I$515,6),'Calc (scoring engine)'!$I$5:$I$515,0))="","—",INDEX(Database!$Q$5:$Q$515,MATCH(LARGE('Calc (scoring engine)'!$I$5:$I$515,6),'Calc (scoring engine)'!$I$5:$I$515,0))),""))</f>
        <v/>
      </c>
      <c r="J26" s="14">
        <f>IF(6&gt;MAX(3,MIN(15,N($B$16))),"",IFERROR(IF(INDEX(Database!$R$5:$R$515,MATCH(LARGE('Calc (scoring engine)'!$I$5:$I$515,6),'Calc (scoring engine)'!$I$5:$I$515,0))="","—",INDEX(Database!$R$5:$R$515,MATCH(LARGE('Calc (scoring engine)'!$I$5:$I$515,6),'Calc (scoring engine)'!$I$5:$I$515,0))),""))</f>
        <v/>
      </c>
      <c r="K26" s="15">
        <f>IF(6&gt;MAX(3,MIN(15,N($B$16))),"",IFERROR(IF(INDEX(Database!$S$5:$S$515,MATCH(LARGE('Calc (scoring engine)'!$I$5:$I$515,6),'Calc (scoring engine)'!$I$5:$I$515,0))="","—",INDEX(Database!$S$5:$S$515,MATCH(LARGE('Calc (scoring engine)'!$I$5:$I$515,6),'Calc (scoring engine)'!$I$5:$I$515,0))),""))</f>
        <v/>
      </c>
      <c r="L26" s="11">
        <f>IF(6&gt;MAX(3,MIN(15,N($B$16))),"",IFERROR(IF(INDEX(Database!$W$5:$W$515,MATCH(LARGE('Calc (scoring engine)'!$I$5:$I$515,6),'Calc (scoring engine)'!$I$5:$I$515,0))="","—",INDEX(Database!$W$5:$W$515,MATCH(LARGE('Calc (scoring engine)'!$I$5:$I$515,6),'Calc (scoring engine)'!$I$5:$I$515,0))),""))</f>
        <v/>
      </c>
      <c r="M26" s="11">
        <f>IF(6&gt;MAX(3,MIN(15,N($B$16))),"",IFERROR(IF(INDEX(Database!$X$5:$X$515,MATCH(LARGE('Calc (scoring engine)'!$I$5:$I$515,6),'Calc (scoring engine)'!$I$5:$I$515,0))="","—",INDEX(Database!$X$5:$X$515,MATCH(LARGE('Calc (scoring engine)'!$I$5:$I$515,6),'Calc (scoring engine)'!$I$5:$I$515,0))),""))</f>
        <v/>
      </c>
      <c r="N26" s="11">
        <f>IF(6&gt;MAX(3,MIN(15,N($B$16))),"",IFERROR(IF(INDEX(Database!$Y$5:$Y$515,MATCH(LARGE('Calc (scoring engine)'!$I$5:$I$515,6),'Calc (scoring engine)'!$I$5:$I$515,0))="","—",INDEX(Database!$Y$5:$Y$515,MATCH(LARGE('Calc (scoring engine)'!$I$5:$I$515,6),'Calc (scoring engine)'!$I$5:$I$515,0))),""))</f>
        <v/>
      </c>
      <c r="O26" s="11">
        <f>IF(6&gt;MAX(3,MIN(15,N($B$16))),"",IFERROR(IF(INDEX(Database!$Z$5:$Z$515,MATCH(LARGE('Calc (scoring engine)'!$I$5:$I$515,6),'Calc (scoring engine)'!$I$5:$I$515,0))="","—",INDEX(Database!$Z$5:$Z$515,MATCH(LARGE('Calc (scoring engine)'!$I$5:$I$515,6),'Calc (scoring engine)'!$I$5:$I$515,0))),""))</f>
        <v/>
      </c>
      <c r="P26" s="11">
        <f>IF(6&gt;MAX(3,MIN(15,N($B$16))),"",IFERROR(IF(INDEX(Database!$AA$5:$AA$515,MATCH(LARGE('Calc (scoring engine)'!$I$5:$I$515,6),'Calc (scoring engine)'!$I$5:$I$515,0))="","—",INDEX(Database!$AA$5:$AA$515,MATCH(LARGE('Calc (scoring engine)'!$I$5:$I$515,6),'Calc (scoring engine)'!$I$5:$I$515,0))),""))</f>
        <v/>
      </c>
      <c r="Q26" s="11">
        <f>IF(6&gt;MAX(3,MIN(15,N($B$16))),"",IFERROR(IF(INDEX(Database!$AB$5:$AB$515,MATCH(LARGE('Calc (scoring engine)'!$I$5:$I$515,6),'Calc (scoring engine)'!$I$5:$I$515,0))="","—",INDEX(Database!$AB$5:$AB$515,MATCH(LARGE('Calc (scoring engine)'!$I$5:$I$515,6),'Calc (scoring engine)'!$I$5:$I$515,0))),""))</f>
        <v/>
      </c>
      <c r="R26" s="11">
        <f>IF(6&gt;MAX(3,MIN(15,N($B$16))),"",IFERROR(IF(INDEX(Database!$AE$5:$AE$515,MATCH(LARGE('Calc (scoring engine)'!$I$5:$I$515,6),'Calc (scoring engine)'!$I$5:$I$515,0))="","—",INDEX(Database!$AE$5:$AE$515,MATCH(LARGE('Calc (scoring engine)'!$I$5:$I$515,6),'Calc (scoring engine)'!$I$5:$I$515,0))),""))</f>
        <v/>
      </c>
      <c r="S26" s="6">
        <f>IF(6&gt;MAX(3,MIN(15,N($B$16))),"",IFERROR(IF(INDEX(Database!$V$5:$V$515,MATCH(LARGE('Calc (scoring engine)'!$I$5:$I$515,6),'Calc (scoring engine)'!$I$5:$I$515,0))="","—",INDEX(Database!$V$5:$V$515,MATCH(LARGE('Calc (scoring engine)'!$I$5:$I$515,6),'Calc (scoring engine)'!$I$5:$I$515,0))),""))</f>
        <v/>
      </c>
      <c r="T26" s="6">
        <f>IF(6&gt;MAX(3,MIN(15,N($B$16))),"",IFERROR(IF(INDEX(Database!$AK$5:$AK$515,MATCH(LARGE('Calc (scoring engine)'!$I$5:$I$515,6),'Calc (scoring engine)'!$I$5:$I$515,0))="","—",INDEX(Database!$AK$5:$AK$515,MATCH(LARGE('Calc (scoring engine)'!$I$5:$I$515,6),'Calc (scoring engine)'!$I$5:$I$515,0))),""))</f>
        <v/>
      </c>
      <c r="U26" s="11">
        <f>IF(6&gt;MAX(3,MIN(15,N($B$16))),"",IFERROR(IF(INDEX(Database!$AL$5:$AL$515,MATCH(LARGE('Calc (scoring engine)'!$I$5:$I$515,6),'Calc (scoring engine)'!$I$5:$I$515,0))="","N/A",IF(INDEX(Database!$AM$5:$AM$515,MATCH(LARGE('Calc (scoring engine)'!$I$5:$I$515,6),'Calc (scoring engine)'!$I$5:$I$515,0))="","—",INDEX(Database!$AM$5:$AM$515,MATCH(LARGE('Calc (scoring engine)'!$I$5:$I$515,6),'Calc (scoring engine)'!$I$5:$I$515,0)))),""))</f>
        <v/>
      </c>
      <c r="V26" s="22">
        <f>IF(6&gt;MAX(3,MIN(15,N($B$16))),"",IFERROR(IF(INDEX(Database!$AL$5:$AL$515,MATCH(LARGE('Calc (scoring engine)'!$I$5:$I$515,6),'Calc (scoring engine)'!$I$5:$I$515,0))="","N/A",IF(INDEX(Database!$AO$5:$AO$515,MATCH(LARGE('Calc (scoring engine)'!$I$5:$I$515,6),'Calc (scoring engine)'!$I$5:$I$515,0))="","—",INDEX(Database!$AO$5:$AO$515,MATCH(LARGE('Calc (scoring engine)'!$I$5:$I$515,6),'Calc (scoring engine)'!$I$5:$I$515,0)))),""))</f>
        <v/>
      </c>
      <c r="W26" s="6">
        <f>IF(6&gt;MAX(3,MIN(15,N($B$16))),"",IFERROR(IF(INDEX(Database!$AR$5:$AR$515,MATCH(LARGE('Calc (scoring engine)'!$I$5:$I$515,6),'Calc (scoring engine)'!$I$5:$I$515,0))="","—",INDEX(Database!$AR$5:$AR$515,MATCH(LARGE('Calc (scoring engine)'!$I$5:$I$515,6),'Calc (scoring engine)'!$I$5:$I$515,0))),""))</f>
        <v/>
      </c>
      <c r="X26" s="6">
        <f>IF(6&gt;MAX(3,MIN(15,N($B$16))),"",IFERROR(IF(INDEX(Database!$T$5:$T$515,MATCH(LARGE('Calc (scoring engine)'!$I$5:$I$515,6),'Calc (scoring engine)'!$I$5:$I$515,0))="","—",INDEX(Database!$T$5:$T$515,MATCH(LARGE('Calc (scoring engine)'!$I$5:$I$515,6),'Calc (scoring engine)'!$I$5:$I$515,0))),""))</f>
        <v/>
      </c>
      <c r="Y26" s="23">
        <f>IF(6&gt;MAX(3,MIN(15,N($B$16))),"",IFERROR(IF(INDEX('Calc (scoring engine)'!$H$5:$H$515,MATCH(LARGE('Calc (scoring engine)'!$I$5:$I$515,6),'Calc (scoring engine)'!$I$5:$I$515,0))&gt;0,INDEX('Calc (scoring engine)'!$H$5:$H$515,MATCH(LARGE('Calc (scoring engine)'!$I$5:$I$515,6),'Calc (scoring engine)'!$I$5:$I$515,0)),""),""))</f>
        <v/>
      </c>
      <c r="Z26" s="6">
        <f>IF(6&gt;MAX(3,MIN(15,N($B$16))),"",IF(IFERROR(INDEX('Calc (scoring engine)'!$B$5:$B$515,MATCH(LARGE('Calc (scoring engine)'!$I$5:$I$515,6),'Calc (scoring engine)'!$I$5:$I$515,0)),0)=1,"same subsector","sector only"))</f>
        <v/>
      </c>
      <c r="AA26" s="23">
        <f>IF(6&gt;MAX(3,MIN(15,N($B$16))),"",ROUND(IFERROR(LARGE('Calc (scoring engine)'!$I$5:$I$515,6),0),0))</f>
        <v/>
      </c>
      <c r="AB26" s="6">
        <f>IF(6&gt;MAX(3,MIN(15,N($B$16))),"",IFERROR("sub "&amp;INDEX('Calc (scoring engine)'!$B$5:$B$515,MATCH(LARGE('Calc (scoring engine)'!$I$5:$I$515,6),'Calc (scoring engine)'!$I$5:$I$515,0))*W_SUB&amp;" + size "&amp;ROUND(INDEX('Calc (scoring engine)'!$D$5:$D$515,MATCH(LARGE('Calc (scoring engine)'!$I$5:$I$515,6),'Calc (scoring engine)'!$I$5:$I$515,0))*W_SIZE,0)&amp;" + prof "&amp;INDEX('Calc (scoring engine)'!$E$5:$E$515,MATCH(LARGE('Calc (scoring engine)'!$I$5:$I$515,6),'Calc (scoring engine)'!$I$5:$I$515,0))*W_PROF&amp;" + recency "&amp;ROUND(INDEX('Calc (scoring engine)'!$G$5:$G$515,MATCH(LARGE('Calc (scoring engine)'!$I$5:$I$515,6),'Calc (scoring engine)'!$I$5:$I$515,0))*W_REC,0)&amp;IF(INDEX('Calc (scoring engine)'!$H$5:$H$515,MATCH(LARGE('Calc (scoring engine)'!$I$5:$I$515,6),'Calc (scoring engine)'!$I$5:$I$515,0))&gt;0," + shared CS x"&amp;INDEX('Calc (scoring engine)'!$H$5:$H$515,MATCH(LARGE('Calc (scoring engine)'!$I$5:$I$515,6),'Calc (scoring engine)'!$I$5:$I$515,0)),""),""))</f>
        <v/>
      </c>
    </row>
    <row r="27">
      <c r="A27" s="20">
        <f>IF(7&gt;MAX(3,MIN(15,N($B$16))),"",7)</f>
        <v/>
      </c>
      <c r="B27" s="6">
        <f>IF(7&gt;MAX(3,MIN(15,N($B$16))),"",IFERROR(IF(INDEX(Database!$B$5:$B$515,MATCH(LARGE('Calc (scoring engine)'!$I$5:$I$515,7),'Calc (scoring engine)'!$I$5:$I$515,0))="","—",INDEX(Database!$B$5:$B$515,MATCH(LARGE('Calc (scoring engine)'!$I$5:$I$515,7),'Calc (scoring engine)'!$I$5:$I$515,0))),""))</f>
        <v/>
      </c>
      <c r="C27" s="6">
        <f>IF(7&gt;MAX(3,MIN(15,N($B$16))),"",IFERROR(IF(INDEX(Database!$E$5:$E$515,MATCH(LARGE('Calc (scoring engine)'!$I$5:$I$515,7),'Calc (scoring engine)'!$I$5:$I$515,0))="","—",INDEX(Database!$E$5:$E$515,MATCH(LARGE('Calc (scoring engine)'!$I$5:$I$515,7),'Calc (scoring engine)'!$I$5:$I$515,0))),""))</f>
        <v/>
      </c>
      <c r="D27" s="12">
        <f>IF(7&gt;MAX(3,MIN(15,N($B$16))),"",IFERROR(IF(INDEX(Database!$G$5:$G$515,MATCH(LARGE('Calc (scoring engine)'!$I$5:$I$515,7),'Calc (scoring engine)'!$I$5:$I$515,0))="","—",INDEX(Database!$G$5:$G$515,MATCH(LARGE('Calc (scoring engine)'!$I$5:$I$515,7),'Calc (scoring engine)'!$I$5:$I$515,0))),""))</f>
        <v/>
      </c>
      <c r="E27" s="9">
        <f>IF(7&gt;MAX(3,MIN(15,N($B$16))),"",IFERROR(IF(INDEX(Database!$H$5:$H$515,MATCH(LARGE('Calc (scoring engine)'!$I$5:$I$515,7),'Calc (scoring engine)'!$I$5:$I$515,0))="","—",INDEX(Database!$H$5:$H$515,MATCH(LARGE('Calc (scoring engine)'!$I$5:$I$515,7),'Calc (scoring engine)'!$I$5:$I$515,0))),""))</f>
        <v/>
      </c>
      <c r="F27" s="9">
        <f>IF(7&gt;MAX(3,MIN(15,N($B$16))),"",IFERROR(IF(INDEX(Database!$O$5:$O$515,MATCH(LARGE('Calc (scoring engine)'!$I$5:$I$515,7),'Calc (scoring engine)'!$I$5:$I$515,0))="","—",INDEX(Database!$O$5:$O$515,MATCH(LARGE('Calc (scoring engine)'!$I$5:$I$515,7),'Calc (scoring engine)'!$I$5:$I$515,0))),""))</f>
        <v/>
      </c>
      <c r="G27" s="21">
        <f>IF(7&gt;MAX(3,MIN(15,N($B$16))),"",IFERROR(IF(INDEX(Database!$AI$5:$AI$515,MATCH(LARGE('Calc (scoring engine)'!$I$5:$I$515,7),'Calc (scoring engine)'!$I$5:$I$515,0))="",IF(INDEX(Database!$AH$5:$AH$515,MATCH(LARGE('Calc (scoring engine)'!$I$5:$I$515,7),'Calc (scoring engine)'!$I$5:$I$515,0))="N","n/m","—"),INDEX(Database!$AI$5:$AI$515,MATCH(LARGE('Calc (scoring engine)'!$I$5:$I$515,7),'Calc (scoring engine)'!$I$5:$I$515,0))),""))</f>
        <v/>
      </c>
      <c r="H27" s="21">
        <f>IF(7&gt;MAX(3,MIN(15,N($B$16))),"",IFERROR(IF(INDEX(Database!$AJ$5:$AJ$515,MATCH(LARGE('Calc (scoring engine)'!$I$5:$I$515,7),'Calc (scoring engine)'!$I$5:$I$515,0))="","—",INDEX(Database!$AJ$5:$AJ$515,MATCH(LARGE('Calc (scoring engine)'!$I$5:$I$515,7),'Calc (scoring engine)'!$I$5:$I$515,0))),""))</f>
        <v/>
      </c>
      <c r="I27" s="14">
        <f>IF(7&gt;MAX(3,MIN(15,N($B$16))),"",IFERROR(IF(INDEX(Database!$Q$5:$Q$515,MATCH(LARGE('Calc (scoring engine)'!$I$5:$I$515,7),'Calc (scoring engine)'!$I$5:$I$515,0))="","—",INDEX(Database!$Q$5:$Q$515,MATCH(LARGE('Calc (scoring engine)'!$I$5:$I$515,7),'Calc (scoring engine)'!$I$5:$I$515,0))),""))</f>
        <v/>
      </c>
      <c r="J27" s="14">
        <f>IF(7&gt;MAX(3,MIN(15,N($B$16))),"",IFERROR(IF(INDEX(Database!$R$5:$R$515,MATCH(LARGE('Calc (scoring engine)'!$I$5:$I$515,7),'Calc (scoring engine)'!$I$5:$I$515,0))="","—",INDEX(Database!$R$5:$R$515,MATCH(LARGE('Calc (scoring engine)'!$I$5:$I$515,7),'Calc (scoring engine)'!$I$5:$I$515,0))),""))</f>
        <v/>
      </c>
      <c r="K27" s="15">
        <f>IF(7&gt;MAX(3,MIN(15,N($B$16))),"",IFERROR(IF(INDEX(Database!$S$5:$S$515,MATCH(LARGE('Calc (scoring engine)'!$I$5:$I$515,7),'Calc (scoring engine)'!$I$5:$I$515,0))="","—",INDEX(Database!$S$5:$S$515,MATCH(LARGE('Calc (scoring engine)'!$I$5:$I$515,7),'Calc (scoring engine)'!$I$5:$I$515,0))),""))</f>
        <v/>
      </c>
      <c r="L27" s="11">
        <f>IF(7&gt;MAX(3,MIN(15,N($B$16))),"",IFERROR(IF(INDEX(Database!$W$5:$W$515,MATCH(LARGE('Calc (scoring engine)'!$I$5:$I$515,7),'Calc (scoring engine)'!$I$5:$I$515,0))="","—",INDEX(Database!$W$5:$W$515,MATCH(LARGE('Calc (scoring engine)'!$I$5:$I$515,7),'Calc (scoring engine)'!$I$5:$I$515,0))),""))</f>
        <v/>
      </c>
      <c r="M27" s="11">
        <f>IF(7&gt;MAX(3,MIN(15,N($B$16))),"",IFERROR(IF(INDEX(Database!$X$5:$X$515,MATCH(LARGE('Calc (scoring engine)'!$I$5:$I$515,7),'Calc (scoring engine)'!$I$5:$I$515,0))="","—",INDEX(Database!$X$5:$X$515,MATCH(LARGE('Calc (scoring engine)'!$I$5:$I$515,7),'Calc (scoring engine)'!$I$5:$I$515,0))),""))</f>
        <v/>
      </c>
      <c r="N27" s="11">
        <f>IF(7&gt;MAX(3,MIN(15,N($B$16))),"",IFERROR(IF(INDEX(Database!$Y$5:$Y$515,MATCH(LARGE('Calc (scoring engine)'!$I$5:$I$515,7),'Calc (scoring engine)'!$I$5:$I$515,0))="","—",INDEX(Database!$Y$5:$Y$515,MATCH(LARGE('Calc (scoring engine)'!$I$5:$I$515,7),'Calc (scoring engine)'!$I$5:$I$515,0))),""))</f>
        <v/>
      </c>
      <c r="O27" s="11">
        <f>IF(7&gt;MAX(3,MIN(15,N($B$16))),"",IFERROR(IF(INDEX(Database!$Z$5:$Z$515,MATCH(LARGE('Calc (scoring engine)'!$I$5:$I$515,7),'Calc (scoring engine)'!$I$5:$I$515,0))="","—",INDEX(Database!$Z$5:$Z$515,MATCH(LARGE('Calc (scoring engine)'!$I$5:$I$515,7),'Calc (scoring engine)'!$I$5:$I$515,0))),""))</f>
        <v/>
      </c>
      <c r="P27" s="11">
        <f>IF(7&gt;MAX(3,MIN(15,N($B$16))),"",IFERROR(IF(INDEX(Database!$AA$5:$AA$515,MATCH(LARGE('Calc (scoring engine)'!$I$5:$I$515,7),'Calc (scoring engine)'!$I$5:$I$515,0))="","—",INDEX(Database!$AA$5:$AA$515,MATCH(LARGE('Calc (scoring engine)'!$I$5:$I$515,7),'Calc (scoring engine)'!$I$5:$I$515,0))),""))</f>
        <v/>
      </c>
      <c r="Q27" s="11">
        <f>IF(7&gt;MAX(3,MIN(15,N($B$16))),"",IFERROR(IF(INDEX(Database!$AB$5:$AB$515,MATCH(LARGE('Calc (scoring engine)'!$I$5:$I$515,7),'Calc (scoring engine)'!$I$5:$I$515,0))="","—",INDEX(Database!$AB$5:$AB$515,MATCH(LARGE('Calc (scoring engine)'!$I$5:$I$515,7),'Calc (scoring engine)'!$I$5:$I$515,0))),""))</f>
        <v/>
      </c>
      <c r="R27" s="11">
        <f>IF(7&gt;MAX(3,MIN(15,N($B$16))),"",IFERROR(IF(INDEX(Database!$AE$5:$AE$515,MATCH(LARGE('Calc (scoring engine)'!$I$5:$I$515,7),'Calc (scoring engine)'!$I$5:$I$515,0))="","—",INDEX(Database!$AE$5:$AE$515,MATCH(LARGE('Calc (scoring engine)'!$I$5:$I$515,7),'Calc (scoring engine)'!$I$5:$I$515,0))),""))</f>
        <v/>
      </c>
      <c r="S27" s="6">
        <f>IF(7&gt;MAX(3,MIN(15,N($B$16))),"",IFERROR(IF(INDEX(Database!$V$5:$V$515,MATCH(LARGE('Calc (scoring engine)'!$I$5:$I$515,7),'Calc (scoring engine)'!$I$5:$I$515,0))="","—",INDEX(Database!$V$5:$V$515,MATCH(LARGE('Calc (scoring engine)'!$I$5:$I$515,7),'Calc (scoring engine)'!$I$5:$I$515,0))),""))</f>
        <v/>
      </c>
      <c r="T27" s="6">
        <f>IF(7&gt;MAX(3,MIN(15,N($B$16))),"",IFERROR(IF(INDEX(Database!$AK$5:$AK$515,MATCH(LARGE('Calc (scoring engine)'!$I$5:$I$515,7),'Calc (scoring engine)'!$I$5:$I$515,0))="","—",INDEX(Database!$AK$5:$AK$515,MATCH(LARGE('Calc (scoring engine)'!$I$5:$I$515,7),'Calc (scoring engine)'!$I$5:$I$515,0))),""))</f>
        <v/>
      </c>
      <c r="U27" s="11">
        <f>IF(7&gt;MAX(3,MIN(15,N($B$16))),"",IFERROR(IF(INDEX(Database!$AL$5:$AL$515,MATCH(LARGE('Calc (scoring engine)'!$I$5:$I$515,7),'Calc (scoring engine)'!$I$5:$I$515,0))="","N/A",IF(INDEX(Database!$AM$5:$AM$515,MATCH(LARGE('Calc (scoring engine)'!$I$5:$I$515,7),'Calc (scoring engine)'!$I$5:$I$515,0))="","—",INDEX(Database!$AM$5:$AM$515,MATCH(LARGE('Calc (scoring engine)'!$I$5:$I$515,7),'Calc (scoring engine)'!$I$5:$I$515,0)))),""))</f>
        <v/>
      </c>
      <c r="V27" s="22">
        <f>IF(7&gt;MAX(3,MIN(15,N($B$16))),"",IFERROR(IF(INDEX(Database!$AL$5:$AL$515,MATCH(LARGE('Calc (scoring engine)'!$I$5:$I$515,7),'Calc (scoring engine)'!$I$5:$I$515,0))="","N/A",IF(INDEX(Database!$AO$5:$AO$515,MATCH(LARGE('Calc (scoring engine)'!$I$5:$I$515,7),'Calc (scoring engine)'!$I$5:$I$515,0))="","—",INDEX(Database!$AO$5:$AO$515,MATCH(LARGE('Calc (scoring engine)'!$I$5:$I$515,7),'Calc (scoring engine)'!$I$5:$I$515,0)))),""))</f>
        <v/>
      </c>
      <c r="W27" s="6">
        <f>IF(7&gt;MAX(3,MIN(15,N($B$16))),"",IFERROR(IF(INDEX(Database!$AR$5:$AR$515,MATCH(LARGE('Calc (scoring engine)'!$I$5:$I$515,7),'Calc (scoring engine)'!$I$5:$I$515,0))="","—",INDEX(Database!$AR$5:$AR$515,MATCH(LARGE('Calc (scoring engine)'!$I$5:$I$515,7),'Calc (scoring engine)'!$I$5:$I$515,0))),""))</f>
        <v/>
      </c>
      <c r="X27" s="6">
        <f>IF(7&gt;MAX(3,MIN(15,N($B$16))),"",IFERROR(IF(INDEX(Database!$T$5:$T$515,MATCH(LARGE('Calc (scoring engine)'!$I$5:$I$515,7),'Calc (scoring engine)'!$I$5:$I$515,0))="","—",INDEX(Database!$T$5:$T$515,MATCH(LARGE('Calc (scoring engine)'!$I$5:$I$515,7),'Calc (scoring engine)'!$I$5:$I$515,0))),""))</f>
        <v/>
      </c>
      <c r="Y27" s="23">
        <f>IF(7&gt;MAX(3,MIN(15,N($B$16))),"",IFERROR(IF(INDEX('Calc (scoring engine)'!$H$5:$H$515,MATCH(LARGE('Calc (scoring engine)'!$I$5:$I$515,7),'Calc (scoring engine)'!$I$5:$I$515,0))&gt;0,INDEX('Calc (scoring engine)'!$H$5:$H$515,MATCH(LARGE('Calc (scoring engine)'!$I$5:$I$515,7),'Calc (scoring engine)'!$I$5:$I$515,0)),""),""))</f>
        <v/>
      </c>
      <c r="Z27" s="6">
        <f>IF(7&gt;MAX(3,MIN(15,N($B$16))),"",IF(IFERROR(INDEX('Calc (scoring engine)'!$B$5:$B$515,MATCH(LARGE('Calc (scoring engine)'!$I$5:$I$515,7),'Calc (scoring engine)'!$I$5:$I$515,0)),0)=1,"same subsector","sector only"))</f>
        <v/>
      </c>
      <c r="AA27" s="23">
        <f>IF(7&gt;MAX(3,MIN(15,N($B$16))),"",ROUND(IFERROR(LARGE('Calc (scoring engine)'!$I$5:$I$515,7),0),0))</f>
        <v/>
      </c>
      <c r="AB27" s="6">
        <f>IF(7&gt;MAX(3,MIN(15,N($B$16))),"",IFERROR("sub "&amp;INDEX('Calc (scoring engine)'!$B$5:$B$515,MATCH(LARGE('Calc (scoring engine)'!$I$5:$I$515,7),'Calc (scoring engine)'!$I$5:$I$515,0))*W_SUB&amp;" + size "&amp;ROUND(INDEX('Calc (scoring engine)'!$D$5:$D$515,MATCH(LARGE('Calc (scoring engine)'!$I$5:$I$515,7),'Calc (scoring engine)'!$I$5:$I$515,0))*W_SIZE,0)&amp;" + prof "&amp;INDEX('Calc (scoring engine)'!$E$5:$E$515,MATCH(LARGE('Calc (scoring engine)'!$I$5:$I$515,7),'Calc (scoring engine)'!$I$5:$I$515,0))*W_PROF&amp;" + recency "&amp;ROUND(INDEX('Calc (scoring engine)'!$G$5:$G$515,MATCH(LARGE('Calc (scoring engine)'!$I$5:$I$515,7),'Calc (scoring engine)'!$I$5:$I$515,0))*W_REC,0)&amp;IF(INDEX('Calc (scoring engine)'!$H$5:$H$515,MATCH(LARGE('Calc (scoring engine)'!$I$5:$I$515,7),'Calc (scoring engine)'!$I$5:$I$515,0))&gt;0," + shared CS x"&amp;INDEX('Calc (scoring engine)'!$H$5:$H$515,MATCH(LARGE('Calc (scoring engine)'!$I$5:$I$515,7),'Calc (scoring engine)'!$I$5:$I$515,0)),""),""))</f>
        <v/>
      </c>
    </row>
    <row r="28">
      <c r="A28" s="20">
        <f>IF(8&gt;MAX(3,MIN(15,N($B$16))),"",8)</f>
        <v/>
      </c>
      <c r="B28" s="6">
        <f>IF(8&gt;MAX(3,MIN(15,N($B$16))),"",IFERROR(IF(INDEX(Database!$B$5:$B$515,MATCH(LARGE('Calc (scoring engine)'!$I$5:$I$515,8),'Calc (scoring engine)'!$I$5:$I$515,0))="","—",INDEX(Database!$B$5:$B$515,MATCH(LARGE('Calc (scoring engine)'!$I$5:$I$515,8),'Calc (scoring engine)'!$I$5:$I$515,0))),""))</f>
        <v/>
      </c>
      <c r="C28" s="6">
        <f>IF(8&gt;MAX(3,MIN(15,N($B$16))),"",IFERROR(IF(INDEX(Database!$E$5:$E$515,MATCH(LARGE('Calc (scoring engine)'!$I$5:$I$515,8),'Calc (scoring engine)'!$I$5:$I$515,0))="","—",INDEX(Database!$E$5:$E$515,MATCH(LARGE('Calc (scoring engine)'!$I$5:$I$515,8),'Calc (scoring engine)'!$I$5:$I$515,0))),""))</f>
        <v/>
      </c>
      <c r="D28" s="12">
        <f>IF(8&gt;MAX(3,MIN(15,N($B$16))),"",IFERROR(IF(INDEX(Database!$G$5:$G$515,MATCH(LARGE('Calc (scoring engine)'!$I$5:$I$515,8),'Calc (scoring engine)'!$I$5:$I$515,0))="","—",INDEX(Database!$G$5:$G$515,MATCH(LARGE('Calc (scoring engine)'!$I$5:$I$515,8),'Calc (scoring engine)'!$I$5:$I$515,0))),""))</f>
        <v/>
      </c>
      <c r="E28" s="9">
        <f>IF(8&gt;MAX(3,MIN(15,N($B$16))),"",IFERROR(IF(INDEX(Database!$H$5:$H$515,MATCH(LARGE('Calc (scoring engine)'!$I$5:$I$515,8),'Calc (scoring engine)'!$I$5:$I$515,0))="","—",INDEX(Database!$H$5:$H$515,MATCH(LARGE('Calc (scoring engine)'!$I$5:$I$515,8),'Calc (scoring engine)'!$I$5:$I$515,0))),""))</f>
        <v/>
      </c>
      <c r="F28" s="9">
        <f>IF(8&gt;MAX(3,MIN(15,N($B$16))),"",IFERROR(IF(INDEX(Database!$O$5:$O$515,MATCH(LARGE('Calc (scoring engine)'!$I$5:$I$515,8),'Calc (scoring engine)'!$I$5:$I$515,0))="","—",INDEX(Database!$O$5:$O$515,MATCH(LARGE('Calc (scoring engine)'!$I$5:$I$515,8),'Calc (scoring engine)'!$I$5:$I$515,0))),""))</f>
        <v/>
      </c>
      <c r="G28" s="21">
        <f>IF(8&gt;MAX(3,MIN(15,N($B$16))),"",IFERROR(IF(INDEX(Database!$AI$5:$AI$515,MATCH(LARGE('Calc (scoring engine)'!$I$5:$I$515,8),'Calc (scoring engine)'!$I$5:$I$515,0))="",IF(INDEX(Database!$AH$5:$AH$515,MATCH(LARGE('Calc (scoring engine)'!$I$5:$I$515,8),'Calc (scoring engine)'!$I$5:$I$515,0))="N","n/m","—"),INDEX(Database!$AI$5:$AI$515,MATCH(LARGE('Calc (scoring engine)'!$I$5:$I$515,8),'Calc (scoring engine)'!$I$5:$I$515,0))),""))</f>
        <v/>
      </c>
      <c r="H28" s="21">
        <f>IF(8&gt;MAX(3,MIN(15,N($B$16))),"",IFERROR(IF(INDEX(Database!$AJ$5:$AJ$515,MATCH(LARGE('Calc (scoring engine)'!$I$5:$I$515,8),'Calc (scoring engine)'!$I$5:$I$515,0))="","—",INDEX(Database!$AJ$5:$AJ$515,MATCH(LARGE('Calc (scoring engine)'!$I$5:$I$515,8),'Calc (scoring engine)'!$I$5:$I$515,0))),""))</f>
        <v/>
      </c>
      <c r="I28" s="14">
        <f>IF(8&gt;MAX(3,MIN(15,N($B$16))),"",IFERROR(IF(INDEX(Database!$Q$5:$Q$515,MATCH(LARGE('Calc (scoring engine)'!$I$5:$I$515,8),'Calc (scoring engine)'!$I$5:$I$515,0))="","—",INDEX(Database!$Q$5:$Q$515,MATCH(LARGE('Calc (scoring engine)'!$I$5:$I$515,8),'Calc (scoring engine)'!$I$5:$I$515,0))),""))</f>
        <v/>
      </c>
      <c r="J28" s="14">
        <f>IF(8&gt;MAX(3,MIN(15,N($B$16))),"",IFERROR(IF(INDEX(Database!$R$5:$R$515,MATCH(LARGE('Calc (scoring engine)'!$I$5:$I$515,8),'Calc (scoring engine)'!$I$5:$I$515,0))="","—",INDEX(Database!$R$5:$R$515,MATCH(LARGE('Calc (scoring engine)'!$I$5:$I$515,8),'Calc (scoring engine)'!$I$5:$I$515,0))),""))</f>
        <v/>
      </c>
      <c r="K28" s="15">
        <f>IF(8&gt;MAX(3,MIN(15,N($B$16))),"",IFERROR(IF(INDEX(Database!$S$5:$S$515,MATCH(LARGE('Calc (scoring engine)'!$I$5:$I$515,8),'Calc (scoring engine)'!$I$5:$I$515,0))="","—",INDEX(Database!$S$5:$S$515,MATCH(LARGE('Calc (scoring engine)'!$I$5:$I$515,8),'Calc (scoring engine)'!$I$5:$I$515,0))),""))</f>
        <v/>
      </c>
      <c r="L28" s="11">
        <f>IF(8&gt;MAX(3,MIN(15,N($B$16))),"",IFERROR(IF(INDEX(Database!$W$5:$W$515,MATCH(LARGE('Calc (scoring engine)'!$I$5:$I$515,8),'Calc (scoring engine)'!$I$5:$I$515,0))="","—",INDEX(Database!$W$5:$W$515,MATCH(LARGE('Calc (scoring engine)'!$I$5:$I$515,8),'Calc (scoring engine)'!$I$5:$I$515,0))),""))</f>
        <v/>
      </c>
      <c r="M28" s="11">
        <f>IF(8&gt;MAX(3,MIN(15,N($B$16))),"",IFERROR(IF(INDEX(Database!$X$5:$X$515,MATCH(LARGE('Calc (scoring engine)'!$I$5:$I$515,8),'Calc (scoring engine)'!$I$5:$I$515,0))="","—",INDEX(Database!$X$5:$X$515,MATCH(LARGE('Calc (scoring engine)'!$I$5:$I$515,8),'Calc (scoring engine)'!$I$5:$I$515,0))),""))</f>
        <v/>
      </c>
      <c r="N28" s="11">
        <f>IF(8&gt;MAX(3,MIN(15,N($B$16))),"",IFERROR(IF(INDEX(Database!$Y$5:$Y$515,MATCH(LARGE('Calc (scoring engine)'!$I$5:$I$515,8),'Calc (scoring engine)'!$I$5:$I$515,0))="","—",INDEX(Database!$Y$5:$Y$515,MATCH(LARGE('Calc (scoring engine)'!$I$5:$I$515,8),'Calc (scoring engine)'!$I$5:$I$515,0))),""))</f>
        <v/>
      </c>
      <c r="O28" s="11">
        <f>IF(8&gt;MAX(3,MIN(15,N($B$16))),"",IFERROR(IF(INDEX(Database!$Z$5:$Z$515,MATCH(LARGE('Calc (scoring engine)'!$I$5:$I$515,8),'Calc (scoring engine)'!$I$5:$I$515,0))="","—",INDEX(Database!$Z$5:$Z$515,MATCH(LARGE('Calc (scoring engine)'!$I$5:$I$515,8),'Calc (scoring engine)'!$I$5:$I$515,0))),""))</f>
        <v/>
      </c>
      <c r="P28" s="11">
        <f>IF(8&gt;MAX(3,MIN(15,N($B$16))),"",IFERROR(IF(INDEX(Database!$AA$5:$AA$515,MATCH(LARGE('Calc (scoring engine)'!$I$5:$I$515,8),'Calc (scoring engine)'!$I$5:$I$515,0))="","—",INDEX(Database!$AA$5:$AA$515,MATCH(LARGE('Calc (scoring engine)'!$I$5:$I$515,8),'Calc (scoring engine)'!$I$5:$I$515,0))),""))</f>
        <v/>
      </c>
      <c r="Q28" s="11">
        <f>IF(8&gt;MAX(3,MIN(15,N($B$16))),"",IFERROR(IF(INDEX(Database!$AB$5:$AB$515,MATCH(LARGE('Calc (scoring engine)'!$I$5:$I$515,8),'Calc (scoring engine)'!$I$5:$I$515,0))="","—",INDEX(Database!$AB$5:$AB$515,MATCH(LARGE('Calc (scoring engine)'!$I$5:$I$515,8),'Calc (scoring engine)'!$I$5:$I$515,0))),""))</f>
        <v/>
      </c>
      <c r="R28" s="11">
        <f>IF(8&gt;MAX(3,MIN(15,N($B$16))),"",IFERROR(IF(INDEX(Database!$AE$5:$AE$515,MATCH(LARGE('Calc (scoring engine)'!$I$5:$I$515,8),'Calc (scoring engine)'!$I$5:$I$515,0))="","—",INDEX(Database!$AE$5:$AE$515,MATCH(LARGE('Calc (scoring engine)'!$I$5:$I$515,8),'Calc (scoring engine)'!$I$5:$I$515,0))),""))</f>
        <v/>
      </c>
      <c r="S28" s="6">
        <f>IF(8&gt;MAX(3,MIN(15,N($B$16))),"",IFERROR(IF(INDEX(Database!$V$5:$V$515,MATCH(LARGE('Calc (scoring engine)'!$I$5:$I$515,8),'Calc (scoring engine)'!$I$5:$I$515,0))="","—",INDEX(Database!$V$5:$V$515,MATCH(LARGE('Calc (scoring engine)'!$I$5:$I$515,8),'Calc (scoring engine)'!$I$5:$I$515,0))),""))</f>
        <v/>
      </c>
      <c r="T28" s="6">
        <f>IF(8&gt;MAX(3,MIN(15,N($B$16))),"",IFERROR(IF(INDEX(Database!$AK$5:$AK$515,MATCH(LARGE('Calc (scoring engine)'!$I$5:$I$515,8),'Calc (scoring engine)'!$I$5:$I$515,0))="","—",INDEX(Database!$AK$5:$AK$515,MATCH(LARGE('Calc (scoring engine)'!$I$5:$I$515,8),'Calc (scoring engine)'!$I$5:$I$515,0))),""))</f>
        <v/>
      </c>
      <c r="U28" s="11">
        <f>IF(8&gt;MAX(3,MIN(15,N($B$16))),"",IFERROR(IF(INDEX(Database!$AL$5:$AL$515,MATCH(LARGE('Calc (scoring engine)'!$I$5:$I$515,8),'Calc (scoring engine)'!$I$5:$I$515,0))="","N/A",IF(INDEX(Database!$AM$5:$AM$515,MATCH(LARGE('Calc (scoring engine)'!$I$5:$I$515,8),'Calc (scoring engine)'!$I$5:$I$515,0))="","—",INDEX(Database!$AM$5:$AM$515,MATCH(LARGE('Calc (scoring engine)'!$I$5:$I$515,8),'Calc (scoring engine)'!$I$5:$I$515,0)))),""))</f>
        <v/>
      </c>
      <c r="V28" s="22">
        <f>IF(8&gt;MAX(3,MIN(15,N($B$16))),"",IFERROR(IF(INDEX(Database!$AL$5:$AL$515,MATCH(LARGE('Calc (scoring engine)'!$I$5:$I$515,8),'Calc (scoring engine)'!$I$5:$I$515,0))="","N/A",IF(INDEX(Database!$AO$5:$AO$515,MATCH(LARGE('Calc (scoring engine)'!$I$5:$I$515,8),'Calc (scoring engine)'!$I$5:$I$515,0))="","—",INDEX(Database!$AO$5:$AO$515,MATCH(LARGE('Calc (scoring engine)'!$I$5:$I$515,8),'Calc (scoring engine)'!$I$5:$I$515,0)))),""))</f>
        <v/>
      </c>
      <c r="W28" s="6">
        <f>IF(8&gt;MAX(3,MIN(15,N($B$16))),"",IFERROR(IF(INDEX(Database!$AR$5:$AR$515,MATCH(LARGE('Calc (scoring engine)'!$I$5:$I$515,8),'Calc (scoring engine)'!$I$5:$I$515,0))="","—",INDEX(Database!$AR$5:$AR$515,MATCH(LARGE('Calc (scoring engine)'!$I$5:$I$515,8),'Calc (scoring engine)'!$I$5:$I$515,0))),""))</f>
        <v/>
      </c>
      <c r="X28" s="6">
        <f>IF(8&gt;MAX(3,MIN(15,N($B$16))),"",IFERROR(IF(INDEX(Database!$T$5:$T$515,MATCH(LARGE('Calc (scoring engine)'!$I$5:$I$515,8),'Calc (scoring engine)'!$I$5:$I$515,0))="","—",INDEX(Database!$T$5:$T$515,MATCH(LARGE('Calc (scoring engine)'!$I$5:$I$515,8),'Calc (scoring engine)'!$I$5:$I$515,0))),""))</f>
        <v/>
      </c>
      <c r="Y28" s="23">
        <f>IF(8&gt;MAX(3,MIN(15,N($B$16))),"",IFERROR(IF(INDEX('Calc (scoring engine)'!$H$5:$H$515,MATCH(LARGE('Calc (scoring engine)'!$I$5:$I$515,8),'Calc (scoring engine)'!$I$5:$I$515,0))&gt;0,INDEX('Calc (scoring engine)'!$H$5:$H$515,MATCH(LARGE('Calc (scoring engine)'!$I$5:$I$515,8),'Calc (scoring engine)'!$I$5:$I$515,0)),""),""))</f>
        <v/>
      </c>
      <c r="Z28" s="6">
        <f>IF(8&gt;MAX(3,MIN(15,N($B$16))),"",IF(IFERROR(INDEX('Calc (scoring engine)'!$B$5:$B$515,MATCH(LARGE('Calc (scoring engine)'!$I$5:$I$515,8),'Calc (scoring engine)'!$I$5:$I$515,0)),0)=1,"same subsector","sector only"))</f>
        <v/>
      </c>
      <c r="AA28" s="23">
        <f>IF(8&gt;MAX(3,MIN(15,N($B$16))),"",ROUND(IFERROR(LARGE('Calc (scoring engine)'!$I$5:$I$515,8),0),0))</f>
        <v/>
      </c>
      <c r="AB28" s="6">
        <f>IF(8&gt;MAX(3,MIN(15,N($B$16))),"",IFERROR("sub "&amp;INDEX('Calc (scoring engine)'!$B$5:$B$515,MATCH(LARGE('Calc (scoring engine)'!$I$5:$I$515,8),'Calc (scoring engine)'!$I$5:$I$515,0))*W_SUB&amp;" + size "&amp;ROUND(INDEX('Calc (scoring engine)'!$D$5:$D$515,MATCH(LARGE('Calc (scoring engine)'!$I$5:$I$515,8),'Calc (scoring engine)'!$I$5:$I$515,0))*W_SIZE,0)&amp;" + prof "&amp;INDEX('Calc (scoring engine)'!$E$5:$E$515,MATCH(LARGE('Calc (scoring engine)'!$I$5:$I$515,8),'Calc (scoring engine)'!$I$5:$I$515,0))*W_PROF&amp;" + recency "&amp;ROUND(INDEX('Calc (scoring engine)'!$G$5:$G$515,MATCH(LARGE('Calc (scoring engine)'!$I$5:$I$515,8),'Calc (scoring engine)'!$I$5:$I$515,0))*W_REC,0)&amp;IF(INDEX('Calc (scoring engine)'!$H$5:$H$515,MATCH(LARGE('Calc (scoring engine)'!$I$5:$I$515,8),'Calc (scoring engine)'!$I$5:$I$515,0))&gt;0," + shared CS x"&amp;INDEX('Calc (scoring engine)'!$H$5:$H$515,MATCH(LARGE('Calc (scoring engine)'!$I$5:$I$515,8),'Calc (scoring engine)'!$I$5:$I$515,0)),""),""))</f>
        <v/>
      </c>
    </row>
    <row r="29">
      <c r="A29" s="20">
        <f>IF(9&gt;MAX(3,MIN(15,N($B$16))),"",9)</f>
        <v/>
      </c>
      <c r="B29" s="6">
        <f>IF(9&gt;MAX(3,MIN(15,N($B$16))),"",IFERROR(IF(INDEX(Database!$B$5:$B$515,MATCH(LARGE('Calc (scoring engine)'!$I$5:$I$515,9),'Calc (scoring engine)'!$I$5:$I$515,0))="","—",INDEX(Database!$B$5:$B$515,MATCH(LARGE('Calc (scoring engine)'!$I$5:$I$515,9),'Calc (scoring engine)'!$I$5:$I$515,0))),""))</f>
        <v/>
      </c>
      <c r="C29" s="6">
        <f>IF(9&gt;MAX(3,MIN(15,N($B$16))),"",IFERROR(IF(INDEX(Database!$E$5:$E$515,MATCH(LARGE('Calc (scoring engine)'!$I$5:$I$515,9),'Calc (scoring engine)'!$I$5:$I$515,0))="","—",INDEX(Database!$E$5:$E$515,MATCH(LARGE('Calc (scoring engine)'!$I$5:$I$515,9),'Calc (scoring engine)'!$I$5:$I$515,0))),""))</f>
        <v/>
      </c>
      <c r="D29" s="12">
        <f>IF(9&gt;MAX(3,MIN(15,N($B$16))),"",IFERROR(IF(INDEX(Database!$G$5:$G$515,MATCH(LARGE('Calc (scoring engine)'!$I$5:$I$515,9),'Calc (scoring engine)'!$I$5:$I$515,0))="","—",INDEX(Database!$G$5:$G$515,MATCH(LARGE('Calc (scoring engine)'!$I$5:$I$515,9),'Calc (scoring engine)'!$I$5:$I$515,0))),""))</f>
        <v/>
      </c>
      <c r="E29" s="9">
        <f>IF(9&gt;MAX(3,MIN(15,N($B$16))),"",IFERROR(IF(INDEX(Database!$H$5:$H$515,MATCH(LARGE('Calc (scoring engine)'!$I$5:$I$515,9),'Calc (scoring engine)'!$I$5:$I$515,0))="","—",INDEX(Database!$H$5:$H$515,MATCH(LARGE('Calc (scoring engine)'!$I$5:$I$515,9),'Calc (scoring engine)'!$I$5:$I$515,0))),""))</f>
        <v/>
      </c>
      <c r="F29" s="9">
        <f>IF(9&gt;MAX(3,MIN(15,N($B$16))),"",IFERROR(IF(INDEX(Database!$O$5:$O$515,MATCH(LARGE('Calc (scoring engine)'!$I$5:$I$515,9),'Calc (scoring engine)'!$I$5:$I$515,0))="","—",INDEX(Database!$O$5:$O$515,MATCH(LARGE('Calc (scoring engine)'!$I$5:$I$515,9),'Calc (scoring engine)'!$I$5:$I$515,0))),""))</f>
        <v/>
      </c>
      <c r="G29" s="21">
        <f>IF(9&gt;MAX(3,MIN(15,N($B$16))),"",IFERROR(IF(INDEX(Database!$AI$5:$AI$515,MATCH(LARGE('Calc (scoring engine)'!$I$5:$I$515,9),'Calc (scoring engine)'!$I$5:$I$515,0))="",IF(INDEX(Database!$AH$5:$AH$515,MATCH(LARGE('Calc (scoring engine)'!$I$5:$I$515,9),'Calc (scoring engine)'!$I$5:$I$515,0))="N","n/m","—"),INDEX(Database!$AI$5:$AI$515,MATCH(LARGE('Calc (scoring engine)'!$I$5:$I$515,9),'Calc (scoring engine)'!$I$5:$I$515,0))),""))</f>
        <v/>
      </c>
      <c r="H29" s="21">
        <f>IF(9&gt;MAX(3,MIN(15,N($B$16))),"",IFERROR(IF(INDEX(Database!$AJ$5:$AJ$515,MATCH(LARGE('Calc (scoring engine)'!$I$5:$I$515,9),'Calc (scoring engine)'!$I$5:$I$515,0))="","—",INDEX(Database!$AJ$5:$AJ$515,MATCH(LARGE('Calc (scoring engine)'!$I$5:$I$515,9),'Calc (scoring engine)'!$I$5:$I$515,0))),""))</f>
        <v/>
      </c>
      <c r="I29" s="14">
        <f>IF(9&gt;MAX(3,MIN(15,N($B$16))),"",IFERROR(IF(INDEX(Database!$Q$5:$Q$515,MATCH(LARGE('Calc (scoring engine)'!$I$5:$I$515,9),'Calc (scoring engine)'!$I$5:$I$515,0))="","—",INDEX(Database!$Q$5:$Q$515,MATCH(LARGE('Calc (scoring engine)'!$I$5:$I$515,9),'Calc (scoring engine)'!$I$5:$I$515,0))),""))</f>
        <v/>
      </c>
      <c r="J29" s="14">
        <f>IF(9&gt;MAX(3,MIN(15,N($B$16))),"",IFERROR(IF(INDEX(Database!$R$5:$R$515,MATCH(LARGE('Calc (scoring engine)'!$I$5:$I$515,9),'Calc (scoring engine)'!$I$5:$I$515,0))="","—",INDEX(Database!$R$5:$R$515,MATCH(LARGE('Calc (scoring engine)'!$I$5:$I$515,9),'Calc (scoring engine)'!$I$5:$I$515,0))),""))</f>
        <v/>
      </c>
      <c r="K29" s="15">
        <f>IF(9&gt;MAX(3,MIN(15,N($B$16))),"",IFERROR(IF(INDEX(Database!$S$5:$S$515,MATCH(LARGE('Calc (scoring engine)'!$I$5:$I$515,9),'Calc (scoring engine)'!$I$5:$I$515,0))="","—",INDEX(Database!$S$5:$S$515,MATCH(LARGE('Calc (scoring engine)'!$I$5:$I$515,9),'Calc (scoring engine)'!$I$5:$I$515,0))),""))</f>
        <v/>
      </c>
      <c r="L29" s="11">
        <f>IF(9&gt;MAX(3,MIN(15,N($B$16))),"",IFERROR(IF(INDEX(Database!$W$5:$W$515,MATCH(LARGE('Calc (scoring engine)'!$I$5:$I$515,9),'Calc (scoring engine)'!$I$5:$I$515,0))="","—",INDEX(Database!$W$5:$W$515,MATCH(LARGE('Calc (scoring engine)'!$I$5:$I$515,9),'Calc (scoring engine)'!$I$5:$I$515,0))),""))</f>
        <v/>
      </c>
      <c r="M29" s="11">
        <f>IF(9&gt;MAX(3,MIN(15,N($B$16))),"",IFERROR(IF(INDEX(Database!$X$5:$X$515,MATCH(LARGE('Calc (scoring engine)'!$I$5:$I$515,9),'Calc (scoring engine)'!$I$5:$I$515,0))="","—",INDEX(Database!$X$5:$X$515,MATCH(LARGE('Calc (scoring engine)'!$I$5:$I$515,9),'Calc (scoring engine)'!$I$5:$I$515,0))),""))</f>
        <v/>
      </c>
      <c r="N29" s="11">
        <f>IF(9&gt;MAX(3,MIN(15,N($B$16))),"",IFERROR(IF(INDEX(Database!$Y$5:$Y$515,MATCH(LARGE('Calc (scoring engine)'!$I$5:$I$515,9),'Calc (scoring engine)'!$I$5:$I$515,0))="","—",INDEX(Database!$Y$5:$Y$515,MATCH(LARGE('Calc (scoring engine)'!$I$5:$I$515,9),'Calc (scoring engine)'!$I$5:$I$515,0))),""))</f>
        <v/>
      </c>
      <c r="O29" s="11">
        <f>IF(9&gt;MAX(3,MIN(15,N($B$16))),"",IFERROR(IF(INDEX(Database!$Z$5:$Z$515,MATCH(LARGE('Calc (scoring engine)'!$I$5:$I$515,9),'Calc (scoring engine)'!$I$5:$I$515,0))="","—",INDEX(Database!$Z$5:$Z$515,MATCH(LARGE('Calc (scoring engine)'!$I$5:$I$515,9),'Calc (scoring engine)'!$I$5:$I$515,0))),""))</f>
        <v/>
      </c>
      <c r="P29" s="11">
        <f>IF(9&gt;MAX(3,MIN(15,N($B$16))),"",IFERROR(IF(INDEX(Database!$AA$5:$AA$515,MATCH(LARGE('Calc (scoring engine)'!$I$5:$I$515,9),'Calc (scoring engine)'!$I$5:$I$515,0))="","—",INDEX(Database!$AA$5:$AA$515,MATCH(LARGE('Calc (scoring engine)'!$I$5:$I$515,9),'Calc (scoring engine)'!$I$5:$I$515,0))),""))</f>
        <v/>
      </c>
      <c r="Q29" s="11">
        <f>IF(9&gt;MAX(3,MIN(15,N($B$16))),"",IFERROR(IF(INDEX(Database!$AB$5:$AB$515,MATCH(LARGE('Calc (scoring engine)'!$I$5:$I$515,9),'Calc (scoring engine)'!$I$5:$I$515,0))="","—",INDEX(Database!$AB$5:$AB$515,MATCH(LARGE('Calc (scoring engine)'!$I$5:$I$515,9),'Calc (scoring engine)'!$I$5:$I$515,0))),""))</f>
        <v/>
      </c>
      <c r="R29" s="11">
        <f>IF(9&gt;MAX(3,MIN(15,N($B$16))),"",IFERROR(IF(INDEX(Database!$AE$5:$AE$515,MATCH(LARGE('Calc (scoring engine)'!$I$5:$I$515,9),'Calc (scoring engine)'!$I$5:$I$515,0))="","—",INDEX(Database!$AE$5:$AE$515,MATCH(LARGE('Calc (scoring engine)'!$I$5:$I$515,9),'Calc (scoring engine)'!$I$5:$I$515,0))),""))</f>
        <v/>
      </c>
      <c r="S29" s="6">
        <f>IF(9&gt;MAX(3,MIN(15,N($B$16))),"",IFERROR(IF(INDEX(Database!$V$5:$V$515,MATCH(LARGE('Calc (scoring engine)'!$I$5:$I$515,9),'Calc (scoring engine)'!$I$5:$I$515,0))="","—",INDEX(Database!$V$5:$V$515,MATCH(LARGE('Calc (scoring engine)'!$I$5:$I$515,9),'Calc (scoring engine)'!$I$5:$I$515,0))),""))</f>
        <v/>
      </c>
      <c r="T29" s="6">
        <f>IF(9&gt;MAX(3,MIN(15,N($B$16))),"",IFERROR(IF(INDEX(Database!$AK$5:$AK$515,MATCH(LARGE('Calc (scoring engine)'!$I$5:$I$515,9),'Calc (scoring engine)'!$I$5:$I$515,0))="","—",INDEX(Database!$AK$5:$AK$515,MATCH(LARGE('Calc (scoring engine)'!$I$5:$I$515,9),'Calc (scoring engine)'!$I$5:$I$515,0))),""))</f>
        <v/>
      </c>
      <c r="U29" s="11">
        <f>IF(9&gt;MAX(3,MIN(15,N($B$16))),"",IFERROR(IF(INDEX(Database!$AL$5:$AL$515,MATCH(LARGE('Calc (scoring engine)'!$I$5:$I$515,9),'Calc (scoring engine)'!$I$5:$I$515,0))="","N/A",IF(INDEX(Database!$AM$5:$AM$515,MATCH(LARGE('Calc (scoring engine)'!$I$5:$I$515,9),'Calc (scoring engine)'!$I$5:$I$515,0))="","—",INDEX(Database!$AM$5:$AM$515,MATCH(LARGE('Calc (scoring engine)'!$I$5:$I$515,9),'Calc (scoring engine)'!$I$5:$I$515,0)))),""))</f>
        <v/>
      </c>
      <c r="V29" s="22">
        <f>IF(9&gt;MAX(3,MIN(15,N($B$16))),"",IFERROR(IF(INDEX(Database!$AL$5:$AL$515,MATCH(LARGE('Calc (scoring engine)'!$I$5:$I$515,9),'Calc (scoring engine)'!$I$5:$I$515,0))="","N/A",IF(INDEX(Database!$AO$5:$AO$515,MATCH(LARGE('Calc (scoring engine)'!$I$5:$I$515,9),'Calc (scoring engine)'!$I$5:$I$515,0))="","—",INDEX(Database!$AO$5:$AO$515,MATCH(LARGE('Calc (scoring engine)'!$I$5:$I$515,9),'Calc (scoring engine)'!$I$5:$I$515,0)))),""))</f>
        <v/>
      </c>
      <c r="W29" s="6">
        <f>IF(9&gt;MAX(3,MIN(15,N($B$16))),"",IFERROR(IF(INDEX(Database!$AR$5:$AR$515,MATCH(LARGE('Calc (scoring engine)'!$I$5:$I$515,9),'Calc (scoring engine)'!$I$5:$I$515,0))="","—",INDEX(Database!$AR$5:$AR$515,MATCH(LARGE('Calc (scoring engine)'!$I$5:$I$515,9),'Calc (scoring engine)'!$I$5:$I$515,0))),""))</f>
        <v/>
      </c>
      <c r="X29" s="6">
        <f>IF(9&gt;MAX(3,MIN(15,N($B$16))),"",IFERROR(IF(INDEX(Database!$T$5:$T$515,MATCH(LARGE('Calc (scoring engine)'!$I$5:$I$515,9),'Calc (scoring engine)'!$I$5:$I$515,0))="","—",INDEX(Database!$T$5:$T$515,MATCH(LARGE('Calc (scoring engine)'!$I$5:$I$515,9),'Calc (scoring engine)'!$I$5:$I$515,0))),""))</f>
        <v/>
      </c>
      <c r="Y29" s="23">
        <f>IF(9&gt;MAX(3,MIN(15,N($B$16))),"",IFERROR(IF(INDEX('Calc (scoring engine)'!$H$5:$H$515,MATCH(LARGE('Calc (scoring engine)'!$I$5:$I$515,9),'Calc (scoring engine)'!$I$5:$I$515,0))&gt;0,INDEX('Calc (scoring engine)'!$H$5:$H$515,MATCH(LARGE('Calc (scoring engine)'!$I$5:$I$515,9),'Calc (scoring engine)'!$I$5:$I$515,0)),""),""))</f>
        <v/>
      </c>
      <c r="Z29" s="6">
        <f>IF(9&gt;MAX(3,MIN(15,N($B$16))),"",IF(IFERROR(INDEX('Calc (scoring engine)'!$B$5:$B$515,MATCH(LARGE('Calc (scoring engine)'!$I$5:$I$515,9),'Calc (scoring engine)'!$I$5:$I$515,0)),0)=1,"same subsector","sector only"))</f>
        <v/>
      </c>
      <c r="AA29" s="23">
        <f>IF(9&gt;MAX(3,MIN(15,N($B$16))),"",ROUND(IFERROR(LARGE('Calc (scoring engine)'!$I$5:$I$515,9),0),0))</f>
        <v/>
      </c>
      <c r="AB29" s="6">
        <f>IF(9&gt;MAX(3,MIN(15,N($B$16))),"",IFERROR("sub "&amp;INDEX('Calc (scoring engine)'!$B$5:$B$515,MATCH(LARGE('Calc (scoring engine)'!$I$5:$I$515,9),'Calc (scoring engine)'!$I$5:$I$515,0))*W_SUB&amp;" + size "&amp;ROUND(INDEX('Calc (scoring engine)'!$D$5:$D$515,MATCH(LARGE('Calc (scoring engine)'!$I$5:$I$515,9),'Calc (scoring engine)'!$I$5:$I$515,0))*W_SIZE,0)&amp;" + prof "&amp;INDEX('Calc (scoring engine)'!$E$5:$E$515,MATCH(LARGE('Calc (scoring engine)'!$I$5:$I$515,9),'Calc (scoring engine)'!$I$5:$I$515,0))*W_PROF&amp;" + recency "&amp;ROUND(INDEX('Calc (scoring engine)'!$G$5:$G$515,MATCH(LARGE('Calc (scoring engine)'!$I$5:$I$515,9),'Calc (scoring engine)'!$I$5:$I$515,0))*W_REC,0)&amp;IF(INDEX('Calc (scoring engine)'!$H$5:$H$515,MATCH(LARGE('Calc (scoring engine)'!$I$5:$I$515,9),'Calc (scoring engine)'!$I$5:$I$515,0))&gt;0," + shared CS x"&amp;INDEX('Calc (scoring engine)'!$H$5:$H$515,MATCH(LARGE('Calc (scoring engine)'!$I$5:$I$515,9),'Calc (scoring engine)'!$I$5:$I$515,0)),""),""))</f>
        <v/>
      </c>
    </row>
    <row r="30">
      <c r="A30" s="20">
        <f>IF(10&gt;MAX(3,MIN(15,N($B$16))),"",10)</f>
        <v/>
      </c>
      <c r="B30" s="6">
        <f>IF(10&gt;MAX(3,MIN(15,N($B$16))),"",IFERROR(IF(INDEX(Database!$B$5:$B$515,MATCH(LARGE('Calc (scoring engine)'!$I$5:$I$515,10),'Calc (scoring engine)'!$I$5:$I$515,0))="","—",INDEX(Database!$B$5:$B$515,MATCH(LARGE('Calc (scoring engine)'!$I$5:$I$515,10),'Calc (scoring engine)'!$I$5:$I$515,0))),""))</f>
        <v/>
      </c>
      <c r="C30" s="6">
        <f>IF(10&gt;MAX(3,MIN(15,N($B$16))),"",IFERROR(IF(INDEX(Database!$E$5:$E$515,MATCH(LARGE('Calc (scoring engine)'!$I$5:$I$515,10),'Calc (scoring engine)'!$I$5:$I$515,0))="","—",INDEX(Database!$E$5:$E$515,MATCH(LARGE('Calc (scoring engine)'!$I$5:$I$515,10),'Calc (scoring engine)'!$I$5:$I$515,0))),""))</f>
        <v/>
      </c>
      <c r="D30" s="12">
        <f>IF(10&gt;MAX(3,MIN(15,N($B$16))),"",IFERROR(IF(INDEX(Database!$G$5:$G$515,MATCH(LARGE('Calc (scoring engine)'!$I$5:$I$515,10),'Calc (scoring engine)'!$I$5:$I$515,0))="","—",INDEX(Database!$G$5:$G$515,MATCH(LARGE('Calc (scoring engine)'!$I$5:$I$515,10),'Calc (scoring engine)'!$I$5:$I$515,0))),""))</f>
        <v/>
      </c>
      <c r="E30" s="9">
        <f>IF(10&gt;MAX(3,MIN(15,N($B$16))),"",IFERROR(IF(INDEX(Database!$H$5:$H$515,MATCH(LARGE('Calc (scoring engine)'!$I$5:$I$515,10),'Calc (scoring engine)'!$I$5:$I$515,0))="","—",INDEX(Database!$H$5:$H$515,MATCH(LARGE('Calc (scoring engine)'!$I$5:$I$515,10),'Calc (scoring engine)'!$I$5:$I$515,0))),""))</f>
        <v/>
      </c>
      <c r="F30" s="9">
        <f>IF(10&gt;MAX(3,MIN(15,N($B$16))),"",IFERROR(IF(INDEX(Database!$O$5:$O$515,MATCH(LARGE('Calc (scoring engine)'!$I$5:$I$515,10),'Calc (scoring engine)'!$I$5:$I$515,0))="","—",INDEX(Database!$O$5:$O$515,MATCH(LARGE('Calc (scoring engine)'!$I$5:$I$515,10),'Calc (scoring engine)'!$I$5:$I$515,0))),""))</f>
        <v/>
      </c>
      <c r="G30" s="21">
        <f>IF(10&gt;MAX(3,MIN(15,N($B$16))),"",IFERROR(IF(INDEX(Database!$AI$5:$AI$515,MATCH(LARGE('Calc (scoring engine)'!$I$5:$I$515,10),'Calc (scoring engine)'!$I$5:$I$515,0))="",IF(INDEX(Database!$AH$5:$AH$515,MATCH(LARGE('Calc (scoring engine)'!$I$5:$I$515,10),'Calc (scoring engine)'!$I$5:$I$515,0))="N","n/m","—"),INDEX(Database!$AI$5:$AI$515,MATCH(LARGE('Calc (scoring engine)'!$I$5:$I$515,10),'Calc (scoring engine)'!$I$5:$I$515,0))),""))</f>
        <v/>
      </c>
      <c r="H30" s="21">
        <f>IF(10&gt;MAX(3,MIN(15,N($B$16))),"",IFERROR(IF(INDEX(Database!$AJ$5:$AJ$515,MATCH(LARGE('Calc (scoring engine)'!$I$5:$I$515,10),'Calc (scoring engine)'!$I$5:$I$515,0))="","—",INDEX(Database!$AJ$5:$AJ$515,MATCH(LARGE('Calc (scoring engine)'!$I$5:$I$515,10),'Calc (scoring engine)'!$I$5:$I$515,0))),""))</f>
        <v/>
      </c>
      <c r="I30" s="14">
        <f>IF(10&gt;MAX(3,MIN(15,N($B$16))),"",IFERROR(IF(INDEX(Database!$Q$5:$Q$515,MATCH(LARGE('Calc (scoring engine)'!$I$5:$I$515,10),'Calc (scoring engine)'!$I$5:$I$515,0))="","—",INDEX(Database!$Q$5:$Q$515,MATCH(LARGE('Calc (scoring engine)'!$I$5:$I$515,10),'Calc (scoring engine)'!$I$5:$I$515,0))),""))</f>
        <v/>
      </c>
      <c r="J30" s="14">
        <f>IF(10&gt;MAX(3,MIN(15,N($B$16))),"",IFERROR(IF(INDEX(Database!$R$5:$R$515,MATCH(LARGE('Calc (scoring engine)'!$I$5:$I$515,10),'Calc (scoring engine)'!$I$5:$I$515,0))="","—",INDEX(Database!$R$5:$R$515,MATCH(LARGE('Calc (scoring engine)'!$I$5:$I$515,10),'Calc (scoring engine)'!$I$5:$I$515,0))),""))</f>
        <v/>
      </c>
      <c r="K30" s="15">
        <f>IF(10&gt;MAX(3,MIN(15,N($B$16))),"",IFERROR(IF(INDEX(Database!$S$5:$S$515,MATCH(LARGE('Calc (scoring engine)'!$I$5:$I$515,10),'Calc (scoring engine)'!$I$5:$I$515,0))="","—",INDEX(Database!$S$5:$S$515,MATCH(LARGE('Calc (scoring engine)'!$I$5:$I$515,10),'Calc (scoring engine)'!$I$5:$I$515,0))),""))</f>
        <v/>
      </c>
      <c r="L30" s="11">
        <f>IF(10&gt;MAX(3,MIN(15,N($B$16))),"",IFERROR(IF(INDEX(Database!$W$5:$W$515,MATCH(LARGE('Calc (scoring engine)'!$I$5:$I$515,10),'Calc (scoring engine)'!$I$5:$I$515,0))="","—",INDEX(Database!$W$5:$W$515,MATCH(LARGE('Calc (scoring engine)'!$I$5:$I$515,10),'Calc (scoring engine)'!$I$5:$I$515,0))),""))</f>
        <v/>
      </c>
      <c r="M30" s="11">
        <f>IF(10&gt;MAX(3,MIN(15,N($B$16))),"",IFERROR(IF(INDEX(Database!$X$5:$X$515,MATCH(LARGE('Calc (scoring engine)'!$I$5:$I$515,10),'Calc (scoring engine)'!$I$5:$I$515,0))="","—",INDEX(Database!$X$5:$X$515,MATCH(LARGE('Calc (scoring engine)'!$I$5:$I$515,10),'Calc (scoring engine)'!$I$5:$I$515,0))),""))</f>
        <v/>
      </c>
      <c r="N30" s="11">
        <f>IF(10&gt;MAX(3,MIN(15,N($B$16))),"",IFERROR(IF(INDEX(Database!$Y$5:$Y$515,MATCH(LARGE('Calc (scoring engine)'!$I$5:$I$515,10),'Calc (scoring engine)'!$I$5:$I$515,0))="","—",INDEX(Database!$Y$5:$Y$515,MATCH(LARGE('Calc (scoring engine)'!$I$5:$I$515,10),'Calc (scoring engine)'!$I$5:$I$515,0))),""))</f>
        <v/>
      </c>
      <c r="O30" s="11">
        <f>IF(10&gt;MAX(3,MIN(15,N($B$16))),"",IFERROR(IF(INDEX(Database!$Z$5:$Z$515,MATCH(LARGE('Calc (scoring engine)'!$I$5:$I$515,10),'Calc (scoring engine)'!$I$5:$I$515,0))="","—",INDEX(Database!$Z$5:$Z$515,MATCH(LARGE('Calc (scoring engine)'!$I$5:$I$515,10),'Calc (scoring engine)'!$I$5:$I$515,0))),""))</f>
        <v/>
      </c>
      <c r="P30" s="11">
        <f>IF(10&gt;MAX(3,MIN(15,N($B$16))),"",IFERROR(IF(INDEX(Database!$AA$5:$AA$515,MATCH(LARGE('Calc (scoring engine)'!$I$5:$I$515,10),'Calc (scoring engine)'!$I$5:$I$515,0))="","—",INDEX(Database!$AA$5:$AA$515,MATCH(LARGE('Calc (scoring engine)'!$I$5:$I$515,10),'Calc (scoring engine)'!$I$5:$I$515,0))),""))</f>
        <v/>
      </c>
      <c r="Q30" s="11">
        <f>IF(10&gt;MAX(3,MIN(15,N($B$16))),"",IFERROR(IF(INDEX(Database!$AB$5:$AB$515,MATCH(LARGE('Calc (scoring engine)'!$I$5:$I$515,10),'Calc (scoring engine)'!$I$5:$I$515,0))="","—",INDEX(Database!$AB$5:$AB$515,MATCH(LARGE('Calc (scoring engine)'!$I$5:$I$515,10),'Calc (scoring engine)'!$I$5:$I$515,0))),""))</f>
        <v/>
      </c>
      <c r="R30" s="11">
        <f>IF(10&gt;MAX(3,MIN(15,N($B$16))),"",IFERROR(IF(INDEX(Database!$AE$5:$AE$515,MATCH(LARGE('Calc (scoring engine)'!$I$5:$I$515,10),'Calc (scoring engine)'!$I$5:$I$515,0))="","—",INDEX(Database!$AE$5:$AE$515,MATCH(LARGE('Calc (scoring engine)'!$I$5:$I$515,10),'Calc (scoring engine)'!$I$5:$I$515,0))),""))</f>
        <v/>
      </c>
      <c r="S30" s="6">
        <f>IF(10&gt;MAX(3,MIN(15,N($B$16))),"",IFERROR(IF(INDEX(Database!$V$5:$V$515,MATCH(LARGE('Calc (scoring engine)'!$I$5:$I$515,10),'Calc (scoring engine)'!$I$5:$I$515,0))="","—",INDEX(Database!$V$5:$V$515,MATCH(LARGE('Calc (scoring engine)'!$I$5:$I$515,10),'Calc (scoring engine)'!$I$5:$I$515,0))),""))</f>
        <v/>
      </c>
      <c r="T30" s="6">
        <f>IF(10&gt;MAX(3,MIN(15,N($B$16))),"",IFERROR(IF(INDEX(Database!$AK$5:$AK$515,MATCH(LARGE('Calc (scoring engine)'!$I$5:$I$515,10),'Calc (scoring engine)'!$I$5:$I$515,0))="","—",INDEX(Database!$AK$5:$AK$515,MATCH(LARGE('Calc (scoring engine)'!$I$5:$I$515,10),'Calc (scoring engine)'!$I$5:$I$515,0))),""))</f>
        <v/>
      </c>
      <c r="U30" s="11">
        <f>IF(10&gt;MAX(3,MIN(15,N($B$16))),"",IFERROR(IF(INDEX(Database!$AL$5:$AL$515,MATCH(LARGE('Calc (scoring engine)'!$I$5:$I$515,10),'Calc (scoring engine)'!$I$5:$I$515,0))="","N/A",IF(INDEX(Database!$AM$5:$AM$515,MATCH(LARGE('Calc (scoring engine)'!$I$5:$I$515,10),'Calc (scoring engine)'!$I$5:$I$515,0))="","—",INDEX(Database!$AM$5:$AM$515,MATCH(LARGE('Calc (scoring engine)'!$I$5:$I$515,10),'Calc (scoring engine)'!$I$5:$I$515,0)))),""))</f>
        <v/>
      </c>
      <c r="V30" s="22">
        <f>IF(10&gt;MAX(3,MIN(15,N($B$16))),"",IFERROR(IF(INDEX(Database!$AL$5:$AL$515,MATCH(LARGE('Calc (scoring engine)'!$I$5:$I$515,10),'Calc (scoring engine)'!$I$5:$I$515,0))="","N/A",IF(INDEX(Database!$AO$5:$AO$515,MATCH(LARGE('Calc (scoring engine)'!$I$5:$I$515,10),'Calc (scoring engine)'!$I$5:$I$515,0))="","—",INDEX(Database!$AO$5:$AO$515,MATCH(LARGE('Calc (scoring engine)'!$I$5:$I$515,10),'Calc (scoring engine)'!$I$5:$I$515,0)))),""))</f>
        <v/>
      </c>
      <c r="W30" s="6">
        <f>IF(10&gt;MAX(3,MIN(15,N($B$16))),"",IFERROR(IF(INDEX(Database!$AR$5:$AR$515,MATCH(LARGE('Calc (scoring engine)'!$I$5:$I$515,10),'Calc (scoring engine)'!$I$5:$I$515,0))="","—",INDEX(Database!$AR$5:$AR$515,MATCH(LARGE('Calc (scoring engine)'!$I$5:$I$515,10),'Calc (scoring engine)'!$I$5:$I$515,0))),""))</f>
        <v/>
      </c>
      <c r="X30" s="6">
        <f>IF(10&gt;MAX(3,MIN(15,N($B$16))),"",IFERROR(IF(INDEX(Database!$T$5:$T$515,MATCH(LARGE('Calc (scoring engine)'!$I$5:$I$515,10),'Calc (scoring engine)'!$I$5:$I$515,0))="","—",INDEX(Database!$T$5:$T$515,MATCH(LARGE('Calc (scoring engine)'!$I$5:$I$515,10),'Calc (scoring engine)'!$I$5:$I$515,0))),""))</f>
        <v/>
      </c>
      <c r="Y30" s="23">
        <f>IF(10&gt;MAX(3,MIN(15,N($B$16))),"",IFERROR(IF(INDEX('Calc (scoring engine)'!$H$5:$H$515,MATCH(LARGE('Calc (scoring engine)'!$I$5:$I$515,10),'Calc (scoring engine)'!$I$5:$I$515,0))&gt;0,INDEX('Calc (scoring engine)'!$H$5:$H$515,MATCH(LARGE('Calc (scoring engine)'!$I$5:$I$515,10),'Calc (scoring engine)'!$I$5:$I$515,0)),""),""))</f>
        <v/>
      </c>
      <c r="Z30" s="6">
        <f>IF(10&gt;MAX(3,MIN(15,N($B$16))),"",IF(IFERROR(INDEX('Calc (scoring engine)'!$B$5:$B$515,MATCH(LARGE('Calc (scoring engine)'!$I$5:$I$515,10),'Calc (scoring engine)'!$I$5:$I$515,0)),0)=1,"same subsector","sector only"))</f>
        <v/>
      </c>
      <c r="AA30" s="23">
        <f>IF(10&gt;MAX(3,MIN(15,N($B$16))),"",ROUND(IFERROR(LARGE('Calc (scoring engine)'!$I$5:$I$515,10),0),0))</f>
        <v/>
      </c>
      <c r="AB30" s="6">
        <f>IF(10&gt;MAX(3,MIN(15,N($B$16))),"",IFERROR("sub "&amp;INDEX('Calc (scoring engine)'!$B$5:$B$515,MATCH(LARGE('Calc (scoring engine)'!$I$5:$I$515,10),'Calc (scoring engine)'!$I$5:$I$515,0))*W_SUB&amp;" + size "&amp;ROUND(INDEX('Calc (scoring engine)'!$D$5:$D$515,MATCH(LARGE('Calc (scoring engine)'!$I$5:$I$515,10),'Calc (scoring engine)'!$I$5:$I$515,0))*W_SIZE,0)&amp;" + prof "&amp;INDEX('Calc (scoring engine)'!$E$5:$E$515,MATCH(LARGE('Calc (scoring engine)'!$I$5:$I$515,10),'Calc (scoring engine)'!$I$5:$I$515,0))*W_PROF&amp;" + recency "&amp;ROUND(INDEX('Calc (scoring engine)'!$G$5:$G$515,MATCH(LARGE('Calc (scoring engine)'!$I$5:$I$515,10),'Calc (scoring engine)'!$I$5:$I$515,0))*W_REC,0)&amp;IF(INDEX('Calc (scoring engine)'!$H$5:$H$515,MATCH(LARGE('Calc (scoring engine)'!$I$5:$I$515,10),'Calc (scoring engine)'!$I$5:$I$515,0))&gt;0," + shared CS x"&amp;INDEX('Calc (scoring engine)'!$H$5:$H$515,MATCH(LARGE('Calc (scoring engine)'!$I$5:$I$515,10),'Calc (scoring engine)'!$I$5:$I$515,0)),""),""))</f>
        <v/>
      </c>
    </row>
    <row r="31">
      <c r="A31" s="20">
        <f>IF(11&gt;MAX(3,MIN(15,N($B$16))),"",11)</f>
        <v/>
      </c>
      <c r="B31" s="6">
        <f>IF(11&gt;MAX(3,MIN(15,N($B$16))),"",IFERROR(IF(INDEX(Database!$B$5:$B$515,MATCH(LARGE('Calc (scoring engine)'!$I$5:$I$515,11),'Calc (scoring engine)'!$I$5:$I$515,0))="","—",INDEX(Database!$B$5:$B$515,MATCH(LARGE('Calc (scoring engine)'!$I$5:$I$515,11),'Calc (scoring engine)'!$I$5:$I$515,0))),""))</f>
        <v/>
      </c>
      <c r="C31" s="6">
        <f>IF(11&gt;MAX(3,MIN(15,N($B$16))),"",IFERROR(IF(INDEX(Database!$E$5:$E$515,MATCH(LARGE('Calc (scoring engine)'!$I$5:$I$515,11),'Calc (scoring engine)'!$I$5:$I$515,0))="","—",INDEX(Database!$E$5:$E$515,MATCH(LARGE('Calc (scoring engine)'!$I$5:$I$515,11),'Calc (scoring engine)'!$I$5:$I$515,0))),""))</f>
        <v/>
      </c>
      <c r="D31" s="12">
        <f>IF(11&gt;MAX(3,MIN(15,N($B$16))),"",IFERROR(IF(INDEX(Database!$G$5:$G$515,MATCH(LARGE('Calc (scoring engine)'!$I$5:$I$515,11),'Calc (scoring engine)'!$I$5:$I$515,0))="","—",INDEX(Database!$G$5:$G$515,MATCH(LARGE('Calc (scoring engine)'!$I$5:$I$515,11),'Calc (scoring engine)'!$I$5:$I$515,0))),""))</f>
        <v/>
      </c>
      <c r="E31" s="9">
        <f>IF(11&gt;MAX(3,MIN(15,N($B$16))),"",IFERROR(IF(INDEX(Database!$H$5:$H$515,MATCH(LARGE('Calc (scoring engine)'!$I$5:$I$515,11),'Calc (scoring engine)'!$I$5:$I$515,0))="","—",INDEX(Database!$H$5:$H$515,MATCH(LARGE('Calc (scoring engine)'!$I$5:$I$515,11),'Calc (scoring engine)'!$I$5:$I$515,0))),""))</f>
        <v/>
      </c>
      <c r="F31" s="9">
        <f>IF(11&gt;MAX(3,MIN(15,N($B$16))),"",IFERROR(IF(INDEX(Database!$O$5:$O$515,MATCH(LARGE('Calc (scoring engine)'!$I$5:$I$515,11),'Calc (scoring engine)'!$I$5:$I$515,0))="","—",INDEX(Database!$O$5:$O$515,MATCH(LARGE('Calc (scoring engine)'!$I$5:$I$515,11),'Calc (scoring engine)'!$I$5:$I$515,0))),""))</f>
        <v/>
      </c>
      <c r="G31" s="21">
        <f>IF(11&gt;MAX(3,MIN(15,N($B$16))),"",IFERROR(IF(INDEX(Database!$AI$5:$AI$515,MATCH(LARGE('Calc (scoring engine)'!$I$5:$I$515,11),'Calc (scoring engine)'!$I$5:$I$515,0))="",IF(INDEX(Database!$AH$5:$AH$515,MATCH(LARGE('Calc (scoring engine)'!$I$5:$I$515,11),'Calc (scoring engine)'!$I$5:$I$515,0))="N","n/m","—"),INDEX(Database!$AI$5:$AI$515,MATCH(LARGE('Calc (scoring engine)'!$I$5:$I$515,11),'Calc (scoring engine)'!$I$5:$I$515,0))),""))</f>
        <v/>
      </c>
      <c r="H31" s="21">
        <f>IF(11&gt;MAX(3,MIN(15,N($B$16))),"",IFERROR(IF(INDEX(Database!$AJ$5:$AJ$515,MATCH(LARGE('Calc (scoring engine)'!$I$5:$I$515,11),'Calc (scoring engine)'!$I$5:$I$515,0))="","—",INDEX(Database!$AJ$5:$AJ$515,MATCH(LARGE('Calc (scoring engine)'!$I$5:$I$515,11),'Calc (scoring engine)'!$I$5:$I$515,0))),""))</f>
        <v/>
      </c>
      <c r="I31" s="14">
        <f>IF(11&gt;MAX(3,MIN(15,N($B$16))),"",IFERROR(IF(INDEX(Database!$Q$5:$Q$515,MATCH(LARGE('Calc (scoring engine)'!$I$5:$I$515,11),'Calc (scoring engine)'!$I$5:$I$515,0))="","—",INDEX(Database!$Q$5:$Q$515,MATCH(LARGE('Calc (scoring engine)'!$I$5:$I$515,11),'Calc (scoring engine)'!$I$5:$I$515,0))),""))</f>
        <v/>
      </c>
      <c r="J31" s="14">
        <f>IF(11&gt;MAX(3,MIN(15,N($B$16))),"",IFERROR(IF(INDEX(Database!$R$5:$R$515,MATCH(LARGE('Calc (scoring engine)'!$I$5:$I$515,11),'Calc (scoring engine)'!$I$5:$I$515,0))="","—",INDEX(Database!$R$5:$R$515,MATCH(LARGE('Calc (scoring engine)'!$I$5:$I$515,11),'Calc (scoring engine)'!$I$5:$I$515,0))),""))</f>
        <v/>
      </c>
      <c r="K31" s="15">
        <f>IF(11&gt;MAX(3,MIN(15,N($B$16))),"",IFERROR(IF(INDEX(Database!$S$5:$S$515,MATCH(LARGE('Calc (scoring engine)'!$I$5:$I$515,11),'Calc (scoring engine)'!$I$5:$I$515,0))="","—",INDEX(Database!$S$5:$S$515,MATCH(LARGE('Calc (scoring engine)'!$I$5:$I$515,11),'Calc (scoring engine)'!$I$5:$I$515,0))),""))</f>
        <v/>
      </c>
      <c r="L31" s="11">
        <f>IF(11&gt;MAX(3,MIN(15,N($B$16))),"",IFERROR(IF(INDEX(Database!$W$5:$W$515,MATCH(LARGE('Calc (scoring engine)'!$I$5:$I$515,11),'Calc (scoring engine)'!$I$5:$I$515,0))="","—",INDEX(Database!$W$5:$W$515,MATCH(LARGE('Calc (scoring engine)'!$I$5:$I$515,11),'Calc (scoring engine)'!$I$5:$I$515,0))),""))</f>
        <v/>
      </c>
      <c r="M31" s="11">
        <f>IF(11&gt;MAX(3,MIN(15,N($B$16))),"",IFERROR(IF(INDEX(Database!$X$5:$X$515,MATCH(LARGE('Calc (scoring engine)'!$I$5:$I$515,11),'Calc (scoring engine)'!$I$5:$I$515,0))="","—",INDEX(Database!$X$5:$X$515,MATCH(LARGE('Calc (scoring engine)'!$I$5:$I$515,11),'Calc (scoring engine)'!$I$5:$I$515,0))),""))</f>
        <v/>
      </c>
      <c r="N31" s="11">
        <f>IF(11&gt;MAX(3,MIN(15,N($B$16))),"",IFERROR(IF(INDEX(Database!$Y$5:$Y$515,MATCH(LARGE('Calc (scoring engine)'!$I$5:$I$515,11),'Calc (scoring engine)'!$I$5:$I$515,0))="","—",INDEX(Database!$Y$5:$Y$515,MATCH(LARGE('Calc (scoring engine)'!$I$5:$I$515,11),'Calc (scoring engine)'!$I$5:$I$515,0))),""))</f>
        <v/>
      </c>
      <c r="O31" s="11">
        <f>IF(11&gt;MAX(3,MIN(15,N($B$16))),"",IFERROR(IF(INDEX(Database!$Z$5:$Z$515,MATCH(LARGE('Calc (scoring engine)'!$I$5:$I$515,11),'Calc (scoring engine)'!$I$5:$I$515,0))="","—",INDEX(Database!$Z$5:$Z$515,MATCH(LARGE('Calc (scoring engine)'!$I$5:$I$515,11),'Calc (scoring engine)'!$I$5:$I$515,0))),""))</f>
        <v/>
      </c>
      <c r="P31" s="11">
        <f>IF(11&gt;MAX(3,MIN(15,N($B$16))),"",IFERROR(IF(INDEX(Database!$AA$5:$AA$515,MATCH(LARGE('Calc (scoring engine)'!$I$5:$I$515,11),'Calc (scoring engine)'!$I$5:$I$515,0))="","—",INDEX(Database!$AA$5:$AA$515,MATCH(LARGE('Calc (scoring engine)'!$I$5:$I$515,11),'Calc (scoring engine)'!$I$5:$I$515,0))),""))</f>
        <v/>
      </c>
      <c r="Q31" s="11">
        <f>IF(11&gt;MAX(3,MIN(15,N($B$16))),"",IFERROR(IF(INDEX(Database!$AB$5:$AB$515,MATCH(LARGE('Calc (scoring engine)'!$I$5:$I$515,11),'Calc (scoring engine)'!$I$5:$I$515,0))="","—",INDEX(Database!$AB$5:$AB$515,MATCH(LARGE('Calc (scoring engine)'!$I$5:$I$515,11),'Calc (scoring engine)'!$I$5:$I$515,0))),""))</f>
        <v/>
      </c>
      <c r="R31" s="11">
        <f>IF(11&gt;MAX(3,MIN(15,N($B$16))),"",IFERROR(IF(INDEX(Database!$AE$5:$AE$515,MATCH(LARGE('Calc (scoring engine)'!$I$5:$I$515,11),'Calc (scoring engine)'!$I$5:$I$515,0))="","—",INDEX(Database!$AE$5:$AE$515,MATCH(LARGE('Calc (scoring engine)'!$I$5:$I$515,11),'Calc (scoring engine)'!$I$5:$I$515,0))),""))</f>
        <v/>
      </c>
      <c r="S31" s="6">
        <f>IF(11&gt;MAX(3,MIN(15,N($B$16))),"",IFERROR(IF(INDEX(Database!$V$5:$V$515,MATCH(LARGE('Calc (scoring engine)'!$I$5:$I$515,11),'Calc (scoring engine)'!$I$5:$I$515,0))="","—",INDEX(Database!$V$5:$V$515,MATCH(LARGE('Calc (scoring engine)'!$I$5:$I$515,11),'Calc (scoring engine)'!$I$5:$I$515,0))),""))</f>
        <v/>
      </c>
      <c r="T31" s="6">
        <f>IF(11&gt;MAX(3,MIN(15,N($B$16))),"",IFERROR(IF(INDEX(Database!$AK$5:$AK$515,MATCH(LARGE('Calc (scoring engine)'!$I$5:$I$515,11),'Calc (scoring engine)'!$I$5:$I$515,0))="","—",INDEX(Database!$AK$5:$AK$515,MATCH(LARGE('Calc (scoring engine)'!$I$5:$I$515,11),'Calc (scoring engine)'!$I$5:$I$515,0))),""))</f>
        <v/>
      </c>
      <c r="U31" s="11">
        <f>IF(11&gt;MAX(3,MIN(15,N($B$16))),"",IFERROR(IF(INDEX(Database!$AL$5:$AL$515,MATCH(LARGE('Calc (scoring engine)'!$I$5:$I$515,11),'Calc (scoring engine)'!$I$5:$I$515,0))="","N/A",IF(INDEX(Database!$AM$5:$AM$515,MATCH(LARGE('Calc (scoring engine)'!$I$5:$I$515,11),'Calc (scoring engine)'!$I$5:$I$515,0))="","—",INDEX(Database!$AM$5:$AM$515,MATCH(LARGE('Calc (scoring engine)'!$I$5:$I$515,11),'Calc (scoring engine)'!$I$5:$I$515,0)))),""))</f>
        <v/>
      </c>
      <c r="V31" s="22">
        <f>IF(11&gt;MAX(3,MIN(15,N($B$16))),"",IFERROR(IF(INDEX(Database!$AL$5:$AL$515,MATCH(LARGE('Calc (scoring engine)'!$I$5:$I$515,11),'Calc (scoring engine)'!$I$5:$I$515,0))="","N/A",IF(INDEX(Database!$AO$5:$AO$515,MATCH(LARGE('Calc (scoring engine)'!$I$5:$I$515,11),'Calc (scoring engine)'!$I$5:$I$515,0))="","—",INDEX(Database!$AO$5:$AO$515,MATCH(LARGE('Calc (scoring engine)'!$I$5:$I$515,11),'Calc (scoring engine)'!$I$5:$I$515,0)))),""))</f>
        <v/>
      </c>
      <c r="W31" s="6">
        <f>IF(11&gt;MAX(3,MIN(15,N($B$16))),"",IFERROR(IF(INDEX(Database!$AR$5:$AR$515,MATCH(LARGE('Calc (scoring engine)'!$I$5:$I$515,11),'Calc (scoring engine)'!$I$5:$I$515,0))="","—",INDEX(Database!$AR$5:$AR$515,MATCH(LARGE('Calc (scoring engine)'!$I$5:$I$515,11),'Calc (scoring engine)'!$I$5:$I$515,0))),""))</f>
        <v/>
      </c>
      <c r="X31" s="6">
        <f>IF(11&gt;MAX(3,MIN(15,N($B$16))),"",IFERROR(IF(INDEX(Database!$T$5:$T$515,MATCH(LARGE('Calc (scoring engine)'!$I$5:$I$515,11),'Calc (scoring engine)'!$I$5:$I$515,0))="","—",INDEX(Database!$T$5:$T$515,MATCH(LARGE('Calc (scoring engine)'!$I$5:$I$515,11),'Calc (scoring engine)'!$I$5:$I$515,0))),""))</f>
        <v/>
      </c>
      <c r="Y31" s="23">
        <f>IF(11&gt;MAX(3,MIN(15,N($B$16))),"",IFERROR(IF(INDEX('Calc (scoring engine)'!$H$5:$H$515,MATCH(LARGE('Calc (scoring engine)'!$I$5:$I$515,11),'Calc (scoring engine)'!$I$5:$I$515,0))&gt;0,INDEX('Calc (scoring engine)'!$H$5:$H$515,MATCH(LARGE('Calc (scoring engine)'!$I$5:$I$515,11),'Calc (scoring engine)'!$I$5:$I$515,0)),""),""))</f>
        <v/>
      </c>
      <c r="Z31" s="6">
        <f>IF(11&gt;MAX(3,MIN(15,N($B$16))),"",IF(IFERROR(INDEX('Calc (scoring engine)'!$B$5:$B$515,MATCH(LARGE('Calc (scoring engine)'!$I$5:$I$515,11),'Calc (scoring engine)'!$I$5:$I$515,0)),0)=1,"same subsector","sector only"))</f>
        <v/>
      </c>
      <c r="AA31" s="23">
        <f>IF(11&gt;MAX(3,MIN(15,N($B$16))),"",ROUND(IFERROR(LARGE('Calc (scoring engine)'!$I$5:$I$515,11),0),0))</f>
        <v/>
      </c>
      <c r="AB31" s="6">
        <f>IF(11&gt;MAX(3,MIN(15,N($B$16))),"",IFERROR("sub "&amp;INDEX('Calc (scoring engine)'!$B$5:$B$515,MATCH(LARGE('Calc (scoring engine)'!$I$5:$I$515,11),'Calc (scoring engine)'!$I$5:$I$515,0))*W_SUB&amp;" + size "&amp;ROUND(INDEX('Calc (scoring engine)'!$D$5:$D$515,MATCH(LARGE('Calc (scoring engine)'!$I$5:$I$515,11),'Calc (scoring engine)'!$I$5:$I$515,0))*W_SIZE,0)&amp;" + prof "&amp;INDEX('Calc (scoring engine)'!$E$5:$E$515,MATCH(LARGE('Calc (scoring engine)'!$I$5:$I$515,11),'Calc (scoring engine)'!$I$5:$I$515,0))*W_PROF&amp;" + recency "&amp;ROUND(INDEX('Calc (scoring engine)'!$G$5:$G$515,MATCH(LARGE('Calc (scoring engine)'!$I$5:$I$515,11),'Calc (scoring engine)'!$I$5:$I$515,0))*W_REC,0)&amp;IF(INDEX('Calc (scoring engine)'!$H$5:$H$515,MATCH(LARGE('Calc (scoring engine)'!$I$5:$I$515,11),'Calc (scoring engine)'!$I$5:$I$515,0))&gt;0," + shared CS x"&amp;INDEX('Calc (scoring engine)'!$H$5:$H$515,MATCH(LARGE('Calc (scoring engine)'!$I$5:$I$515,11),'Calc (scoring engine)'!$I$5:$I$515,0)),""),""))</f>
        <v/>
      </c>
    </row>
    <row r="32">
      <c r="A32" s="20">
        <f>IF(12&gt;MAX(3,MIN(15,N($B$16))),"",12)</f>
        <v/>
      </c>
      <c r="B32" s="6">
        <f>IF(12&gt;MAX(3,MIN(15,N($B$16))),"",IFERROR(IF(INDEX(Database!$B$5:$B$515,MATCH(LARGE('Calc (scoring engine)'!$I$5:$I$515,12),'Calc (scoring engine)'!$I$5:$I$515,0))="","—",INDEX(Database!$B$5:$B$515,MATCH(LARGE('Calc (scoring engine)'!$I$5:$I$515,12),'Calc (scoring engine)'!$I$5:$I$515,0))),""))</f>
        <v/>
      </c>
      <c r="C32" s="6">
        <f>IF(12&gt;MAX(3,MIN(15,N($B$16))),"",IFERROR(IF(INDEX(Database!$E$5:$E$515,MATCH(LARGE('Calc (scoring engine)'!$I$5:$I$515,12),'Calc (scoring engine)'!$I$5:$I$515,0))="","—",INDEX(Database!$E$5:$E$515,MATCH(LARGE('Calc (scoring engine)'!$I$5:$I$515,12),'Calc (scoring engine)'!$I$5:$I$515,0))),""))</f>
        <v/>
      </c>
      <c r="D32" s="12">
        <f>IF(12&gt;MAX(3,MIN(15,N($B$16))),"",IFERROR(IF(INDEX(Database!$G$5:$G$515,MATCH(LARGE('Calc (scoring engine)'!$I$5:$I$515,12),'Calc (scoring engine)'!$I$5:$I$515,0))="","—",INDEX(Database!$G$5:$G$515,MATCH(LARGE('Calc (scoring engine)'!$I$5:$I$515,12),'Calc (scoring engine)'!$I$5:$I$515,0))),""))</f>
        <v/>
      </c>
      <c r="E32" s="9">
        <f>IF(12&gt;MAX(3,MIN(15,N($B$16))),"",IFERROR(IF(INDEX(Database!$H$5:$H$515,MATCH(LARGE('Calc (scoring engine)'!$I$5:$I$515,12),'Calc (scoring engine)'!$I$5:$I$515,0))="","—",INDEX(Database!$H$5:$H$515,MATCH(LARGE('Calc (scoring engine)'!$I$5:$I$515,12),'Calc (scoring engine)'!$I$5:$I$515,0))),""))</f>
        <v/>
      </c>
      <c r="F32" s="9">
        <f>IF(12&gt;MAX(3,MIN(15,N($B$16))),"",IFERROR(IF(INDEX(Database!$O$5:$O$515,MATCH(LARGE('Calc (scoring engine)'!$I$5:$I$515,12),'Calc (scoring engine)'!$I$5:$I$515,0))="","—",INDEX(Database!$O$5:$O$515,MATCH(LARGE('Calc (scoring engine)'!$I$5:$I$515,12),'Calc (scoring engine)'!$I$5:$I$515,0))),""))</f>
        <v/>
      </c>
      <c r="G32" s="21">
        <f>IF(12&gt;MAX(3,MIN(15,N($B$16))),"",IFERROR(IF(INDEX(Database!$AI$5:$AI$515,MATCH(LARGE('Calc (scoring engine)'!$I$5:$I$515,12),'Calc (scoring engine)'!$I$5:$I$515,0))="",IF(INDEX(Database!$AH$5:$AH$515,MATCH(LARGE('Calc (scoring engine)'!$I$5:$I$515,12),'Calc (scoring engine)'!$I$5:$I$515,0))="N","n/m","—"),INDEX(Database!$AI$5:$AI$515,MATCH(LARGE('Calc (scoring engine)'!$I$5:$I$515,12),'Calc (scoring engine)'!$I$5:$I$515,0))),""))</f>
        <v/>
      </c>
      <c r="H32" s="21">
        <f>IF(12&gt;MAX(3,MIN(15,N($B$16))),"",IFERROR(IF(INDEX(Database!$AJ$5:$AJ$515,MATCH(LARGE('Calc (scoring engine)'!$I$5:$I$515,12),'Calc (scoring engine)'!$I$5:$I$515,0))="","—",INDEX(Database!$AJ$5:$AJ$515,MATCH(LARGE('Calc (scoring engine)'!$I$5:$I$515,12),'Calc (scoring engine)'!$I$5:$I$515,0))),""))</f>
        <v/>
      </c>
      <c r="I32" s="14">
        <f>IF(12&gt;MAX(3,MIN(15,N($B$16))),"",IFERROR(IF(INDEX(Database!$Q$5:$Q$515,MATCH(LARGE('Calc (scoring engine)'!$I$5:$I$515,12),'Calc (scoring engine)'!$I$5:$I$515,0))="","—",INDEX(Database!$Q$5:$Q$515,MATCH(LARGE('Calc (scoring engine)'!$I$5:$I$515,12),'Calc (scoring engine)'!$I$5:$I$515,0))),""))</f>
        <v/>
      </c>
      <c r="J32" s="14">
        <f>IF(12&gt;MAX(3,MIN(15,N($B$16))),"",IFERROR(IF(INDEX(Database!$R$5:$R$515,MATCH(LARGE('Calc (scoring engine)'!$I$5:$I$515,12),'Calc (scoring engine)'!$I$5:$I$515,0))="","—",INDEX(Database!$R$5:$R$515,MATCH(LARGE('Calc (scoring engine)'!$I$5:$I$515,12),'Calc (scoring engine)'!$I$5:$I$515,0))),""))</f>
        <v/>
      </c>
      <c r="K32" s="15">
        <f>IF(12&gt;MAX(3,MIN(15,N($B$16))),"",IFERROR(IF(INDEX(Database!$S$5:$S$515,MATCH(LARGE('Calc (scoring engine)'!$I$5:$I$515,12),'Calc (scoring engine)'!$I$5:$I$515,0))="","—",INDEX(Database!$S$5:$S$515,MATCH(LARGE('Calc (scoring engine)'!$I$5:$I$515,12),'Calc (scoring engine)'!$I$5:$I$515,0))),""))</f>
        <v/>
      </c>
      <c r="L32" s="11">
        <f>IF(12&gt;MAX(3,MIN(15,N($B$16))),"",IFERROR(IF(INDEX(Database!$W$5:$W$515,MATCH(LARGE('Calc (scoring engine)'!$I$5:$I$515,12),'Calc (scoring engine)'!$I$5:$I$515,0))="","—",INDEX(Database!$W$5:$W$515,MATCH(LARGE('Calc (scoring engine)'!$I$5:$I$515,12),'Calc (scoring engine)'!$I$5:$I$515,0))),""))</f>
        <v/>
      </c>
      <c r="M32" s="11">
        <f>IF(12&gt;MAX(3,MIN(15,N($B$16))),"",IFERROR(IF(INDEX(Database!$X$5:$X$515,MATCH(LARGE('Calc (scoring engine)'!$I$5:$I$515,12),'Calc (scoring engine)'!$I$5:$I$515,0))="","—",INDEX(Database!$X$5:$X$515,MATCH(LARGE('Calc (scoring engine)'!$I$5:$I$515,12),'Calc (scoring engine)'!$I$5:$I$515,0))),""))</f>
        <v/>
      </c>
      <c r="N32" s="11">
        <f>IF(12&gt;MAX(3,MIN(15,N($B$16))),"",IFERROR(IF(INDEX(Database!$Y$5:$Y$515,MATCH(LARGE('Calc (scoring engine)'!$I$5:$I$515,12),'Calc (scoring engine)'!$I$5:$I$515,0))="","—",INDEX(Database!$Y$5:$Y$515,MATCH(LARGE('Calc (scoring engine)'!$I$5:$I$515,12),'Calc (scoring engine)'!$I$5:$I$515,0))),""))</f>
        <v/>
      </c>
      <c r="O32" s="11">
        <f>IF(12&gt;MAX(3,MIN(15,N($B$16))),"",IFERROR(IF(INDEX(Database!$Z$5:$Z$515,MATCH(LARGE('Calc (scoring engine)'!$I$5:$I$515,12),'Calc (scoring engine)'!$I$5:$I$515,0))="","—",INDEX(Database!$Z$5:$Z$515,MATCH(LARGE('Calc (scoring engine)'!$I$5:$I$515,12),'Calc (scoring engine)'!$I$5:$I$515,0))),""))</f>
        <v/>
      </c>
      <c r="P32" s="11">
        <f>IF(12&gt;MAX(3,MIN(15,N($B$16))),"",IFERROR(IF(INDEX(Database!$AA$5:$AA$515,MATCH(LARGE('Calc (scoring engine)'!$I$5:$I$515,12),'Calc (scoring engine)'!$I$5:$I$515,0))="","—",INDEX(Database!$AA$5:$AA$515,MATCH(LARGE('Calc (scoring engine)'!$I$5:$I$515,12),'Calc (scoring engine)'!$I$5:$I$515,0))),""))</f>
        <v/>
      </c>
      <c r="Q32" s="11">
        <f>IF(12&gt;MAX(3,MIN(15,N($B$16))),"",IFERROR(IF(INDEX(Database!$AB$5:$AB$515,MATCH(LARGE('Calc (scoring engine)'!$I$5:$I$515,12),'Calc (scoring engine)'!$I$5:$I$515,0))="","—",INDEX(Database!$AB$5:$AB$515,MATCH(LARGE('Calc (scoring engine)'!$I$5:$I$515,12),'Calc (scoring engine)'!$I$5:$I$515,0))),""))</f>
        <v/>
      </c>
      <c r="R32" s="11">
        <f>IF(12&gt;MAX(3,MIN(15,N($B$16))),"",IFERROR(IF(INDEX(Database!$AE$5:$AE$515,MATCH(LARGE('Calc (scoring engine)'!$I$5:$I$515,12),'Calc (scoring engine)'!$I$5:$I$515,0))="","—",INDEX(Database!$AE$5:$AE$515,MATCH(LARGE('Calc (scoring engine)'!$I$5:$I$515,12),'Calc (scoring engine)'!$I$5:$I$515,0))),""))</f>
        <v/>
      </c>
      <c r="S32" s="6">
        <f>IF(12&gt;MAX(3,MIN(15,N($B$16))),"",IFERROR(IF(INDEX(Database!$V$5:$V$515,MATCH(LARGE('Calc (scoring engine)'!$I$5:$I$515,12),'Calc (scoring engine)'!$I$5:$I$515,0))="","—",INDEX(Database!$V$5:$V$515,MATCH(LARGE('Calc (scoring engine)'!$I$5:$I$515,12),'Calc (scoring engine)'!$I$5:$I$515,0))),""))</f>
        <v/>
      </c>
      <c r="T32" s="6">
        <f>IF(12&gt;MAX(3,MIN(15,N($B$16))),"",IFERROR(IF(INDEX(Database!$AK$5:$AK$515,MATCH(LARGE('Calc (scoring engine)'!$I$5:$I$515,12),'Calc (scoring engine)'!$I$5:$I$515,0))="","—",INDEX(Database!$AK$5:$AK$515,MATCH(LARGE('Calc (scoring engine)'!$I$5:$I$515,12),'Calc (scoring engine)'!$I$5:$I$515,0))),""))</f>
        <v/>
      </c>
      <c r="U32" s="11">
        <f>IF(12&gt;MAX(3,MIN(15,N($B$16))),"",IFERROR(IF(INDEX(Database!$AL$5:$AL$515,MATCH(LARGE('Calc (scoring engine)'!$I$5:$I$515,12),'Calc (scoring engine)'!$I$5:$I$515,0))="","N/A",IF(INDEX(Database!$AM$5:$AM$515,MATCH(LARGE('Calc (scoring engine)'!$I$5:$I$515,12),'Calc (scoring engine)'!$I$5:$I$515,0))="","—",INDEX(Database!$AM$5:$AM$515,MATCH(LARGE('Calc (scoring engine)'!$I$5:$I$515,12),'Calc (scoring engine)'!$I$5:$I$515,0)))),""))</f>
        <v/>
      </c>
      <c r="V32" s="22">
        <f>IF(12&gt;MAX(3,MIN(15,N($B$16))),"",IFERROR(IF(INDEX(Database!$AL$5:$AL$515,MATCH(LARGE('Calc (scoring engine)'!$I$5:$I$515,12),'Calc (scoring engine)'!$I$5:$I$515,0))="","N/A",IF(INDEX(Database!$AO$5:$AO$515,MATCH(LARGE('Calc (scoring engine)'!$I$5:$I$515,12),'Calc (scoring engine)'!$I$5:$I$515,0))="","—",INDEX(Database!$AO$5:$AO$515,MATCH(LARGE('Calc (scoring engine)'!$I$5:$I$515,12),'Calc (scoring engine)'!$I$5:$I$515,0)))),""))</f>
        <v/>
      </c>
      <c r="W32" s="6">
        <f>IF(12&gt;MAX(3,MIN(15,N($B$16))),"",IFERROR(IF(INDEX(Database!$AR$5:$AR$515,MATCH(LARGE('Calc (scoring engine)'!$I$5:$I$515,12),'Calc (scoring engine)'!$I$5:$I$515,0))="","—",INDEX(Database!$AR$5:$AR$515,MATCH(LARGE('Calc (scoring engine)'!$I$5:$I$515,12),'Calc (scoring engine)'!$I$5:$I$515,0))),""))</f>
        <v/>
      </c>
      <c r="X32" s="6">
        <f>IF(12&gt;MAX(3,MIN(15,N($B$16))),"",IFERROR(IF(INDEX(Database!$T$5:$T$515,MATCH(LARGE('Calc (scoring engine)'!$I$5:$I$515,12),'Calc (scoring engine)'!$I$5:$I$515,0))="","—",INDEX(Database!$T$5:$T$515,MATCH(LARGE('Calc (scoring engine)'!$I$5:$I$515,12),'Calc (scoring engine)'!$I$5:$I$515,0))),""))</f>
        <v/>
      </c>
      <c r="Y32" s="23">
        <f>IF(12&gt;MAX(3,MIN(15,N($B$16))),"",IFERROR(IF(INDEX('Calc (scoring engine)'!$H$5:$H$515,MATCH(LARGE('Calc (scoring engine)'!$I$5:$I$515,12),'Calc (scoring engine)'!$I$5:$I$515,0))&gt;0,INDEX('Calc (scoring engine)'!$H$5:$H$515,MATCH(LARGE('Calc (scoring engine)'!$I$5:$I$515,12),'Calc (scoring engine)'!$I$5:$I$515,0)),""),""))</f>
        <v/>
      </c>
      <c r="Z32" s="6">
        <f>IF(12&gt;MAX(3,MIN(15,N($B$16))),"",IF(IFERROR(INDEX('Calc (scoring engine)'!$B$5:$B$515,MATCH(LARGE('Calc (scoring engine)'!$I$5:$I$515,12),'Calc (scoring engine)'!$I$5:$I$515,0)),0)=1,"same subsector","sector only"))</f>
        <v/>
      </c>
      <c r="AA32" s="23">
        <f>IF(12&gt;MAX(3,MIN(15,N($B$16))),"",ROUND(IFERROR(LARGE('Calc (scoring engine)'!$I$5:$I$515,12),0),0))</f>
        <v/>
      </c>
      <c r="AB32" s="6">
        <f>IF(12&gt;MAX(3,MIN(15,N($B$16))),"",IFERROR("sub "&amp;INDEX('Calc (scoring engine)'!$B$5:$B$515,MATCH(LARGE('Calc (scoring engine)'!$I$5:$I$515,12),'Calc (scoring engine)'!$I$5:$I$515,0))*W_SUB&amp;" + size "&amp;ROUND(INDEX('Calc (scoring engine)'!$D$5:$D$515,MATCH(LARGE('Calc (scoring engine)'!$I$5:$I$515,12),'Calc (scoring engine)'!$I$5:$I$515,0))*W_SIZE,0)&amp;" + prof "&amp;INDEX('Calc (scoring engine)'!$E$5:$E$515,MATCH(LARGE('Calc (scoring engine)'!$I$5:$I$515,12),'Calc (scoring engine)'!$I$5:$I$515,0))*W_PROF&amp;" + recency "&amp;ROUND(INDEX('Calc (scoring engine)'!$G$5:$G$515,MATCH(LARGE('Calc (scoring engine)'!$I$5:$I$515,12),'Calc (scoring engine)'!$I$5:$I$515,0))*W_REC,0)&amp;IF(INDEX('Calc (scoring engine)'!$H$5:$H$515,MATCH(LARGE('Calc (scoring engine)'!$I$5:$I$515,12),'Calc (scoring engine)'!$I$5:$I$515,0))&gt;0," + shared CS x"&amp;INDEX('Calc (scoring engine)'!$H$5:$H$515,MATCH(LARGE('Calc (scoring engine)'!$I$5:$I$515,12),'Calc (scoring engine)'!$I$5:$I$515,0)),""),""))</f>
        <v/>
      </c>
    </row>
    <row r="33">
      <c r="A33" s="20">
        <f>IF(13&gt;MAX(3,MIN(15,N($B$16))),"",13)</f>
        <v/>
      </c>
      <c r="B33" s="6">
        <f>IF(13&gt;MAX(3,MIN(15,N($B$16))),"",IFERROR(IF(INDEX(Database!$B$5:$B$515,MATCH(LARGE('Calc (scoring engine)'!$I$5:$I$515,13),'Calc (scoring engine)'!$I$5:$I$515,0))="","—",INDEX(Database!$B$5:$B$515,MATCH(LARGE('Calc (scoring engine)'!$I$5:$I$515,13),'Calc (scoring engine)'!$I$5:$I$515,0))),""))</f>
        <v/>
      </c>
      <c r="C33" s="6">
        <f>IF(13&gt;MAX(3,MIN(15,N($B$16))),"",IFERROR(IF(INDEX(Database!$E$5:$E$515,MATCH(LARGE('Calc (scoring engine)'!$I$5:$I$515,13),'Calc (scoring engine)'!$I$5:$I$515,0))="","—",INDEX(Database!$E$5:$E$515,MATCH(LARGE('Calc (scoring engine)'!$I$5:$I$515,13),'Calc (scoring engine)'!$I$5:$I$515,0))),""))</f>
        <v/>
      </c>
      <c r="D33" s="12">
        <f>IF(13&gt;MAX(3,MIN(15,N($B$16))),"",IFERROR(IF(INDEX(Database!$G$5:$G$515,MATCH(LARGE('Calc (scoring engine)'!$I$5:$I$515,13),'Calc (scoring engine)'!$I$5:$I$515,0))="","—",INDEX(Database!$G$5:$G$515,MATCH(LARGE('Calc (scoring engine)'!$I$5:$I$515,13),'Calc (scoring engine)'!$I$5:$I$515,0))),""))</f>
        <v/>
      </c>
      <c r="E33" s="9">
        <f>IF(13&gt;MAX(3,MIN(15,N($B$16))),"",IFERROR(IF(INDEX(Database!$H$5:$H$515,MATCH(LARGE('Calc (scoring engine)'!$I$5:$I$515,13),'Calc (scoring engine)'!$I$5:$I$515,0))="","—",INDEX(Database!$H$5:$H$515,MATCH(LARGE('Calc (scoring engine)'!$I$5:$I$515,13),'Calc (scoring engine)'!$I$5:$I$515,0))),""))</f>
        <v/>
      </c>
      <c r="F33" s="9">
        <f>IF(13&gt;MAX(3,MIN(15,N($B$16))),"",IFERROR(IF(INDEX(Database!$O$5:$O$515,MATCH(LARGE('Calc (scoring engine)'!$I$5:$I$515,13),'Calc (scoring engine)'!$I$5:$I$515,0))="","—",INDEX(Database!$O$5:$O$515,MATCH(LARGE('Calc (scoring engine)'!$I$5:$I$515,13),'Calc (scoring engine)'!$I$5:$I$515,0))),""))</f>
        <v/>
      </c>
      <c r="G33" s="21">
        <f>IF(13&gt;MAX(3,MIN(15,N($B$16))),"",IFERROR(IF(INDEX(Database!$AI$5:$AI$515,MATCH(LARGE('Calc (scoring engine)'!$I$5:$I$515,13),'Calc (scoring engine)'!$I$5:$I$515,0))="",IF(INDEX(Database!$AH$5:$AH$515,MATCH(LARGE('Calc (scoring engine)'!$I$5:$I$515,13),'Calc (scoring engine)'!$I$5:$I$515,0))="N","n/m","—"),INDEX(Database!$AI$5:$AI$515,MATCH(LARGE('Calc (scoring engine)'!$I$5:$I$515,13),'Calc (scoring engine)'!$I$5:$I$515,0))),""))</f>
        <v/>
      </c>
      <c r="H33" s="21">
        <f>IF(13&gt;MAX(3,MIN(15,N($B$16))),"",IFERROR(IF(INDEX(Database!$AJ$5:$AJ$515,MATCH(LARGE('Calc (scoring engine)'!$I$5:$I$515,13),'Calc (scoring engine)'!$I$5:$I$515,0))="","—",INDEX(Database!$AJ$5:$AJ$515,MATCH(LARGE('Calc (scoring engine)'!$I$5:$I$515,13),'Calc (scoring engine)'!$I$5:$I$515,0))),""))</f>
        <v/>
      </c>
      <c r="I33" s="14">
        <f>IF(13&gt;MAX(3,MIN(15,N($B$16))),"",IFERROR(IF(INDEX(Database!$Q$5:$Q$515,MATCH(LARGE('Calc (scoring engine)'!$I$5:$I$515,13),'Calc (scoring engine)'!$I$5:$I$515,0))="","—",INDEX(Database!$Q$5:$Q$515,MATCH(LARGE('Calc (scoring engine)'!$I$5:$I$515,13),'Calc (scoring engine)'!$I$5:$I$515,0))),""))</f>
        <v/>
      </c>
      <c r="J33" s="14">
        <f>IF(13&gt;MAX(3,MIN(15,N($B$16))),"",IFERROR(IF(INDEX(Database!$R$5:$R$515,MATCH(LARGE('Calc (scoring engine)'!$I$5:$I$515,13),'Calc (scoring engine)'!$I$5:$I$515,0))="","—",INDEX(Database!$R$5:$R$515,MATCH(LARGE('Calc (scoring engine)'!$I$5:$I$515,13),'Calc (scoring engine)'!$I$5:$I$515,0))),""))</f>
        <v/>
      </c>
      <c r="K33" s="15">
        <f>IF(13&gt;MAX(3,MIN(15,N($B$16))),"",IFERROR(IF(INDEX(Database!$S$5:$S$515,MATCH(LARGE('Calc (scoring engine)'!$I$5:$I$515,13),'Calc (scoring engine)'!$I$5:$I$515,0))="","—",INDEX(Database!$S$5:$S$515,MATCH(LARGE('Calc (scoring engine)'!$I$5:$I$515,13),'Calc (scoring engine)'!$I$5:$I$515,0))),""))</f>
        <v/>
      </c>
      <c r="L33" s="11">
        <f>IF(13&gt;MAX(3,MIN(15,N($B$16))),"",IFERROR(IF(INDEX(Database!$W$5:$W$515,MATCH(LARGE('Calc (scoring engine)'!$I$5:$I$515,13),'Calc (scoring engine)'!$I$5:$I$515,0))="","—",INDEX(Database!$W$5:$W$515,MATCH(LARGE('Calc (scoring engine)'!$I$5:$I$515,13),'Calc (scoring engine)'!$I$5:$I$515,0))),""))</f>
        <v/>
      </c>
      <c r="M33" s="11">
        <f>IF(13&gt;MAX(3,MIN(15,N($B$16))),"",IFERROR(IF(INDEX(Database!$X$5:$X$515,MATCH(LARGE('Calc (scoring engine)'!$I$5:$I$515,13),'Calc (scoring engine)'!$I$5:$I$515,0))="","—",INDEX(Database!$X$5:$X$515,MATCH(LARGE('Calc (scoring engine)'!$I$5:$I$515,13),'Calc (scoring engine)'!$I$5:$I$515,0))),""))</f>
        <v/>
      </c>
      <c r="N33" s="11">
        <f>IF(13&gt;MAX(3,MIN(15,N($B$16))),"",IFERROR(IF(INDEX(Database!$Y$5:$Y$515,MATCH(LARGE('Calc (scoring engine)'!$I$5:$I$515,13),'Calc (scoring engine)'!$I$5:$I$515,0))="","—",INDEX(Database!$Y$5:$Y$515,MATCH(LARGE('Calc (scoring engine)'!$I$5:$I$515,13),'Calc (scoring engine)'!$I$5:$I$515,0))),""))</f>
        <v/>
      </c>
      <c r="O33" s="11">
        <f>IF(13&gt;MAX(3,MIN(15,N($B$16))),"",IFERROR(IF(INDEX(Database!$Z$5:$Z$515,MATCH(LARGE('Calc (scoring engine)'!$I$5:$I$515,13),'Calc (scoring engine)'!$I$5:$I$515,0))="","—",INDEX(Database!$Z$5:$Z$515,MATCH(LARGE('Calc (scoring engine)'!$I$5:$I$515,13),'Calc (scoring engine)'!$I$5:$I$515,0))),""))</f>
        <v/>
      </c>
      <c r="P33" s="11">
        <f>IF(13&gt;MAX(3,MIN(15,N($B$16))),"",IFERROR(IF(INDEX(Database!$AA$5:$AA$515,MATCH(LARGE('Calc (scoring engine)'!$I$5:$I$515,13),'Calc (scoring engine)'!$I$5:$I$515,0))="","—",INDEX(Database!$AA$5:$AA$515,MATCH(LARGE('Calc (scoring engine)'!$I$5:$I$515,13),'Calc (scoring engine)'!$I$5:$I$515,0))),""))</f>
        <v/>
      </c>
      <c r="Q33" s="11">
        <f>IF(13&gt;MAX(3,MIN(15,N($B$16))),"",IFERROR(IF(INDEX(Database!$AB$5:$AB$515,MATCH(LARGE('Calc (scoring engine)'!$I$5:$I$515,13),'Calc (scoring engine)'!$I$5:$I$515,0))="","—",INDEX(Database!$AB$5:$AB$515,MATCH(LARGE('Calc (scoring engine)'!$I$5:$I$515,13),'Calc (scoring engine)'!$I$5:$I$515,0))),""))</f>
        <v/>
      </c>
      <c r="R33" s="11">
        <f>IF(13&gt;MAX(3,MIN(15,N($B$16))),"",IFERROR(IF(INDEX(Database!$AE$5:$AE$515,MATCH(LARGE('Calc (scoring engine)'!$I$5:$I$515,13),'Calc (scoring engine)'!$I$5:$I$515,0))="","—",INDEX(Database!$AE$5:$AE$515,MATCH(LARGE('Calc (scoring engine)'!$I$5:$I$515,13),'Calc (scoring engine)'!$I$5:$I$515,0))),""))</f>
        <v/>
      </c>
      <c r="S33" s="6">
        <f>IF(13&gt;MAX(3,MIN(15,N($B$16))),"",IFERROR(IF(INDEX(Database!$V$5:$V$515,MATCH(LARGE('Calc (scoring engine)'!$I$5:$I$515,13),'Calc (scoring engine)'!$I$5:$I$515,0))="","—",INDEX(Database!$V$5:$V$515,MATCH(LARGE('Calc (scoring engine)'!$I$5:$I$515,13),'Calc (scoring engine)'!$I$5:$I$515,0))),""))</f>
        <v/>
      </c>
      <c r="T33" s="6">
        <f>IF(13&gt;MAX(3,MIN(15,N($B$16))),"",IFERROR(IF(INDEX(Database!$AK$5:$AK$515,MATCH(LARGE('Calc (scoring engine)'!$I$5:$I$515,13),'Calc (scoring engine)'!$I$5:$I$515,0))="","—",INDEX(Database!$AK$5:$AK$515,MATCH(LARGE('Calc (scoring engine)'!$I$5:$I$515,13),'Calc (scoring engine)'!$I$5:$I$515,0))),""))</f>
        <v/>
      </c>
      <c r="U33" s="11">
        <f>IF(13&gt;MAX(3,MIN(15,N($B$16))),"",IFERROR(IF(INDEX(Database!$AL$5:$AL$515,MATCH(LARGE('Calc (scoring engine)'!$I$5:$I$515,13),'Calc (scoring engine)'!$I$5:$I$515,0))="","N/A",IF(INDEX(Database!$AM$5:$AM$515,MATCH(LARGE('Calc (scoring engine)'!$I$5:$I$515,13),'Calc (scoring engine)'!$I$5:$I$515,0))="","—",INDEX(Database!$AM$5:$AM$515,MATCH(LARGE('Calc (scoring engine)'!$I$5:$I$515,13),'Calc (scoring engine)'!$I$5:$I$515,0)))),""))</f>
        <v/>
      </c>
      <c r="V33" s="22">
        <f>IF(13&gt;MAX(3,MIN(15,N($B$16))),"",IFERROR(IF(INDEX(Database!$AL$5:$AL$515,MATCH(LARGE('Calc (scoring engine)'!$I$5:$I$515,13),'Calc (scoring engine)'!$I$5:$I$515,0))="","N/A",IF(INDEX(Database!$AO$5:$AO$515,MATCH(LARGE('Calc (scoring engine)'!$I$5:$I$515,13),'Calc (scoring engine)'!$I$5:$I$515,0))="","—",INDEX(Database!$AO$5:$AO$515,MATCH(LARGE('Calc (scoring engine)'!$I$5:$I$515,13),'Calc (scoring engine)'!$I$5:$I$515,0)))),""))</f>
        <v/>
      </c>
      <c r="W33" s="6">
        <f>IF(13&gt;MAX(3,MIN(15,N($B$16))),"",IFERROR(IF(INDEX(Database!$AR$5:$AR$515,MATCH(LARGE('Calc (scoring engine)'!$I$5:$I$515,13),'Calc (scoring engine)'!$I$5:$I$515,0))="","—",INDEX(Database!$AR$5:$AR$515,MATCH(LARGE('Calc (scoring engine)'!$I$5:$I$515,13),'Calc (scoring engine)'!$I$5:$I$515,0))),""))</f>
        <v/>
      </c>
      <c r="X33" s="6">
        <f>IF(13&gt;MAX(3,MIN(15,N($B$16))),"",IFERROR(IF(INDEX(Database!$T$5:$T$515,MATCH(LARGE('Calc (scoring engine)'!$I$5:$I$515,13),'Calc (scoring engine)'!$I$5:$I$515,0))="","—",INDEX(Database!$T$5:$T$515,MATCH(LARGE('Calc (scoring engine)'!$I$5:$I$515,13),'Calc (scoring engine)'!$I$5:$I$515,0))),""))</f>
        <v/>
      </c>
      <c r="Y33" s="23">
        <f>IF(13&gt;MAX(3,MIN(15,N($B$16))),"",IFERROR(IF(INDEX('Calc (scoring engine)'!$H$5:$H$515,MATCH(LARGE('Calc (scoring engine)'!$I$5:$I$515,13),'Calc (scoring engine)'!$I$5:$I$515,0))&gt;0,INDEX('Calc (scoring engine)'!$H$5:$H$515,MATCH(LARGE('Calc (scoring engine)'!$I$5:$I$515,13),'Calc (scoring engine)'!$I$5:$I$515,0)),""),""))</f>
        <v/>
      </c>
      <c r="Z33" s="6">
        <f>IF(13&gt;MAX(3,MIN(15,N($B$16))),"",IF(IFERROR(INDEX('Calc (scoring engine)'!$B$5:$B$515,MATCH(LARGE('Calc (scoring engine)'!$I$5:$I$515,13),'Calc (scoring engine)'!$I$5:$I$515,0)),0)=1,"same subsector","sector only"))</f>
        <v/>
      </c>
      <c r="AA33" s="23">
        <f>IF(13&gt;MAX(3,MIN(15,N($B$16))),"",ROUND(IFERROR(LARGE('Calc (scoring engine)'!$I$5:$I$515,13),0),0))</f>
        <v/>
      </c>
      <c r="AB33" s="6">
        <f>IF(13&gt;MAX(3,MIN(15,N($B$16))),"",IFERROR("sub "&amp;INDEX('Calc (scoring engine)'!$B$5:$B$515,MATCH(LARGE('Calc (scoring engine)'!$I$5:$I$515,13),'Calc (scoring engine)'!$I$5:$I$515,0))*W_SUB&amp;" + size "&amp;ROUND(INDEX('Calc (scoring engine)'!$D$5:$D$515,MATCH(LARGE('Calc (scoring engine)'!$I$5:$I$515,13),'Calc (scoring engine)'!$I$5:$I$515,0))*W_SIZE,0)&amp;" + prof "&amp;INDEX('Calc (scoring engine)'!$E$5:$E$515,MATCH(LARGE('Calc (scoring engine)'!$I$5:$I$515,13),'Calc (scoring engine)'!$I$5:$I$515,0))*W_PROF&amp;" + recency "&amp;ROUND(INDEX('Calc (scoring engine)'!$G$5:$G$515,MATCH(LARGE('Calc (scoring engine)'!$I$5:$I$515,13),'Calc (scoring engine)'!$I$5:$I$515,0))*W_REC,0)&amp;IF(INDEX('Calc (scoring engine)'!$H$5:$H$515,MATCH(LARGE('Calc (scoring engine)'!$I$5:$I$515,13),'Calc (scoring engine)'!$I$5:$I$515,0))&gt;0," + shared CS x"&amp;INDEX('Calc (scoring engine)'!$H$5:$H$515,MATCH(LARGE('Calc (scoring engine)'!$I$5:$I$515,13),'Calc (scoring engine)'!$I$5:$I$515,0)),""),""))</f>
        <v/>
      </c>
    </row>
    <row r="34">
      <c r="A34" s="20">
        <f>IF(14&gt;MAX(3,MIN(15,N($B$16))),"",14)</f>
        <v/>
      </c>
      <c r="B34" s="6">
        <f>IF(14&gt;MAX(3,MIN(15,N($B$16))),"",IFERROR(IF(INDEX(Database!$B$5:$B$515,MATCH(LARGE('Calc (scoring engine)'!$I$5:$I$515,14),'Calc (scoring engine)'!$I$5:$I$515,0))="","—",INDEX(Database!$B$5:$B$515,MATCH(LARGE('Calc (scoring engine)'!$I$5:$I$515,14),'Calc (scoring engine)'!$I$5:$I$515,0))),""))</f>
        <v/>
      </c>
      <c r="C34" s="6">
        <f>IF(14&gt;MAX(3,MIN(15,N($B$16))),"",IFERROR(IF(INDEX(Database!$E$5:$E$515,MATCH(LARGE('Calc (scoring engine)'!$I$5:$I$515,14),'Calc (scoring engine)'!$I$5:$I$515,0))="","—",INDEX(Database!$E$5:$E$515,MATCH(LARGE('Calc (scoring engine)'!$I$5:$I$515,14),'Calc (scoring engine)'!$I$5:$I$515,0))),""))</f>
        <v/>
      </c>
      <c r="D34" s="12">
        <f>IF(14&gt;MAX(3,MIN(15,N($B$16))),"",IFERROR(IF(INDEX(Database!$G$5:$G$515,MATCH(LARGE('Calc (scoring engine)'!$I$5:$I$515,14),'Calc (scoring engine)'!$I$5:$I$515,0))="","—",INDEX(Database!$G$5:$G$515,MATCH(LARGE('Calc (scoring engine)'!$I$5:$I$515,14),'Calc (scoring engine)'!$I$5:$I$515,0))),""))</f>
        <v/>
      </c>
      <c r="E34" s="9">
        <f>IF(14&gt;MAX(3,MIN(15,N($B$16))),"",IFERROR(IF(INDEX(Database!$H$5:$H$515,MATCH(LARGE('Calc (scoring engine)'!$I$5:$I$515,14),'Calc (scoring engine)'!$I$5:$I$515,0))="","—",INDEX(Database!$H$5:$H$515,MATCH(LARGE('Calc (scoring engine)'!$I$5:$I$515,14),'Calc (scoring engine)'!$I$5:$I$515,0))),""))</f>
        <v/>
      </c>
      <c r="F34" s="9">
        <f>IF(14&gt;MAX(3,MIN(15,N($B$16))),"",IFERROR(IF(INDEX(Database!$O$5:$O$515,MATCH(LARGE('Calc (scoring engine)'!$I$5:$I$515,14),'Calc (scoring engine)'!$I$5:$I$515,0))="","—",INDEX(Database!$O$5:$O$515,MATCH(LARGE('Calc (scoring engine)'!$I$5:$I$515,14),'Calc (scoring engine)'!$I$5:$I$515,0))),""))</f>
        <v/>
      </c>
      <c r="G34" s="21">
        <f>IF(14&gt;MAX(3,MIN(15,N($B$16))),"",IFERROR(IF(INDEX(Database!$AI$5:$AI$515,MATCH(LARGE('Calc (scoring engine)'!$I$5:$I$515,14),'Calc (scoring engine)'!$I$5:$I$515,0))="",IF(INDEX(Database!$AH$5:$AH$515,MATCH(LARGE('Calc (scoring engine)'!$I$5:$I$515,14),'Calc (scoring engine)'!$I$5:$I$515,0))="N","n/m","—"),INDEX(Database!$AI$5:$AI$515,MATCH(LARGE('Calc (scoring engine)'!$I$5:$I$515,14),'Calc (scoring engine)'!$I$5:$I$515,0))),""))</f>
        <v/>
      </c>
      <c r="H34" s="21">
        <f>IF(14&gt;MAX(3,MIN(15,N($B$16))),"",IFERROR(IF(INDEX(Database!$AJ$5:$AJ$515,MATCH(LARGE('Calc (scoring engine)'!$I$5:$I$515,14),'Calc (scoring engine)'!$I$5:$I$515,0))="","—",INDEX(Database!$AJ$5:$AJ$515,MATCH(LARGE('Calc (scoring engine)'!$I$5:$I$515,14),'Calc (scoring engine)'!$I$5:$I$515,0))),""))</f>
        <v/>
      </c>
      <c r="I34" s="14">
        <f>IF(14&gt;MAX(3,MIN(15,N($B$16))),"",IFERROR(IF(INDEX(Database!$Q$5:$Q$515,MATCH(LARGE('Calc (scoring engine)'!$I$5:$I$515,14),'Calc (scoring engine)'!$I$5:$I$515,0))="","—",INDEX(Database!$Q$5:$Q$515,MATCH(LARGE('Calc (scoring engine)'!$I$5:$I$515,14),'Calc (scoring engine)'!$I$5:$I$515,0))),""))</f>
        <v/>
      </c>
      <c r="J34" s="14">
        <f>IF(14&gt;MAX(3,MIN(15,N($B$16))),"",IFERROR(IF(INDEX(Database!$R$5:$R$515,MATCH(LARGE('Calc (scoring engine)'!$I$5:$I$515,14),'Calc (scoring engine)'!$I$5:$I$515,0))="","—",INDEX(Database!$R$5:$R$515,MATCH(LARGE('Calc (scoring engine)'!$I$5:$I$515,14),'Calc (scoring engine)'!$I$5:$I$515,0))),""))</f>
        <v/>
      </c>
      <c r="K34" s="15">
        <f>IF(14&gt;MAX(3,MIN(15,N($B$16))),"",IFERROR(IF(INDEX(Database!$S$5:$S$515,MATCH(LARGE('Calc (scoring engine)'!$I$5:$I$515,14),'Calc (scoring engine)'!$I$5:$I$515,0))="","—",INDEX(Database!$S$5:$S$515,MATCH(LARGE('Calc (scoring engine)'!$I$5:$I$515,14),'Calc (scoring engine)'!$I$5:$I$515,0))),""))</f>
        <v/>
      </c>
      <c r="L34" s="11">
        <f>IF(14&gt;MAX(3,MIN(15,N($B$16))),"",IFERROR(IF(INDEX(Database!$W$5:$W$515,MATCH(LARGE('Calc (scoring engine)'!$I$5:$I$515,14),'Calc (scoring engine)'!$I$5:$I$515,0))="","—",INDEX(Database!$W$5:$W$515,MATCH(LARGE('Calc (scoring engine)'!$I$5:$I$515,14),'Calc (scoring engine)'!$I$5:$I$515,0))),""))</f>
        <v/>
      </c>
      <c r="M34" s="11">
        <f>IF(14&gt;MAX(3,MIN(15,N($B$16))),"",IFERROR(IF(INDEX(Database!$X$5:$X$515,MATCH(LARGE('Calc (scoring engine)'!$I$5:$I$515,14),'Calc (scoring engine)'!$I$5:$I$515,0))="","—",INDEX(Database!$X$5:$X$515,MATCH(LARGE('Calc (scoring engine)'!$I$5:$I$515,14),'Calc (scoring engine)'!$I$5:$I$515,0))),""))</f>
        <v/>
      </c>
      <c r="N34" s="11">
        <f>IF(14&gt;MAX(3,MIN(15,N($B$16))),"",IFERROR(IF(INDEX(Database!$Y$5:$Y$515,MATCH(LARGE('Calc (scoring engine)'!$I$5:$I$515,14),'Calc (scoring engine)'!$I$5:$I$515,0))="","—",INDEX(Database!$Y$5:$Y$515,MATCH(LARGE('Calc (scoring engine)'!$I$5:$I$515,14),'Calc (scoring engine)'!$I$5:$I$515,0))),""))</f>
        <v/>
      </c>
      <c r="O34" s="11">
        <f>IF(14&gt;MAX(3,MIN(15,N($B$16))),"",IFERROR(IF(INDEX(Database!$Z$5:$Z$515,MATCH(LARGE('Calc (scoring engine)'!$I$5:$I$515,14),'Calc (scoring engine)'!$I$5:$I$515,0))="","—",INDEX(Database!$Z$5:$Z$515,MATCH(LARGE('Calc (scoring engine)'!$I$5:$I$515,14),'Calc (scoring engine)'!$I$5:$I$515,0))),""))</f>
        <v/>
      </c>
      <c r="P34" s="11">
        <f>IF(14&gt;MAX(3,MIN(15,N($B$16))),"",IFERROR(IF(INDEX(Database!$AA$5:$AA$515,MATCH(LARGE('Calc (scoring engine)'!$I$5:$I$515,14),'Calc (scoring engine)'!$I$5:$I$515,0))="","—",INDEX(Database!$AA$5:$AA$515,MATCH(LARGE('Calc (scoring engine)'!$I$5:$I$515,14),'Calc (scoring engine)'!$I$5:$I$515,0))),""))</f>
        <v/>
      </c>
      <c r="Q34" s="11">
        <f>IF(14&gt;MAX(3,MIN(15,N($B$16))),"",IFERROR(IF(INDEX(Database!$AB$5:$AB$515,MATCH(LARGE('Calc (scoring engine)'!$I$5:$I$515,14),'Calc (scoring engine)'!$I$5:$I$515,0))="","—",INDEX(Database!$AB$5:$AB$515,MATCH(LARGE('Calc (scoring engine)'!$I$5:$I$515,14),'Calc (scoring engine)'!$I$5:$I$515,0))),""))</f>
        <v/>
      </c>
      <c r="R34" s="11">
        <f>IF(14&gt;MAX(3,MIN(15,N($B$16))),"",IFERROR(IF(INDEX(Database!$AE$5:$AE$515,MATCH(LARGE('Calc (scoring engine)'!$I$5:$I$515,14),'Calc (scoring engine)'!$I$5:$I$515,0))="","—",INDEX(Database!$AE$5:$AE$515,MATCH(LARGE('Calc (scoring engine)'!$I$5:$I$515,14),'Calc (scoring engine)'!$I$5:$I$515,0))),""))</f>
        <v/>
      </c>
      <c r="S34" s="6">
        <f>IF(14&gt;MAX(3,MIN(15,N($B$16))),"",IFERROR(IF(INDEX(Database!$V$5:$V$515,MATCH(LARGE('Calc (scoring engine)'!$I$5:$I$515,14),'Calc (scoring engine)'!$I$5:$I$515,0))="","—",INDEX(Database!$V$5:$V$515,MATCH(LARGE('Calc (scoring engine)'!$I$5:$I$515,14),'Calc (scoring engine)'!$I$5:$I$515,0))),""))</f>
        <v/>
      </c>
      <c r="T34" s="6">
        <f>IF(14&gt;MAX(3,MIN(15,N($B$16))),"",IFERROR(IF(INDEX(Database!$AK$5:$AK$515,MATCH(LARGE('Calc (scoring engine)'!$I$5:$I$515,14),'Calc (scoring engine)'!$I$5:$I$515,0))="","—",INDEX(Database!$AK$5:$AK$515,MATCH(LARGE('Calc (scoring engine)'!$I$5:$I$515,14),'Calc (scoring engine)'!$I$5:$I$515,0))),""))</f>
        <v/>
      </c>
      <c r="U34" s="11">
        <f>IF(14&gt;MAX(3,MIN(15,N($B$16))),"",IFERROR(IF(INDEX(Database!$AL$5:$AL$515,MATCH(LARGE('Calc (scoring engine)'!$I$5:$I$515,14),'Calc (scoring engine)'!$I$5:$I$515,0))="","N/A",IF(INDEX(Database!$AM$5:$AM$515,MATCH(LARGE('Calc (scoring engine)'!$I$5:$I$515,14),'Calc (scoring engine)'!$I$5:$I$515,0))="","—",INDEX(Database!$AM$5:$AM$515,MATCH(LARGE('Calc (scoring engine)'!$I$5:$I$515,14),'Calc (scoring engine)'!$I$5:$I$515,0)))),""))</f>
        <v/>
      </c>
      <c r="V34" s="22">
        <f>IF(14&gt;MAX(3,MIN(15,N($B$16))),"",IFERROR(IF(INDEX(Database!$AL$5:$AL$515,MATCH(LARGE('Calc (scoring engine)'!$I$5:$I$515,14),'Calc (scoring engine)'!$I$5:$I$515,0))="","N/A",IF(INDEX(Database!$AO$5:$AO$515,MATCH(LARGE('Calc (scoring engine)'!$I$5:$I$515,14),'Calc (scoring engine)'!$I$5:$I$515,0))="","—",INDEX(Database!$AO$5:$AO$515,MATCH(LARGE('Calc (scoring engine)'!$I$5:$I$515,14),'Calc (scoring engine)'!$I$5:$I$515,0)))),""))</f>
        <v/>
      </c>
      <c r="W34" s="6">
        <f>IF(14&gt;MAX(3,MIN(15,N($B$16))),"",IFERROR(IF(INDEX(Database!$AR$5:$AR$515,MATCH(LARGE('Calc (scoring engine)'!$I$5:$I$515,14),'Calc (scoring engine)'!$I$5:$I$515,0))="","—",INDEX(Database!$AR$5:$AR$515,MATCH(LARGE('Calc (scoring engine)'!$I$5:$I$515,14),'Calc (scoring engine)'!$I$5:$I$515,0))),""))</f>
        <v/>
      </c>
      <c r="X34" s="6">
        <f>IF(14&gt;MAX(3,MIN(15,N($B$16))),"",IFERROR(IF(INDEX(Database!$T$5:$T$515,MATCH(LARGE('Calc (scoring engine)'!$I$5:$I$515,14),'Calc (scoring engine)'!$I$5:$I$515,0))="","—",INDEX(Database!$T$5:$T$515,MATCH(LARGE('Calc (scoring engine)'!$I$5:$I$515,14),'Calc (scoring engine)'!$I$5:$I$515,0))),""))</f>
        <v/>
      </c>
      <c r="Y34" s="23">
        <f>IF(14&gt;MAX(3,MIN(15,N($B$16))),"",IFERROR(IF(INDEX('Calc (scoring engine)'!$H$5:$H$515,MATCH(LARGE('Calc (scoring engine)'!$I$5:$I$515,14),'Calc (scoring engine)'!$I$5:$I$515,0))&gt;0,INDEX('Calc (scoring engine)'!$H$5:$H$515,MATCH(LARGE('Calc (scoring engine)'!$I$5:$I$515,14),'Calc (scoring engine)'!$I$5:$I$515,0)),""),""))</f>
        <v/>
      </c>
      <c r="Z34" s="6">
        <f>IF(14&gt;MAX(3,MIN(15,N($B$16))),"",IF(IFERROR(INDEX('Calc (scoring engine)'!$B$5:$B$515,MATCH(LARGE('Calc (scoring engine)'!$I$5:$I$515,14),'Calc (scoring engine)'!$I$5:$I$515,0)),0)=1,"same subsector","sector only"))</f>
        <v/>
      </c>
      <c r="AA34" s="23">
        <f>IF(14&gt;MAX(3,MIN(15,N($B$16))),"",ROUND(IFERROR(LARGE('Calc (scoring engine)'!$I$5:$I$515,14),0),0))</f>
        <v/>
      </c>
      <c r="AB34" s="6">
        <f>IF(14&gt;MAX(3,MIN(15,N($B$16))),"",IFERROR("sub "&amp;INDEX('Calc (scoring engine)'!$B$5:$B$515,MATCH(LARGE('Calc (scoring engine)'!$I$5:$I$515,14),'Calc (scoring engine)'!$I$5:$I$515,0))*W_SUB&amp;" + size "&amp;ROUND(INDEX('Calc (scoring engine)'!$D$5:$D$515,MATCH(LARGE('Calc (scoring engine)'!$I$5:$I$515,14),'Calc (scoring engine)'!$I$5:$I$515,0))*W_SIZE,0)&amp;" + prof "&amp;INDEX('Calc (scoring engine)'!$E$5:$E$515,MATCH(LARGE('Calc (scoring engine)'!$I$5:$I$515,14),'Calc (scoring engine)'!$I$5:$I$515,0))*W_PROF&amp;" + recency "&amp;ROUND(INDEX('Calc (scoring engine)'!$G$5:$G$515,MATCH(LARGE('Calc (scoring engine)'!$I$5:$I$515,14),'Calc (scoring engine)'!$I$5:$I$515,0))*W_REC,0)&amp;IF(INDEX('Calc (scoring engine)'!$H$5:$H$515,MATCH(LARGE('Calc (scoring engine)'!$I$5:$I$515,14),'Calc (scoring engine)'!$I$5:$I$515,0))&gt;0," + shared CS x"&amp;INDEX('Calc (scoring engine)'!$H$5:$H$515,MATCH(LARGE('Calc (scoring engine)'!$I$5:$I$515,14),'Calc (scoring engine)'!$I$5:$I$515,0)),""),""))</f>
        <v/>
      </c>
    </row>
    <row r="35">
      <c r="A35" s="20">
        <f>IF(15&gt;MAX(3,MIN(15,N($B$16))),"",15)</f>
        <v/>
      </c>
      <c r="B35" s="6">
        <f>IF(15&gt;MAX(3,MIN(15,N($B$16))),"",IFERROR(IF(INDEX(Database!$B$5:$B$515,MATCH(LARGE('Calc (scoring engine)'!$I$5:$I$515,15),'Calc (scoring engine)'!$I$5:$I$515,0))="","—",INDEX(Database!$B$5:$B$515,MATCH(LARGE('Calc (scoring engine)'!$I$5:$I$515,15),'Calc (scoring engine)'!$I$5:$I$515,0))),""))</f>
        <v/>
      </c>
      <c r="C35" s="6">
        <f>IF(15&gt;MAX(3,MIN(15,N($B$16))),"",IFERROR(IF(INDEX(Database!$E$5:$E$515,MATCH(LARGE('Calc (scoring engine)'!$I$5:$I$515,15),'Calc (scoring engine)'!$I$5:$I$515,0))="","—",INDEX(Database!$E$5:$E$515,MATCH(LARGE('Calc (scoring engine)'!$I$5:$I$515,15),'Calc (scoring engine)'!$I$5:$I$515,0))),""))</f>
        <v/>
      </c>
      <c r="D35" s="12">
        <f>IF(15&gt;MAX(3,MIN(15,N($B$16))),"",IFERROR(IF(INDEX(Database!$G$5:$G$515,MATCH(LARGE('Calc (scoring engine)'!$I$5:$I$515,15),'Calc (scoring engine)'!$I$5:$I$515,0))="","—",INDEX(Database!$G$5:$G$515,MATCH(LARGE('Calc (scoring engine)'!$I$5:$I$515,15),'Calc (scoring engine)'!$I$5:$I$515,0))),""))</f>
        <v/>
      </c>
      <c r="E35" s="9">
        <f>IF(15&gt;MAX(3,MIN(15,N($B$16))),"",IFERROR(IF(INDEX(Database!$H$5:$H$515,MATCH(LARGE('Calc (scoring engine)'!$I$5:$I$515,15),'Calc (scoring engine)'!$I$5:$I$515,0))="","—",INDEX(Database!$H$5:$H$515,MATCH(LARGE('Calc (scoring engine)'!$I$5:$I$515,15),'Calc (scoring engine)'!$I$5:$I$515,0))),""))</f>
        <v/>
      </c>
      <c r="F35" s="9">
        <f>IF(15&gt;MAX(3,MIN(15,N($B$16))),"",IFERROR(IF(INDEX(Database!$O$5:$O$515,MATCH(LARGE('Calc (scoring engine)'!$I$5:$I$515,15),'Calc (scoring engine)'!$I$5:$I$515,0))="","—",INDEX(Database!$O$5:$O$515,MATCH(LARGE('Calc (scoring engine)'!$I$5:$I$515,15),'Calc (scoring engine)'!$I$5:$I$515,0))),""))</f>
        <v/>
      </c>
      <c r="G35" s="21">
        <f>IF(15&gt;MAX(3,MIN(15,N($B$16))),"",IFERROR(IF(INDEX(Database!$AI$5:$AI$515,MATCH(LARGE('Calc (scoring engine)'!$I$5:$I$515,15),'Calc (scoring engine)'!$I$5:$I$515,0))="",IF(INDEX(Database!$AH$5:$AH$515,MATCH(LARGE('Calc (scoring engine)'!$I$5:$I$515,15),'Calc (scoring engine)'!$I$5:$I$515,0))="N","n/m","—"),INDEX(Database!$AI$5:$AI$515,MATCH(LARGE('Calc (scoring engine)'!$I$5:$I$515,15),'Calc (scoring engine)'!$I$5:$I$515,0))),""))</f>
        <v/>
      </c>
      <c r="H35" s="21">
        <f>IF(15&gt;MAX(3,MIN(15,N($B$16))),"",IFERROR(IF(INDEX(Database!$AJ$5:$AJ$515,MATCH(LARGE('Calc (scoring engine)'!$I$5:$I$515,15),'Calc (scoring engine)'!$I$5:$I$515,0))="","—",INDEX(Database!$AJ$5:$AJ$515,MATCH(LARGE('Calc (scoring engine)'!$I$5:$I$515,15),'Calc (scoring engine)'!$I$5:$I$515,0))),""))</f>
        <v/>
      </c>
      <c r="I35" s="14">
        <f>IF(15&gt;MAX(3,MIN(15,N($B$16))),"",IFERROR(IF(INDEX(Database!$Q$5:$Q$515,MATCH(LARGE('Calc (scoring engine)'!$I$5:$I$515,15),'Calc (scoring engine)'!$I$5:$I$515,0))="","—",INDEX(Database!$Q$5:$Q$515,MATCH(LARGE('Calc (scoring engine)'!$I$5:$I$515,15),'Calc (scoring engine)'!$I$5:$I$515,0))),""))</f>
        <v/>
      </c>
      <c r="J35" s="14">
        <f>IF(15&gt;MAX(3,MIN(15,N($B$16))),"",IFERROR(IF(INDEX(Database!$R$5:$R$515,MATCH(LARGE('Calc (scoring engine)'!$I$5:$I$515,15),'Calc (scoring engine)'!$I$5:$I$515,0))="","—",INDEX(Database!$R$5:$R$515,MATCH(LARGE('Calc (scoring engine)'!$I$5:$I$515,15),'Calc (scoring engine)'!$I$5:$I$515,0))),""))</f>
        <v/>
      </c>
      <c r="K35" s="15">
        <f>IF(15&gt;MAX(3,MIN(15,N($B$16))),"",IFERROR(IF(INDEX(Database!$S$5:$S$515,MATCH(LARGE('Calc (scoring engine)'!$I$5:$I$515,15),'Calc (scoring engine)'!$I$5:$I$515,0))="","—",INDEX(Database!$S$5:$S$515,MATCH(LARGE('Calc (scoring engine)'!$I$5:$I$515,15),'Calc (scoring engine)'!$I$5:$I$515,0))),""))</f>
        <v/>
      </c>
      <c r="L35" s="11">
        <f>IF(15&gt;MAX(3,MIN(15,N($B$16))),"",IFERROR(IF(INDEX(Database!$W$5:$W$515,MATCH(LARGE('Calc (scoring engine)'!$I$5:$I$515,15),'Calc (scoring engine)'!$I$5:$I$515,0))="","—",INDEX(Database!$W$5:$W$515,MATCH(LARGE('Calc (scoring engine)'!$I$5:$I$515,15),'Calc (scoring engine)'!$I$5:$I$515,0))),""))</f>
        <v/>
      </c>
      <c r="M35" s="11">
        <f>IF(15&gt;MAX(3,MIN(15,N($B$16))),"",IFERROR(IF(INDEX(Database!$X$5:$X$515,MATCH(LARGE('Calc (scoring engine)'!$I$5:$I$515,15),'Calc (scoring engine)'!$I$5:$I$515,0))="","—",INDEX(Database!$X$5:$X$515,MATCH(LARGE('Calc (scoring engine)'!$I$5:$I$515,15),'Calc (scoring engine)'!$I$5:$I$515,0))),""))</f>
        <v/>
      </c>
      <c r="N35" s="11">
        <f>IF(15&gt;MAX(3,MIN(15,N($B$16))),"",IFERROR(IF(INDEX(Database!$Y$5:$Y$515,MATCH(LARGE('Calc (scoring engine)'!$I$5:$I$515,15),'Calc (scoring engine)'!$I$5:$I$515,0))="","—",INDEX(Database!$Y$5:$Y$515,MATCH(LARGE('Calc (scoring engine)'!$I$5:$I$515,15),'Calc (scoring engine)'!$I$5:$I$515,0))),""))</f>
        <v/>
      </c>
      <c r="O35" s="11">
        <f>IF(15&gt;MAX(3,MIN(15,N($B$16))),"",IFERROR(IF(INDEX(Database!$Z$5:$Z$515,MATCH(LARGE('Calc (scoring engine)'!$I$5:$I$515,15),'Calc (scoring engine)'!$I$5:$I$515,0))="","—",INDEX(Database!$Z$5:$Z$515,MATCH(LARGE('Calc (scoring engine)'!$I$5:$I$515,15),'Calc (scoring engine)'!$I$5:$I$515,0))),""))</f>
        <v/>
      </c>
      <c r="P35" s="11">
        <f>IF(15&gt;MAX(3,MIN(15,N($B$16))),"",IFERROR(IF(INDEX(Database!$AA$5:$AA$515,MATCH(LARGE('Calc (scoring engine)'!$I$5:$I$515,15),'Calc (scoring engine)'!$I$5:$I$515,0))="","—",INDEX(Database!$AA$5:$AA$515,MATCH(LARGE('Calc (scoring engine)'!$I$5:$I$515,15),'Calc (scoring engine)'!$I$5:$I$515,0))),""))</f>
        <v/>
      </c>
      <c r="Q35" s="11">
        <f>IF(15&gt;MAX(3,MIN(15,N($B$16))),"",IFERROR(IF(INDEX(Database!$AB$5:$AB$515,MATCH(LARGE('Calc (scoring engine)'!$I$5:$I$515,15),'Calc (scoring engine)'!$I$5:$I$515,0))="","—",INDEX(Database!$AB$5:$AB$515,MATCH(LARGE('Calc (scoring engine)'!$I$5:$I$515,15),'Calc (scoring engine)'!$I$5:$I$515,0))),""))</f>
        <v/>
      </c>
      <c r="R35" s="11">
        <f>IF(15&gt;MAX(3,MIN(15,N($B$16))),"",IFERROR(IF(INDEX(Database!$AE$5:$AE$515,MATCH(LARGE('Calc (scoring engine)'!$I$5:$I$515,15),'Calc (scoring engine)'!$I$5:$I$515,0))="","—",INDEX(Database!$AE$5:$AE$515,MATCH(LARGE('Calc (scoring engine)'!$I$5:$I$515,15),'Calc (scoring engine)'!$I$5:$I$515,0))),""))</f>
        <v/>
      </c>
      <c r="S35" s="6">
        <f>IF(15&gt;MAX(3,MIN(15,N($B$16))),"",IFERROR(IF(INDEX(Database!$V$5:$V$515,MATCH(LARGE('Calc (scoring engine)'!$I$5:$I$515,15),'Calc (scoring engine)'!$I$5:$I$515,0))="","—",INDEX(Database!$V$5:$V$515,MATCH(LARGE('Calc (scoring engine)'!$I$5:$I$515,15),'Calc (scoring engine)'!$I$5:$I$515,0))),""))</f>
        <v/>
      </c>
      <c r="T35" s="6">
        <f>IF(15&gt;MAX(3,MIN(15,N($B$16))),"",IFERROR(IF(INDEX(Database!$AK$5:$AK$515,MATCH(LARGE('Calc (scoring engine)'!$I$5:$I$515,15),'Calc (scoring engine)'!$I$5:$I$515,0))="","—",INDEX(Database!$AK$5:$AK$515,MATCH(LARGE('Calc (scoring engine)'!$I$5:$I$515,15),'Calc (scoring engine)'!$I$5:$I$515,0))),""))</f>
        <v/>
      </c>
      <c r="U35" s="11">
        <f>IF(15&gt;MAX(3,MIN(15,N($B$16))),"",IFERROR(IF(INDEX(Database!$AL$5:$AL$515,MATCH(LARGE('Calc (scoring engine)'!$I$5:$I$515,15),'Calc (scoring engine)'!$I$5:$I$515,0))="","N/A",IF(INDEX(Database!$AM$5:$AM$515,MATCH(LARGE('Calc (scoring engine)'!$I$5:$I$515,15),'Calc (scoring engine)'!$I$5:$I$515,0))="","—",INDEX(Database!$AM$5:$AM$515,MATCH(LARGE('Calc (scoring engine)'!$I$5:$I$515,15),'Calc (scoring engine)'!$I$5:$I$515,0)))),""))</f>
        <v/>
      </c>
      <c r="V35" s="22">
        <f>IF(15&gt;MAX(3,MIN(15,N($B$16))),"",IFERROR(IF(INDEX(Database!$AL$5:$AL$515,MATCH(LARGE('Calc (scoring engine)'!$I$5:$I$515,15),'Calc (scoring engine)'!$I$5:$I$515,0))="","N/A",IF(INDEX(Database!$AO$5:$AO$515,MATCH(LARGE('Calc (scoring engine)'!$I$5:$I$515,15),'Calc (scoring engine)'!$I$5:$I$515,0))="","—",INDEX(Database!$AO$5:$AO$515,MATCH(LARGE('Calc (scoring engine)'!$I$5:$I$515,15),'Calc (scoring engine)'!$I$5:$I$515,0)))),""))</f>
        <v/>
      </c>
      <c r="W35" s="6">
        <f>IF(15&gt;MAX(3,MIN(15,N($B$16))),"",IFERROR(IF(INDEX(Database!$AR$5:$AR$515,MATCH(LARGE('Calc (scoring engine)'!$I$5:$I$515,15),'Calc (scoring engine)'!$I$5:$I$515,0))="","—",INDEX(Database!$AR$5:$AR$515,MATCH(LARGE('Calc (scoring engine)'!$I$5:$I$515,15),'Calc (scoring engine)'!$I$5:$I$515,0))),""))</f>
        <v/>
      </c>
      <c r="X35" s="6">
        <f>IF(15&gt;MAX(3,MIN(15,N($B$16))),"",IFERROR(IF(INDEX(Database!$T$5:$T$515,MATCH(LARGE('Calc (scoring engine)'!$I$5:$I$515,15),'Calc (scoring engine)'!$I$5:$I$515,0))="","—",INDEX(Database!$T$5:$T$515,MATCH(LARGE('Calc (scoring engine)'!$I$5:$I$515,15),'Calc (scoring engine)'!$I$5:$I$515,0))),""))</f>
        <v/>
      </c>
      <c r="Y35" s="23">
        <f>IF(15&gt;MAX(3,MIN(15,N($B$16))),"",IFERROR(IF(INDEX('Calc (scoring engine)'!$H$5:$H$515,MATCH(LARGE('Calc (scoring engine)'!$I$5:$I$515,15),'Calc (scoring engine)'!$I$5:$I$515,0))&gt;0,INDEX('Calc (scoring engine)'!$H$5:$H$515,MATCH(LARGE('Calc (scoring engine)'!$I$5:$I$515,15),'Calc (scoring engine)'!$I$5:$I$515,0)),""),""))</f>
        <v/>
      </c>
      <c r="Z35" s="6">
        <f>IF(15&gt;MAX(3,MIN(15,N($B$16))),"",IF(IFERROR(INDEX('Calc (scoring engine)'!$B$5:$B$515,MATCH(LARGE('Calc (scoring engine)'!$I$5:$I$515,15),'Calc (scoring engine)'!$I$5:$I$515,0)),0)=1,"same subsector","sector only"))</f>
        <v/>
      </c>
      <c r="AA35" s="23">
        <f>IF(15&gt;MAX(3,MIN(15,N($B$16))),"",ROUND(IFERROR(LARGE('Calc (scoring engine)'!$I$5:$I$515,15),0),0))</f>
        <v/>
      </c>
      <c r="AB35" s="6">
        <f>IF(15&gt;MAX(3,MIN(15,N($B$16))),"",IFERROR("sub "&amp;INDEX('Calc (scoring engine)'!$B$5:$B$515,MATCH(LARGE('Calc (scoring engine)'!$I$5:$I$515,15),'Calc (scoring engine)'!$I$5:$I$515,0))*W_SUB&amp;" + size "&amp;ROUND(INDEX('Calc (scoring engine)'!$D$5:$D$515,MATCH(LARGE('Calc (scoring engine)'!$I$5:$I$515,15),'Calc (scoring engine)'!$I$5:$I$515,0))*W_SIZE,0)&amp;" + prof "&amp;INDEX('Calc (scoring engine)'!$E$5:$E$515,MATCH(LARGE('Calc (scoring engine)'!$I$5:$I$515,15),'Calc (scoring engine)'!$I$5:$I$515,0))*W_PROF&amp;" + recency "&amp;ROUND(INDEX('Calc (scoring engine)'!$G$5:$G$515,MATCH(LARGE('Calc (scoring engine)'!$I$5:$I$515,15),'Calc (scoring engine)'!$I$5:$I$515,0))*W_REC,0)&amp;IF(INDEX('Calc (scoring engine)'!$H$5:$H$515,MATCH(LARGE('Calc (scoring engine)'!$I$5:$I$515,15),'Calc (scoring engine)'!$I$5:$I$515,0))&gt;0," + shared CS x"&amp;INDEX('Calc (scoring engine)'!$H$5:$H$515,MATCH(LARGE('Calc (scoring engine)'!$I$5:$I$515,15),'Calc (scoring engine)'!$I$5:$I$515,0)),""),""))</f>
        <v/>
      </c>
    </row>
    <row r="36"/>
    <row r="37">
      <c r="A37" s="24" t="inlineStr">
        <is>
          <t>MEDIAN of shown comps</t>
        </is>
      </c>
      <c r="E37" s="9">
        <f>IFERROR(MEDIAN(E21:E35),"")</f>
        <v/>
      </c>
      <c r="F37" s="9">
        <f>IFERROR(MEDIAN(F21:F35),"")</f>
        <v/>
      </c>
      <c r="G37" s="21">
        <f>IFERROR(MEDIAN(G21:G35),"")</f>
        <v/>
      </c>
      <c r="H37" s="21">
        <f>IFERROR(MEDIAN(H21:H35),"")</f>
        <v/>
      </c>
      <c r="I37" s="14">
        <f>IFERROR(MEDIAN(I21:I35),"")</f>
        <v/>
      </c>
      <c r="J37" s="14">
        <f>IFERROR(MEDIAN(J21:J35),"")</f>
        <v/>
      </c>
      <c r="K37" s="15">
        <f>IFERROR(MEDIAN(K21:K35),"")</f>
        <v/>
      </c>
      <c r="L37" s="11">
        <f>IFERROR(MEDIAN(L21:L35),"")</f>
        <v/>
      </c>
      <c r="M37" s="11">
        <f>IFERROR(MEDIAN(M21:M35),"")</f>
        <v/>
      </c>
      <c r="N37" s="11">
        <f>IFERROR(MEDIAN(N21:N35),"")</f>
        <v/>
      </c>
      <c r="O37" s="11">
        <f>IFERROR(MEDIAN(O21:O35),"")</f>
        <v/>
      </c>
      <c r="P37" s="11">
        <f>IFERROR(MEDIAN(P21:P35),"")</f>
        <v/>
      </c>
      <c r="Q37" s="11">
        <f>IFERROR(MEDIAN(Q21:Q35),"")</f>
        <v/>
      </c>
      <c r="R37" s="11">
        <f>IFERROR(MEDIAN(R21:R35),"")</f>
        <v/>
      </c>
      <c r="U37" s="11">
        <f>IFERROR(MEDIAN(U21:U35),"")</f>
        <v/>
      </c>
    </row>
    <row r="38">
      <c r="A38" s="2" t="inlineStr">
        <is>
          <t>P/E shows n/m for loss-makers (use P/S). A/H columns show N/A when the issuer has no A line. '—' means the fact is not on file. Shared CS = how many cornerstone investors the comp has in common with the target.</t>
        </is>
      </c>
    </row>
    <row r="39"/>
    <row r="40">
      <c r="A40" s="3" t="inlineStr">
        <is>
          <t>TARGET vs CLOSEST COMP</t>
        </is>
      </c>
    </row>
    <row r="41">
      <c r="B41" s="7" t="inlineStr">
        <is>
          <t>Target</t>
        </is>
      </c>
      <c r="C41" s="7" t="inlineStr">
        <is>
          <t>Comp #1</t>
        </is>
      </c>
      <c r="D41" s="7" t="inlineStr">
        <is>
          <t>Median of shown</t>
        </is>
      </c>
    </row>
    <row r="42">
      <c r="A42" s="4" t="inlineStr">
        <is>
          <t>Name</t>
        </is>
      </c>
      <c r="B42" s="6">
        <f>$B$5</f>
        <v/>
      </c>
      <c r="C42" s="6">
        <f>IFERROR($B$21,"")</f>
        <v/>
      </c>
    </row>
    <row r="43">
      <c r="A43" s="4" t="inlineStr">
        <is>
          <t>Subsector</t>
        </is>
      </c>
      <c r="B43" s="6">
        <f>$D$9</f>
        <v/>
      </c>
      <c r="C43" s="6">
        <f>IFERROR($C$21,"")</f>
        <v/>
      </c>
    </row>
    <row r="44">
      <c r="A44" s="4" t="inlineStr">
        <is>
          <t>Size HK$m</t>
        </is>
      </c>
      <c r="B44" s="6">
        <f>$D$10</f>
        <v/>
      </c>
      <c r="C44" s="6">
        <f>IFERROR($E$21,"")</f>
        <v/>
      </c>
      <c r="D44" s="6">
        <f>IFERROR($E$37,"")</f>
        <v/>
      </c>
    </row>
    <row r="45">
      <c r="A45" s="4" t="inlineStr">
        <is>
          <t>P/E (x)</t>
        </is>
      </c>
      <c r="B45" s="6">
        <f>"—"</f>
        <v/>
      </c>
      <c r="C45" s="6">
        <f>IFERROR($G$21,"")</f>
        <v/>
      </c>
      <c r="D45" s="6">
        <f>IFERROR($G$37,"")</f>
        <v/>
      </c>
    </row>
    <row r="46">
      <c r="A46" s="4" t="inlineStr">
        <is>
          <t>Public sub (x)</t>
        </is>
      </c>
      <c r="B46" s="6">
        <f>"—"</f>
        <v/>
      </c>
      <c r="C46" s="6">
        <f>IFERROR($I$21,"")</f>
        <v/>
      </c>
      <c r="D46" s="6">
        <f>IFERROR($I$37,"")</f>
        <v/>
      </c>
    </row>
    <row r="47">
      <c r="A47" s="4" t="inlineStr">
        <is>
          <t>Day-1</t>
        </is>
      </c>
      <c r="B47" s="6">
        <f>"—"</f>
        <v/>
      </c>
      <c r="C47" s="6">
        <f>IFERROR($L$21,"")</f>
        <v/>
      </c>
      <c r="D47" s="6">
        <f>IFERROR($L$37,"")</f>
        <v/>
      </c>
    </row>
    <row r="48">
      <c r="A48" s="4" t="inlineStr">
        <is>
          <t>1-month</t>
        </is>
      </c>
      <c r="B48" s="6">
        <f>"—"</f>
        <v/>
      </c>
      <c r="C48" s="6">
        <f>IFERROR($N$21,"")</f>
        <v/>
      </c>
      <c r="D48" s="6">
        <f>IFERROR($N$37,"")</f>
        <v/>
      </c>
    </row>
    <row r="49">
      <c r="A49" s="4" t="inlineStr">
        <is>
          <t>3-month</t>
        </is>
      </c>
      <c r="B49" s="6">
        <f>"—"</f>
        <v/>
      </c>
      <c r="C49" s="6">
        <f>IFERROR($O$21,"")</f>
        <v/>
      </c>
      <c r="D49" s="6">
        <f>IFERROR($O$37,"")</f>
        <v/>
      </c>
    </row>
  </sheetData>
  <mergeCells count="7">
    <mergeCell ref="I19:K19"/>
    <mergeCell ref="Y19:AB19"/>
    <mergeCell ref="T19:V19"/>
    <mergeCell ref="L19:S19"/>
    <mergeCell ref="A19:D19"/>
    <mergeCell ref="E19:H19"/>
    <mergeCell ref="W19:X19"/>
  </mergeCells>
  <conditionalFormatting sqref="A21:AB21">
    <cfRule type="expression" priority="1" dxfId="0">
      <formula>$Z21="same subsector"</formula>
    </cfRule>
    <cfRule type="expression" priority="2" dxfId="1">
      <formula>$Z21="sector only"</formula>
    </cfRule>
  </conditionalFormatting>
  <conditionalFormatting sqref="A22:AB22">
    <cfRule type="expression" priority="3" dxfId="0">
      <formula>$Z22="same subsector"</formula>
    </cfRule>
    <cfRule type="expression" priority="4" dxfId="1">
      <formula>$Z22="sector only"</formula>
    </cfRule>
  </conditionalFormatting>
  <conditionalFormatting sqref="A23:AB23">
    <cfRule type="expression" priority="5" dxfId="0">
      <formula>$Z23="same subsector"</formula>
    </cfRule>
    <cfRule type="expression" priority="6" dxfId="1">
      <formula>$Z23="sector only"</formula>
    </cfRule>
  </conditionalFormatting>
  <conditionalFormatting sqref="A24:AB24">
    <cfRule type="expression" priority="7" dxfId="0">
      <formula>$Z24="same subsector"</formula>
    </cfRule>
    <cfRule type="expression" priority="8" dxfId="1">
      <formula>$Z24="sector only"</formula>
    </cfRule>
  </conditionalFormatting>
  <conditionalFormatting sqref="A25:AB25">
    <cfRule type="expression" priority="9" dxfId="0">
      <formula>$Z25="same subsector"</formula>
    </cfRule>
    <cfRule type="expression" priority="10" dxfId="1">
      <formula>$Z25="sector only"</formula>
    </cfRule>
  </conditionalFormatting>
  <conditionalFormatting sqref="A26:AB26">
    <cfRule type="expression" priority="11" dxfId="0">
      <formula>$Z26="same subsector"</formula>
    </cfRule>
    <cfRule type="expression" priority="12" dxfId="1">
      <formula>$Z26="sector only"</formula>
    </cfRule>
  </conditionalFormatting>
  <conditionalFormatting sqref="A27:AB27">
    <cfRule type="expression" priority="13" dxfId="0">
      <formula>$Z27="same subsector"</formula>
    </cfRule>
    <cfRule type="expression" priority="14" dxfId="1">
      <formula>$Z27="sector only"</formula>
    </cfRule>
  </conditionalFormatting>
  <conditionalFormatting sqref="A28:AB28">
    <cfRule type="expression" priority="15" dxfId="0">
      <formula>$Z28="same subsector"</formula>
    </cfRule>
    <cfRule type="expression" priority="16" dxfId="1">
      <formula>$Z28="sector only"</formula>
    </cfRule>
  </conditionalFormatting>
  <conditionalFormatting sqref="A29:AB29">
    <cfRule type="expression" priority="17" dxfId="0">
      <formula>$Z29="same subsector"</formula>
    </cfRule>
    <cfRule type="expression" priority="18" dxfId="1">
      <formula>$Z29="sector only"</formula>
    </cfRule>
  </conditionalFormatting>
  <conditionalFormatting sqref="A30:AB30">
    <cfRule type="expression" priority="19" dxfId="0">
      <formula>$Z30="same subsector"</formula>
    </cfRule>
    <cfRule type="expression" priority="20" dxfId="1">
      <formula>$Z30="sector only"</formula>
    </cfRule>
  </conditionalFormatting>
  <conditionalFormatting sqref="A31:AB31">
    <cfRule type="expression" priority="21" dxfId="0">
      <formula>$Z31="same subsector"</formula>
    </cfRule>
    <cfRule type="expression" priority="22" dxfId="1">
      <formula>$Z31="sector only"</formula>
    </cfRule>
  </conditionalFormatting>
  <conditionalFormatting sqref="A32:AB32">
    <cfRule type="expression" priority="23" dxfId="0">
      <formula>$Z32="same subsector"</formula>
    </cfRule>
    <cfRule type="expression" priority="24" dxfId="1">
      <formula>$Z32="sector only"</formula>
    </cfRule>
  </conditionalFormatting>
  <conditionalFormatting sqref="A33:AB33">
    <cfRule type="expression" priority="25" dxfId="0">
      <formula>$Z33="same subsector"</formula>
    </cfRule>
    <cfRule type="expression" priority="26" dxfId="1">
      <formula>$Z33="sector only"</formula>
    </cfRule>
  </conditionalFormatting>
  <conditionalFormatting sqref="A34:AB34">
    <cfRule type="expression" priority="27" dxfId="0">
      <formula>$Z34="same subsector"</formula>
    </cfRule>
    <cfRule type="expression" priority="28" dxfId="1">
      <formula>$Z34="sector only"</formula>
    </cfRule>
  </conditionalFormatting>
  <conditionalFormatting sqref="A35:AB35">
    <cfRule type="expression" priority="29" dxfId="0">
      <formula>$Z35="same subsector"</formula>
    </cfRule>
    <cfRule type="expression" priority="30" dxfId="1">
      <formula>$Z35="sector only"</formula>
    </cfRule>
  </conditionalFormatting>
  <conditionalFormatting sqref="A21:AB35">
    <cfRule type="expression" priority="31" dxfId="2" stopIfTrue="0">
      <formula>MOD(ROW(),2)=0</formula>
    </cfRule>
  </conditionalFormatting>
  <dataValidations count="3">
    <dataValidation sqref="B5" showDropDown="0" showInputMessage="0" showErrorMessage="0" allowBlank="1" type="list">
      <formula1>=AllDeals</formula1>
    </dataValidation>
    <dataValidation sqref="B15" showDropDown="0" showInputMessage="0" showErrorMessage="0" allowBlank="0" type="list">
      <formula1>"standard,cornerstone overlap first"</formula1>
    </dataValidation>
    <dataValidation sqref="B17"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W51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9" customWidth="1" min="6" max="6"/>
    <col width="11" customWidth="1" min="7" max="7"/>
    <col width="12" customWidth="1" min="8" max="8"/>
    <col width="15" customWidth="1" min="9" max="9"/>
    <col width="9" customWidth="1" min="10" max="10"/>
    <col width="9" customWidth="1" min="11" max="11"/>
    <col width="9" customWidth="1" min="12" max="12"/>
    <col width="8" customWidth="1" min="13" max="13"/>
    <col width="8" customWidth="1" min="14" max="14"/>
    <col width="12" customWidth="1" min="15" max="15"/>
    <col width="26" customWidth="1" min="16" max="16"/>
    <col width="10" customWidth="1" min="17" max="17"/>
    <col width="9" customWidth="1" min="18" max="18"/>
    <col width="11" customWidth="1" min="19" max="19"/>
    <col width="46" customWidth="1" min="20" max="20"/>
    <col width="9" customWidth="1" min="21" max="21"/>
    <col width="17" customWidth="1" min="22" max="22"/>
    <col width="9" customWidth="1" min="23" max="23"/>
    <col width="9" customWidth="1" min="24" max="24"/>
    <col width="9" customWidth="1" min="25" max="25"/>
    <col width="9" customWidth="1" min="26" max="26"/>
    <col width="9" customWidth="1" min="27" max="27"/>
    <col width="10" customWidth="1" min="28" max="28"/>
    <col width="9" customWidth="1" min="29" max="29"/>
    <col width="22" customWidth="1" min="30" max="30"/>
    <col width="10" customWidth="1" min="31" max="31"/>
    <col width="11" customWidth="1" min="32" max="32"/>
    <col width="11" customWidth="1" min="33" max="33"/>
    <col width="8" customWidth="1" min="34" max="34"/>
    <col width="8" customWidth="1" min="35" max="35"/>
    <col width="8" customWidth="1" min="36" max="36"/>
    <col width="8" customWidth="1" min="37" max="37"/>
    <col width="11" customWidth="1" min="38" max="38"/>
    <col width="11" customWidth="1" min="39" max="39"/>
    <col width="10" customWidth="1" min="40" max="40"/>
    <col width="11" customWidth="1" min="41" max="41"/>
    <col width="30" customWidth="1" min="42" max="42"/>
    <col width="30" customWidth="1" min="43" max="43"/>
    <col width="34" customWidth="1" min="44" max="44"/>
    <col width="34" customWidth="1" min="45" max="45"/>
    <col width="11" customWidth="1" min="46" max="46"/>
    <col width="13" customWidth="1" min="47" max="47"/>
    <col width="15" customWidth="1" min="48" max="48"/>
    <col width="64" customWidth="1" min="49" max="49"/>
  </cols>
  <sheetData>
    <row r="1">
      <c r="A1" s="1" t="inlineStr">
        <is>
          <t>HK IPO DATABASE — Main Board IPOs 2021–2026</t>
        </is>
      </c>
    </row>
    <row r="2">
      <c r="A2" s="2" t="inlineStr">
        <is>
          <t>one row per deal · money HK$m · % in percent units · sign: Day-1 + = closed above offer  ·  fill legend: green=cross-checked  amber=judgment/estimated  orange=source conflict  grey=derived</t>
        </is>
      </c>
    </row>
    <row r="3">
      <c r="A3" s="7" t="inlineStr">
        <is>
          <t>IDENTITY</t>
        </is>
      </c>
      <c r="B3" s="17" t="n"/>
      <c r="C3" s="17" t="n"/>
      <c r="D3" s="17" t="n"/>
      <c r="E3" s="17" t="n"/>
      <c r="F3" s="17" t="n"/>
      <c r="G3" s="18" t="n"/>
      <c r="H3" s="7" t="inlineStr">
        <is>
          <t>DEAL TERMS</t>
        </is>
      </c>
      <c r="I3" s="17" t="n"/>
      <c r="J3" s="17" t="n"/>
      <c r="K3" s="17" t="n"/>
      <c r="L3" s="17" t="n"/>
      <c r="M3" s="17" t="n"/>
      <c r="N3" s="17" t="n"/>
      <c r="O3" s="17" t="n"/>
      <c r="P3" s="18" t="n"/>
      <c r="Q3" s="7" t="inlineStr">
        <is>
          <t>DEMAND</t>
        </is>
      </c>
      <c r="R3" s="17" t="n"/>
      <c r="S3" s="17" t="n"/>
      <c r="T3" s="17" t="n"/>
      <c r="U3" s="17" t="n"/>
      <c r="V3" s="18" t="n"/>
      <c r="W3" s="7" t="inlineStr">
        <is>
          <t>PERFORMANCE</t>
        </is>
      </c>
      <c r="X3" s="17" t="n"/>
      <c r="Y3" s="17" t="n"/>
      <c r="Z3" s="17" t="n"/>
      <c r="AA3" s="17" t="n"/>
      <c r="AB3" s="17" t="n"/>
      <c r="AC3" s="17" t="n"/>
      <c r="AD3" s="17" t="n"/>
      <c r="AE3" s="18" t="n"/>
      <c r="AF3" s="7" t="inlineStr">
        <is>
          <t>FUNDAMENTALS</t>
        </is>
      </c>
      <c r="AG3" s="17" t="n"/>
      <c r="AH3" s="17" t="n"/>
      <c r="AI3" s="17" t="n"/>
      <c r="AJ3" s="18" t="n"/>
      <c r="AK3" s="7" t="inlineStr">
        <is>
          <t>A / H</t>
        </is>
      </c>
      <c r="AL3" s="17" t="n"/>
      <c r="AM3" s="17" t="n"/>
      <c r="AN3" s="17" t="n"/>
      <c r="AO3" s="18" t="n"/>
      <c r="AP3" s="7" t="inlineStr">
        <is>
          <t>BANKS &amp; DOCS</t>
        </is>
      </c>
      <c r="AQ3" s="17" t="n"/>
      <c r="AR3" s="17" t="n"/>
      <c r="AS3" s="17" t="n"/>
      <c r="AT3" s="17" t="n"/>
      <c r="AU3" s="17" t="n"/>
      <c r="AV3" s="18" t="n"/>
      <c r="AW3" s="7" t="inlineStr">
        <is>
          <t>NOTES</t>
        </is>
      </c>
    </row>
    <row r="4" ht="30" customHeight="1">
      <c r="A4" s="19" t="inlineStr">
        <is>
          <t>Code</t>
        </is>
      </c>
      <c r="B4" s="19" t="inlineStr">
        <is>
          <t>Name</t>
        </is>
      </c>
      <c r="C4" s="19" t="inlineStr">
        <is>
          <t>Name (CN)</t>
        </is>
      </c>
      <c r="D4" s="19" t="inlineStr">
        <is>
          <t>Sector</t>
        </is>
      </c>
      <c r="E4" s="19" t="inlineStr">
        <is>
          <t>Subsector</t>
        </is>
      </c>
      <c r="F4" s="19" t="inlineStr">
        <is>
          <t>Regime</t>
        </is>
      </c>
      <c r="G4" s="19" t="inlineStr">
        <is>
          <t>IPO date</t>
        </is>
      </c>
      <c r="H4" s="19" t="inlineStr">
        <is>
          <t>Deal size (HK$m)</t>
        </is>
      </c>
      <c r="I4" s="19" t="inlineStr">
        <is>
          <t>Size basis</t>
        </is>
      </c>
      <c r="J4" s="19" t="inlineStr">
        <is>
          <t>Range low (HK$)</t>
        </is>
      </c>
      <c r="K4" s="19" t="inlineStr">
        <is>
          <t>Max/cap (HK$)</t>
        </is>
      </c>
      <c r="L4" s="19" t="inlineStr">
        <is>
          <t>Final px (HK$)</t>
        </is>
      </c>
      <c r="M4" s="19" t="inlineStr">
        <is>
          <t>Priced at cap</t>
        </is>
      </c>
      <c r="N4" s="19" t="inlineStr">
        <is>
          <t>% of cap</t>
        </is>
      </c>
      <c r="O4" s="19" t="inlineStr">
        <is>
          <t>Mkt cap at IPO (HK$m)</t>
        </is>
      </c>
      <c r="P4" s="19" t="inlineStr">
        <is>
          <t>Mkt cap basis</t>
        </is>
      </c>
      <c r="Q4" s="19" t="inlineStr">
        <is>
          <t>Public sub (x)</t>
        </is>
      </c>
      <c r="R4" s="19" t="inlineStr">
        <is>
          <t>Intl sub (x)</t>
        </is>
      </c>
      <c r="S4" s="19" t="inlineStr">
        <is>
          <t>Cornerstone (% of offer)</t>
        </is>
      </c>
      <c r="T4" s="19" t="inlineStr">
        <is>
          <t>Cornerstone investors</t>
        </is>
      </c>
      <c r="U4" s="19" t="inlineStr">
        <is>
          <t>Greenshoe size (%)</t>
        </is>
      </c>
      <c r="V4" s="19" t="inlineStr">
        <is>
          <t>Shoe outcome (final)</t>
        </is>
      </c>
      <c r="W4" s="19" t="inlineStr">
        <is>
          <t>Day-1</t>
        </is>
      </c>
      <c r="X4" s="19" t="inlineStr">
        <is>
          <t>1-week</t>
        </is>
      </c>
      <c r="Y4" s="19" t="inlineStr">
        <is>
          <t>1-month</t>
        </is>
      </c>
      <c r="Z4" s="19" t="inlineStr">
        <is>
          <t>3-month</t>
        </is>
      </c>
      <c r="AA4" s="19" t="inlineStr">
        <is>
          <t>1m ex-pop</t>
        </is>
      </c>
      <c r="AB4" s="19" t="inlineStr">
        <is>
          <t>Alpha 1m vs index</t>
        </is>
      </c>
      <c r="AC4" s="19" t="inlineStr">
        <is>
          <t>Index 1m</t>
        </is>
      </c>
      <c r="AD4" s="19" t="inlineStr">
        <is>
          <t>Benchmark</t>
        </is>
      </c>
      <c r="AE4" s="19" t="inlineStr">
        <is>
          <t>Since IPO</t>
        </is>
      </c>
      <c r="AF4" s="19" t="inlineStr">
        <is>
          <t>Latest FY rev (HK$m)</t>
        </is>
      </c>
      <c r="AG4" s="19" t="inlineStr">
        <is>
          <t>Latest FY NI (HK$m)</t>
        </is>
      </c>
      <c r="AH4" s="19" t="inlineStr">
        <is>
          <t>Profitable</t>
        </is>
      </c>
      <c r="AI4" s="19" t="inlineStr">
        <is>
          <t>P/E at IPO</t>
        </is>
      </c>
      <c r="AJ4" s="19" t="inlineStr">
        <is>
          <t>P/S at IPO</t>
        </is>
      </c>
      <c r="AK4" s="19" t="inlineStr">
        <is>
          <t>A/H pair</t>
        </is>
      </c>
      <c r="AL4" s="19" t="inlineStr">
        <is>
          <t>A-share code</t>
        </is>
      </c>
      <c r="AM4" s="19" t="inlineStr">
        <is>
          <t>H disc vs A at IPO</t>
        </is>
      </c>
      <c r="AN4" s="19" t="inlineStr">
        <is>
          <t>A close used (HK$)</t>
        </is>
      </c>
      <c r="AO4" s="19" t="inlineStr">
        <is>
          <t>A/H premium (today)</t>
        </is>
      </c>
      <c r="AP4" s="19" t="inlineStr">
        <is>
          <t>Sponsors</t>
        </is>
      </c>
      <c r="AQ4" s="19" t="inlineStr">
        <is>
          <t>Sponsors (AAStocks)</t>
        </is>
      </c>
      <c r="AR4" s="19" t="inlineStr">
        <is>
          <t>Bookrunners</t>
        </is>
      </c>
      <c r="AS4" s="19" t="inlineStr">
        <is>
          <t>Underwriters (AAStocks)</t>
        </is>
      </c>
      <c r="AT4" s="19" t="inlineStr">
        <is>
          <t>Prospectus</t>
        </is>
      </c>
      <c r="AU4" s="19" t="inlineStr">
        <is>
          <t>Allotment result</t>
        </is>
      </c>
      <c r="AV4" s="19" t="inlineStr">
        <is>
          <t>Stabilisation notice</t>
        </is>
      </c>
      <c r="AW4" s="19" t="inlineStr">
        <is>
          <t>Why anything is blank</t>
        </is>
      </c>
    </row>
    <row r="5">
      <c r="A5" s="25" t="inlineStr">
        <is>
          <t>9600</t>
        </is>
      </c>
      <c r="B5" s="26" t="inlineStr">
        <is>
          <t>NEWLINK TECH</t>
        </is>
      </c>
      <c r="C5" s="26" t="inlineStr">
        <is>
          <t>新紐科技</t>
        </is>
      </c>
      <c r="D5" s="26" t="inlineStr">
        <is>
          <t>Healthcare</t>
        </is>
      </c>
      <c r="E5" s="26" t="inlineStr">
        <is>
          <t>Digital health</t>
        </is>
      </c>
      <c r="F5" s="26" t="inlineStr">
        <is>
          <t>Standard</t>
        </is>
      </c>
      <c r="G5" s="27" t="n">
        <v>44202</v>
      </c>
      <c r="H5" s="28" t="n">
        <v>520.1</v>
      </c>
      <c r="I5" s="26" t="inlineStr">
        <is>
          <t>net proceeds</t>
        </is>
      </c>
      <c r="J5" s="29" t="n">
        <v>3.06</v>
      </c>
      <c r="K5" s="29" t="n">
        <v>4.36</v>
      </c>
      <c r="L5" s="29" t="n">
        <v>4.36</v>
      </c>
      <c r="M5" s="26" t="inlineStr">
        <is>
          <t>Y</t>
        </is>
      </c>
      <c r="N5" s="30" t="n">
        <v>100</v>
      </c>
      <c r="O5" s="28" t="n">
        <v>3488</v>
      </c>
      <c r="P5" s="26" t="inlineStr">
        <is>
          <t>aastocks:上市市值 at the struck price</t>
        </is>
      </c>
      <c r="Q5" s="31" t="n">
        <v>446.57</v>
      </c>
      <c r="R5" s="32" t="n">
        <v>2.4</v>
      </c>
      <c r="S5" s="33" t="n">
        <v>25.8</v>
      </c>
      <c r="T5" s="26" t="inlineStr">
        <is>
          <t>財通基金管理有限公司; 弘毅金涌特殊機會投資1號私募證券投資基金</t>
        </is>
      </c>
      <c r="U5" s="30" t="n">
        <v>10</v>
      </c>
      <c r="V5" s="26" t="inlineStr">
        <is>
          <t>lapsed</t>
        </is>
      </c>
      <c r="W5" s="34" t="n">
        <v>-5.96</v>
      </c>
      <c r="X5" s="34" t="n">
        <v>-11.24</v>
      </c>
      <c r="Y5" s="34" t="n">
        <v>-27.98</v>
      </c>
      <c r="Z5" s="34" t="n">
        <v>-50.23</v>
      </c>
      <c r="AA5" s="34" t="n">
        <v>-23.42</v>
      </c>
      <c r="AB5" s="34" t="n">
        <v>-41.54</v>
      </c>
      <c r="AC5" s="34" t="n">
        <v>13.56</v>
      </c>
      <c r="AD5" s="26" t="inlineStr">
        <is>
          <t>China Biotech ETF (HS biotech proxy)</t>
        </is>
      </c>
      <c r="AE5" s="34" t="n">
        <v>-96.44</v>
      </c>
      <c r="AF5" s="28" t="n">
        <v>0</v>
      </c>
      <c r="AG5" s="28" t="n">
        <v>36.4</v>
      </c>
      <c r="AH5" s="26" t="inlineStr">
        <is>
          <t>Y</t>
        </is>
      </c>
      <c r="AI5" s="35" t="n">
        <v>95.8</v>
      </c>
      <c r="AJ5" s="35" t="n"/>
      <c r="AK5" s="26" t="inlineStr">
        <is>
          <t>N</t>
        </is>
      </c>
      <c r="AL5" s="36">
        <f>IF('BBG Verify'!K5="","not filed — run on terminal",'BBG Verify'!K5)</f>
        <v/>
      </c>
      <c r="AM5" s="26" t="inlineStr">
        <is>
          <t>N/A</t>
        </is>
      </c>
      <c r="AN5" s="26" t="inlineStr">
        <is>
          <t>N/A</t>
        </is>
      </c>
      <c r="AO5" s="26" t="inlineStr">
        <is>
          <t>N/A</t>
        </is>
      </c>
      <c r="AP5" s="26" t="inlineStr">
        <is>
          <t>Mont Avenir Capital Limited</t>
        </is>
      </c>
      <c r="AQ5" s="26" t="inlineStr">
        <is>
          <t>未來金融有限公司</t>
        </is>
      </c>
      <c r="AR5" s="26" t="inlineStr">
        <is>
          <t>Lead Bookrunner and Lead Manager Mont Avenir Capital Limited; Managers SPDB International Capital Limited; Futu Securities International (Hong Kong) Limited; AMTD Global Markets Limited; China Merchants Securities (HK) Co., Limited</t>
        </is>
      </c>
      <c r="AS5" s="26" t="inlineStr">
        <is>
          <t>尚乘環球市場有限公司; 招商證券(香港)有限公司; 富途證券國際（香港）有限公司; 未來金融有限公司; 浦銀國際融資有限公司</t>
        </is>
      </c>
      <c r="AT5" s="37">
        <f>HYPERLINK("https://www1.hkexnews.hk/listedco/listconews/sehk/2020/1221/2020122100005.pdf","prospectus")</f>
        <v/>
      </c>
      <c r="AU5" s="37">
        <f>HYPERLINK("https://www1.hkexnews.hk/listedco/listconews/sehk/2021/0105/2021010500020.htm","allotment")</f>
        <v/>
      </c>
      <c r="AV5" s="37">
        <f>HYPERLINK("https://www1.hkexnews.hk/listedco/listconews/sehk/2021/0124/2021012400011.pdf","stabilisation")</f>
        <v/>
      </c>
      <c r="AW5" s="26" t="inlineStr">
        <is>
          <t>A/H: no A-share listing · market cap: estimate from deal size / offer % of enlarged capital disagreed with the published listing cap — published figure adopted</t>
        </is>
      </c>
    </row>
    <row r="6">
      <c r="A6" s="25" t="inlineStr">
        <is>
          <t>1855</t>
        </is>
      </c>
      <c r="B6" s="26" t="inlineStr">
        <is>
          <t>ZONBONG ENVIRO</t>
        </is>
      </c>
      <c r="C6" s="26" t="inlineStr">
        <is>
          <t>中慶股份</t>
        </is>
      </c>
      <c r="D6" s="26" t="inlineStr">
        <is>
          <t>Industrials</t>
        </is>
      </c>
      <c r="E6" s="26" t="inlineStr">
        <is>
          <t>Construction / engineering</t>
        </is>
      </c>
      <c r="F6" s="26" t="inlineStr">
        <is>
          <t>Standard</t>
        </is>
      </c>
      <c r="G6" s="27" t="n">
        <v>44202</v>
      </c>
      <c r="H6" s="28" t="n">
        <v>54.7</v>
      </c>
      <c r="I6" s="26" t="inlineStr">
        <is>
          <t>net proceeds</t>
        </is>
      </c>
      <c r="J6" s="29" t="n"/>
      <c r="K6" s="29" t="n">
        <v>2</v>
      </c>
      <c r="L6" s="29" t="n">
        <v>2</v>
      </c>
      <c r="M6" s="26" t="inlineStr">
        <is>
          <t>Y</t>
        </is>
      </c>
      <c r="N6" s="30" t="n">
        <v>100</v>
      </c>
      <c r="O6" s="28" t="n">
        <v>594</v>
      </c>
      <c r="P6" s="26" t="inlineStr">
        <is>
          <t>aastocks:上市市值 at the struck price</t>
        </is>
      </c>
      <c r="Q6" s="31" t="n">
        <v>36.25</v>
      </c>
      <c r="R6" s="32" t="n">
        <v>1.01</v>
      </c>
      <c r="S6" s="33" t="n">
        <v>0</v>
      </c>
      <c r="T6" s="26" t="n"/>
      <c r="U6" s="30" t="n">
        <v>15</v>
      </c>
      <c r="V6" s="26" t="inlineStr">
        <is>
          <t>lapsed</t>
        </is>
      </c>
      <c r="W6" s="34" t="n">
        <v>2.5</v>
      </c>
      <c r="X6" s="34" t="n">
        <v>-5</v>
      </c>
      <c r="Y6" s="34" t="n">
        <v>-5</v>
      </c>
      <c r="Z6" s="34" t="n">
        <v>3.5</v>
      </c>
      <c r="AA6" s="34" t="n">
        <v>-7.32</v>
      </c>
      <c r="AB6" s="34" t="n">
        <v>-15.56</v>
      </c>
      <c r="AC6" s="34" t="n">
        <v>10.56</v>
      </c>
      <c r="AD6" s="26" t="inlineStr">
        <is>
          <t>Hang Seng Commerce &amp; Industry sub-index</t>
        </is>
      </c>
      <c r="AE6" s="34" t="n">
        <v>-89.7</v>
      </c>
      <c r="AF6" s="28" t="n">
        <v>2.2</v>
      </c>
      <c r="AG6" s="28" t="n">
        <v>54.4</v>
      </c>
      <c r="AH6" s="26" t="inlineStr">
        <is>
          <t>Y</t>
        </is>
      </c>
      <c r="AI6" s="35" t="n">
        <v>10.9</v>
      </c>
      <c r="AJ6" s="35" t="n">
        <v>270</v>
      </c>
      <c r="AK6" s="26" t="inlineStr">
        <is>
          <t>N</t>
        </is>
      </c>
      <c r="AL6" s="36">
        <f>IF('BBG Verify'!K6="","not filed — run on terminal",'BBG Verify'!K6)</f>
        <v/>
      </c>
      <c r="AM6" s="26" t="inlineStr">
        <is>
          <t>N/A</t>
        </is>
      </c>
      <c r="AN6" s="26" t="inlineStr">
        <is>
          <t>N/A</t>
        </is>
      </c>
      <c r="AO6" s="26" t="inlineStr">
        <is>
          <t>N/A</t>
        </is>
      </c>
      <c r="AP6" s="26" t="inlineStr">
        <is>
          <t>China Tonghai Capital Limited</t>
        </is>
      </c>
      <c r="AQ6" s="26" t="inlineStr">
        <is>
          <t>中國通海企業融資有限公司</t>
        </is>
      </c>
      <c r="AR6" s="26" t="inlineStr">
        <is>
          <t>China Tonghai Securities Limited; CMBC Securities Company Limited; Southwest Securities (HK) Brokerage Limited; Causeway Bay, Hong Kong SPDB International Capital Limited</t>
        </is>
      </c>
      <c r="AS6" s="26" t="inlineStr">
        <is>
          <t>中州國際融資有限公司; 中國通海證券有限公司; 民銀證券有限公司; 千里碩證券有限公司; 艾德證券期貨有限公司; 偉祿亞太證券有限公司; 申萬宏源融資（香港）有限公司; 浦銀國際融資有限公司; 新城晉峰證券有限公司; 西證（香港）證券經紀有限公司</t>
        </is>
      </c>
      <c r="AT6" s="37">
        <f>HYPERLINK("https://www1.hkexnews.hk/listedco/listconews/sehk/2020/1222/2020122200050.htm","prospectus")</f>
        <v/>
      </c>
      <c r="AU6" s="37">
        <f>HYPERLINK("https://www1.hkexnews.hk/listedco/listconews/sehk/2021/0105/2021010500038.htm","allotment")</f>
        <v/>
      </c>
      <c r="AV6" s="37">
        <f>HYPERLINK("https://www1.hkexnews.hk/listedco/listconews/sehk/2021/0203/2021020300669.pdf","stabilisation")</f>
        <v/>
      </c>
      <c r="AW6" s="26" t="inlineStr">
        <is>
          <t>price range: fixed-price offering (no indicative range) · A/H: no A-share listing</t>
        </is>
      </c>
    </row>
    <row r="7">
      <c r="A7" s="25" t="inlineStr">
        <is>
          <t>1440</t>
        </is>
      </c>
      <c r="B7" s="26" t="inlineStr">
        <is>
          <t>DEYUN HOLDING</t>
        </is>
      </c>
      <c r="C7" s="26" t="inlineStr">
        <is>
          <t>應星控股</t>
        </is>
      </c>
      <c r="D7" s="26" t="inlineStr">
        <is>
          <t>Industrials</t>
        </is>
      </c>
      <c r="E7" s="26" t="inlineStr">
        <is>
          <t>Construction / engineering</t>
        </is>
      </c>
      <c r="F7" s="26" t="inlineStr">
        <is>
          <t>Standard</t>
        </is>
      </c>
      <c r="G7" s="27" t="n">
        <v>44209</v>
      </c>
      <c r="H7" s="28" t="n">
        <v>126</v>
      </c>
      <c r="I7" s="26" t="inlineStr">
        <is>
          <t>gross (price x shares)</t>
        </is>
      </c>
      <c r="J7" s="29" t="n">
        <v>0.4</v>
      </c>
      <c r="K7" s="29" t="n">
        <v>0.5</v>
      </c>
      <c r="L7" s="29" t="n">
        <v>0.4</v>
      </c>
      <c r="M7" s="26" t="inlineStr">
        <is>
          <t>N</t>
        </is>
      </c>
      <c r="N7" s="30" t="n">
        <v>80</v>
      </c>
      <c r="O7" s="28" t="n">
        <v>560</v>
      </c>
      <c r="P7" s="26" t="inlineStr">
        <is>
          <t>derived:deal size / offer % of enlarged capital</t>
        </is>
      </c>
      <c r="Q7" s="31" t="n">
        <v>33.62</v>
      </c>
      <c r="R7" s="32" t="n">
        <v>0.956</v>
      </c>
      <c r="S7" s="33" t="n">
        <v>45.1</v>
      </c>
      <c r="T7" s="26" t="inlineStr">
        <is>
          <t>Ms. Cheng Hung Ping; Ms. Tam Yuk Ching Jenny; Mr. Tsai Chuen Sui Robert</t>
        </is>
      </c>
      <c r="U7" s="30" t="n">
        <v>7.5</v>
      </c>
      <c r="V7" s="26" t="n"/>
      <c r="W7" s="34" t="n">
        <v>3.75</v>
      </c>
      <c r="X7" s="34" t="n">
        <v>25</v>
      </c>
      <c r="Y7" s="34" t="n">
        <v>60</v>
      </c>
      <c r="Z7" s="34" t="n">
        <v>22.5</v>
      </c>
      <c r="AA7" s="34" t="n">
        <v>54.22</v>
      </c>
      <c r="AB7" s="34" t="n">
        <v>45.86</v>
      </c>
      <c r="AC7" s="34" t="n">
        <v>14.14</v>
      </c>
      <c r="AD7" s="26" t="inlineStr">
        <is>
          <t>Hang Seng Commerce &amp; Industry sub-index</t>
        </is>
      </c>
      <c r="AE7" s="34" t="n">
        <v>3200</v>
      </c>
      <c r="AF7" s="28" t="n">
        <v>223.8</v>
      </c>
      <c r="AG7" s="28" t="n">
        <v>46</v>
      </c>
      <c r="AH7" s="26" t="inlineStr">
        <is>
          <t>Y</t>
        </is>
      </c>
      <c r="AI7" s="35" t="n">
        <v>12.2</v>
      </c>
      <c r="AJ7" s="35" t="n">
        <v>2.5</v>
      </c>
      <c r="AK7" s="26" t="inlineStr">
        <is>
          <t>N</t>
        </is>
      </c>
      <c r="AL7" s="36">
        <f>IF('BBG Verify'!K7="","not filed — run on terminal",'BBG Verify'!K7)</f>
        <v/>
      </c>
      <c r="AM7" s="26" t="inlineStr">
        <is>
          <t>N/A</t>
        </is>
      </c>
      <c r="AN7" s="26" t="inlineStr">
        <is>
          <t>N/A</t>
        </is>
      </c>
      <c r="AO7" s="26" t="inlineStr">
        <is>
          <t>N/A</t>
        </is>
      </c>
      <c r="AP7" s="26" t="inlineStr">
        <is>
          <t>Dakin Capital Limited</t>
        </is>
      </c>
      <c r="AQ7" s="26" t="inlineStr">
        <is>
          <t>德健融資有限公司</t>
        </is>
      </c>
      <c r="AR7" s="26" t="inlineStr">
        <is>
          <t>Managers Dakin Securities Limited; BOCOM International Securities Limited</t>
        </is>
      </c>
      <c r="AS7" s="26" t="inlineStr">
        <is>
          <t>Beta International Securities Limited; 建銀國際金融有限公司; 德健證券有限公司; 一盈證券有限公司; 漢英證券有限公司; 禹洲金融控股（香港）有限公司</t>
        </is>
      </c>
      <c r="AT7" s="37">
        <f>HYPERLINK("https://www1.hkexnews.hk/listedco/listconews/sehk/2020/1228/2020122800063.pdf","prospectus")</f>
        <v/>
      </c>
      <c r="AU7" s="37">
        <f>HYPERLINK("https://www1.hkexnews.hk/listedco/listconews/sehk/2021/0112/2021011200008.htm","allotment")</f>
        <v/>
      </c>
      <c r="AV7" s="26" t="n"/>
      <c r="AW7" s="26" t="inlineStr">
        <is>
          <t>greenshoe: end-of-stabilisation notice not located · A/H: no A-share listing</t>
        </is>
      </c>
    </row>
    <row r="8">
      <c r="A8" s="25" t="inlineStr">
        <is>
          <t>2129</t>
        </is>
      </c>
      <c r="B8" s="26" t="inlineStr">
        <is>
          <t>LEGION CONSO</t>
        </is>
      </c>
      <c r="C8" s="26" t="inlineStr">
        <is>
          <t>LEGION CONSO</t>
        </is>
      </c>
      <c r="D8" s="26" t="inlineStr">
        <is>
          <t>Industrials</t>
        </is>
      </c>
      <c r="E8" s="26" t="inlineStr">
        <is>
          <t>Logistics</t>
        </is>
      </c>
      <c r="F8" s="26" t="inlineStr">
        <is>
          <t>Standard</t>
        </is>
      </c>
      <c r="G8" s="27" t="n">
        <v>44209</v>
      </c>
      <c r="H8" s="28" t="n">
        <v>41.6</v>
      </c>
      <c r="I8" s="26" t="inlineStr">
        <is>
          <t>net proceeds</t>
        </is>
      </c>
      <c r="J8" s="29" t="n">
        <v>0.4</v>
      </c>
      <c r="K8" s="29" t="n">
        <v>0.52</v>
      </c>
      <c r="L8" s="29" t="n">
        <v>0.4</v>
      </c>
      <c r="M8" s="26" t="inlineStr">
        <is>
          <t>N</t>
        </is>
      </c>
      <c r="N8" s="30" t="n">
        <v>76.90000000000001</v>
      </c>
      <c r="O8" s="28" t="n">
        <v>615.4</v>
      </c>
      <c r="P8" s="26" t="inlineStr">
        <is>
          <t>aastocks:上市市值 at the struck price</t>
        </is>
      </c>
      <c r="Q8" s="31" t="n">
        <v>443.37</v>
      </c>
      <c r="R8" s="32" t="n">
        <v>1.5</v>
      </c>
      <c r="S8" s="33" t="n">
        <v>0</v>
      </c>
      <c r="T8" s="26" t="n"/>
      <c r="U8" s="30" t="n"/>
      <c r="V8" s="26" t="n"/>
      <c r="W8" s="34" t="n">
        <v>-12.5</v>
      </c>
      <c r="X8" s="34" t="n">
        <v>-31.25</v>
      </c>
      <c r="Y8" s="34" t="n">
        <v>-41.25</v>
      </c>
      <c r="Z8" s="34" t="n">
        <v>-55</v>
      </c>
      <c r="AA8" s="34" t="n">
        <v>-32.86</v>
      </c>
      <c r="AB8" s="34" t="n">
        <v>-55.39</v>
      </c>
      <c r="AC8" s="34" t="n">
        <v>14.14</v>
      </c>
      <c r="AD8" s="26" t="inlineStr">
        <is>
          <t>Hang Seng Commerce &amp; Industry sub-index</t>
        </is>
      </c>
      <c r="AE8" s="34" t="n">
        <v>-45.5</v>
      </c>
      <c r="AF8" s="28" t="n"/>
      <c r="AG8" s="28" t="n"/>
      <c r="AH8" s="26" t="n"/>
      <c r="AI8" s="38">
        <f>IF('BBG Verify'!O8="","not filed — run on terminal",'BBG Verify'!O8)</f>
        <v/>
      </c>
      <c r="AJ8" s="35" t="n"/>
      <c r="AK8" s="26" t="inlineStr">
        <is>
          <t>N</t>
        </is>
      </c>
      <c r="AL8" s="36">
        <f>IF('BBG Verify'!K8="","not filed — run on terminal",'BBG Verify'!K8)</f>
        <v/>
      </c>
      <c r="AM8" s="26" t="inlineStr">
        <is>
          <t>N/A</t>
        </is>
      </c>
      <c r="AN8" s="26" t="inlineStr">
        <is>
          <t>N/A</t>
        </is>
      </c>
      <c r="AO8" s="26" t="inlineStr">
        <is>
          <t>N/A</t>
        </is>
      </c>
      <c r="AP8" s="26" t="n"/>
      <c r="AQ8" s="26" t="inlineStr">
        <is>
          <t>豐盛融資有限公司</t>
        </is>
      </c>
      <c r="AR8" s="26" t="inlineStr">
        <is>
          <t>Manager and Public Offer Underwriter Alpha Financial Group Limited; Managers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DIRECTORS AND PARTIES INVOLVED IN THE SHARE OFFER −5 7− Sinomax Securities Limited</t>
        </is>
      </c>
      <c r="AS8" s="26" t="inlineStr">
        <is>
          <t>豐盛融資有限公司; 首盛資本集團有限公司; 高鉦証券有限公司; Beta International Securities Limited; 順安證券資產管理有限公司; 民銀證券有限公司; 千里碩證券有限公司; First Fidelity Capital (International) Limited; 結好證券有限公司; 聯合證券有限公司; 貝德斯證券有限公司; 佳富達證券有限公司; 新城晉峰證券有限公司; 禹洲金融控股（香港）有限公司</t>
        </is>
      </c>
      <c r="AT8" s="37">
        <f>HYPERLINK("https://www1.hkexnews.hk/listedco/listconews/sehk/2020/1230/2020123000007.pdf","prospectus")</f>
        <v/>
      </c>
      <c r="AU8" s="37">
        <f>HYPERLINK("https://www1.hkexnews.hk/listedco/listconews/sehk/2021/0112/2021011200024.htm","allotment")</f>
        <v/>
      </c>
      <c r="AV8" s="26" t="n"/>
      <c r="AW8" s="26" t="inlineStr">
        <is>
          <t>P/E: net income not stated in extractable form · greenshoe: no over-allotment option in the offer structure · A/H: no A-share listing · sponsor: English name not in the filing text; AAStocks 保薦人 shown</t>
        </is>
      </c>
    </row>
    <row r="9">
      <c r="A9" s="25" t="inlineStr">
        <is>
          <t>2153</t>
        </is>
      </c>
      <c r="B9" s="26" t="inlineStr">
        <is>
          <t>TAT HONG EQUIP</t>
        </is>
      </c>
      <c r="C9" s="26" t="inlineStr">
        <is>
          <t>達豐設備</t>
        </is>
      </c>
      <c r="D9" s="26" t="inlineStr">
        <is>
          <t>Industrials</t>
        </is>
      </c>
      <c r="E9" s="26" t="inlineStr">
        <is>
          <t>Capital goods / machinery</t>
        </is>
      </c>
      <c r="F9" s="26" t="inlineStr">
        <is>
          <t>Standard</t>
        </is>
      </c>
      <c r="G9" s="27" t="n">
        <v>44209</v>
      </c>
      <c r="H9" s="28" t="n">
        <v>644.8</v>
      </c>
      <c r="I9" s="26" t="inlineStr">
        <is>
          <t>gross (price x shares)</t>
        </is>
      </c>
      <c r="J9" s="29" t="n">
        <v>1.5</v>
      </c>
      <c r="K9" s="29" t="n">
        <v>1.96</v>
      </c>
      <c r="L9" s="29" t="n">
        <v>1.73</v>
      </c>
      <c r="M9" s="26" t="inlineStr">
        <is>
          <t>N</t>
        </is>
      </c>
      <c r="N9" s="30" t="n">
        <v>88.3</v>
      </c>
      <c r="O9" s="28" t="n">
        <v>2018.7</v>
      </c>
      <c r="P9" s="26" t="inlineStr">
        <is>
          <t>prospectus:stated market capitalisation</t>
        </is>
      </c>
      <c r="Q9" s="31" t="n">
        <v>10.3</v>
      </c>
      <c r="R9" s="32" t="n">
        <v>1.02</v>
      </c>
      <c r="S9" s="33" t="n">
        <v>37.5</v>
      </c>
      <c r="T9" s="26" t="inlineStr">
        <is>
          <t>Yanlord Investment Limited; 中聯重科國際貿易(香港)有限公司</t>
        </is>
      </c>
      <c r="U9" s="30" t="n">
        <v>11.9</v>
      </c>
      <c r="V9" s="26" t="inlineStr">
        <is>
          <t>lapsed</t>
        </is>
      </c>
      <c r="W9" s="34" t="n">
        <v>-8.67</v>
      </c>
      <c r="X9" s="34" t="n">
        <v>5.78</v>
      </c>
      <c r="Y9" s="34" t="n">
        <v>-13.87</v>
      </c>
      <c r="Z9" s="34" t="n">
        <v>-13.29</v>
      </c>
      <c r="AA9" s="34" t="n">
        <v>-5.69</v>
      </c>
      <c r="AB9" s="34" t="n">
        <v>-28.01</v>
      </c>
      <c r="AC9" s="34" t="n">
        <v>14.14</v>
      </c>
      <c r="AD9" s="26" t="inlineStr">
        <is>
          <t>Hang Seng Commerce &amp; Industry sub-index</t>
        </is>
      </c>
      <c r="AE9" s="34" t="n">
        <v>-54.62</v>
      </c>
      <c r="AF9" s="28" t="n">
        <v>819.4</v>
      </c>
      <c r="AG9" s="28" t="n">
        <v>84.09999999999999</v>
      </c>
      <c r="AH9" s="26" t="inlineStr">
        <is>
          <t>Y</t>
        </is>
      </c>
      <c r="AI9" s="35" t="n">
        <v>24</v>
      </c>
      <c r="AJ9" s="35" t="n">
        <v>2.5</v>
      </c>
      <c r="AK9" s="26" t="inlineStr">
        <is>
          <t>N</t>
        </is>
      </c>
      <c r="AL9" s="36">
        <f>IF('BBG Verify'!K9="","not filed — run on terminal",'BBG Verify'!K9)</f>
        <v/>
      </c>
      <c r="AM9" s="26" t="inlineStr">
        <is>
          <t>N/A</t>
        </is>
      </c>
      <c r="AN9" s="26" t="inlineStr">
        <is>
          <t>N/A</t>
        </is>
      </c>
      <c r="AO9" s="26" t="inlineStr">
        <is>
          <t>N/A</t>
        </is>
      </c>
      <c r="AP9" s="26" t="inlineStr">
        <is>
          <t>Fortune Financial Capital Limited</t>
        </is>
      </c>
      <c r="AQ9" s="26" t="inlineStr">
        <is>
          <t>富強金融資本有限公司</t>
        </is>
      </c>
      <c r="AR9" s="26"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AS9" s="26" t="inlineStr">
        <is>
          <t>博威環球證券有限公司; 建銀國際金融有限公司; 中國光大證券(香港)有限公司; 中國通海證券有限公司; 興證國際融資有限公司; 高誠證券有限公司; 富強證券有限公司; 華邦證券有限公司; 浦銀國際融資有限公司; TUS Corporate Finance Limited; 友信證券有限公司; 華盛資本証券有限公司; 中泰國際證券有限公司; 中佳證券有限公司</t>
        </is>
      </c>
      <c r="AT9" s="37">
        <f>HYPERLINK("https://www1.hkexnews.hk/listedco/listconews/sehk/2020/1230/2020123000017.pdf","prospectus")</f>
        <v/>
      </c>
      <c r="AU9" s="37">
        <f>HYPERLINK("https://www1.hkexnews.hk/listedco/listconews/sehk/2021/0112/2021011200086.htm","allotment")</f>
        <v/>
      </c>
      <c r="AV9" s="37">
        <f>HYPERLINK("https://www1.hkexnews.hk/listedco/listconews/sehk/2021/0204/2021020400633.pdf","stabilisation")</f>
        <v/>
      </c>
      <c r="AW9" s="26" t="inlineStr">
        <is>
          <t>A/H: no A-share listing</t>
        </is>
      </c>
    </row>
    <row r="10">
      <c r="A10" s="25" t="inlineStr">
        <is>
          <t>1643</t>
        </is>
      </c>
      <c r="B10" s="26" t="inlineStr">
        <is>
          <t>MODERN CHI MED</t>
        </is>
      </c>
      <c r="C10" s="26" t="inlineStr">
        <is>
          <t>現代中藥集團</t>
        </is>
      </c>
      <c r="D10" s="26" t="inlineStr">
        <is>
          <t>Healthcare</t>
        </is>
      </c>
      <c r="E10" s="26" t="inlineStr">
        <is>
          <t>TCM</t>
        </is>
      </c>
      <c r="F10" s="26" t="inlineStr">
        <is>
          <t>Standard</t>
        </is>
      </c>
      <c r="G10" s="27" t="n">
        <v>44211</v>
      </c>
      <c r="H10" s="28" t="n">
        <v>177</v>
      </c>
      <c r="I10" s="26" t="inlineStr">
        <is>
          <t>gross (price x shares)</t>
        </is>
      </c>
      <c r="J10" s="29" t="n"/>
      <c r="K10" s="29" t="n">
        <v>1.47</v>
      </c>
      <c r="L10" s="29" t="n">
        <v>1.18</v>
      </c>
      <c r="M10" s="26" t="inlineStr">
        <is>
          <t>N</t>
        </is>
      </c>
      <c r="N10" s="30" t="n">
        <v>80.3</v>
      </c>
      <c r="O10" s="28" t="n">
        <v>816.9</v>
      </c>
      <c r="P10" s="26" t="inlineStr">
        <is>
          <t>aastocks:上市市值 at the struck price</t>
        </is>
      </c>
      <c r="Q10" s="31" t="n">
        <v>1.004</v>
      </c>
      <c r="R10" s="32" t="n">
        <v>1.004</v>
      </c>
      <c r="S10" s="33" t="n">
        <v>0</v>
      </c>
      <c r="T10" s="26" t="n"/>
      <c r="U10" s="30" t="n">
        <v>7</v>
      </c>
      <c r="V10" s="26" t="n"/>
      <c r="W10" s="34" t="n">
        <v>6.78</v>
      </c>
      <c r="X10" s="34" t="n">
        <v>-11.86</v>
      </c>
      <c r="Y10" s="34" t="n">
        <v>-21.19</v>
      </c>
      <c r="Z10" s="34" t="n">
        <v>-28.81</v>
      </c>
      <c r="AA10" s="34" t="n">
        <v>-26.19</v>
      </c>
      <c r="AB10" s="34" t="n">
        <v>-36.53</v>
      </c>
      <c r="AC10" s="34" t="n">
        <v>15.34</v>
      </c>
      <c r="AD10" s="26" t="inlineStr">
        <is>
          <t>China Biotech ETF (HS biotech proxy)</t>
        </is>
      </c>
      <c r="AE10" s="34" t="n">
        <v>-29.66</v>
      </c>
      <c r="AF10" s="28" t="n">
        <v>240.6</v>
      </c>
      <c r="AG10" s="28" t="n">
        <v>-0</v>
      </c>
      <c r="AH10" s="26" t="inlineStr">
        <is>
          <t>N</t>
        </is>
      </c>
      <c r="AI10" s="38">
        <f>IF('BBG Verify'!O10="","not filed — run on terminal",'BBG Verify'!O10)</f>
        <v/>
      </c>
      <c r="AJ10" s="35" t="n">
        <v>3.4</v>
      </c>
      <c r="AK10" s="26" t="inlineStr">
        <is>
          <t>N</t>
        </is>
      </c>
      <c r="AL10" s="36">
        <f>IF('BBG Verify'!K10="","not filed — run on terminal",'BBG Verify'!K10)</f>
        <v/>
      </c>
      <c r="AM10" s="26" t="inlineStr">
        <is>
          <t>N/A</t>
        </is>
      </c>
      <c r="AN10" s="26" t="inlineStr">
        <is>
          <t>N/A</t>
        </is>
      </c>
      <c r="AO10" s="26" t="inlineStr">
        <is>
          <t>N/A</t>
        </is>
      </c>
      <c r="AP10" s="26" t="inlineStr">
        <is>
          <t>Soochow Securities International Capital Limited</t>
        </is>
      </c>
      <c r="AQ10" s="26" t="inlineStr">
        <is>
          <t>東吳證券國際融資有限公司</t>
        </is>
      </c>
      <c r="AR10" s="26" t="inlineStr">
        <is>
          <t>Managers SPDB International Capital Limited; BOCOM International Securities Limited; Central, Hong Kong Yue Xiu Securities Company Limited; Wan Chai, Hong Kong Shanxi Securities International Limited; Elstone Securities Limited</t>
        </is>
      </c>
      <c r="AS10" s="26" t="inlineStr">
        <is>
          <t>Beta International Securities Limited; 中國北方證券集團有限公司; 德林證券（香港）有限公司; 千里碩證券有限公司; 方德證券有限公司; 富元證券有限公司; 申萬宏源證券（香港）有限公司; 浦銀國際融資有限公司; 東吳證券國際經紀有限公司; 山證國際證券有限公司; 富匯證券有限公司; 越秀證券有限公司; 中募金融資管有限公司</t>
        </is>
      </c>
      <c r="AT10" s="37">
        <f>HYPERLINK("https://www1.hkexnews.hk/listedco/listconews/sehk/2020/1231/2020123100103.pdf","prospectus")</f>
        <v/>
      </c>
      <c r="AU10" s="37">
        <f>HYPERLINK("https://www1.hkexnews.hk/listedco/listconews/sehk/2021/0114/2021011400022.htm","allotment")</f>
        <v/>
      </c>
      <c r="AV10" s="26" t="n"/>
      <c r="AW10" s="26" t="inlineStr">
        <is>
          <t>P/E: n/m — loss-making at IPO (use P/S) · greenshoe: end-of-stabilisation notice not located · A/H: no A-share listing · market cap: estimate from deal size / offer % of enlarged capital disagreed with the published listing cap — published figure adopted</t>
        </is>
      </c>
    </row>
    <row r="11">
      <c r="A11" s="25" t="inlineStr">
        <is>
          <t>2146</t>
        </is>
      </c>
      <c r="B11" s="26" t="inlineStr">
        <is>
          <t>ROISERV</t>
        </is>
      </c>
      <c r="C11" s="26" t="inlineStr">
        <is>
          <t>榮萬家</t>
        </is>
      </c>
      <c r="D11" s="26" t="inlineStr">
        <is>
          <t>Real Estate</t>
        </is>
      </c>
      <c r="E11" s="26" t="inlineStr">
        <is>
          <t>Property management</t>
        </is>
      </c>
      <c r="F11" s="26" t="inlineStr">
        <is>
          <t>Standard</t>
        </is>
      </c>
      <c r="G11" s="27" t="n">
        <v>44211</v>
      </c>
      <c r="H11" s="28" t="n">
        <v>1265.2</v>
      </c>
      <c r="I11" s="26" t="inlineStr">
        <is>
          <t>gross (price x shares)</t>
        </is>
      </c>
      <c r="J11" s="29" t="n"/>
      <c r="K11" s="29" t="n">
        <v>18.36</v>
      </c>
      <c r="L11" s="29" t="n">
        <v>13.46</v>
      </c>
      <c r="M11" s="26" t="inlineStr">
        <is>
          <t>N</t>
        </is>
      </c>
      <c r="N11" s="30" t="n">
        <v>73.3</v>
      </c>
      <c r="O11" s="28" t="n">
        <v>5061</v>
      </c>
      <c r="P11" s="26" t="inlineStr">
        <is>
          <t>prospectus:stated market capitalisation</t>
        </is>
      </c>
      <c r="Q11" s="31" t="n">
        <v>6.62</v>
      </c>
      <c r="R11" s="39">
        <f>IF('BBG Verify'!E11="","not filed — run on terminal",'BBG Verify'!E11)</f>
        <v/>
      </c>
      <c r="S11" s="33" t="n">
        <v>0</v>
      </c>
      <c r="T11" s="26" t="n"/>
      <c r="U11" s="30" t="n">
        <v>6.05</v>
      </c>
      <c r="V11" s="26" t="inlineStr">
        <is>
          <t>lapsed</t>
        </is>
      </c>
      <c r="W11" s="34" t="n">
        <v>-8.17</v>
      </c>
      <c r="X11" s="34" t="n">
        <v>-11.59</v>
      </c>
      <c r="Y11" s="34" t="n">
        <v>-34.03</v>
      </c>
      <c r="Z11" s="34" t="n">
        <v>-36.85</v>
      </c>
      <c r="AA11" s="34" t="n">
        <v>-28.16</v>
      </c>
      <c r="AB11" s="34" t="n">
        <v>-36.68</v>
      </c>
      <c r="AC11" s="34" t="n">
        <v>2.65</v>
      </c>
      <c r="AD11" s="26" t="inlineStr">
        <is>
          <t>Hang Seng Properties sub-index</t>
        </is>
      </c>
      <c r="AE11" s="34" t="n">
        <v>-85.51000000000001</v>
      </c>
      <c r="AF11" s="28" t="n">
        <v>1410.2</v>
      </c>
      <c r="AG11" s="28" t="n"/>
      <c r="AH11" s="26" t="n"/>
      <c r="AI11" s="38">
        <f>IF('BBG Verify'!O11="","not filed — run on terminal",'BBG Verify'!O11)</f>
        <v/>
      </c>
      <c r="AJ11" s="35" t="n">
        <v>3.6</v>
      </c>
      <c r="AK11" s="26" t="inlineStr">
        <is>
          <t>N</t>
        </is>
      </c>
      <c r="AL11" s="36">
        <f>IF('BBG Verify'!K11="","not filed — run on terminal",'BBG Verify'!K11)</f>
        <v/>
      </c>
      <c r="AM11" s="26" t="inlineStr">
        <is>
          <t>N/A</t>
        </is>
      </c>
      <c r="AN11" s="26" t="inlineStr">
        <is>
          <t>N/A</t>
        </is>
      </c>
      <c r="AO11" s="26" t="inlineStr">
        <is>
          <t>N/A</t>
        </is>
      </c>
      <c r="AP11" s="26" t="inlineStr">
        <is>
          <t>Huatai Financial Holdings (Hong Kong) Limited</t>
        </is>
      </c>
      <c r="AQ11" s="26" t="inlineStr">
        <is>
          <t>華泰金融控股(香港)有限公司</t>
        </is>
      </c>
      <c r="AR11" s="26"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AS11" s="26" t="inlineStr">
        <is>
          <t>阿爾法國際證券（香港）有限公司; Beta International Securities Limited; 博威環球證券有限公司; 建銀國際金融有限公司; 招銀國際金融有限公司; 中信建投(國際)融資有限公司; 富元證券有限公司; 國泰君安證券(香港)有限公司; 華泰金融控股(香港)有限公司; 海通國際證券有限公司; 工銀國際證券有限公司; 邁時資本有限公司; 偉祿亞太證券有限公司; 東吳證券國際經紀有限公司; 大華繼顯(香港)有限公司; 越秀證券有限公司; 張金證券投資（香港）有限公司</t>
        </is>
      </c>
      <c r="AT11" s="37">
        <f>HYPERLINK("https://www1.hkexnews.hk/listedco/listconews/sehk/2020/1231/2020123100013.pdf","prospectus")</f>
        <v/>
      </c>
      <c r="AU11" s="37">
        <f>HYPERLINK("https://www1.hkexnews.hk/listedco/listconews/sehk/2021/0114/2021011400038.htm","allotment")</f>
        <v/>
      </c>
      <c r="AV11" s="37">
        <f>HYPERLINK("https://www1.hkexnews.hk/listedco/listconews/sehk/2021/0207/2021020700027.pdf","stabilisation")</f>
        <v/>
      </c>
      <c r="AW11" s="26" t="inlineStr">
        <is>
          <t>intl sub: subscription level not stated in the filing · P/E: net income not stated in extractable form · A/H: no A-share listing</t>
        </is>
      </c>
    </row>
    <row r="12">
      <c r="A12" s="25" t="inlineStr">
        <is>
          <t>2125</t>
        </is>
      </c>
      <c r="B12" s="26" t="inlineStr">
        <is>
          <t>STRAWBEAR ENT</t>
        </is>
      </c>
      <c r="C12" s="26" t="inlineStr">
        <is>
          <t>稻草熊娛樂</t>
        </is>
      </c>
      <c r="D12" s="26" t="inlineStr">
        <is>
          <t>TMT-other</t>
        </is>
      </c>
      <c r="E12" s="26" t="inlineStr">
        <is>
          <t>Media / advertising</t>
        </is>
      </c>
      <c r="F12" s="26" t="inlineStr">
        <is>
          <t>Standard</t>
        </is>
      </c>
      <c r="G12" s="27" t="n">
        <v>44211</v>
      </c>
      <c r="H12" s="28" t="n">
        <v>974.8</v>
      </c>
      <c r="I12" s="26" t="inlineStr">
        <is>
          <t>gross (price x shares)</t>
        </is>
      </c>
      <c r="J12" s="29" t="n">
        <v>5.1</v>
      </c>
      <c r="K12" s="29" t="n">
        <v>6.16</v>
      </c>
      <c r="L12" s="29" t="n">
        <v>5.88</v>
      </c>
      <c r="M12" s="26" t="inlineStr">
        <is>
          <t>N</t>
        </is>
      </c>
      <c r="N12" s="30" t="n">
        <v>95.5</v>
      </c>
      <c r="O12" s="28" t="n">
        <v>3381.8</v>
      </c>
      <c r="P12" s="26" t="inlineStr">
        <is>
          <t>prospectus:stated market capitalisation</t>
        </is>
      </c>
      <c r="Q12" s="31" t="n">
        <v>403.54</v>
      </c>
      <c r="R12" s="39">
        <f>IF('BBG Verify'!E12="","not filed — run on terminal",'BBG Verify'!E12)</f>
        <v/>
      </c>
      <c r="S12" s="40" t="n">
        <v>79.8</v>
      </c>
      <c r="T12" s="26" t="inlineStr">
        <is>
          <t>Origin Flair Limited; Snow Lake 基金及賬戶; Vipshop International Holdings Limited</t>
        </is>
      </c>
      <c r="U12" s="30" t="n">
        <v>14.68</v>
      </c>
      <c r="V12" s="26" t="inlineStr">
        <is>
          <t>full</t>
        </is>
      </c>
      <c r="W12" s="34" t="n">
        <v>83.67</v>
      </c>
      <c r="X12" s="34" t="n">
        <v>25.85</v>
      </c>
      <c r="Y12" s="34" t="n">
        <v>32.31</v>
      </c>
      <c r="Z12" s="34" t="n">
        <v>130.95</v>
      </c>
      <c r="AA12" s="34" t="n">
        <v>-27.96</v>
      </c>
      <c r="AB12" s="34" t="n">
        <v>23.23</v>
      </c>
      <c r="AC12" s="34" t="n">
        <v>9.08</v>
      </c>
      <c r="AD12" s="26" t="inlineStr">
        <is>
          <t>Hang Seng Index</t>
        </is>
      </c>
      <c r="AE12" s="34" t="n">
        <v>-95.06999999999999</v>
      </c>
      <c r="AF12" s="28" t="n">
        <v>2.2</v>
      </c>
      <c r="AG12" s="28" t="n">
        <v>55.4</v>
      </c>
      <c r="AH12" s="26" t="inlineStr">
        <is>
          <t>Y</t>
        </is>
      </c>
      <c r="AI12" s="35" t="n">
        <v>61</v>
      </c>
      <c r="AJ12" s="35" t="n">
        <v>1537.2</v>
      </c>
      <c r="AK12" s="26" t="inlineStr">
        <is>
          <t>N</t>
        </is>
      </c>
      <c r="AL12" s="36">
        <f>IF('BBG Verify'!K12="","not filed — run on terminal",'BBG Verify'!K12)</f>
        <v/>
      </c>
      <c r="AM12" s="26" t="inlineStr">
        <is>
          <t>N/A</t>
        </is>
      </c>
      <c r="AN12" s="26" t="inlineStr">
        <is>
          <t>N/A</t>
        </is>
      </c>
      <c r="AO12" s="26" t="inlineStr">
        <is>
          <t>N/A</t>
        </is>
      </c>
      <c r="AP12" s="26" t="inlineStr">
        <is>
          <t>China Merchants Securities (HK) Co., Limited; China Securities (International) Corporate Finance Company Limited</t>
        </is>
      </c>
      <c r="AQ12" s="26" t="inlineStr">
        <is>
          <t>中信建投(國際)融資有限公司; 招商證券(香港)有限公司</t>
        </is>
      </c>
      <c r="AR12" s="26"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AS12" s="26" t="inlineStr">
        <is>
          <t>農銀國際證券有限公司; Beta International Securities Limited; 中國銀河國際證券(香港)有限公司; 招銀國際融資有限公司; 招商證券(香港)有限公司; 華興資本證券(香港)有限公司; 中信建投(國際)融資有限公司; 富途證券國際（香港）有限公司; 華泰金融控股(香港)有限公司; 海通國際證券有限公司</t>
        </is>
      </c>
      <c r="AT12" s="37">
        <f>HYPERLINK("https://www1.hkexnews.hk/listedco/listconews/sehk/2020/1231/2020123100263.pdf","prospectus")</f>
        <v/>
      </c>
      <c r="AU12" s="37">
        <f>HYPERLINK("https://www1.hkexnews.hk/listedco/listconews/sehk/2021/0114/2021011400088.htm","allotment")</f>
        <v/>
      </c>
      <c r="AV12" s="37">
        <f>HYPERLINK("https://www1.hkexnews.hk/listedco/listconews/sehk/2021/0207/2021020700085.pdf","stabilisation")</f>
        <v/>
      </c>
      <c r="AW12" s="26" t="inlineStr">
        <is>
          <t>intl sub: subscription level not stated in the filing · A/H: no A-share listing · cornerstone: AAStocks institutional total HK$390m = 40% of deal vs 80% parsed</t>
        </is>
      </c>
    </row>
    <row r="13">
      <c r="A13" s="25" t="inlineStr">
        <is>
          <t>2158</t>
        </is>
      </c>
      <c r="B13" s="26" t="inlineStr">
        <is>
          <t>YIDU TECH</t>
        </is>
      </c>
      <c r="C13" s="26" t="inlineStr">
        <is>
          <t>醫渡科技</t>
        </is>
      </c>
      <c r="D13" s="26" t="inlineStr">
        <is>
          <t>Healthcare</t>
        </is>
      </c>
      <c r="E13" s="26" t="inlineStr">
        <is>
          <t>Digital health</t>
        </is>
      </c>
      <c r="F13" s="26" t="inlineStr">
        <is>
          <t>Standard</t>
        </is>
      </c>
      <c r="G13" s="27" t="n">
        <v>44211</v>
      </c>
      <c r="H13" s="28" t="n">
        <v>4114.6</v>
      </c>
      <c r="I13" s="26" t="inlineStr">
        <is>
          <t>gross (price x shares)</t>
        </is>
      </c>
      <c r="J13" s="29" t="n">
        <v>23.5</v>
      </c>
      <c r="K13" s="29" t="n">
        <v>26.3</v>
      </c>
      <c r="L13" s="29" t="n">
        <v>26.3</v>
      </c>
      <c r="M13" s="26" t="inlineStr">
        <is>
          <t>Y</t>
        </is>
      </c>
      <c r="N13" s="30" t="n">
        <v>100</v>
      </c>
      <c r="O13" s="28" t="n">
        <v>21154.8</v>
      </c>
      <c r="P13" s="26" t="inlineStr">
        <is>
          <t>derived:deal size / offer % of enlarged capital</t>
        </is>
      </c>
      <c r="Q13" s="31" t="n">
        <v>1633.84</v>
      </c>
      <c r="R13" s="32" t="n">
        <v>33.4</v>
      </c>
      <c r="S13" s="33" t="n">
        <v>15.1</v>
      </c>
      <c r="T13" s="26" t="inlineStr">
        <is>
          <t>3W Fund Management Limited; China Orient Multi-Strategy Master Fund; CPP Investment Board PMI-2 Inc; Matthews Funds; OrbiMed Capital LLC; Tencent Mobility Limited; Velmar Company Limited</t>
        </is>
      </c>
      <c r="U13" s="30" t="n">
        <v>17.35</v>
      </c>
      <c r="V13" s="26" t="inlineStr">
        <is>
          <t>full</t>
        </is>
      </c>
      <c r="W13" s="34" t="n">
        <v>147.91</v>
      </c>
      <c r="X13" s="34" t="n">
        <v>135.74</v>
      </c>
      <c r="Y13" s="34" t="n">
        <v>136.12</v>
      </c>
      <c r="Z13" s="34" t="n">
        <v>38.78</v>
      </c>
      <c r="AA13" s="34" t="n">
        <v>-4.76</v>
      </c>
      <c r="AB13" s="34" t="n">
        <v>120.78</v>
      </c>
      <c r="AC13" s="34" t="n">
        <v>15.34</v>
      </c>
      <c r="AD13" s="26" t="inlineStr">
        <is>
          <t>China Biotech ETF (HS biotech proxy)</t>
        </is>
      </c>
      <c r="AE13" s="34" t="n">
        <v>-83.69</v>
      </c>
      <c r="AF13" s="28" t="n">
        <v>613.9</v>
      </c>
      <c r="AG13" s="28" t="n"/>
      <c r="AH13" s="26" t="n"/>
      <c r="AI13" s="38">
        <f>IF('BBG Verify'!O13="","not filed — run on terminal",'BBG Verify'!O13)</f>
        <v/>
      </c>
      <c r="AJ13" s="35" t="n">
        <v>34.5</v>
      </c>
      <c r="AK13" s="26" t="inlineStr">
        <is>
          <t>N</t>
        </is>
      </c>
      <c r="AL13" s="36">
        <f>IF('BBG Verify'!K13="","not filed — run on terminal",'BBG Verify'!K13)</f>
        <v/>
      </c>
      <c r="AM13" s="26" t="inlineStr">
        <is>
          <t>N/A</t>
        </is>
      </c>
      <c r="AN13" s="26" t="inlineStr">
        <is>
          <t>N/A</t>
        </is>
      </c>
      <c r="AO13" s="26" t="inlineStr">
        <is>
          <t>N/A</t>
        </is>
      </c>
      <c r="AP13" s="26" t="inlineStr">
        <is>
          <t>Goldman Sachs (Asia) L.L.C; China International Capital Corporation Hong Kong Securities Limited</t>
        </is>
      </c>
      <c r="AQ13" s="26" t="inlineStr">
        <is>
          <t>中國國際金融香港證券有限公司; 高盛(亞洲)有限責任公司</t>
        </is>
      </c>
      <c r="AR13" s="26" t="inlineStr">
        <is>
          <t>Goldman Sachs (Asia) L.L.C; China International Capital Corporation Hong Kong Securities Limited; Citigroup Global Markets Asia Limited; DIRECTORS AND PARTIES INVOLVED IN THE GLOBAL OFFERING Citigroup Global Markets Limited</t>
        </is>
      </c>
      <c r="AS13" s="26" t="inlineStr">
        <is>
          <t>花旗環球金融亞洲有限公司; 中國國際金融香港證券有限公司; 招商證券(香港)有限公司; 高盛(亞洲)有限責任公司</t>
        </is>
      </c>
      <c r="AT13" s="37">
        <f>HYPERLINK("https://www1.hkexnews.hk/listedco/listconews/sehk/2020/1231/2020123100119.pdf","prospectus")</f>
        <v/>
      </c>
      <c r="AU13" s="37">
        <f>HYPERLINK("https://www1.hkexnews.hk/listedco/listconews/sehk/2021/0114/2021011400064.htm","allotment")</f>
        <v/>
      </c>
      <c r="AV13" s="37">
        <f>HYPERLINK("https://www1.hkexnews.hk/listedco/listconews/sehk/2021/0207/2021020700079.pdf","stabilisation")</f>
        <v/>
      </c>
      <c r="AW13" s="26" t="inlineStr">
        <is>
          <t>P/E: net income not stated in extractable form · A/H: no A-share listing</t>
        </is>
      </c>
    </row>
    <row r="14">
      <c r="A14" s="25" t="inlineStr">
        <is>
          <t>1490</t>
        </is>
      </c>
      <c r="B14" s="26" t="inlineStr">
        <is>
          <t>CHESHI</t>
        </is>
      </c>
      <c r="C14" s="26" t="inlineStr">
        <is>
          <t>AI X TECH</t>
        </is>
      </c>
      <c r="D14" s="26" t="inlineStr">
        <is>
          <t>TMT-other</t>
        </is>
      </c>
      <c r="E14" s="26" t="inlineStr">
        <is>
          <t>Media / advertising</t>
        </is>
      </c>
      <c r="F14" s="26" t="inlineStr">
        <is>
          <t>Standard</t>
        </is>
      </c>
      <c r="G14" s="27" t="n">
        <v>44211</v>
      </c>
      <c r="H14" s="28" t="n">
        <v>250.9</v>
      </c>
      <c r="I14" s="26" t="inlineStr">
        <is>
          <t>gross (price x shares)</t>
        </is>
      </c>
      <c r="J14" s="29" t="n">
        <v>1.08</v>
      </c>
      <c r="K14" s="29" t="n">
        <v>1.28</v>
      </c>
      <c r="L14" s="29" t="n">
        <v>1.23</v>
      </c>
      <c r="M14" s="26" t="inlineStr">
        <is>
          <t>N</t>
        </is>
      </c>
      <c r="N14" s="30" t="n">
        <v>96.09999999999999</v>
      </c>
      <c r="O14" s="28" t="n">
        <v>1481.1</v>
      </c>
      <c r="P14" s="26" t="inlineStr">
        <is>
          <t>derived:deal size / offer % of enlarged capital</t>
        </is>
      </c>
      <c r="Q14" s="31" t="n">
        <v>1274.76</v>
      </c>
      <c r="R14" s="39">
        <f>IF('BBG Verify'!E14="","not filed — run on terminal",'BBG Verify'!E14)</f>
        <v/>
      </c>
      <c r="S14" s="33" t="n">
        <v>50</v>
      </c>
      <c r="T14" s="26" t="inlineStr">
        <is>
          <t>Coast Flagship Investment SPC; 金涌資本管理有限公司; 華泰金融控股（香港）有限公司; Shimmering Skyline L.P</t>
        </is>
      </c>
      <c r="U14" s="30" t="n">
        <v>5</v>
      </c>
      <c r="V14" s="26" t="inlineStr">
        <is>
          <t>full</t>
        </is>
      </c>
      <c r="W14" s="34" t="n">
        <v>21.95</v>
      </c>
      <c r="X14" s="34" t="n">
        <v>10.57</v>
      </c>
      <c r="Y14" s="34" t="n">
        <v>8.130000000000001</v>
      </c>
      <c r="Z14" s="34" t="n">
        <v>21.14</v>
      </c>
      <c r="AA14" s="34" t="n">
        <v>-11.33</v>
      </c>
      <c r="AB14" s="34" t="n">
        <v>-0.95</v>
      </c>
      <c r="AC14" s="34" t="n">
        <v>9.08</v>
      </c>
      <c r="AD14" s="26" t="inlineStr">
        <is>
          <t>Hang Seng Index</t>
        </is>
      </c>
      <c r="AE14" s="34" t="n">
        <v>-79.67</v>
      </c>
      <c r="AF14" s="28" t="n"/>
      <c r="AG14" s="28" t="n">
        <v>52.4</v>
      </c>
      <c r="AH14" s="26" t="inlineStr">
        <is>
          <t>Y</t>
        </is>
      </c>
      <c r="AI14" s="35" t="n">
        <v>28.3</v>
      </c>
      <c r="AJ14" s="35" t="n"/>
      <c r="AK14" s="26" t="inlineStr">
        <is>
          <t>N</t>
        </is>
      </c>
      <c r="AL14" s="36">
        <f>IF('BBG Verify'!K14="","not filed — run on terminal",'BBG Verify'!K14)</f>
        <v/>
      </c>
      <c r="AM14" s="26" t="inlineStr">
        <is>
          <t>N/A</t>
        </is>
      </c>
      <c r="AN14" s="26" t="inlineStr">
        <is>
          <t>N/A</t>
        </is>
      </c>
      <c r="AO14" s="26" t="inlineStr">
        <is>
          <t>N/A</t>
        </is>
      </c>
      <c r="AP14" s="26" t="inlineStr">
        <is>
          <t>ABCI Capital Limited</t>
        </is>
      </c>
      <c r="AQ14" s="26" t="inlineStr">
        <is>
          <t>農銀國際融資有限公司</t>
        </is>
      </c>
      <c r="AR14" s="26" t="inlineStr">
        <is>
          <t>ABCI Capital Limited; SBI China Capital Financial Services Limited; Harvest International Securities Company Limited; BOCOM International Securities Limited; Central, Hong Kong Haitong International Securities Company Limited; Futu Securities International (Hong Kong) Limited; DIRECTORS AND PARTIES INVOLVED IN THE GLOBAL OFFERING Valuable Capital Limited; Yue Xiu Securities Company Limited</t>
        </is>
      </c>
      <c r="AS14" s="26" t="inlineStr">
        <is>
          <t>農銀國際證券有限公司; 阿爾法國際證券（香港）有限公司; Beta International Securities Limited; 中天證券有限公司; 復星恒利證券有限公司; 富途證券國際（香港）有限公司; 海通國際證券有限公司; 嘉實國際證券有限公司; 利弗莫爾證券有限公司; 軟庫中華金融服務有限公司; 東吳證券國際經紀有限公司; 友信證券有限公司; 華盛資本証券有限公司; 西牛證券有限公司; 越秀證券有限公司</t>
        </is>
      </c>
      <c r="AT14" s="37">
        <f>HYPERLINK("https://www1.hkexnews.hk/listedco/listconews/sehk/2020/1231/2020123100280.htm","prospectus")</f>
        <v/>
      </c>
      <c r="AU14" s="37">
        <f>HYPERLINK("https://www1.hkexnews.hk/listedco/listconews/sehk/2021/0114/2021011400106.htm","allotment")</f>
        <v/>
      </c>
      <c r="AV14" s="37">
        <f>HYPERLINK("https://www1.hkexnews.hk/listedco/listconews/sehk/2021/0207/2021020700025.pdf","stabilisation")</f>
        <v/>
      </c>
      <c r="AW14" s="26" t="inlineStr">
        <is>
          <t>intl sub: subscription level not stated in the filing · A/H: no A-share listing</t>
        </is>
      </c>
    </row>
    <row r="15">
      <c r="A15" s="25" t="inlineStr">
        <is>
          <t>9608</t>
        </is>
      </c>
      <c r="B15" s="26" t="inlineStr">
        <is>
          <t>SUNDY SERVICE</t>
        </is>
      </c>
      <c r="C15" s="26" t="inlineStr">
        <is>
          <t>宋都服務</t>
        </is>
      </c>
      <c r="D15" s="26" t="inlineStr">
        <is>
          <t>Real Estate</t>
        </is>
      </c>
      <c r="E15" s="26" t="inlineStr">
        <is>
          <t>Property management</t>
        </is>
      </c>
      <c r="F15" s="26" t="inlineStr">
        <is>
          <t>Standard</t>
        </is>
      </c>
      <c r="G15" s="27" t="n">
        <v>44212</v>
      </c>
      <c r="H15" s="28" t="n">
        <v>200</v>
      </c>
      <c r="I15" s="26" t="inlineStr">
        <is>
          <t>gross (price x shares)</t>
        </is>
      </c>
      <c r="J15" s="29" t="n">
        <v>0.21</v>
      </c>
      <c r="K15" s="29" t="n">
        <v>0.29</v>
      </c>
      <c r="L15" s="29" t="n">
        <v>0.25</v>
      </c>
      <c r="M15" s="26" t="inlineStr">
        <is>
          <t>N</t>
        </is>
      </c>
      <c r="N15" s="30" t="n">
        <v>86.2</v>
      </c>
      <c r="O15" s="28" t="n">
        <v>672</v>
      </c>
      <c r="P15" s="26" t="inlineStr">
        <is>
          <t>prospectus:stated market capitalisation</t>
        </is>
      </c>
      <c r="Q15" s="31" t="n">
        <v>25.24</v>
      </c>
      <c r="R15" s="32" t="n">
        <v>1.31</v>
      </c>
      <c r="S15" s="33" t="n">
        <v>30</v>
      </c>
      <c r="T15" s="26" t="inlineStr">
        <is>
          <t>久融控股有限公司</t>
        </is>
      </c>
      <c r="U15" s="30" t="n">
        <v>5</v>
      </c>
      <c r="V15" s="26" t="inlineStr">
        <is>
          <t>lapsed (no over-allocation)</t>
        </is>
      </c>
      <c r="W15" s="34" t="n">
        <v>-36</v>
      </c>
      <c r="X15" s="34" t="n">
        <v>-48</v>
      </c>
      <c r="Y15" s="34" t="n">
        <v>-50.4</v>
      </c>
      <c r="Z15" s="34" t="n">
        <v>-52.4</v>
      </c>
      <c r="AA15" s="34" t="n">
        <v>-22.5</v>
      </c>
      <c r="AB15" s="34" t="n">
        <v>-52.84</v>
      </c>
      <c r="AC15" s="34" t="n">
        <v>2.44</v>
      </c>
      <c r="AD15" s="26" t="inlineStr">
        <is>
          <t>Hang Seng Properties sub-index</t>
        </is>
      </c>
      <c r="AE15" s="34" t="n">
        <v>-80</v>
      </c>
      <c r="AF15" s="28" t="n">
        <v>244.7</v>
      </c>
      <c r="AG15" s="28" t="n">
        <v>38.8</v>
      </c>
      <c r="AH15" s="26" t="inlineStr">
        <is>
          <t>Y</t>
        </is>
      </c>
      <c r="AI15" s="35" t="n">
        <v>17.3</v>
      </c>
      <c r="AJ15" s="35" t="n">
        <v>2.7</v>
      </c>
      <c r="AK15" s="26" t="inlineStr">
        <is>
          <t>N</t>
        </is>
      </c>
      <c r="AL15" s="36">
        <f>IF('BBG Verify'!K15="","not filed — run on terminal",'BBG Verify'!K15)</f>
        <v/>
      </c>
      <c r="AM15" s="26" t="inlineStr">
        <is>
          <t>N/A</t>
        </is>
      </c>
      <c r="AN15" s="26" t="inlineStr">
        <is>
          <t>N/A</t>
        </is>
      </c>
      <c r="AO15" s="26" t="inlineStr">
        <is>
          <t>N/A</t>
        </is>
      </c>
      <c r="AP15" s="26" t="inlineStr">
        <is>
          <t>Cinda International Capital Limited</t>
        </is>
      </c>
      <c r="AQ15" s="26" t="inlineStr">
        <is>
          <t>信達國際融資有限公司</t>
        </is>
      </c>
      <c r="AR15" s="26" t="inlineStr">
        <is>
          <t>Cinda International Capital Limited; Elstone Securities Limited; DIRECTORS AND PARTIES INVOLVED IN THE GLOBAL OFFERING –6 7– Elstone Securities Limited; CCB International Capital Limited; Central, Hong Kong Crosby Securities Limited</t>
        </is>
      </c>
      <c r="AS15" s="26" t="inlineStr">
        <is>
          <t>建銀國際金融有限公司; 中國銀河國際證券(香港)有限公司; 信達國際融資有限公司; Conrad Investment Services Limited; 高誠證券有限公司; 德林證券（香港）有限公司; 千里碩證券有限公司; 利弗莫爾證券有限公司; 恆宇證券有限公司; TUS Corporate Finance Limited; 友信證券有限公司</t>
        </is>
      </c>
      <c r="AT15" s="37">
        <f>HYPERLINK("https://www1.hkexnews.hk/listedco/listconews/sehk/2020/1231/2020123100097.pdf","prospectus")</f>
        <v/>
      </c>
      <c r="AU15" s="37">
        <f>HYPERLINK("https://www1.hkexnews.hk/listedco/listconews/sehk/2021/0115/2021011500020.htm","allotment")</f>
        <v/>
      </c>
      <c r="AV15" s="37">
        <f>HYPERLINK("https://www1.hkexnews.hk/listedco/listconews/sehk/2021/0208/2021020800187.pdf","stabilisation")</f>
        <v/>
      </c>
      <c r="AW15" s="26" t="inlineStr">
        <is>
          <t>A/H: no A-share listing</t>
        </is>
      </c>
    </row>
    <row r="16">
      <c r="A16" s="25" t="inlineStr">
        <is>
          <t>2159</t>
        </is>
      </c>
      <c r="B16" s="26" t="inlineStr">
        <is>
          <t>MEDIWELCOME</t>
        </is>
      </c>
      <c r="C16" s="26" t="inlineStr">
        <is>
          <t>麥迪衛康</t>
        </is>
      </c>
      <c r="D16" s="26" t="inlineStr">
        <is>
          <t>Healthcare</t>
        </is>
      </c>
      <c r="E16" s="26" t="inlineStr">
        <is>
          <t>Digital health</t>
        </is>
      </c>
      <c r="F16" s="26" t="inlineStr">
        <is>
          <t>Standard</t>
        </is>
      </c>
      <c r="G16" s="27" t="n">
        <v>44215</v>
      </c>
      <c r="H16" s="28" t="n">
        <v>150</v>
      </c>
      <c r="I16" s="26" t="inlineStr">
        <is>
          <t>gross (price x shares)</t>
        </is>
      </c>
      <c r="J16" s="29" t="n">
        <v>3</v>
      </c>
      <c r="K16" s="29" t="n">
        <v>4</v>
      </c>
      <c r="L16" s="29" t="n">
        <v>3</v>
      </c>
      <c r="M16" s="26" t="inlineStr">
        <is>
          <t>N</t>
        </is>
      </c>
      <c r="N16" s="30" t="n">
        <v>75</v>
      </c>
      <c r="O16" s="28" t="n">
        <v>750</v>
      </c>
      <c r="P16" s="26" t="inlineStr">
        <is>
          <t>aastocks:上市市值 at the struck price</t>
        </is>
      </c>
      <c r="Q16" s="31" t="n">
        <v>168.75</v>
      </c>
      <c r="R16" s="32" t="n">
        <v>1.13</v>
      </c>
      <c r="S16" s="33" t="n">
        <v>0</v>
      </c>
      <c r="T16" s="26" t="n"/>
      <c r="U16" s="30" t="n">
        <v>15</v>
      </c>
      <c r="V16" s="26" t="inlineStr">
        <is>
          <t>lapsed</t>
        </is>
      </c>
      <c r="W16" s="34" t="n">
        <v>26.33</v>
      </c>
      <c r="X16" s="34" t="n">
        <v>24.67</v>
      </c>
      <c r="Y16" s="34" t="n">
        <v>22.67</v>
      </c>
      <c r="Z16" s="34" t="n">
        <v>-8.33</v>
      </c>
      <c r="AA16" s="34" t="n">
        <v>-2.9</v>
      </c>
      <c r="AB16" s="34" t="n">
        <v>14.24</v>
      </c>
      <c r="AC16" s="34" t="n">
        <v>8.43</v>
      </c>
      <c r="AD16" s="26" t="inlineStr">
        <is>
          <t>China Biotech ETF (HS biotech proxy)</t>
        </is>
      </c>
      <c r="AE16" s="34" t="n">
        <v>-41.33</v>
      </c>
      <c r="AF16" s="28" t="n">
        <v>469.9</v>
      </c>
      <c r="AG16" s="28" t="n"/>
      <c r="AH16" s="26" t="n"/>
      <c r="AI16" s="38">
        <f>IF('BBG Verify'!O16="","not filed — run on terminal",'BBG Verify'!O16)</f>
        <v/>
      </c>
      <c r="AJ16" s="35" t="n">
        <v>1.6</v>
      </c>
      <c r="AK16" s="26" t="inlineStr">
        <is>
          <t>N</t>
        </is>
      </c>
      <c r="AL16" s="36">
        <f>IF('BBG Verify'!K16="","not filed — run on terminal",'BBG Verify'!K16)</f>
        <v/>
      </c>
      <c r="AM16" s="26" t="inlineStr">
        <is>
          <t>N/A</t>
        </is>
      </c>
      <c r="AN16" s="26" t="inlineStr">
        <is>
          <t>N/A</t>
        </is>
      </c>
      <c r="AO16" s="26" t="inlineStr">
        <is>
          <t>N/A</t>
        </is>
      </c>
      <c r="AP16" s="26" t="inlineStr">
        <is>
          <t>and Sole Global Coordinator CEB International Capital Corporation Limited</t>
        </is>
      </c>
      <c r="AQ16" s="26" t="inlineStr">
        <is>
          <t>光銀國際資本有限公司</t>
        </is>
      </c>
      <c r="AR16" s="26" t="inlineStr">
        <is>
          <t>CEB International Capital Corporation Limited; Aristo Securities Limited; BOCOM International Securities Limited; CMBC Securities Company Limited; SPDB International Capital Limited</t>
        </is>
      </c>
      <c r="AS16" s="26" t="inlineStr">
        <is>
          <t>雅利多證券有限公司; Beta International Securities Limited; 光銀國際資本有限公司; 民銀證券有限公司; 瑞邦證券有限公司; 浦銀國際融資有限公司; 華德國際證券有限公司</t>
        </is>
      </c>
      <c r="AT16" s="37">
        <f>HYPERLINK("https://www1.hkexnews.hk/listedco/listconews/sehk/2020/1231/2020123100137.pdf","prospectus")</f>
        <v/>
      </c>
      <c r="AU16" s="37">
        <f>HYPERLINK("https://www1.hkexnews.hk/listedco/listconews/sehk/2021/0118/2021011800013.htm","allotment")</f>
        <v/>
      </c>
      <c r="AV16" s="37">
        <f>HYPERLINK("https://www1.hkexnews.hk/listedco/listconews/sehk/2021/0209/2021020900406.pdf","stabilisation")</f>
        <v/>
      </c>
      <c r="AW16" s="26" t="inlineStr">
        <is>
          <t>P/E: net income not stated in extractable form · A/H: no A-share listing · market cap: estimate from deal size / offer % of enlarged capital disagreed with the published listing cap — published figure adopted</t>
        </is>
      </c>
    </row>
    <row r="17">
      <c r="A17" s="25" t="inlineStr">
        <is>
          <t>6668</t>
        </is>
      </c>
      <c r="B17" s="26" t="inlineStr">
        <is>
          <t>E-STAR CM</t>
        </is>
      </c>
      <c r="C17" s="26" t="inlineStr">
        <is>
          <t>星盛商業</t>
        </is>
      </c>
      <c r="D17" s="26" t="inlineStr">
        <is>
          <t>Real Estate</t>
        </is>
      </c>
      <c r="E17" s="26" t="inlineStr">
        <is>
          <t>Property management</t>
        </is>
      </c>
      <c r="F17" s="26" t="inlineStr">
        <is>
          <t>Standard</t>
        </is>
      </c>
      <c r="G17" s="27" t="n">
        <v>44222</v>
      </c>
      <c r="H17" s="28" t="n">
        <v>965</v>
      </c>
      <c r="I17" s="26" t="inlineStr">
        <is>
          <t>gross (price x shares)</t>
        </is>
      </c>
      <c r="J17" s="29" t="n">
        <v>3.2</v>
      </c>
      <c r="K17" s="29" t="n">
        <v>3.88</v>
      </c>
      <c r="L17" s="29" t="n">
        <v>3.86</v>
      </c>
      <c r="M17" s="26" t="inlineStr">
        <is>
          <t>N</t>
        </is>
      </c>
      <c r="N17" s="30" t="n">
        <v>99.5</v>
      </c>
      <c r="O17" s="28" t="n">
        <v>3482.5</v>
      </c>
      <c r="P17" s="26" t="inlineStr">
        <is>
          <t>derived:deal size / offer % of enlarged capital</t>
        </is>
      </c>
      <c r="Q17" s="31" t="n">
        <v>1037.52</v>
      </c>
      <c r="R17" s="39">
        <f>IF('BBG Verify'!E17="","not filed — run on terminal",'BBG Verify'!E17)</f>
        <v/>
      </c>
      <c r="S17" s="33" t="n">
        <v>1.89</v>
      </c>
      <c r="T17" s="26" t="inlineStr">
        <is>
          <t>Pilgrim Ever Project Company Limited; SCGC資本控股有限公司; 深圳市旗昌投資控股有限公司; Virtues Origin SPC</t>
        </is>
      </c>
      <c r="U17" s="30" t="n">
        <v>8</v>
      </c>
      <c r="V17" s="26" t="inlineStr">
        <is>
          <t>partial</t>
        </is>
      </c>
      <c r="W17" s="34" t="n">
        <v>3.63</v>
      </c>
      <c r="X17" s="34" t="n">
        <v>3.11</v>
      </c>
      <c r="Y17" s="34" t="n">
        <v>-8.029999999999999</v>
      </c>
      <c r="Z17" s="34" t="n">
        <v>16.58</v>
      </c>
      <c r="AA17" s="34" t="n">
        <v>-11.25</v>
      </c>
      <c r="AB17" s="34" t="n">
        <v>-16.36</v>
      </c>
      <c r="AC17" s="34" t="n">
        <v>8.33</v>
      </c>
      <c r="AD17" s="26" t="inlineStr">
        <is>
          <t>Hang Seng Properties sub-index</t>
        </is>
      </c>
      <c r="AE17" s="34" t="n">
        <v>-66.97</v>
      </c>
      <c r="AF17" s="28" t="n">
        <v>426</v>
      </c>
      <c r="AG17" s="28" t="n"/>
      <c r="AH17" s="26" t="n"/>
      <c r="AI17" s="38">
        <f>IF('BBG Verify'!O17="","not filed — run on terminal",'BBG Verify'!O17)</f>
        <v/>
      </c>
      <c r="AJ17" s="35" t="n">
        <v>8.199999999999999</v>
      </c>
      <c r="AK17" s="26" t="inlineStr">
        <is>
          <t>N</t>
        </is>
      </c>
      <c r="AL17" s="36">
        <f>IF('BBG Verify'!K17="","not filed — run on terminal",'BBG Verify'!K17)</f>
        <v/>
      </c>
      <c r="AM17" s="26" t="inlineStr">
        <is>
          <t>N/A</t>
        </is>
      </c>
      <c r="AN17" s="26" t="inlineStr">
        <is>
          <t>N/A</t>
        </is>
      </c>
      <c r="AO17" s="26" t="inlineStr">
        <is>
          <t>N/A</t>
        </is>
      </c>
      <c r="AP17" s="26" t="inlineStr">
        <is>
          <t>CCB International Capital Limited; China Securities (International) Corporate Finance Company Limited</t>
        </is>
      </c>
      <c r="AQ17" s="26" t="inlineStr">
        <is>
          <t>建銀國際金融有限公司; 中信建投(國際)融資有限公司</t>
        </is>
      </c>
      <c r="AR17" s="26"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AS17" s="26" t="inlineStr">
        <is>
          <t>農銀國際證券有限公司; 尚乘環球市場有限公司; 建銀國際金融有限公司; 興證國際融資有限公司; 中信建投(國際)融資有限公司; 富途證券國際（香港）有限公司; 香江證券有限公司; 申萬宏源證券（香港）有限公司; 大華繼顯(香港)有限公司</t>
        </is>
      </c>
      <c r="AT17" s="37">
        <f>HYPERLINK("https://www1.hkexnews.hk/listedco/listconews/sehk/2021/0114/2021011400003.pdf","prospectus")</f>
        <v/>
      </c>
      <c r="AU17" s="37">
        <f>HYPERLINK("https://www1.hkexnews.hk/listedco/listconews/sehk/2021/0125/2021012500004.htm","allotment")</f>
        <v/>
      </c>
      <c r="AV17" s="37">
        <f>HYPERLINK("https://www1.hkexnews.hk/listedco/listconews/sehk/2021/0218/2021021800882.pdf","stabilisation")</f>
        <v/>
      </c>
      <c r="AW17" s="26" t="inlineStr">
        <is>
          <t>intl sub: subscription level not stated in the filing · P/E: net income not stated in extractable form · A/H: no A-share listing · cornerstone: AAStocks institutional table includes non-cornerstone orders (superset) — cornerstone % is from the prospectus</t>
        </is>
      </c>
    </row>
    <row r="18">
      <c r="A18" s="25" t="inlineStr">
        <is>
          <t>2160</t>
        </is>
      </c>
      <c r="B18" s="26" t="inlineStr">
        <is>
          <t>CARDIOFLOW-B</t>
        </is>
      </c>
      <c r="C18" s="26" t="inlineStr">
        <is>
          <t>微創心通－Ｂ</t>
        </is>
      </c>
      <c r="D18" s="26" t="inlineStr">
        <is>
          <t>Healthcare</t>
        </is>
      </c>
      <c r="E18" s="26" t="inlineStr">
        <is>
          <t>Medical devices</t>
        </is>
      </c>
      <c r="F18" s="26" t="inlineStr">
        <is>
          <t>18A</t>
        </is>
      </c>
      <c r="G18" s="27" t="n">
        <v>44231</v>
      </c>
      <c r="H18" s="28" t="n">
        <v>2508.6</v>
      </c>
      <c r="I18" s="26" t="inlineStr">
        <is>
          <t>gross (price x shares)</t>
        </is>
      </c>
      <c r="J18" s="29" t="n">
        <v>11.1</v>
      </c>
      <c r="K18" s="29" t="n">
        <v>12.2</v>
      </c>
      <c r="L18" s="29" t="n">
        <v>12.2</v>
      </c>
      <c r="M18" s="26" t="inlineStr">
        <is>
          <t>Y</t>
        </is>
      </c>
      <c r="N18" s="30" t="n">
        <v>100</v>
      </c>
      <c r="O18" s="28" t="n">
        <v>27925.2</v>
      </c>
      <c r="P18" s="26" t="inlineStr">
        <is>
          <t>aastocks:上市市值 at the struck price</t>
        </is>
      </c>
      <c r="Q18" s="31" t="n">
        <v>769</v>
      </c>
      <c r="R18" s="39">
        <f>IF('BBG Verify'!E18="","not filed — run on terminal",'BBG Verify'!E18)</f>
        <v/>
      </c>
      <c r="S18" s="33" t="n">
        <v>5.23</v>
      </c>
      <c r="T18" s="26" t="inlineStr">
        <is>
          <t>3W Fund Management Limited; CDG Group Fund L.P; 華夏基金管理有限公司; CPE Greater China Enterprises Growth fund; Gaoling Fund, L.P. and YHG Investment, L.P; GIC Private Limited; Indus Capital Partners, LLC; 昆侖集團有限公司; Lake Bleu Prime Healthcare Master Fund Limited; Pinpoint Asset Management Limited; Snow Lake China Master Long Fund, Ltd; 泰康人壽保險有限責任公司; Tybourne Capital Management (HK) Limited; Woodline Master Fund LP; WT Asset Management Limited; Yi Fang Da Brocade Inv. Limited</t>
        </is>
      </c>
      <c r="U18" s="30" t="n">
        <v>8.69</v>
      </c>
      <c r="V18" s="26" t="inlineStr">
        <is>
          <t>full</t>
        </is>
      </c>
      <c r="W18" s="34" t="n">
        <v>-69.15000000000001</v>
      </c>
      <c r="X18" s="34" t="n">
        <v>-68.03</v>
      </c>
      <c r="Y18" s="34" t="n">
        <v>-74.09999999999999</v>
      </c>
      <c r="Z18" s="34" t="n">
        <v>-74.48999999999999</v>
      </c>
      <c r="AA18" s="34" t="n">
        <v>-16.05</v>
      </c>
      <c r="AB18" s="34" t="n">
        <v>-55.22</v>
      </c>
      <c r="AC18" s="34" t="n">
        <v>-18.88</v>
      </c>
      <c r="AD18" s="26" t="inlineStr">
        <is>
          <t>China Biotech ETF (HS biotech proxy)</t>
        </is>
      </c>
      <c r="AE18" s="34" t="n">
        <v>-89.34</v>
      </c>
      <c r="AF18" s="28" t="n">
        <v>53.3</v>
      </c>
      <c r="AG18" s="28" t="n">
        <v>-91.8</v>
      </c>
      <c r="AH18" s="26" t="inlineStr">
        <is>
          <t>N</t>
        </is>
      </c>
      <c r="AI18" s="38">
        <f>IF('BBG Verify'!O18="","not filed — run on terminal",'BBG Verify'!O18)</f>
        <v/>
      </c>
      <c r="AJ18" s="35" t="n">
        <v>523.9</v>
      </c>
      <c r="AK18" s="26" t="inlineStr">
        <is>
          <t>N</t>
        </is>
      </c>
      <c r="AL18" s="36">
        <f>IF('BBG Verify'!K18="","not filed — run on terminal",'BBG Verify'!K18)</f>
        <v/>
      </c>
      <c r="AM18" s="26" t="inlineStr">
        <is>
          <t>N/A</t>
        </is>
      </c>
      <c r="AN18" s="26" t="inlineStr">
        <is>
          <t>N/A</t>
        </is>
      </c>
      <c r="AO18" s="26" t="inlineStr">
        <is>
          <t>N/A</t>
        </is>
      </c>
      <c r="AP18" s="26" t="inlineStr">
        <is>
          <t>J.P. Morgan Securities (Far East) Limited; Citigroup Global Markets Asia Limited; China International Capital Corporation Hong Kong Securities Limited</t>
        </is>
      </c>
      <c r="AQ18" s="26" t="inlineStr">
        <is>
          <t>中國國際金融香港證券有限公司; J.P. Morgan Securities (Far East) Limited; 花旗環球金融亞洲有限公司</t>
        </is>
      </c>
      <c r="AR18" s="26" t="inlineStr">
        <is>
          <t>J.P. Morgan Securities (Asia Pacific) Limited; Citigroup Global Markets Asia Limited; China International Capital Corporation Hong Kong Securities Limited; Managers J.P. Morgan Securities (Asia Pacific) Limited; J.P. Morgan Securities plc; Citigroup Global Markets Limited; Hong Kong Securities Limited</t>
        </is>
      </c>
      <c r="AS18" s="26" t="inlineStr">
        <is>
          <t>花旗環球金融亞洲有限公司; 中國國際金融香港證券有限公司; J.P. Morgan Securities (Asia Pacific) Limited</t>
        </is>
      </c>
      <c r="AT18" s="37">
        <f>HYPERLINK("https://www1.hkexnews.hk/listedco/listconews/sehk/2021/0126/2021012600169.htm","prospectus")</f>
        <v/>
      </c>
      <c r="AU18" s="37">
        <f>HYPERLINK("https://www1.hkexnews.hk/listedco/listconews/sehk/2021/0203/2021020300020.htm","allotment")</f>
        <v/>
      </c>
      <c r="AV18" s="37">
        <f>HYPERLINK("https://www1.hkexnews.hk/listedco/listconews/sehk/2021/0228/2021022800029.pdf","stabilisation")</f>
        <v/>
      </c>
      <c r="AW18" s="26" t="inlineStr">
        <is>
          <t>intl sub: subscription level not stated in the filing · P/E: n/m — loss-making at IPO (use P/S) · A/H: no A-share listing · cornerstone: AAStocks institutional table includes non-cornerstone orders (superset) — cornerstone % is from the prospectus</t>
        </is>
      </c>
    </row>
    <row r="19">
      <c r="A19" s="25" t="inlineStr">
        <is>
          <t>2161</t>
        </is>
      </c>
      <c r="B19" s="26" t="inlineStr">
        <is>
          <t>JBM HEALTHCARE</t>
        </is>
      </c>
      <c r="C19" s="26" t="inlineStr">
        <is>
          <t>健倍苗苗</t>
        </is>
      </c>
      <c r="D19" s="26" t="inlineStr">
        <is>
          <t>Healthcare</t>
        </is>
      </c>
      <c r="E19" s="26" t="inlineStr">
        <is>
          <t>Biopharma commercial</t>
        </is>
      </c>
      <c r="F19" s="26" t="inlineStr">
        <is>
          <t>Standard</t>
        </is>
      </c>
      <c r="G19" s="27" t="n">
        <v>44232</v>
      </c>
      <c r="H19" s="28" t="n">
        <v>10.6</v>
      </c>
      <c r="I19" s="26" t="inlineStr">
        <is>
          <t>net proceeds</t>
        </is>
      </c>
      <c r="J19" s="29" t="n"/>
      <c r="K19" s="29" t="n">
        <v>1.2</v>
      </c>
      <c r="L19" s="29" t="n">
        <v>1.2</v>
      </c>
      <c r="M19" s="26" t="inlineStr">
        <is>
          <t>Y</t>
        </is>
      </c>
      <c r="N19" s="30" t="n">
        <v>100</v>
      </c>
      <c r="O19" s="41">
        <f>IF('BBG Verify'!M19="","not filed — run on terminal",'BBG Verify'!M19)</f>
        <v/>
      </c>
      <c r="P19" s="26" t="n"/>
      <c r="Q19" s="31" t="n">
        <v>22.47</v>
      </c>
      <c r="R19" s="39">
        <f>IF('BBG Verify'!E19="","not filed — run on terminal",'BBG Verify'!E19)</f>
        <v/>
      </c>
      <c r="S19" s="33" t="n"/>
      <c r="T19" s="26" t="n"/>
      <c r="U19" s="30" t="n"/>
      <c r="V19" s="26" t="n"/>
      <c r="W19" s="34" t="n">
        <v>80</v>
      </c>
      <c r="X19" s="34" t="n">
        <v>100</v>
      </c>
      <c r="Y19" s="34" t="n">
        <v>21.67</v>
      </c>
      <c r="Z19" s="34" t="n">
        <v>50</v>
      </c>
      <c r="AA19" s="34" t="n">
        <v>-32.41</v>
      </c>
      <c r="AB19" s="34" t="n">
        <v>39.37</v>
      </c>
      <c r="AC19" s="34" t="n">
        <v>-17.7</v>
      </c>
      <c r="AD19" s="26" t="inlineStr">
        <is>
          <t>China Biotech ETF (HS biotech proxy)</t>
        </is>
      </c>
      <c r="AE19" s="34" t="n">
        <v>52.08</v>
      </c>
      <c r="AF19" s="28" t="n"/>
      <c r="AG19" s="28" t="n"/>
      <c r="AH19" s="26" t="n"/>
      <c r="AI19" s="38">
        <f>IF('BBG Verify'!O19="","not filed — run on terminal",'BBG Verify'!O19)</f>
        <v/>
      </c>
      <c r="AJ19" s="35" t="n"/>
      <c r="AK19" s="26" t="inlineStr">
        <is>
          <t>N</t>
        </is>
      </c>
      <c r="AL19" s="36">
        <f>IF('BBG Verify'!K19="","not filed — run on terminal",'BBG Verify'!K19)</f>
        <v/>
      </c>
      <c r="AM19" s="26" t="inlineStr">
        <is>
          <t>N/A</t>
        </is>
      </c>
      <c r="AN19" s="26" t="inlineStr">
        <is>
          <t>N/A</t>
        </is>
      </c>
      <c r="AO19" s="26" t="inlineStr">
        <is>
          <t>N/A</t>
        </is>
      </c>
      <c r="AP19" s="26" t="n"/>
      <c r="AQ19" s="26" t="inlineStr">
        <is>
          <t>中國銀河國際證券(香港)有限公司</t>
        </is>
      </c>
      <c r="AR19" s="26" t="inlineStr">
        <is>
          <t>中國銀河國際證券(香港)有限公司; 信達國際融資有限公司; 艾德證券期貨有限公司; 復星恒利證券有限公司; 香江證券有限公司; 邁時資本有限公司</t>
        </is>
      </c>
      <c r="AS19" s="26" t="inlineStr">
        <is>
          <t>中國銀河國際證券(香港)有限公司; 信達國際融資有限公司; 艾德證券期貨有限公司; 復星恒利證券有限公司; 香江證券有限公司; 邁時資本有限公司; 西證（香港）證券經紀有限公司; TUS Corporate Finance Limited</t>
        </is>
      </c>
      <c r="AT19" s="37">
        <f>HYPERLINK("https://www1.hkexnews.hk/listedco/listconews/sehk/2021/0126/2021012600248.pdf","prospectus")</f>
        <v/>
      </c>
      <c r="AU19" s="37">
        <f>HYPERLINK("https://www1.hkexnews.hk/listedco/listconews/sehk/2021/0204/2021020400012.htm","allotment")</f>
        <v/>
      </c>
      <c r="AV19" s="26" t="n"/>
      <c r="AW19" s="26" t="inlineStr">
        <is>
          <t>intl sub: subscription level not stated in the filing · P/E: net income not stated in extractable form · greenshoe: no over-allotment option in the offer structure · A/H: no A-share listing · sponsor: English name not in the filing text; AAStocks 保薦人 shown</t>
        </is>
      </c>
    </row>
    <row r="20">
      <c r="A20" s="25" t="inlineStr">
        <is>
          <t>1024</t>
        </is>
      </c>
      <c r="B20" s="26" t="inlineStr">
        <is>
          <t>KUAISHOU-W</t>
        </is>
      </c>
      <c r="C20" s="26" t="inlineStr">
        <is>
          <t>快手－Ｗ</t>
        </is>
      </c>
      <c r="D20" s="26" t="inlineStr">
        <is>
          <t>Tech/AI</t>
        </is>
      </c>
      <c r="E20" s="26" t="inlineStr">
        <is>
          <t>Internet platform / e-commerce</t>
        </is>
      </c>
      <c r="F20" s="26" t="inlineStr">
        <is>
          <t>WVR</t>
        </is>
      </c>
      <c r="G20" s="27" t="n">
        <v>44232</v>
      </c>
      <c r="H20" s="28" t="n">
        <v>42000.1</v>
      </c>
      <c r="I20" s="26" t="inlineStr">
        <is>
          <t>gross (price x shares)</t>
        </is>
      </c>
      <c r="J20" s="29" t="n">
        <v>105</v>
      </c>
      <c r="K20" s="29" t="n">
        <v>115</v>
      </c>
      <c r="L20" s="29" t="n">
        <v>115</v>
      </c>
      <c r="M20" s="26" t="inlineStr">
        <is>
          <t>Y</t>
        </is>
      </c>
      <c r="N20" s="30" t="n">
        <v>100</v>
      </c>
      <c r="O20" s="28" t="n">
        <v>457482.6</v>
      </c>
      <c r="P20" s="26" t="inlineStr">
        <is>
          <t>aastocks:上市市值 at the struck price</t>
        </is>
      </c>
      <c r="Q20" s="31" t="n">
        <v>1204.16</v>
      </c>
      <c r="R20" s="32" t="n">
        <v>39</v>
      </c>
      <c r="S20" s="33" t="n">
        <v>45.23</v>
      </c>
      <c r="T20" s="26" t="inlineStr">
        <is>
          <t>Aranda Investments Pte. Ltd; BlackRock, Inc; CPP Investment Board PMI-2 Inc; 富達基金(香港)有限公司; GIC Private Limited; Invesco Ltd; 摩根士丹利亞洲有限公司及Morgan Stanley Investment Management Inc; Sunny Festive Limited; The Capital Group Funds</t>
        </is>
      </c>
      <c r="U20" s="30" t="n">
        <v>18.65</v>
      </c>
      <c r="V20" s="26" t="inlineStr">
        <is>
          <t>full</t>
        </is>
      </c>
      <c r="W20" s="34" t="n">
        <v>160.87</v>
      </c>
      <c r="X20" s="34" t="n">
        <v>250.43</v>
      </c>
      <c r="Y20" s="34" t="n">
        <v>141.91</v>
      </c>
      <c r="Z20" s="34" t="n">
        <v>105.39</v>
      </c>
      <c r="AA20" s="34" t="n">
        <v>-7.27</v>
      </c>
      <c r="AB20" s="34" t="n">
        <v>158.43</v>
      </c>
      <c r="AC20" s="34" t="n">
        <v>-16.52</v>
      </c>
      <c r="AD20" s="26" t="inlineStr">
        <is>
          <t>HSTECH (Hang Seng TECH ETF)</t>
        </is>
      </c>
      <c r="AE20" s="34" t="n">
        <v>-65.76000000000001</v>
      </c>
      <c r="AF20" s="28" t="n">
        <v>43032.4</v>
      </c>
      <c r="AG20" s="28" t="n"/>
      <c r="AH20" s="26" t="n"/>
      <c r="AI20" s="38">
        <f>IF('BBG Verify'!O20="","not filed — run on terminal",'BBG Verify'!O20)</f>
        <v/>
      </c>
      <c r="AJ20" s="35" t="n">
        <v>10.6</v>
      </c>
      <c r="AK20" s="26" t="inlineStr">
        <is>
          <t>N</t>
        </is>
      </c>
      <c r="AL20" s="36">
        <f>IF('BBG Verify'!K20="","not filed — run on terminal",'BBG Verify'!K20)</f>
        <v/>
      </c>
      <c r="AM20" s="26" t="inlineStr">
        <is>
          <t>N/A</t>
        </is>
      </c>
      <c r="AN20" s="26" t="inlineStr">
        <is>
          <t>N/A</t>
        </is>
      </c>
      <c r="AO20" s="26" t="inlineStr">
        <is>
          <t>N/A</t>
        </is>
      </c>
      <c r="AP20" s="26" t="inlineStr">
        <is>
          <t>Morgan Stanley Asia Limited; Merrill Lynch Far East Limited; Central, Hong Kong China Renaissance Securities (Hong Kong) Limited</t>
        </is>
      </c>
      <c r="AQ20" s="26" t="inlineStr">
        <is>
          <t>摩根士丹利亞洲有限公司; Merrill Lynch Far East Limited; 華興資本證券(香港)有限公司</t>
        </is>
      </c>
      <c r="AR20" s="26" t="inlineStr">
        <is>
          <t>Morgan Stanley &amp; Co. International plc; Canary Wharf London E14 4QA United Kingdom Merrill Lynch (Asia Pacific) Limited; Central, Hong Kong China Renaissance Securities (Hong Kong) Limited; ICBC International Securities Limited</t>
        </is>
      </c>
      <c r="AS20" s="26" t="inlineStr">
        <is>
          <t>中銀國際亞洲有限公司; 招銀國際融資有限公司; 華興資本證券(香港)有限公司; 富途證券國際（香港）有限公司; 海通國際證券有限公司; 香港上海匯豐銀行有限公司; 工銀國際證券有限公司; 美林(亞太)有限公司; 摩根士丹利亞洲有限公司</t>
        </is>
      </c>
      <c r="AT20" s="37">
        <f>HYPERLINK("https://www1.hkexnews.hk/listedco/listconews/sehk/2021/0126/2021012600093.htm","prospectus")</f>
        <v/>
      </c>
      <c r="AU20" s="37">
        <f>HYPERLINK("https://www1.hkexnews.hk/listedco/listconews/sehk/2021/0204/2021020400034.htm","allotment")</f>
        <v/>
      </c>
      <c r="AV20" s="37">
        <f>HYPERLINK("https://www1.hkexnews.hk/listedco/listconews/sehk/2021/0301/2021030100029.pdf","stabilisation")</f>
        <v/>
      </c>
      <c r="AW20" s="26" t="inlineStr">
        <is>
          <t>P/E: net income not stated in extractable form · A/H: no A line; closest listed proxy {'code': '300413.SZ', 'name': 'Mango Excellent Media', 'rationale': 'A-shares have no short-video platform; Mango (Hunan TV streaming/content) is the standard A-share video-platform traffic-and-ads proxy.'}</t>
        </is>
      </c>
    </row>
    <row r="21">
      <c r="A21" s="25" t="inlineStr">
        <is>
          <t>2170</t>
        </is>
      </c>
      <c r="B21" s="26" t="inlineStr">
        <is>
          <t>BASECARE-B</t>
        </is>
      </c>
      <c r="C21" s="26" t="inlineStr">
        <is>
          <t>貝康醫療－Ｂ</t>
        </is>
      </c>
      <c r="D21" s="26" t="inlineStr">
        <is>
          <t>Healthcare</t>
        </is>
      </c>
      <c r="E21" s="26" t="inlineStr">
        <is>
          <t>Medical devices</t>
        </is>
      </c>
      <c r="F21" s="26" t="inlineStr">
        <is>
          <t>18A</t>
        </is>
      </c>
      <c r="G21" s="27" t="n">
        <v>44233</v>
      </c>
      <c r="H21" s="28" t="n">
        <v>1824</v>
      </c>
      <c r="I21" s="26" t="inlineStr">
        <is>
          <t>gross (price x shares)</t>
        </is>
      </c>
      <c r="J21" s="29" t="n">
        <v>26.36</v>
      </c>
      <c r="K21" s="29" t="n">
        <v>27.36</v>
      </c>
      <c r="L21" s="29" t="n">
        <v>27.36</v>
      </c>
      <c r="M21" s="26" t="inlineStr">
        <is>
          <t>Y</t>
        </is>
      </c>
      <c r="N21" s="30" t="n">
        <v>100</v>
      </c>
      <c r="O21" s="28" t="n">
        <v>6584.8</v>
      </c>
      <c r="P21" s="26" t="inlineStr">
        <is>
          <t>derived:deal size / offer % of enlarged capital</t>
        </is>
      </c>
      <c r="Q21" s="31" t="n">
        <v>402.8</v>
      </c>
      <c r="R21" s="32" t="n">
        <v>21.8</v>
      </c>
      <c r="S21" s="33" t="n">
        <v>17</v>
      </c>
      <c r="T21" s="26" t="inlineStr">
        <is>
          <t>Affin Hwang Asset Management Berhad; CRF Investment Holdings Company Limited; Foresight Funds; 常春藤資產管理(香港)有限公司; Lake Bleu Prime Healthcare Master Fund Limited; OrbiMed Funds; WinTwin Capital Limited</t>
        </is>
      </c>
      <c r="U21" s="30" t="n">
        <v>15</v>
      </c>
      <c r="V21" s="26" t="inlineStr">
        <is>
          <t>partial</t>
        </is>
      </c>
      <c r="W21" s="34" t="n">
        <v>1.24</v>
      </c>
      <c r="X21" s="34" t="n">
        <v>16.96</v>
      </c>
      <c r="Y21" s="34" t="n">
        <v>-25.26</v>
      </c>
      <c r="Z21" s="34" t="n">
        <v>-1.32</v>
      </c>
      <c r="AA21" s="34" t="n">
        <v>-26.18</v>
      </c>
      <c r="AB21" s="34" t="n">
        <v>-9.67</v>
      </c>
      <c r="AC21" s="34" t="n">
        <v>-15.59</v>
      </c>
      <c r="AD21" s="26" t="inlineStr">
        <is>
          <t>China Biotech ETF (HS biotech proxy)</t>
        </is>
      </c>
      <c r="AE21" s="34" t="n">
        <v>-94.81</v>
      </c>
      <c r="AF21" s="28" t="n">
        <v>46</v>
      </c>
      <c r="AG21" s="28" t="n"/>
      <c r="AH21" s="26" t="n"/>
      <c r="AI21" s="38">
        <f>IF('BBG Verify'!O21="","not filed — run on terminal",'BBG Verify'!O21)</f>
        <v/>
      </c>
      <c r="AJ21" s="35" t="n">
        <v>143.1</v>
      </c>
      <c r="AK21" s="26" t="inlineStr">
        <is>
          <t>N</t>
        </is>
      </c>
      <c r="AL21" s="36">
        <f>IF('BBG Verify'!K21="","not filed — run on terminal",'BBG Verify'!K21)</f>
        <v/>
      </c>
      <c r="AM21" s="26" t="inlineStr">
        <is>
          <t>N/A</t>
        </is>
      </c>
      <c r="AN21" s="26" t="inlineStr">
        <is>
          <t>N/A</t>
        </is>
      </c>
      <c r="AO21" s="26" t="inlineStr">
        <is>
          <t>N/A</t>
        </is>
      </c>
      <c r="AP21" s="26" t="inlineStr">
        <is>
          <t>CLSA Capital Markets Limited</t>
        </is>
      </c>
      <c r="AQ21" s="26" t="inlineStr">
        <is>
          <t>中信里昂證券資本市場有限公司</t>
        </is>
      </c>
      <c r="AR21" s="26" t="inlineStr">
        <is>
          <t>CLSA Limited; Citigroup Global Markets Asia Limited; China International Capital Corporation Hong Kong Securities Limited; Citigroup Global Markets Limited; –1 1 2– China International Capital Corporation Hong Kong Securities Limited; Haitong International Securities Company Limited; CMB International Capital Limited; ICBC International Capital Limited; SPDB International Capital Limited</t>
        </is>
      </c>
      <c r="AS21" s="26" t="inlineStr">
        <is>
          <t>花旗環球金融亞洲有限公司; 中國國際金融香港證券有限公司; 中信里昂證券有限公司; 招銀國際金融有限公司; 富途證券國際（香港）有限公司; 海通國際證券有限公司; 工銀國際證券有限公司; 浦銀國際融資有限公司</t>
        </is>
      </c>
      <c r="AT21" s="37">
        <f>HYPERLINK("https://www1.hkexnews.hk/listedco/listconews/sehk/2021/0127/2021012700036.htm","prospectus")</f>
        <v/>
      </c>
      <c r="AU21" s="37">
        <f>HYPERLINK("https://www1.hkexnews.hk/listedco/listconews/sehk/2021/0205/2021020500040.htm","allotment")</f>
        <v/>
      </c>
      <c r="AV21" s="37">
        <f>HYPERLINK("https://www1.hkexnews.hk/listedco/listconews/sehk/2021/0304/2021030400005.pdf","stabilisation")</f>
        <v/>
      </c>
      <c r="AW21" s="26" t="inlineStr">
        <is>
          <t>P/E: net income not stated in extractable form · A/H: no A-share listing · cornerstone: AAStocks institutional table includes non-cornerstone orders (superset) — cornerstone % is from the prospectus</t>
        </is>
      </c>
    </row>
    <row r="22">
      <c r="A22" s="25" t="inlineStr">
        <is>
          <t>1473</t>
        </is>
      </c>
      <c r="B22" s="26" t="inlineStr">
        <is>
          <t>PANGAEA CONNECT</t>
        </is>
      </c>
      <c r="C22" s="26" t="inlineStr">
        <is>
          <t>環聯連訊</t>
        </is>
      </c>
      <c r="D22" s="26" t="inlineStr">
        <is>
          <t>Tech/AI</t>
        </is>
      </c>
      <c r="E22" s="26" t="inlineStr">
        <is>
          <t>SaaS / enterprise software</t>
        </is>
      </c>
      <c r="F22" s="26" t="inlineStr">
        <is>
          <t>Standard</t>
        </is>
      </c>
      <c r="G22" s="27" t="n">
        <v>44246</v>
      </c>
      <c r="H22" s="28" t="n">
        <v>140</v>
      </c>
      <c r="I22" s="26" t="inlineStr">
        <is>
          <t>gross (price x shares)</t>
        </is>
      </c>
      <c r="J22" s="29" t="n"/>
      <c r="K22" s="29" t="n">
        <v>0.58</v>
      </c>
      <c r="L22" s="29" t="n">
        <v>0.5600000000000001</v>
      </c>
      <c r="M22" s="26" t="inlineStr">
        <is>
          <t>N</t>
        </is>
      </c>
      <c r="N22" s="30" t="n">
        <v>96.59999999999999</v>
      </c>
      <c r="O22" s="28" t="n">
        <v>520</v>
      </c>
      <c r="P22" s="26" t="inlineStr">
        <is>
          <t>prospectus:stated market capitalisation</t>
        </is>
      </c>
      <c r="Q22" s="31" t="n">
        <v>64.15000000000001</v>
      </c>
      <c r="R22" s="39">
        <f>IF('BBG Verify'!E22="","not filed — run on terminal",'BBG Verify'!E22)</f>
        <v/>
      </c>
      <c r="S22" s="33" t="n">
        <v>0</v>
      </c>
      <c r="T22" s="26" t="n"/>
      <c r="U22" s="30" t="n">
        <v>15</v>
      </c>
      <c r="V22" s="26" t="n"/>
      <c r="W22" s="34" t="n">
        <v>26.79</v>
      </c>
      <c r="X22" s="34" t="n">
        <v>1.79</v>
      </c>
      <c r="Y22" s="34" t="n">
        <v>8.93</v>
      </c>
      <c r="Z22" s="34" t="n">
        <v>16.07</v>
      </c>
      <c r="AA22" s="34" t="n">
        <v>-14.09</v>
      </c>
      <c r="AB22" s="34" t="n">
        <v>30.32</v>
      </c>
      <c r="AC22" s="34" t="n">
        <v>-21.39</v>
      </c>
      <c r="AD22" s="26" t="inlineStr">
        <is>
          <t>HSTECH (Hang Seng TECH ETF)</t>
        </is>
      </c>
      <c r="AE22" s="34" t="n">
        <v>133.04</v>
      </c>
      <c r="AF22" s="28" t="n">
        <v>2</v>
      </c>
      <c r="AG22" s="28" t="n">
        <v>34.9</v>
      </c>
      <c r="AH22" s="26" t="inlineStr">
        <is>
          <t>Y</t>
        </is>
      </c>
      <c r="AI22" s="35" t="n">
        <v>14.9</v>
      </c>
      <c r="AJ22" s="35" t="n">
        <v>260</v>
      </c>
      <c r="AK22" s="26" t="inlineStr">
        <is>
          <t>N</t>
        </is>
      </c>
      <c r="AL22" s="36">
        <f>IF('BBG Verify'!K22="","not filed — run on terminal",'BBG Verify'!K22)</f>
        <v/>
      </c>
      <c r="AM22" s="26" t="inlineStr">
        <is>
          <t>N/A</t>
        </is>
      </c>
      <c r="AN22" s="26" t="inlineStr">
        <is>
          <t>N/A</t>
        </is>
      </c>
      <c r="AO22" s="26" t="inlineStr">
        <is>
          <t>N/A</t>
        </is>
      </c>
      <c r="AP22" s="26" t="inlineStr">
        <is>
          <t>Honestum International Limited</t>
        </is>
      </c>
      <c r="AQ22" s="26" t="inlineStr">
        <is>
          <t>竤信國際有限公司</t>
        </is>
      </c>
      <c r="AR22" s="26" t="inlineStr">
        <is>
          <t>CMBC Securities Company Limited; Central, Hong Kong Forwin Securities Group Limited; Lego Securities Limited; Central, Hong Kong Crosby Securities Limited; Wanchai, Hong Kong Forwin Securities Group Limited; Wanchai, Hong Kong GLAM Capital Limited</t>
        </is>
      </c>
      <c r="AS22" s="26" t="inlineStr">
        <is>
          <t>民銀證券有限公司; 高誠證券有限公司; 高鉦証券有限公司; 富榮證券集團有限公司; 港利資本有限公司; 力高證券有限公司; 勝利證券有限公司</t>
        </is>
      </c>
      <c r="AT22" s="37">
        <f>HYPERLINK("https://www1.hkexnews.hk/listedco/listconews/sehk/2021/0129/2021012901777.pdf","prospectus")</f>
        <v/>
      </c>
      <c r="AU22" s="37">
        <f>HYPERLINK("https://www1.hkexnews.hk/listedco/listconews/sehk/2021/0218/2021021800016.htm","allotment")</f>
        <v/>
      </c>
      <c r="AV22" s="26" t="n"/>
      <c r="AW22" s="26" t="inlineStr">
        <is>
          <t>intl sub: subscription level not stated in the filing · greenshoe: end-of-stabilisation notice not located · A/H: no A-share listing</t>
        </is>
      </c>
    </row>
    <row r="23">
      <c r="A23" s="25" t="inlineStr">
        <is>
          <t>6127</t>
        </is>
      </c>
      <c r="B23" s="26" t="inlineStr">
        <is>
          <t>JOINN</t>
        </is>
      </c>
      <c r="C23" s="26" t="inlineStr">
        <is>
          <t>昭衍新藥</t>
        </is>
      </c>
      <c r="D23" s="26" t="inlineStr">
        <is>
          <t>Healthcare</t>
        </is>
      </c>
      <c r="E23" s="26" t="inlineStr">
        <is>
          <t>CXO / pharma services</t>
        </is>
      </c>
      <c r="F23" s="26" t="inlineStr">
        <is>
          <t>Standard</t>
        </is>
      </c>
      <c r="G23" s="27" t="n">
        <v>44253</v>
      </c>
      <c r="H23" s="28" t="n">
        <v>6542</v>
      </c>
      <c r="I23" s="26" t="inlineStr">
        <is>
          <t>gross (price x shares)</t>
        </is>
      </c>
      <c r="J23" s="29" t="n">
        <v>133</v>
      </c>
      <c r="K23" s="29" t="n">
        <v>151</v>
      </c>
      <c r="L23" s="29" t="n">
        <v>151</v>
      </c>
      <c r="M23" s="26" t="inlineStr">
        <is>
          <t>Y</t>
        </is>
      </c>
      <c r="N23" s="30" t="n">
        <v>100</v>
      </c>
      <c r="O23" s="28" t="n">
        <v>40893.9</v>
      </c>
      <c r="P23" s="26" t="inlineStr">
        <is>
          <t>aastocks:上市市值 at the struck price</t>
        </is>
      </c>
      <c r="Q23" s="31" t="n">
        <v>310</v>
      </c>
      <c r="R23" s="32" t="n">
        <v>26</v>
      </c>
      <c r="S23" s="33" t="n">
        <v>31.8</v>
      </c>
      <c r="T23" s="26" t="inlineStr">
        <is>
          <t>Carmignac基金; 中國國有企業結構調整基金股份有限公司; CPE Greater China Enterprises Growth Fund; CRF Investment Holdings Company Limited; Janchor Partners Pan-Asian Master Fund; Lake Bleu Prime Healthcare Master Fund Limited; Octagon Capital Advisors LP; Orbimed基金; SCC Growth VI Holdco F, Ltd; Valliance Fund</t>
        </is>
      </c>
      <c r="U23" s="30" t="n">
        <v>5.8</v>
      </c>
      <c r="V23" s="26" t="inlineStr">
        <is>
          <t>partial</t>
        </is>
      </c>
      <c r="W23" s="34" t="n">
        <v>-8.609999999999999</v>
      </c>
      <c r="X23" s="34" t="n">
        <v>-12.58</v>
      </c>
      <c r="Y23" s="34" t="n">
        <v>-8.48</v>
      </c>
      <c r="Z23" s="34" t="n">
        <v>4.17</v>
      </c>
      <c r="AA23" s="34" t="n">
        <v>0.14</v>
      </c>
      <c r="AB23" s="34" t="n">
        <v>-0.34</v>
      </c>
      <c r="AC23" s="34" t="n">
        <v>-8.140000000000001</v>
      </c>
      <c r="AD23" s="26" t="inlineStr">
        <is>
          <t>China Biotech ETF (HS biotech proxy)</t>
        </is>
      </c>
      <c r="AE23" s="34" t="n">
        <v>-82.17</v>
      </c>
      <c r="AF23" s="28" t="n"/>
      <c r="AG23" s="28" t="n"/>
      <c r="AH23" s="26" t="n"/>
      <c r="AI23" s="38">
        <f>IF('BBG Verify'!O23="","not filed — run on terminal",'BBG Verify'!O23)</f>
        <v/>
      </c>
      <c r="AJ23" s="35" t="n"/>
      <c r="AK23" s="26" t="inlineStr">
        <is>
          <t>Y</t>
        </is>
      </c>
      <c r="AL23" s="26" t="inlineStr">
        <is>
          <t>603127.SS</t>
        </is>
      </c>
      <c r="AM23" s="34" t="n">
        <v>-10.94</v>
      </c>
      <c r="AN23" s="29" t="n">
        <v>169.5434</v>
      </c>
      <c r="AO23" s="42" t="n">
        <v>-0.5799</v>
      </c>
      <c r="AP23" s="26" t="inlineStr">
        <is>
          <t>CLSA Capital Markets Limited</t>
        </is>
      </c>
      <c r="AQ23" s="26" t="inlineStr">
        <is>
          <t>中信里昂證券資本市場有限公司</t>
        </is>
      </c>
      <c r="AR23" s="26"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AS23" s="26" t="inlineStr">
        <is>
          <t>Beta International Securities Limited; 中銀國際亞洲有限公司; 中國國際金融香港證券有限公司; 中信里昂證券有限公司; 招銀國際融資有限公司; 招商證券(香港)有限公司; 海通國際證券有限公司; 工銀國際證券有限公司; 美林(亞太)有限公司</t>
        </is>
      </c>
      <c r="AT23" s="37">
        <f>HYPERLINK("https://www1.hkexnews.hk/listedco/listconews/sehk/2021/0216/2021021600009.pdf","prospectus")</f>
        <v/>
      </c>
      <c r="AU23" s="37">
        <f>HYPERLINK("https://www1.hkexnews.hk/listedco/listconews/sehk/2021/0225/2021022500020.htm","allotment")</f>
        <v/>
      </c>
      <c r="AV23" s="37">
        <f>HYPERLINK("https://www1.hkexnews.hk/listedco/listconews/sehk/2021/0321/2021032100045.pdf","stabilisation")</f>
        <v/>
      </c>
      <c r="AW23" s="26" t="inlineStr">
        <is>
          <t>P/E: net income not stated in extractable form · A/H: H listed Feb 2021; CRO safety-evaluation leader</t>
        </is>
      </c>
    </row>
    <row r="24">
      <c r="A24" s="25" t="inlineStr">
        <is>
          <t>6601</t>
        </is>
      </c>
      <c r="B24" s="26" t="inlineStr">
        <is>
          <t>CHEERWIN GP</t>
        </is>
      </c>
      <c r="C24" s="26" t="inlineStr">
        <is>
          <t>朝雲集團</t>
        </is>
      </c>
      <c r="D24" s="26" t="inlineStr">
        <is>
          <t>Consumer</t>
        </is>
      </c>
      <c r="E24" s="26" t="inlineStr">
        <is>
          <t>Beauty / personal care</t>
        </is>
      </c>
      <c r="F24" s="26" t="inlineStr">
        <is>
          <t>Standard</t>
        </is>
      </c>
      <c r="G24" s="27" t="n">
        <v>44265</v>
      </c>
      <c r="H24" s="28" t="n">
        <v>3066.7</v>
      </c>
      <c r="I24" s="26" t="inlineStr">
        <is>
          <t>gross (price x shares)</t>
        </is>
      </c>
      <c r="J24" s="29" t="n"/>
      <c r="K24" s="29" t="n">
        <v>9.199999999999999</v>
      </c>
      <c r="L24" s="29" t="n">
        <v>9.199999999999999</v>
      </c>
      <c r="M24" s="26" t="inlineStr">
        <is>
          <t>Y</t>
        </is>
      </c>
      <c r="N24" s="30" t="n">
        <v>100</v>
      </c>
      <c r="O24" s="28" t="n">
        <v>12266.7</v>
      </c>
      <c r="P24" s="26" t="inlineStr">
        <is>
          <t>aastocks:上市市值 at the struck price</t>
        </is>
      </c>
      <c r="Q24" s="31" t="n">
        <v>172.32</v>
      </c>
      <c r="R24" s="32" t="n">
        <v>13.8</v>
      </c>
      <c r="S24" s="33" t="n">
        <v>0</v>
      </c>
      <c r="T24" s="26" t="n"/>
      <c r="U24" s="30" t="n">
        <v>6</v>
      </c>
      <c r="V24" s="26" t="inlineStr">
        <is>
          <t>lapsed</t>
        </is>
      </c>
      <c r="W24" s="34" t="n">
        <v>-13.15</v>
      </c>
      <c r="X24" s="34" t="n">
        <v>-9.24</v>
      </c>
      <c r="Y24" s="34" t="n">
        <v>-9.779999999999999</v>
      </c>
      <c r="Z24" s="34" t="n">
        <v>-9.779999999999999</v>
      </c>
      <c r="AA24" s="34" t="n">
        <v>3.88</v>
      </c>
      <c r="AB24" s="34" t="n">
        <v>-9.15</v>
      </c>
      <c r="AC24" s="34" t="n">
        <v>-0.63</v>
      </c>
      <c r="AD24" s="26" t="inlineStr">
        <is>
          <t>Hang Seng Commerce &amp; Industry sub-index</t>
        </is>
      </c>
      <c r="AE24" s="34" t="n">
        <v>-75.48999999999999</v>
      </c>
      <c r="AF24" s="28" t="n">
        <v>1521.7</v>
      </c>
      <c r="AG24" s="28" t="n">
        <v>202.8</v>
      </c>
      <c r="AH24" s="26" t="inlineStr">
        <is>
          <t>Y</t>
        </is>
      </c>
      <c r="AI24" s="35" t="n">
        <v>60.5</v>
      </c>
      <c r="AJ24" s="35" t="n">
        <v>8.1</v>
      </c>
      <c r="AK24" s="26" t="inlineStr">
        <is>
          <t>N</t>
        </is>
      </c>
      <c r="AL24" s="36">
        <f>IF('BBG Verify'!K24="","not filed — run on terminal",'BBG Verify'!K24)</f>
        <v/>
      </c>
      <c r="AM24" s="26" t="inlineStr">
        <is>
          <t>N/A</t>
        </is>
      </c>
      <c r="AN24" s="26" t="inlineStr">
        <is>
          <t>N/A</t>
        </is>
      </c>
      <c r="AO24" s="26" t="inlineStr">
        <is>
          <t>N/A</t>
        </is>
      </c>
      <c r="AP24" s="26" t="inlineStr">
        <is>
          <t>Morgan Stanley Asia Limited; China International Capital Corporation Hong Kong Securities Limited</t>
        </is>
      </c>
      <c r="AQ24" s="26" t="inlineStr">
        <is>
          <t>摩根士丹利亞洲有限公司; 中國國際金融(香港)有限公司</t>
        </is>
      </c>
      <c r="AR24" s="26" t="inlineStr">
        <is>
          <t>Morgan Stanley Asia Limited; China International Capital Corporation Hong Kong Securities Limited</t>
        </is>
      </c>
      <c r="AS24" s="26" t="inlineStr">
        <is>
          <t>中國國際金融香港證券有限公司; 富途證券國際（香港）有限公司; 摩根士丹利亞洲有限公司</t>
        </is>
      </c>
      <c r="AT24" s="37">
        <f>HYPERLINK("https://www1.hkexnews.hk/listedco/listconews/sehk/2021/0226/2021022600033.pdf","prospectus")</f>
        <v/>
      </c>
      <c r="AU24" s="37">
        <f>HYPERLINK("https://www1.hkexnews.hk/listedco/listconews/sehk/2021/0309/2021030900022.htm","allotment")</f>
        <v/>
      </c>
      <c r="AV24" s="37">
        <f>HYPERLINK("https://www1.hkexnews.hk/listedco/listconews/sehk/2021/0407/2021040700023.pdf","stabilisation")</f>
        <v/>
      </c>
      <c r="AW24" s="26" t="inlineStr">
        <is>
          <t>A/H: no A-share listing · market cap: estimate from deal size / offer % of enlarged capital disagreed with the published listing cap — published figure adopted</t>
        </is>
      </c>
    </row>
    <row r="25">
      <c r="A25" s="25" t="inlineStr">
        <is>
          <t>1413</t>
        </is>
      </c>
      <c r="B25" s="26" t="inlineStr">
        <is>
          <t>KWONG LUEN ENG</t>
        </is>
      </c>
      <c r="C25" s="26" t="inlineStr">
        <is>
          <t>鑄帝控股</t>
        </is>
      </c>
      <c r="D25" s="26" t="inlineStr">
        <is>
          <t>Industrials</t>
        </is>
      </c>
      <c r="E25" s="26" t="inlineStr">
        <is>
          <t>Construction / engineering</t>
        </is>
      </c>
      <c r="F25" s="26" t="inlineStr">
        <is>
          <t>Standard</t>
        </is>
      </c>
      <c r="G25" s="27" t="n">
        <v>44266</v>
      </c>
      <c r="H25" s="28" t="n">
        <v>135</v>
      </c>
      <c r="I25" s="26" t="inlineStr">
        <is>
          <t>gross (price x shares)</t>
        </is>
      </c>
      <c r="J25" s="29" t="n">
        <v>0.5</v>
      </c>
      <c r="K25" s="29" t="n">
        <v>0.54</v>
      </c>
      <c r="L25" s="29" t="n">
        <v>0.54</v>
      </c>
      <c r="M25" s="26" t="inlineStr">
        <is>
          <t>Y</t>
        </is>
      </c>
      <c r="N25" s="30" t="n">
        <v>100</v>
      </c>
      <c r="O25" s="28" t="n">
        <v>540</v>
      </c>
      <c r="P25" s="26" t="inlineStr">
        <is>
          <t>aastocks:上市市值 at the struck price</t>
        </is>
      </c>
      <c r="Q25" s="31" t="n">
        <v>54.29</v>
      </c>
      <c r="R25" s="32" t="n">
        <v>1.05</v>
      </c>
      <c r="S25" s="33" t="n">
        <v>0</v>
      </c>
      <c r="T25" s="26" t="n"/>
      <c r="U25" s="30" t="n">
        <v>15</v>
      </c>
      <c r="V25" s="26" t="n"/>
      <c r="W25" s="34" t="n">
        <v>-22.22</v>
      </c>
      <c r="X25" s="34" t="n">
        <v>-29.63</v>
      </c>
      <c r="Y25" s="34" t="n">
        <v>-37.96</v>
      </c>
      <c r="Z25" s="34" t="n">
        <v>-40.74</v>
      </c>
      <c r="AA25" s="34" t="n">
        <v>-20.24</v>
      </c>
      <c r="AB25" s="34" t="n">
        <v>-38</v>
      </c>
      <c r="AC25" s="34" t="n">
        <v>0.04</v>
      </c>
      <c r="AD25" s="26" t="inlineStr">
        <is>
          <t>Hang Seng Commerce &amp; Industry sub-index</t>
        </is>
      </c>
      <c r="AE25" s="34" t="n">
        <v>-57.41</v>
      </c>
      <c r="AF25" s="28" t="n">
        <v>404.8</v>
      </c>
      <c r="AG25" s="28" t="n">
        <v>38.4</v>
      </c>
      <c r="AH25" s="26" t="inlineStr">
        <is>
          <t>Y</t>
        </is>
      </c>
      <c r="AI25" s="35" t="n">
        <v>14.1</v>
      </c>
      <c r="AJ25" s="35" t="n">
        <v>1.3</v>
      </c>
      <c r="AK25" s="26" t="inlineStr">
        <is>
          <t>N</t>
        </is>
      </c>
      <c r="AL25" s="36">
        <f>IF('BBG Verify'!K25="","not filed — run on terminal",'BBG Verify'!K25)</f>
        <v/>
      </c>
      <c r="AM25" s="26" t="inlineStr">
        <is>
          <t>N/A</t>
        </is>
      </c>
      <c r="AN25" s="26" t="inlineStr">
        <is>
          <t>N/A</t>
        </is>
      </c>
      <c r="AO25" s="26" t="inlineStr">
        <is>
          <t>N/A</t>
        </is>
      </c>
      <c r="AP25" s="26" t="n"/>
      <c r="AQ25" s="26" t="inlineStr">
        <is>
          <t>均富融資有限公司</t>
        </is>
      </c>
      <c r="AR25" s="26" t="inlineStr">
        <is>
          <t>Space Securities Limited; CMBC Securities Company Limited; Innovax Securities Limited; SPDB International Capital Limited</t>
        </is>
      </c>
      <c r="AS25" s="26" t="inlineStr">
        <is>
          <t>民銀證券有限公司; 德林證券（香港）有限公司; 民眾證券有限公司; 港利資本有限公司; 國信證券(香港)融資有限公司; 創陞證券有限公司; 貝德斯證券有限公司; 偉祿亞太證券有限公司; 浦銀國際融資有限公司; 恆宇證券有限公司; 友信證券有限公司; 勝利證券有限公司</t>
        </is>
      </c>
      <c r="AT25" s="37">
        <f>HYPERLINK("https://www1.hkexnews.hk/listedco/listconews/sehk/2021/0226/2021022600013.pdf","prospectus")</f>
        <v/>
      </c>
      <c r="AU25" s="37">
        <f>HYPERLINK("https://www1.hkexnews.hk/listedco/listconews/sehk/2021/0310/2021031000014.htm","allotment")</f>
        <v/>
      </c>
      <c r="AV25" s="26" t="n"/>
      <c r="AW25" s="26" t="inlineStr">
        <is>
          <t>greenshoe: end-of-stabilisation notice not located · A/H: no A-share listing · sponsor: English name not in the filing text; AAStocks 保薦人 shown</t>
        </is>
      </c>
    </row>
    <row r="26">
      <c r="A26" s="25" t="inlineStr">
        <is>
          <t>2518</t>
        </is>
      </c>
      <c r="B26" s="26" t="inlineStr">
        <is>
          <t>AUTOHOME-S</t>
        </is>
      </c>
      <c r="C26" s="26" t="inlineStr">
        <is>
          <t>汽車之家－Ｓ</t>
        </is>
      </c>
      <c r="D26" s="26" t="inlineStr">
        <is>
          <t>Tech/AI</t>
        </is>
      </c>
      <c r="E26" s="26" t="inlineStr">
        <is>
          <t>Internet platform / e-commerce</t>
        </is>
      </c>
      <c r="F26" s="26" t="inlineStr">
        <is>
          <t>Secondary</t>
        </is>
      </c>
      <c r="G26" s="27" t="n">
        <v>44268</v>
      </c>
      <c r="H26" s="28" t="n">
        <v>5340.3</v>
      </c>
      <c r="I26" s="26" t="inlineStr">
        <is>
          <t>gross (price x shares)</t>
        </is>
      </c>
      <c r="J26" s="29" t="n"/>
      <c r="K26" s="29" t="n">
        <v>251.8</v>
      </c>
      <c r="L26" s="29" t="n">
        <v>176.3</v>
      </c>
      <c r="M26" s="26" t="inlineStr">
        <is>
          <t>N</t>
        </is>
      </c>
      <c r="N26" s="30" t="n">
        <v>70</v>
      </c>
      <c r="O26" s="41">
        <f>IF('BBG Verify'!M26="","not filed — run on terminal",'BBG Verify'!M26)</f>
        <v/>
      </c>
      <c r="P26" s="26" t="n"/>
      <c r="Q26" s="31" t="n">
        <v>10.71</v>
      </c>
      <c r="R26" s="39">
        <f>IF('BBG Verify'!E26="","not filed — run on terminal",'BBG Verify'!E26)</f>
        <v/>
      </c>
      <c r="S26" s="33" t="n"/>
      <c r="T26" s="26" t="n"/>
      <c r="U26" s="30" t="n">
        <v>6</v>
      </c>
      <c r="V26" s="26" t="inlineStr">
        <is>
          <t>full</t>
        </is>
      </c>
      <c r="W26" s="34" t="n">
        <v>2.1</v>
      </c>
      <c r="X26" s="34" t="n">
        <v>10.72</v>
      </c>
      <c r="Y26" s="34" t="n">
        <v>3.52</v>
      </c>
      <c r="Z26" s="34" t="n">
        <v>-28.64</v>
      </c>
      <c r="AA26" s="34" t="n">
        <v>1.39</v>
      </c>
      <c r="AB26" s="34" t="n">
        <v>6.55</v>
      </c>
      <c r="AC26" s="34" t="n">
        <v>-3.03</v>
      </c>
      <c r="AD26" s="26" t="inlineStr">
        <is>
          <t>HSTECH (Hang Seng TECH ETF)</t>
        </is>
      </c>
      <c r="AE26" s="34" t="n">
        <v>-75.26000000000001</v>
      </c>
      <c r="AF26" s="28" t="n">
        <v>2.2</v>
      </c>
      <c r="AG26" s="28" t="n"/>
      <c r="AH26" s="26" t="n"/>
      <c r="AI26" s="38">
        <f>IF('BBG Verify'!O26="","not filed — run on terminal",'BBG Verify'!O26)</f>
        <v/>
      </c>
      <c r="AJ26" s="35" t="n"/>
      <c r="AK26" s="26" t="inlineStr">
        <is>
          <t>N</t>
        </is>
      </c>
      <c r="AL26" s="36">
        <f>IF('BBG Verify'!K26="","not filed — run on terminal",'BBG Verify'!K26)</f>
        <v/>
      </c>
      <c r="AM26" s="26" t="inlineStr">
        <is>
          <t>N/A</t>
        </is>
      </c>
      <c r="AN26" s="26" t="inlineStr">
        <is>
          <t>N/A</t>
        </is>
      </c>
      <c r="AO26" s="26" t="inlineStr">
        <is>
          <t>N/A</t>
        </is>
      </c>
      <c r="AP26" s="26" t="inlineStr">
        <is>
          <t>China International Capital Corporation Hong Kong Securities Limited; (in alphabetical order with no ranking assigned) Credit Suisse (Hong Kong) Limited; DIRECTORS AND PARTIES INVOLVED IN THE GLOBAL OFFERING Goldman Sachs (Asia) L.L.C</t>
        </is>
      </c>
      <c r="AQ26" s="26" t="inlineStr">
        <is>
          <t>中國國際金融香港證券有限公司; 高盛(亞洲)有限責任公司; 瑞士信貸（香港）有限公司</t>
        </is>
      </c>
      <c r="AR26" s="26"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AS26" s="26" t="inlineStr">
        <is>
          <t>農銀國際證券有限公司; 中國國際金融香港證券有限公司; 平證證券（香港）有限公司; 瑞士信貸（香港）有限公司; 德意志銀行香港分行; 高盛(亞洲)有限責任公司; 海通國際證券有限公司; 香港上海匯豐銀行有限公司</t>
        </is>
      </c>
      <c r="AT26" s="37">
        <f>HYPERLINK("https://www1.hkexnews.hk/listedco/listconews/sehk/2021/0304/2021030400013.pdf","prospectus")</f>
        <v/>
      </c>
      <c r="AU26" s="37">
        <f>HYPERLINK("https://www1.hkexnews.hk/listedco/listconews/sehk/2021/0312/2021031200028.htm","allotment")</f>
        <v/>
      </c>
      <c r="AV26" s="37">
        <f>HYPERLINK("https://www1.hkexnews.hk/listedco/listconews/sehk/2021/0409/2021040900003.pdf","stabilisation")</f>
        <v/>
      </c>
      <c r="AW26" s="26" t="inlineStr">
        <is>
          <t>intl sub: subscription level not stated in the filing · P/E: net income not stated in extractable form · A/H: no A-share listing</t>
        </is>
      </c>
    </row>
    <row r="27">
      <c r="A27" s="25" t="inlineStr">
        <is>
          <t>1927</t>
        </is>
      </c>
      <c r="B27" s="26" t="inlineStr">
        <is>
          <t>JIUJIUWANG</t>
        </is>
      </c>
      <c r="C27" s="26" t="inlineStr">
        <is>
          <t>久久王</t>
        </is>
      </c>
      <c r="D27" s="26" t="inlineStr">
        <is>
          <t>Consumer</t>
        </is>
      </c>
      <c r="E27" s="26" t="inlineStr">
        <is>
          <t>Beverages / packaged food</t>
        </is>
      </c>
      <c r="F27" s="26" t="inlineStr">
        <is>
          <t>Standard</t>
        </is>
      </c>
      <c r="G27" s="27" t="n">
        <v>44271</v>
      </c>
      <c r="H27" s="28" t="n">
        <v>148.5</v>
      </c>
      <c r="I27" s="26" t="inlineStr">
        <is>
          <t>gross (price x shares)</t>
        </is>
      </c>
      <c r="J27" s="29" t="n">
        <v>0.65</v>
      </c>
      <c r="K27" s="29" t="n">
        <v>0.75</v>
      </c>
      <c r="L27" s="29" t="n">
        <v>0.75</v>
      </c>
      <c r="M27" s="26" t="inlineStr">
        <is>
          <t>Y</t>
        </is>
      </c>
      <c r="N27" s="30" t="n">
        <v>100</v>
      </c>
      <c r="O27" s="28" t="n">
        <v>594</v>
      </c>
      <c r="P27" s="26" t="inlineStr">
        <is>
          <t>aastocks:上市市值 at the struck price</t>
        </is>
      </c>
      <c r="Q27" s="31" t="n">
        <v>36</v>
      </c>
      <c r="R27" s="32" t="n">
        <v>1.14</v>
      </c>
      <c r="S27" s="33" t="n">
        <v>0</v>
      </c>
      <c r="T27" s="26" t="n"/>
      <c r="U27" s="30" t="n">
        <v>15</v>
      </c>
      <c r="V27" s="26" t="n"/>
      <c r="W27" s="34" t="n">
        <v>-26.67</v>
      </c>
      <c r="X27" s="34" t="n">
        <v>-34.67</v>
      </c>
      <c r="Y27" s="34" t="n">
        <v>-40</v>
      </c>
      <c r="Z27" s="34" t="n">
        <v>-46.67</v>
      </c>
      <c r="AA27" s="34" t="n">
        <v>-18.18</v>
      </c>
      <c r="AB27" s="34" t="n">
        <v>-42.02</v>
      </c>
      <c r="AC27" s="34" t="n">
        <v>2.02</v>
      </c>
      <c r="AD27" s="26" t="inlineStr">
        <is>
          <t>Hang Seng Commerce &amp; Industry sub-index</t>
        </is>
      </c>
      <c r="AE27" s="34" t="n">
        <v>-65.33</v>
      </c>
      <c r="AF27" s="28" t="n">
        <v>455.5</v>
      </c>
      <c r="AG27" s="28" t="n">
        <v>47.5</v>
      </c>
      <c r="AH27" s="26" t="inlineStr">
        <is>
          <t>Y</t>
        </is>
      </c>
      <c r="AI27" s="35" t="n">
        <v>12.5</v>
      </c>
      <c r="AJ27" s="35" t="n">
        <v>1.3</v>
      </c>
      <c r="AK27" s="26" t="inlineStr">
        <is>
          <t>N</t>
        </is>
      </c>
      <c r="AL27" s="36">
        <f>IF('BBG Verify'!K27="","not filed — run on terminal",'BBG Verify'!K27)</f>
        <v/>
      </c>
      <c r="AM27" s="26" t="inlineStr">
        <is>
          <t>N/A</t>
        </is>
      </c>
      <c r="AN27" s="26" t="inlineStr">
        <is>
          <t>N/A</t>
        </is>
      </c>
      <c r="AO27" s="26" t="inlineStr">
        <is>
          <t>N/A</t>
        </is>
      </c>
      <c r="AP27" s="26" t="inlineStr">
        <is>
          <t>Lego Corporate Finance Limited</t>
        </is>
      </c>
      <c r="AQ27" s="26" t="inlineStr">
        <is>
          <t>力高企業融資有限公司</t>
        </is>
      </c>
      <c r="AR27" s="26" t="inlineStr">
        <is>
          <t>雅利多證券有限公司; 億聲證券有限公司; 中國通海證券有限公司; First Fidelity Capital (International) Limited; 果樹證券有限公司; 華業證券有限公司</t>
        </is>
      </c>
      <c r="AS27" s="26" t="inlineStr">
        <is>
          <t>雅利多證券有限公司; 億聲證券有限公司; 中國通海證券有限公司; First Fidelity Capital (International) Limited; 果樹證券有限公司; 華業證券有限公司; 麒麟證券有限公司; 力高證券有限公司; 利高證券有限公司; 名泰富證券有限公司; 偉祿亞太證券有限公司; 新城晉峰證券有限公司; 禹洲金融控股（香港）有限公司</t>
        </is>
      </c>
      <c r="AT27" s="37">
        <f>HYPERLINK("https://www1.hkexnews.hk/listedco/listconews/sehk/2021/0226/2021022600021.pdf","prospectus")</f>
        <v/>
      </c>
      <c r="AU27" s="37">
        <f>HYPERLINK("https://www1.hkexnews.hk/listedco/listconews/sehk/2021/0315/2021031500018.htm","allotment")</f>
        <v/>
      </c>
      <c r="AV27" s="26" t="n"/>
      <c r="AW27" s="26" t="inlineStr">
        <is>
          <t>greenshoe: end-of-stabilisation notice not located · A/H: no A-share listing · market cap: estimate from deal size / offer % of enlarged capital disagreed with the published listing cap — published figure adopted</t>
        </is>
      </c>
    </row>
    <row r="28">
      <c r="A28" s="25" t="inlineStr">
        <is>
          <t>9888</t>
        </is>
      </c>
      <c r="B28" s="26" t="inlineStr">
        <is>
          <t>BIDU-SW</t>
        </is>
      </c>
      <c r="C28" s="26" t="inlineStr">
        <is>
          <t>百度集團－ＳＷ</t>
        </is>
      </c>
      <c r="D28" s="26" t="inlineStr">
        <is>
          <t>Tech/AI</t>
        </is>
      </c>
      <c r="E28" s="26" t="inlineStr">
        <is>
          <t>Internet platform / e-commerce</t>
        </is>
      </c>
      <c r="F28" s="26" t="inlineStr">
        <is>
          <t>Secondary + WVR</t>
        </is>
      </c>
      <c r="G28" s="27" t="n">
        <v>44278</v>
      </c>
      <c r="H28" s="28" t="n">
        <v>23940</v>
      </c>
      <c r="I28" s="26" t="inlineStr">
        <is>
          <t>gross (price x shares)</t>
        </is>
      </c>
      <c r="J28" s="29" t="n"/>
      <c r="K28" s="29" t="n">
        <v>295</v>
      </c>
      <c r="L28" s="29" t="n">
        <v>252</v>
      </c>
      <c r="M28" s="26" t="inlineStr">
        <is>
          <t>N</t>
        </is>
      </c>
      <c r="N28" s="30" t="n">
        <v>85.40000000000001</v>
      </c>
      <c r="O28" s="41">
        <f>IF('BBG Verify'!M28="","not filed — run on terminal",'BBG Verify'!M28)</f>
        <v/>
      </c>
      <c r="P28" s="26" t="n"/>
      <c r="Q28" s="31" t="n">
        <v>112.01</v>
      </c>
      <c r="R28" s="32" t="n">
        <v>10</v>
      </c>
      <c r="S28" s="33" t="n">
        <v>9</v>
      </c>
      <c r="T28" s="26" t="n"/>
      <c r="U28" s="30" t="n">
        <v>10</v>
      </c>
      <c r="V28" s="26" t="n"/>
      <c r="W28" s="34" t="n">
        <v>0</v>
      </c>
      <c r="X28" s="34" t="n">
        <v>-19.92</v>
      </c>
      <c r="Y28" s="34" t="n">
        <v>-14.84</v>
      </c>
      <c r="Z28" s="34" t="n">
        <v>-24.4</v>
      </c>
      <c r="AA28" s="34" t="n">
        <v>-14.84</v>
      </c>
      <c r="AB28" s="34" t="n">
        <v>-14.43</v>
      </c>
      <c r="AC28" s="34" t="n">
        <v>-0.41</v>
      </c>
      <c r="AD28" s="26" t="inlineStr">
        <is>
          <t>HSTECH (Hang Seng TECH ETF)</t>
        </is>
      </c>
      <c r="AE28" s="34" t="n">
        <v>-59.88</v>
      </c>
      <c r="AF28" s="28" t="n"/>
      <c r="AG28" s="28" t="n"/>
      <c r="AH28" s="26" t="n"/>
      <c r="AI28" s="38">
        <f>IF('BBG Verify'!O28="","not filed — run on terminal",'BBG Verify'!O28)</f>
        <v/>
      </c>
      <c r="AJ28" s="35" t="n"/>
      <c r="AK28" s="26" t="inlineStr">
        <is>
          <t>N</t>
        </is>
      </c>
      <c r="AL28" s="36">
        <f>IF('BBG Verify'!K28="","not filed — run on terminal",'BBG Verify'!K28)</f>
        <v/>
      </c>
      <c r="AM28" s="26" t="inlineStr">
        <is>
          <t>N/A</t>
        </is>
      </c>
      <c r="AN28" s="26" t="inlineStr">
        <is>
          <t>N/A</t>
        </is>
      </c>
      <c r="AO28" s="26" t="inlineStr">
        <is>
          <t>N/A</t>
        </is>
      </c>
      <c r="AP28" s="26" t="inlineStr">
        <is>
          <t>Merrill Lynch (Asia Pacific) Limited; CLSA Capital Markets Limited; Goldman Sachs (Asia) L.L.C; CLSA Limited; DIRECTORS AND PARTIES INVOLVED IN THE GLOBAL OFFERING Goldman Sachs (Asia) L.L.C</t>
        </is>
      </c>
      <c r="AQ28" s="26" t="inlineStr">
        <is>
          <t>美林(亞太)有限公司; 高盛(亞洲)有限責任公司; 中信里昂證券資本市場有限公司</t>
        </is>
      </c>
      <c r="AR28" s="26" t="inlineStr">
        <is>
          <t>Securities Limited; UBS AG Hong Kong Branch; CCB International Capital Limited; Managers UBS Securities LLC; New York New York 10019 United States China Renaissance Securities (Hong Kong) Limited; Nomura International (Hong Kong) Limited; Citigroup Global Markets Asia Limited; DIRECTORS AND PARTIES INVOLVED IN THE GLOBAL OFFERING Citigroup Global Markets Limited; Canary Wharf London E14 5LB United Kingdom ICBC International Capital Limited; ICBC International Securities Limited; ABCI SECURITIES COMPANY LIMITED</t>
        </is>
      </c>
      <c r="AS28" s="26" t="inlineStr">
        <is>
          <t>農銀國際證券有限公司; 中銀國際亞洲有限公司; 建銀國際金融有限公司; 花旗環球金融亞洲有限公司; 中國國際金融香港證券有限公司; 中信里昂證券有限公司; 華興資本證券(香港)有限公司; 富途證券國際（香港）有限公司; 高盛(亞洲)有限責任公司; 海通國際證券有限公司; 工銀國際證券有限公司; 美林(亞太)有限公司; 野村國際(香港)有限公司; UBS AG 香港分行</t>
        </is>
      </c>
      <c r="AT28" s="37">
        <f>HYPERLINK("https://www1.hkexnews.hk/listedco/listconews/sehk/2021/0312/2021031200021.pdf","prospectus")</f>
        <v/>
      </c>
      <c r="AU28" s="37">
        <f>HYPERLINK("https://www1.hkexnews.hk/listedco/listconews/sehk/2021/0322/2021032200016.htm","allotment")</f>
        <v/>
      </c>
      <c r="AV28" s="26" t="n"/>
      <c r="AW28" s="26" t="inlineStr">
        <is>
          <t>P/E: net income not stated in extractable form · greenshoe: end-of-stabilisation notice not located · A/H: no A-share listing</t>
        </is>
      </c>
    </row>
    <row r="29">
      <c r="A29" s="25" t="inlineStr">
        <is>
          <t>2187</t>
        </is>
      </c>
      <c r="B29" s="26" t="inlineStr">
        <is>
          <t>ZHIXIN GP HLDG</t>
        </is>
      </c>
      <c r="C29" s="26" t="inlineStr">
        <is>
          <t>智欣集團控股</t>
        </is>
      </c>
      <c r="D29" s="26" t="inlineStr">
        <is>
          <t>Industrials</t>
        </is>
      </c>
      <c r="E29" s="26" t="inlineStr">
        <is>
          <t>Construction / engineering</t>
        </is>
      </c>
      <c r="F29" s="26" t="inlineStr">
        <is>
          <t>Standard</t>
        </is>
      </c>
      <c r="G29" s="27" t="n">
        <v>44281</v>
      </c>
      <c r="H29" s="28" t="n">
        <v>241.4</v>
      </c>
      <c r="I29" s="26" t="inlineStr">
        <is>
          <t>net proceeds</t>
        </is>
      </c>
      <c r="J29" s="29" t="n"/>
      <c r="K29" s="29" t="n">
        <v>1.5</v>
      </c>
      <c r="L29" s="29" t="n">
        <v>1.5</v>
      </c>
      <c r="M29" s="26" t="inlineStr">
        <is>
          <t>Y</t>
        </is>
      </c>
      <c r="N29" s="30" t="n">
        <v>100</v>
      </c>
      <c r="O29" s="28" t="n">
        <v>1122</v>
      </c>
      <c r="P29" s="26" t="inlineStr">
        <is>
          <t>prospectus:stated market capitalisation</t>
        </is>
      </c>
      <c r="Q29" s="43">
        <f>IF('BBG Verify'!C29="","not filed — run on terminal",'BBG Verify'!C29)</f>
        <v/>
      </c>
      <c r="R29" s="32" t="n">
        <v>0.9</v>
      </c>
      <c r="S29" s="33" t="n">
        <v>20</v>
      </c>
      <c r="T29" s="26" t="inlineStr">
        <is>
          <t>特納斯公司</t>
        </is>
      </c>
      <c r="U29" s="30" t="n"/>
      <c r="V29" s="26" t="n"/>
      <c r="W29" s="34" t="n">
        <v>-29.33</v>
      </c>
      <c r="X29" s="34" t="n">
        <v>-30</v>
      </c>
      <c r="Y29" s="34" t="n">
        <v>-23.33</v>
      </c>
      <c r="Z29" s="34" t="n">
        <v>-16</v>
      </c>
      <c r="AA29" s="34" t="n">
        <v>8.49</v>
      </c>
      <c r="AB29" s="34" t="n">
        <v>-29.89</v>
      </c>
      <c r="AC29" s="34" t="n">
        <v>6.56</v>
      </c>
      <c r="AD29" s="26" t="inlineStr">
        <is>
          <t>Hang Seng Commerce &amp; Industry sub-index</t>
        </is>
      </c>
      <c r="AE29" s="34" t="n">
        <v>-67.67</v>
      </c>
      <c r="AF29" s="28" t="n">
        <v>649.9</v>
      </c>
      <c r="AG29" s="28" t="n">
        <v>46</v>
      </c>
      <c r="AH29" s="26" t="inlineStr">
        <is>
          <t>Y</t>
        </is>
      </c>
      <c r="AI29" s="35" t="n">
        <v>24.4</v>
      </c>
      <c r="AJ29" s="35" t="n">
        <v>1.7</v>
      </c>
      <c r="AK29" s="26" t="inlineStr">
        <is>
          <t>N</t>
        </is>
      </c>
      <c r="AL29" s="36">
        <f>IF('BBG Verify'!K29="","not filed — run on terminal",'BBG Verify'!K29)</f>
        <v/>
      </c>
      <c r="AM29" s="26" t="inlineStr">
        <is>
          <t>N/A</t>
        </is>
      </c>
      <c r="AN29" s="26" t="inlineStr">
        <is>
          <t>N/A</t>
        </is>
      </c>
      <c r="AO29" s="26" t="inlineStr">
        <is>
          <t>N/A</t>
        </is>
      </c>
      <c r="AP29" s="26" t="inlineStr">
        <is>
          <t>Kingsway Capital Limited</t>
        </is>
      </c>
      <c r="AQ29" s="26" t="inlineStr">
        <is>
          <t>匯富融資有限公司</t>
        </is>
      </c>
      <c r="AR29" s="26" t="inlineStr">
        <is>
          <t>Managers Kingsway Financial Services Group Limited; Seazen Resources Securities Limited; Zhongtai International Securities Limited; SPDB International Capital Limited</t>
        </is>
      </c>
      <c r="AS29" s="26" t="inlineStr">
        <is>
          <t>海通國際證券有限公司; 匯富金融服務有限公司; 浦銀國際融資有限公司; 新城晉峰證券有限公司; 中泰國際證券有限公司; 中募金融資管有限公司</t>
        </is>
      </c>
      <c r="AT29" s="37">
        <f>HYPERLINK("https://www1.hkexnews.hk/listedco/listconews/sehk/2021/0316/2021031600111.pdf","prospectus")</f>
        <v/>
      </c>
      <c r="AU29" s="37">
        <f>HYPERLINK("https://www1.hkexnews.hk/listedco/listconews/sehk/2021/0325/2021032500100.htm","allotment")</f>
        <v/>
      </c>
      <c r="AV29" s="26" t="n"/>
      <c r="AW29" s="26" t="inlineStr">
        <is>
          <t>greenshoe: no over-allotment option in the offer structure · A/H: no A-share listing</t>
        </is>
      </c>
    </row>
    <row r="30">
      <c r="A30" s="25" t="inlineStr">
        <is>
          <t>9626</t>
        </is>
      </c>
      <c r="B30" s="26" t="inlineStr">
        <is>
          <t>BILIBILI-SW</t>
        </is>
      </c>
      <c r="C30" s="26" t="inlineStr">
        <is>
          <t>嗶哩嗶哩－Ｗ</t>
        </is>
      </c>
      <c r="D30" s="26" t="inlineStr">
        <is>
          <t>Tech/AI</t>
        </is>
      </c>
      <c r="E30" s="26" t="inlineStr">
        <is>
          <t>Internet platform / e-commerce</t>
        </is>
      </c>
      <c r="F30" s="26" t="inlineStr">
        <is>
          <t>Secondary + WVR</t>
        </is>
      </c>
      <c r="G30" s="27" t="n">
        <v>44282</v>
      </c>
      <c r="H30" s="28" t="n">
        <v>20200</v>
      </c>
      <c r="I30" s="26" t="inlineStr">
        <is>
          <t>gross (price x shares)</t>
        </is>
      </c>
      <c r="J30" s="29" t="n"/>
      <c r="K30" s="29" t="n">
        <v>988</v>
      </c>
      <c r="L30" s="29" t="n">
        <v>808</v>
      </c>
      <c r="M30" s="26" t="inlineStr">
        <is>
          <t>N</t>
        </is>
      </c>
      <c r="N30" s="30" t="n">
        <v>81.8</v>
      </c>
      <c r="O30" s="41">
        <f>IF('BBG Verify'!M30="","not filed — run on terminal",'BBG Verify'!M30)</f>
        <v/>
      </c>
      <c r="P30" s="26" t="n"/>
      <c r="Q30" s="31" t="n">
        <v>174.19</v>
      </c>
      <c r="R30" s="32" t="n">
        <v>11.9</v>
      </c>
      <c r="S30" s="33" t="n"/>
      <c r="T30" s="26" t="n"/>
      <c r="U30" s="30" t="n">
        <v>6.6</v>
      </c>
      <c r="V30" s="26" t="inlineStr">
        <is>
          <t>full</t>
        </is>
      </c>
      <c r="W30" s="34" t="n">
        <v>-0.99</v>
      </c>
      <c r="X30" s="34" t="n">
        <v>5.82</v>
      </c>
      <c r="Y30" s="34" t="n">
        <v>10.27</v>
      </c>
      <c r="Z30" s="34" t="n">
        <v>15.72</v>
      </c>
      <c r="AA30" s="34" t="n">
        <v>11.37</v>
      </c>
      <c r="AB30" s="34" t="n">
        <v>7.85</v>
      </c>
      <c r="AC30" s="34" t="n">
        <v>2.42</v>
      </c>
      <c r="AD30" s="26" t="inlineStr">
        <is>
          <t>HSTECH (Hang Seng TECH ETF)</t>
        </is>
      </c>
      <c r="AE30" s="34" t="n">
        <v>-83.54000000000001</v>
      </c>
      <c r="AF30" s="28" t="n"/>
      <c r="AG30" s="28" t="n">
        <v>-3359.4</v>
      </c>
      <c r="AH30" s="26" t="inlineStr">
        <is>
          <t>N</t>
        </is>
      </c>
      <c r="AI30" s="38">
        <f>IF('BBG Verify'!O30="","not filed — run on terminal",'BBG Verify'!O30)</f>
        <v/>
      </c>
      <c r="AJ30" s="35" t="n"/>
      <c r="AK30" s="26" t="inlineStr">
        <is>
          <t>N</t>
        </is>
      </c>
      <c r="AL30" s="36">
        <f>IF('BBG Verify'!K30="","not filed — run on terminal",'BBG Verify'!K30)</f>
        <v/>
      </c>
      <c r="AM30" s="26" t="inlineStr">
        <is>
          <t>N/A</t>
        </is>
      </c>
      <c r="AN30" s="26" t="inlineStr">
        <is>
          <t>N/A</t>
        </is>
      </c>
      <c r="AO30" s="26" t="inlineStr">
        <is>
          <t>N/A</t>
        </is>
      </c>
      <c r="AP30" s="26" t="inlineStr">
        <is>
          <t>Morgan Stanley Asia Limited; Goldman Sachs (Asia) L.L.C; J.P. Morgan Securities (Far East) Limited; UBS Securities Hong Kong Limited</t>
        </is>
      </c>
      <c r="AQ30" s="26" t="inlineStr">
        <is>
          <t>摩根士丹利亞洲有限公司; J.P. Morgan Securities (Far East) Limited; 瑞銀證券香港有限公司; 高盛(亞洲)有限責任公司</t>
        </is>
      </c>
      <c r="AR30" s="26" t="inlineStr">
        <is>
          <t>Morgan Stanley Asia Limited; Goldman Sachs (Asia) L.L.C; J.P. Morgan Securities (Asia Pacific) Limited; UBS AG Hong Kong Branch; Managers Morgan Stanley Asia Limited; Morgan Stanley &amp; Co. International plc; London, E14 4QA United Kingdom Goldman Sachs (Asia) L.L.C; J.P. Morgan Securities plc; Canary Wharf London E14 5JP United Kingdom J.P. Morgan Securities LLC; New York, NY 10179 United States of America UBS AG Hong Kong Branch; UBS Securities LLC; Central, Hong Kong Merrill Lynch (Asia Pacific) Limited</t>
        </is>
      </c>
      <c r="AS30" s="26" t="inlineStr">
        <is>
          <t>建銀國際金融有限公司; 中國國際金融香港證券有限公司; 中信里昂證券有限公司; 招銀國際融資有限公司; 瑞士信貸（香港）有限公司; 富途證券國際（香港）有限公司; 國泰君安證券(香港)有限公司; 高盛(亞洲)有限責任公司; 海通國際證券有限公司; J.P. Morgan Securities (Asia Pacific) Limited; 美林(亞太)有限公司; 摩根士丹利亞洲有限公司; UBS AG 香港分行; 威靈頓金融有限公司</t>
        </is>
      </c>
      <c r="AT30" s="37">
        <f>HYPERLINK("https://www1.hkexnews.hk/listedco/listconews/sehk/2021/0318/2021031800173.pdf","prospectus")</f>
        <v/>
      </c>
      <c r="AU30" s="37">
        <f>HYPERLINK("https://www1.hkexnews.hk/listedco/listconews/sehk/2021/0326/2021032600074.htm","allotment")</f>
        <v/>
      </c>
      <c r="AV30" s="37">
        <f>HYPERLINK("https://www1.hkexnews.hk/listedco/listconews/sehk/2021/0422/2021042202002.pdf","stabilisation")</f>
        <v/>
      </c>
      <c r="AW30" s="26" t="inlineStr">
        <is>
          <t>P/E: n/m — loss-making at IPO (use P/S) · A/H: no A-share listing</t>
        </is>
      </c>
    </row>
    <row r="31">
      <c r="A31" s="25" t="inlineStr">
        <is>
          <t>6939</t>
        </is>
      </c>
      <c r="B31" s="26" t="inlineStr">
        <is>
          <t>MEGAIN</t>
        </is>
      </c>
      <c r="C31" s="26" t="inlineStr">
        <is>
          <t>美佳音控股</t>
        </is>
      </c>
      <c r="D31" s="26" t="inlineStr">
        <is>
          <t>Tech/AI</t>
        </is>
      </c>
      <c r="E31" s="26" t="inlineStr">
        <is>
          <t>AI chips &amp; semis</t>
        </is>
      </c>
      <c r="F31" s="26" t="inlineStr">
        <is>
          <t>Standard</t>
        </is>
      </c>
      <c r="G31" s="27" t="n">
        <v>44286</v>
      </c>
      <c r="H31" s="28" t="n">
        <v>157.5</v>
      </c>
      <c r="I31" s="26" t="inlineStr">
        <is>
          <t>gross (price x shares)</t>
        </is>
      </c>
      <c r="J31" s="29" t="n"/>
      <c r="K31" s="29" t="n">
        <v>1.26</v>
      </c>
      <c r="L31" s="29" t="n">
        <v>1.26</v>
      </c>
      <c r="M31" s="26" t="inlineStr">
        <is>
          <t>Y</t>
        </is>
      </c>
      <c r="N31" s="30" t="n">
        <v>100</v>
      </c>
      <c r="O31" s="28" t="n">
        <v>648.5</v>
      </c>
      <c r="P31" s="26" t="inlineStr">
        <is>
          <t>aastocks:上市市值 at the struck price</t>
        </is>
      </c>
      <c r="Q31" s="31" t="n">
        <v>22.43</v>
      </c>
      <c r="R31" s="39">
        <f>IF('BBG Verify'!E31="","not filed — run on terminal",'BBG Verify'!E31)</f>
        <v/>
      </c>
      <c r="S31" s="33" t="n">
        <v>0</v>
      </c>
      <c r="T31" s="26" t="n"/>
      <c r="U31" s="30" t="n">
        <v>16.63</v>
      </c>
      <c r="V31" s="26" t="inlineStr">
        <is>
          <t>full</t>
        </is>
      </c>
      <c r="W31" s="34" t="n">
        <v>6.35</v>
      </c>
      <c r="X31" s="34" t="n">
        <v>12.7</v>
      </c>
      <c r="Y31" s="34" t="n">
        <v>15.08</v>
      </c>
      <c r="Z31" s="34" t="n">
        <v>44.44</v>
      </c>
      <c r="AA31" s="34" t="n">
        <v>8.210000000000001</v>
      </c>
      <c r="AB31" s="34" t="n">
        <v>13.91</v>
      </c>
      <c r="AC31" s="34" t="n">
        <v>1.17</v>
      </c>
      <c r="AD31" s="26" t="inlineStr">
        <is>
          <t>HSTECH (Hang Seng TECH ETF)</t>
        </is>
      </c>
      <c r="AE31" s="34" t="n">
        <v>-7.14</v>
      </c>
      <c r="AF31" s="28" t="n"/>
      <c r="AG31" s="28" t="n"/>
      <c r="AH31" s="26" t="n"/>
      <c r="AI31" s="38">
        <f>IF('BBG Verify'!O31="","not filed — run on terminal",'BBG Verify'!O31)</f>
        <v/>
      </c>
      <c r="AJ31" s="35" t="n"/>
      <c r="AK31" s="26" t="inlineStr">
        <is>
          <t>N</t>
        </is>
      </c>
      <c r="AL31" s="36">
        <f>IF('BBG Verify'!K31="","not filed — run on terminal",'BBG Verify'!K31)</f>
        <v/>
      </c>
      <c r="AM31" s="26" t="inlineStr">
        <is>
          <t>N/A</t>
        </is>
      </c>
      <c r="AN31" s="26" t="inlineStr">
        <is>
          <t>N/A</t>
        </is>
      </c>
      <c r="AO31" s="26" t="inlineStr">
        <is>
          <t>N/A</t>
        </is>
      </c>
      <c r="AP31" s="26" t="inlineStr">
        <is>
          <t>CMBC International Capital Limited</t>
        </is>
      </c>
      <c r="AQ31" s="26" t="inlineStr">
        <is>
          <t>民銀資本有限公司</t>
        </is>
      </c>
      <c r="AR31" s="26" t="inlineStr">
        <is>
          <t>CMBC Securities Company Limited; Yuan Tong Global Securities Limited; CCB International Capital Limited; Central, Hong Kong Haitong International Securities Company Limited; BOCOM International Securities Limited; Dongxing Securities (Hong Kong) Company Limited; Vision Finance International Company Limited</t>
        </is>
      </c>
      <c r="AS31" s="26" t="inlineStr">
        <is>
          <t>Beta International Securities Limited; 建銀國際金融有限公司; 民銀證券有限公司; 中天證券有限公司; 東興證券(香港)有限公司; 長雄證券有限公司; 富昌證券有限公司; 寶新證券有限公司; 宏匯證券有限公司; 海通國際證券有限公司; 力高證券有限公司; 利弗莫爾證券有限公司; 睿智金融國際有限公司; 意博資本亞洲有限公司; 圓通環球證券有限公司</t>
        </is>
      </c>
      <c r="AT31" s="37">
        <f>HYPERLINK("https://www1.hkexnews.hk/listedco/listconews/sehk/2021/0318/2021031800013.pdf","prospectus")</f>
        <v/>
      </c>
      <c r="AU31" s="37">
        <f>HYPERLINK("https://www1.hkexnews.hk/listedco/listconews/sehk/2021/0330/2021033000148.htm","allotment")</f>
        <v/>
      </c>
      <c r="AV31" s="37">
        <f>HYPERLINK("https://www1.hkexnews.hk/listedco/listconews/sehk/2021/0422/2021042201830.pdf","stabilisation")</f>
        <v/>
      </c>
      <c r="AW31" s="26" t="inlineStr">
        <is>
          <t>intl sub: subscription level not stated in the filing · P/E: net income not stated in extractable form · price range: fixed-price offering (no indicative range) · A/H: no A-share listing · market cap: estimate from deal size / offer % of enlarged capital disagreed with the published listing cap — published figure adopted</t>
        </is>
      </c>
    </row>
    <row r="32">
      <c r="A32" s="25" t="inlineStr">
        <is>
          <t>6608</t>
        </is>
      </c>
      <c r="B32" s="26" t="inlineStr">
        <is>
          <t>BAIRONG-W</t>
        </is>
      </c>
      <c r="C32" s="26" t="inlineStr">
        <is>
          <t>百融智能－Ｗ</t>
        </is>
      </c>
      <c r="D32" s="26" t="inlineStr">
        <is>
          <t>Tech/AI</t>
        </is>
      </c>
      <c r="E32" s="26" t="inlineStr">
        <is>
          <t>Fintech platform</t>
        </is>
      </c>
      <c r="F32" s="26" t="inlineStr">
        <is>
          <t>WVR</t>
        </is>
      </c>
      <c r="G32" s="27" t="n">
        <v>44286</v>
      </c>
      <c r="H32" s="28" t="n">
        <v>3937.6</v>
      </c>
      <c r="I32" s="26" t="inlineStr">
        <is>
          <t>gross (price x shares)</t>
        </is>
      </c>
      <c r="J32" s="29" t="n"/>
      <c r="K32" s="29" t="n">
        <v>31.8</v>
      </c>
      <c r="L32" s="29" t="n">
        <v>31.8</v>
      </c>
      <c r="M32" s="26" t="inlineStr">
        <is>
          <t>Y</t>
        </is>
      </c>
      <c r="N32" s="30" t="n">
        <v>100</v>
      </c>
      <c r="O32" s="28" t="n">
        <v>15750.2</v>
      </c>
      <c r="P32" s="26" t="inlineStr">
        <is>
          <t>aastocks:上市市值 at the struck price</t>
        </is>
      </c>
      <c r="Q32" s="31" t="n">
        <v>150.67</v>
      </c>
      <c r="R32" s="32" t="n">
        <v>36.3</v>
      </c>
      <c r="S32" s="33" t="n">
        <v>47.3</v>
      </c>
      <c r="T32" s="26" t="inlineStr">
        <is>
          <t>Cederberg Capital Limited; 中國國有企業結構調整基金股份有限公司; Franchise Fund LP</t>
        </is>
      </c>
      <c r="U32" s="30" t="n">
        <v>5.19</v>
      </c>
      <c r="V32" s="26" t="inlineStr">
        <is>
          <t>lapsed</t>
        </is>
      </c>
      <c r="W32" s="34" t="n">
        <v>-16.04</v>
      </c>
      <c r="X32" s="34" t="n">
        <v>-23.11</v>
      </c>
      <c r="Y32" s="34" t="n">
        <v>-35.06</v>
      </c>
      <c r="Z32" s="34" t="n">
        <v>-40.57</v>
      </c>
      <c r="AA32" s="34" t="n">
        <v>-22.65</v>
      </c>
      <c r="AB32" s="34" t="n">
        <v>-36.23</v>
      </c>
      <c r="AC32" s="34" t="n">
        <v>1.17</v>
      </c>
      <c r="AD32" s="26" t="inlineStr">
        <is>
          <t>HSTECH (Hang Seng TECH ETF)</t>
        </is>
      </c>
      <c r="AE32" s="34" t="n">
        <v>-82.45</v>
      </c>
      <c r="AF32" s="28" t="n">
        <v>447</v>
      </c>
      <c r="AG32" s="28" t="n">
        <v>-103.6</v>
      </c>
      <c r="AH32" s="26" t="inlineStr">
        <is>
          <t>N</t>
        </is>
      </c>
      <c r="AI32" s="38">
        <f>IF('BBG Verify'!O32="","not filed — run on terminal",'BBG Verify'!O32)</f>
        <v/>
      </c>
      <c r="AJ32" s="35" t="n">
        <v>35.2</v>
      </c>
      <c r="AK32" s="26" t="inlineStr">
        <is>
          <t>N</t>
        </is>
      </c>
      <c r="AL32" s="36">
        <f>IF('BBG Verify'!K32="","not filed — run on terminal",'BBG Verify'!K32)</f>
        <v/>
      </c>
      <c r="AM32" s="26" t="inlineStr">
        <is>
          <t>N/A</t>
        </is>
      </c>
      <c r="AN32" s="26" t="inlineStr">
        <is>
          <t>N/A</t>
        </is>
      </c>
      <c r="AO32" s="26" t="inlineStr">
        <is>
          <t>N/A</t>
        </is>
      </c>
      <c r="AP32" s="26" t="inlineStr">
        <is>
          <t>Morgan Stanley Asia Limited; China International Capital Corporation Hong Kong Securities Limited; CMBC International Capital Limited</t>
        </is>
      </c>
      <c r="AQ32" s="26" t="inlineStr">
        <is>
          <t>中國國際金融香港證券有限公司; 摩根士丹利亞洲有限公司; 民銀資本有限公司</t>
        </is>
      </c>
      <c r="AR32" s="26"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AS32" s="26" t="inlineStr">
        <is>
          <t>中國國際金融香港證券有限公司; 民銀證券有限公司; 招銀國際金融有限公司; 大和資本市場香港有限公司; 富途證券國際（香港）有限公司; 海通國際證券有限公司; 工銀國際證券有限公司; 摩根士丹利亞洲有限公司; 軟庫中華金融服務有限公司</t>
        </is>
      </c>
      <c r="AT32" s="37">
        <f>HYPERLINK("https://www1.hkexnews.hk/listedco/listconews/sehk/2021/0319/2021031900021.pdf","prospectus")</f>
        <v/>
      </c>
      <c r="AU32" s="37">
        <f>HYPERLINK("https://www1.hkexnews.hk/listedco/listconews/sehk/2021/0330/2021033000204.htm","allotment")</f>
        <v/>
      </c>
      <c r="AV32" s="37">
        <f>HYPERLINK("https://www1.hkexnews.hk/listedco/listconews/sehk/2021/0423/2021042302099.pdf","stabilisation")</f>
        <v/>
      </c>
      <c r="AW32" s="26" t="inlineStr">
        <is>
          <t>P/E: n/m — loss-making at IPO (use P/S) · A/H: no A-share listing · market cap: estimate from stated market capitalisation disagreed with the published listing cap — published figure adopted</t>
        </is>
      </c>
    </row>
    <row r="33">
      <c r="A33" s="25" t="inlineStr">
        <is>
          <t>2195</t>
        </is>
      </c>
      <c r="B33" s="26" t="inlineStr">
        <is>
          <t>UNITY ENT</t>
        </is>
      </c>
      <c r="C33" s="26" t="inlineStr">
        <is>
          <t>盈滙企業控股</t>
        </is>
      </c>
      <c r="D33" s="26" t="inlineStr">
        <is>
          <t>Industrials</t>
        </is>
      </c>
      <c r="E33" s="26" t="inlineStr">
        <is>
          <t>Construction / engineering</t>
        </is>
      </c>
      <c r="F33" s="26" t="inlineStr">
        <is>
          <t>Standard</t>
        </is>
      </c>
      <c r="G33" s="27" t="n">
        <v>44286</v>
      </c>
      <c r="H33" s="28" t="n">
        <v>140</v>
      </c>
      <c r="I33" s="26" t="inlineStr">
        <is>
          <t>gross (price x shares)</t>
        </is>
      </c>
      <c r="J33" s="29" t="n">
        <v>0.5</v>
      </c>
      <c r="K33" s="29" t="n">
        <v>0.5600000000000001</v>
      </c>
      <c r="L33" s="29" t="n">
        <v>0.5600000000000001</v>
      </c>
      <c r="M33" s="26" t="inlineStr">
        <is>
          <t>Y</t>
        </is>
      </c>
      <c r="N33" s="30" t="n">
        <v>100</v>
      </c>
      <c r="O33" s="28" t="n">
        <v>560</v>
      </c>
      <c r="P33" s="26" t="inlineStr">
        <is>
          <t>aastocks:上市市值 at the struck price</t>
        </is>
      </c>
      <c r="Q33" s="31" t="n">
        <v>21.65</v>
      </c>
      <c r="R33" s="32" t="n">
        <v>8</v>
      </c>
      <c r="S33" s="33" t="n">
        <v>0</v>
      </c>
      <c r="T33" s="26" t="n"/>
      <c r="U33" s="30" t="n">
        <v>15</v>
      </c>
      <c r="V33" s="26" t="n"/>
      <c r="W33" s="34" t="n">
        <v>-41.07</v>
      </c>
      <c r="X33" s="34" t="n">
        <v>-46.43</v>
      </c>
      <c r="Y33" s="34" t="n">
        <v>-17.86</v>
      </c>
      <c r="Z33" s="34" t="n">
        <v>-24.11</v>
      </c>
      <c r="AA33" s="34" t="n">
        <v>39.39</v>
      </c>
      <c r="AB33" s="34" t="n">
        <v>-19.52</v>
      </c>
      <c r="AC33" s="34" t="n">
        <v>1.66</v>
      </c>
      <c r="AD33" s="26" t="inlineStr">
        <is>
          <t>Hang Seng Commerce &amp; Industry sub-index</t>
        </is>
      </c>
      <c r="AE33" s="34" t="n">
        <v>-50</v>
      </c>
      <c r="AF33" s="28" t="n">
        <v>302</v>
      </c>
      <c r="AG33" s="28" t="n">
        <v>43.2</v>
      </c>
      <c r="AH33" s="26" t="inlineStr">
        <is>
          <t>Y</t>
        </is>
      </c>
      <c r="AI33" s="35" t="n">
        <v>13</v>
      </c>
      <c r="AJ33" s="35" t="n">
        <v>1.9</v>
      </c>
      <c r="AK33" s="26" t="inlineStr">
        <is>
          <t>N</t>
        </is>
      </c>
      <c r="AL33" s="36">
        <f>IF('BBG Verify'!K33="","not filed — run on terminal",'BBG Verify'!K33)</f>
        <v/>
      </c>
      <c r="AM33" s="26" t="inlineStr">
        <is>
          <t>N/A</t>
        </is>
      </c>
      <c r="AN33" s="26" t="inlineStr">
        <is>
          <t>N/A</t>
        </is>
      </c>
      <c r="AO33" s="26" t="inlineStr">
        <is>
          <t>N/A</t>
        </is>
      </c>
      <c r="AP33" s="26" t="n"/>
      <c r="AQ33" s="26" t="inlineStr">
        <is>
          <t>均富融資有限公司</t>
        </is>
      </c>
      <c r="AR33" s="26" t="inlineStr">
        <is>
          <t>Zhong J ia Securities Limited; MTF Securities Limited</t>
        </is>
      </c>
      <c r="AS33" s="26" t="inlineStr">
        <is>
          <t>潮商證券有限公司; 結好證券有限公司; 聯合證券有限公司; 名泰富證券有限公司; 佳富達證券有限公司; 域高融資有限公司; 中佳證券有限公司</t>
        </is>
      </c>
      <c r="AT33" s="37">
        <f>HYPERLINK("https://www1.hkexnews.hk/listedco/listconews/sehk/2021/0319/2021031900036.htm","prospectus")</f>
        <v/>
      </c>
      <c r="AU33" s="37">
        <f>HYPERLINK("https://www1.hkexnews.hk/listedco/listconews/sehk/2021/0330/2021033000230.htm","allotment")</f>
        <v/>
      </c>
      <c r="AV33" s="26" t="n"/>
      <c r="AW33" s="26" t="inlineStr">
        <is>
          <t>greenshoe: end-of-stabilisation notice not located · A/H: no A-share listing · sponsor: English name not in the filing text; AAStocks 保薦人 shown · market cap: estimate from deal size / offer % of enlarged capital disagreed with the published listing cap — published figure adopted</t>
        </is>
      </c>
    </row>
    <row r="34">
      <c r="A34" s="25" t="inlineStr">
        <is>
          <t>9959</t>
        </is>
      </c>
      <c r="B34" s="26" t="inlineStr">
        <is>
          <t>LINKLOGIS–W</t>
        </is>
      </c>
      <c r="C34" s="26" t="inlineStr">
        <is>
          <t>聯易融科技－Ｗ</t>
        </is>
      </c>
      <c r="D34" s="26" t="inlineStr">
        <is>
          <t>Tech/AI</t>
        </is>
      </c>
      <c r="E34" s="26" t="inlineStr">
        <is>
          <t>Fintech platform</t>
        </is>
      </c>
      <c r="F34" s="26" t="inlineStr">
        <is>
          <t>WVR</t>
        </is>
      </c>
      <c r="G34" s="27" t="n">
        <v>44295</v>
      </c>
      <c r="H34" s="28" t="n">
        <v>7961.6</v>
      </c>
      <c r="I34" s="26" t="inlineStr">
        <is>
          <t>gross (price x shares)</t>
        </is>
      </c>
      <c r="J34" s="29" t="n">
        <v>16.28</v>
      </c>
      <c r="K34" s="29" t="n">
        <v>18.28</v>
      </c>
      <c r="L34" s="29" t="n">
        <v>17.58</v>
      </c>
      <c r="M34" s="26" t="inlineStr">
        <is>
          <t>N</t>
        </is>
      </c>
      <c r="N34" s="30" t="n">
        <v>96.2</v>
      </c>
      <c r="O34" s="28" t="n">
        <v>36864</v>
      </c>
      <c r="P34" s="26" t="inlineStr">
        <is>
          <t>prospectus:stated market capitalisation</t>
        </is>
      </c>
      <c r="Q34" s="31" t="n">
        <v>98.45999999999999</v>
      </c>
      <c r="R34" s="32" t="n">
        <v>14.83</v>
      </c>
      <c r="S34" s="33" t="n">
        <v>35.6</v>
      </c>
      <c r="T34" s="26" t="inlineStr">
        <is>
          <t>BlackRock基金; EDB Investments; 富達國際; Janus Henderson基金; 安大略省教師退休金計劃委員會; Sequoia基金</t>
        </is>
      </c>
      <c r="U34" s="30" t="n">
        <v>15</v>
      </c>
      <c r="V34" s="26" t="inlineStr">
        <is>
          <t>full</t>
        </is>
      </c>
      <c r="W34" s="34" t="n">
        <v>9.9</v>
      </c>
      <c r="X34" s="34" t="n">
        <v>25.43</v>
      </c>
      <c r="Y34" s="34" t="n">
        <v>25.14</v>
      </c>
      <c r="Z34" s="34" t="n">
        <v>-17.41</v>
      </c>
      <c r="AA34" s="34" t="n">
        <v>13.87</v>
      </c>
      <c r="AB34" s="34" t="n">
        <v>31.82</v>
      </c>
      <c r="AC34" s="34" t="n">
        <v>-6.68</v>
      </c>
      <c r="AD34" s="26" t="inlineStr">
        <is>
          <t>HSTECH (Hang Seng TECH ETF)</t>
        </is>
      </c>
      <c r="AE34" s="34" t="n">
        <v>-87.09</v>
      </c>
      <c r="AF34" s="28" t="n">
        <v>167.9</v>
      </c>
      <c r="AG34" s="28" t="n">
        <v>-787</v>
      </c>
      <c r="AH34" s="26" t="inlineStr">
        <is>
          <t>N</t>
        </is>
      </c>
      <c r="AI34" s="38">
        <f>IF('BBG Verify'!O34="","not filed — run on terminal",'BBG Verify'!O34)</f>
        <v/>
      </c>
      <c r="AJ34" s="35" t="n">
        <v>219.6</v>
      </c>
      <c r="AK34" s="26" t="inlineStr">
        <is>
          <t>N</t>
        </is>
      </c>
      <c r="AL34" s="36">
        <f>IF('BBG Verify'!K34="","not filed — run on terminal",'BBG Verify'!K34)</f>
        <v/>
      </c>
      <c r="AM34" s="26" t="inlineStr">
        <is>
          <t>N/A</t>
        </is>
      </c>
      <c r="AN34" s="26" t="inlineStr">
        <is>
          <t>N/A</t>
        </is>
      </c>
      <c r="AO34" s="26" t="inlineStr">
        <is>
          <t>N/A</t>
        </is>
      </c>
      <c r="AP34" s="26" t="inlineStr">
        <is>
          <t>Goldman Sachs (Asia) L.L.C; China International Capital Corporation Hong Kong Securities Limited</t>
        </is>
      </c>
      <c r="AQ34" s="26" t="inlineStr">
        <is>
          <t>中國國際金融香港證券有限公司; 高盛(亞洲)有限責任公司</t>
        </is>
      </c>
      <c r="AR34" s="26" t="inlineStr">
        <is>
          <t>Goldman Sachs (Asia) L.L.C; China International Capital Corporation Hong Kong Securities Limited; Citigroup Global Markets Asia Limited; Kong) Limited; CLSA Limited</t>
        </is>
      </c>
      <c r="AS34" s="26" t="inlineStr">
        <is>
          <t>建銀國際金融有限公司; 花旗環球金融亞洲有限公司; 中國國際金融香港證券有限公司; 中信里昂證券有限公司; 招商證券(香港)有限公司; 華興資本證券(香港)有限公司; 富途證券國際（香港）有限公司; 高盛(亞洲)有限責任公司; 華金證券（國際）有限公司; 華盛資本証券有限公司</t>
        </is>
      </c>
      <c r="AT34" s="37">
        <f>HYPERLINK("https://www1.hkexnews.hk/listedco/listconews/sehk/2021/0326/2021032600037.pdf","prospectus")</f>
        <v/>
      </c>
      <c r="AU34" s="37">
        <f>HYPERLINK("https://www1.hkexnews.hk/listedco/listconews/sehk/2021/0408/2021040800096.htm","allotment")</f>
        <v/>
      </c>
      <c r="AV34" s="37">
        <f>HYPERLINK("https://www1.hkexnews.hk/listedco/listconews/sehk/2021/0430/2021043002237.pdf","stabilisation")</f>
        <v/>
      </c>
      <c r="AW34" s="26" t="inlineStr">
        <is>
          <t>P/E: n/m — loss-making at IPO (use P/S) · A/H: no A-share listing · cornerstone: AAStocks institutional table includes non-cornerstone orders (superset) — cornerstone % is from the prospectus</t>
        </is>
      </c>
    </row>
    <row r="35">
      <c r="A35" s="25" t="inlineStr">
        <is>
          <t>9961</t>
        </is>
      </c>
      <c r="B35" s="26" t="inlineStr">
        <is>
          <t>TRIP.COM-S</t>
        </is>
      </c>
      <c r="C35" s="26" t="inlineStr">
        <is>
          <t>攜程集團－Ｓ</t>
        </is>
      </c>
      <c r="D35" s="26" t="inlineStr">
        <is>
          <t>Tech/AI</t>
        </is>
      </c>
      <c r="E35" s="26" t="inlineStr">
        <is>
          <t>Internet platform / e-commerce</t>
        </is>
      </c>
      <c r="F35" s="26" t="inlineStr">
        <is>
          <t>Secondary</t>
        </is>
      </c>
      <c r="G35" s="27" t="n">
        <v>44303</v>
      </c>
      <c r="H35" s="28" t="n">
        <v>8478.299999999999</v>
      </c>
      <c r="I35" s="26" t="inlineStr">
        <is>
          <t>gross (price x shares)</t>
        </is>
      </c>
      <c r="J35" s="29" t="n"/>
      <c r="K35" s="29" t="n">
        <v>333</v>
      </c>
      <c r="L35" s="29" t="n">
        <v>268</v>
      </c>
      <c r="M35" s="26" t="inlineStr">
        <is>
          <t>N</t>
        </is>
      </c>
      <c r="N35" s="30" t="n">
        <v>80.5</v>
      </c>
      <c r="O35" s="28" t="n">
        <v>210692.8</v>
      </c>
      <c r="P35" s="26" t="inlineStr">
        <is>
          <t>prospectus:stated market capitalisation</t>
        </is>
      </c>
      <c r="Q35" s="31" t="n">
        <v>17.78</v>
      </c>
      <c r="R35" s="32" t="n">
        <v>5.06</v>
      </c>
      <c r="S35" s="33" t="n">
        <v>11.5</v>
      </c>
      <c r="T35" s="26" t="n"/>
      <c r="U35" s="30" t="n">
        <v>6.4</v>
      </c>
      <c r="V35" s="26" t="inlineStr">
        <is>
          <t>full</t>
        </is>
      </c>
      <c r="W35" s="34" t="n">
        <v>4.55</v>
      </c>
      <c r="X35" s="34" t="n">
        <v>11.49</v>
      </c>
      <c r="Y35" s="34" t="n">
        <v>13.73</v>
      </c>
      <c r="Z35" s="34" t="n">
        <v>-16.04</v>
      </c>
      <c r="AA35" s="34" t="n">
        <v>8.779999999999999</v>
      </c>
      <c r="AB35" s="34" t="n">
        <v>18.69</v>
      </c>
      <c r="AC35" s="34" t="n">
        <v>-4.96</v>
      </c>
      <c r="AD35" s="26" t="inlineStr">
        <is>
          <t>HSTECH (Hang Seng TECH ETF)</t>
        </is>
      </c>
      <c r="AE35" s="34" t="n">
        <v>30.67</v>
      </c>
      <c r="AF35" s="28" t="n"/>
      <c r="AG35" s="28" t="n"/>
      <c r="AH35" s="26" t="n"/>
      <c r="AI35" s="38">
        <f>IF('BBG Verify'!O35="","not filed — run on terminal",'BBG Verify'!O35)</f>
        <v/>
      </c>
      <c r="AJ35" s="35" t="n"/>
      <c r="AK35" s="26" t="inlineStr">
        <is>
          <t>N</t>
        </is>
      </c>
      <c r="AL35" s="36">
        <f>IF('BBG Verify'!K35="","not filed — run on terminal",'BBG Verify'!K35)</f>
        <v/>
      </c>
      <c r="AM35" s="26" t="inlineStr">
        <is>
          <t>N/A</t>
        </is>
      </c>
      <c r="AN35" s="26" t="inlineStr">
        <is>
          <t>N/A</t>
        </is>
      </c>
      <c r="AO35" s="26" t="inlineStr">
        <is>
          <t>N/A</t>
        </is>
      </c>
      <c r="AP35" s="26" t="inlineStr">
        <is>
          <t>J.P. Morgan Securities (Far East) Limited; China International Capital Corporation Hong Kong Securities Limited; Goldman Sachs (Asia) L.L.C; J.P. Morgan Securities (Asia Pacific) Limited; Coordinators J.P. Morgan Securities (Asia Pacific) Limited; DIRECTORS AND PARTIES INVOLVED IN THE GLOBAL OFFERING Goldman Sachs (Asia) L.L.C; The Hongkong and Shanghai Banking Corporation Limited; CMB International Capital Limited</t>
        </is>
      </c>
      <c r="AQ35" s="26" t="inlineStr">
        <is>
          <t>中國國際金融香港證券有限公司; J.P. Morgan Securities (Far East) Limited; 高盛(亞洲)有限責任公司</t>
        </is>
      </c>
      <c r="AR35" s="26" t="inlineStr">
        <is>
          <t>ICBC International Securities Limited; ABCI Securities Company Limited</t>
        </is>
      </c>
      <c r="AS35" s="26" t="inlineStr">
        <is>
          <t>農銀國際證券有限公司; 中銀國際亞洲有限公司; 建銀國際金融有限公司; 中國國際金融香港證券有限公司; 招銀國際金融有限公司; 星展亞洲融資有限公司; 高盛(亞洲)有限責任公司; 海通國際證券有限公司; 香港上海匯豐銀行有限公司; 工銀國際證券有限公司; J.P. Morgan Securities (Asia Pacific) Limited; 瑞穗證券亞洲有限公司; 野村國際(香港)有限公司</t>
        </is>
      </c>
      <c r="AT35" s="37">
        <f>HYPERLINK("https://www1.hkexnews.hk/listedco/listconews/sehk/2021/0408/2021040800019.pdf","prospectus")</f>
        <v/>
      </c>
      <c r="AU35" s="37">
        <f>HYPERLINK("https://www1.hkexnews.hk/listedco/listconews/sehk/2021/0416/2021041600028.htm","allotment")</f>
        <v/>
      </c>
      <c r="AV35" s="37">
        <f>HYPERLINK("https://www1.hkexnews.hk/listedco/listconews/sehk/2021/0513/2021051300333.pdf","stabilisation")</f>
        <v/>
      </c>
      <c r="AW35" s="26" t="inlineStr">
        <is>
          <t>P/E: net income not stated in extractable form · A/H: no A-share listing</t>
        </is>
      </c>
    </row>
    <row r="36">
      <c r="A36" s="25" t="inlineStr">
        <is>
          <t>6622</t>
        </is>
      </c>
      <c r="B36" s="26" t="inlineStr">
        <is>
          <t>ZHAOKE OPHTH-B</t>
        </is>
      </c>
      <c r="C36" s="26" t="inlineStr">
        <is>
          <t>兆科眼科－Ｂ</t>
        </is>
      </c>
      <c r="D36" s="26" t="inlineStr">
        <is>
          <t>Healthcare</t>
        </is>
      </c>
      <c r="E36" s="26" t="inlineStr">
        <is>
          <t>Biotech pre-revenue (18A)</t>
        </is>
      </c>
      <c r="F36" s="26" t="inlineStr">
        <is>
          <t>18A</t>
        </is>
      </c>
      <c r="G36" s="27" t="n">
        <v>44315</v>
      </c>
      <c r="H36" s="28" t="n">
        <v>2075.9</v>
      </c>
      <c r="I36" s="26" t="inlineStr">
        <is>
          <t>gross (price x shares)</t>
        </is>
      </c>
      <c r="J36" s="29" t="n">
        <v>15.38</v>
      </c>
      <c r="K36" s="29" t="n">
        <v>16.8</v>
      </c>
      <c r="L36" s="29" t="n">
        <v>16.8</v>
      </c>
      <c r="M36" s="26" t="inlineStr">
        <is>
          <t>Y</t>
        </is>
      </c>
      <c r="N36" s="30" t="n">
        <v>100</v>
      </c>
      <c r="O36" s="28" t="n">
        <v>8077.4</v>
      </c>
      <c r="P36" s="26" t="inlineStr">
        <is>
          <t>derived:deal size / offer % of enlarged capital</t>
        </is>
      </c>
      <c r="Q36" s="31" t="n">
        <v>56</v>
      </c>
      <c r="R36" s="39">
        <f>IF('BBG Verify'!E36="","not filed — run on terminal",'BBG Verify'!E36)</f>
        <v/>
      </c>
      <c r="S36" s="33" t="n">
        <v>20.6</v>
      </c>
      <c r="T36" s="26" t="inlineStr">
        <is>
          <t>CaaS Capital Master Fund LP; 新加坡政府投資公司; Golden Valley Global Limited; Jennison Associates LLC; Mass Ave Global, Inc; Matthews Asia Growth Fund及Matthews Asia Innovators Fund; OrbiMed Partners Master Fund Limited及OrbiMed Genesis Master Fund, L.P; VMS Zhaoke Investment Fund SP</t>
        </is>
      </c>
      <c r="U36" s="30" t="n">
        <v>5</v>
      </c>
      <c r="V36" s="26" t="inlineStr">
        <is>
          <t>lapsed</t>
        </is>
      </c>
      <c r="W36" s="34" t="n">
        <v>-14.76</v>
      </c>
      <c r="X36" s="34" t="n">
        <v>-32.14</v>
      </c>
      <c r="Y36" s="34" t="n">
        <v>-20.95</v>
      </c>
      <c r="Z36" s="34" t="n">
        <v>-52.38</v>
      </c>
      <c r="AA36" s="34" t="n">
        <v>-7.26</v>
      </c>
      <c r="AB36" s="34" t="n">
        <v>-25.08</v>
      </c>
      <c r="AC36" s="34" t="n">
        <v>4.13</v>
      </c>
      <c r="AD36" s="26" t="inlineStr">
        <is>
          <t>China Biotech ETF (HS biotech proxy)</t>
        </is>
      </c>
      <c r="AE36" s="34" t="n">
        <v>-84.64</v>
      </c>
      <c r="AF36" s="28" t="n">
        <v>0</v>
      </c>
      <c r="AG36" s="28" t="n">
        <v>-799.7</v>
      </c>
      <c r="AH36" s="26" t="inlineStr">
        <is>
          <t>N</t>
        </is>
      </c>
      <c r="AI36" s="38">
        <f>IF('BBG Verify'!O36="","not filed — run on terminal",'BBG Verify'!O36)</f>
        <v/>
      </c>
      <c r="AJ36" s="35" t="n"/>
      <c r="AK36" s="26" t="inlineStr">
        <is>
          <t>N</t>
        </is>
      </c>
      <c r="AL36" s="36">
        <f>IF('BBG Verify'!K36="","not filed — run on terminal",'BBG Verify'!K36)</f>
        <v/>
      </c>
      <c r="AM36" s="26" t="inlineStr">
        <is>
          <t>N/A</t>
        </is>
      </c>
      <c r="AN36" s="26" t="inlineStr">
        <is>
          <t>N/A</t>
        </is>
      </c>
      <c r="AO36" s="26" t="inlineStr">
        <is>
          <t>N/A</t>
        </is>
      </c>
      <c r="AP36" s="26" t="inlineStr">
        <is>
          <t>Goldman Sachs (Asia) L.L.C; Jefferies Hong Kong Limited</t>
        </is>
      </c>
      <c r="AQ36" s="26" t="inlineStr">
        <is>
          <t>富瑞金融集團香港有限公司; 高盛(亞洲)有限責任公司</t>
        </is>
      </c>
      <c r="AR36" s="26" t="inlineStr">
        <is>
          <t>Goldman Sachs (Asia) L.L.C; Jefferies Hong Kong Limited; Haitong International Securities Company Limited; The Hongkong and Shanghai Banking Corporation Limited; Managers Goldman Sachs (Asia) L.L.C; Fosun Hani Securities Limited; Macquarie Capital Limited; SPDB International Capital Limited; VMS Securities Limited</t>
        </is>
      </c>
      <c r="AS36" s="26" t="inlineStr">
        <is>
          <t>復星恒利證券有限公司; 高盛(亞洲)有限責任公司; 海通國際證券有限公司; 香港上海匯豐銀行有限公司; 富瑞金融集團香港有限公司; 麥格理資本股份有限公司; 浦銀國際融資有限公司; 鼎珮證券有限公司</t>
        </is>
      </c>
      <c r="AT36" s="37">
        <f>HYPERLINK("https://www1.hkexnews.hk/listedco/listconews/sehk/2021/0416/2021041600009.pdf","prospectus")</f>
        <v/>
      </c>
      <c r="AU36" s="37">
        <f>HYPERLINK("https://www1.hkexnews.hk/listedco/listconews/sehk/2021/0428/2021042800066.htm","allotment")</f>
        <v/>
      </c>
      <c r="AV36" s="37">
        <f>HYPERLINK("https://www1.hkexnews.hk/listedco/listconews/sehk/2021/0521/2021052101496.pdf","stabilisation")</f>
        <v/>
      </c>
      <c r="AW36" s="26" t="inlineStr">
        <is>
          <t>intl sub: subscription level not stated in the filing · P/E: n/m — loss-making at IPO (use P/S) · A/H: no A-share listing</t>
        </is>
      </c>
    </row>
    <row r="37">
      <c r="A37" s="25" t="inlineStr">
        <is>
          <t>2191</t>
        </is>
      </c>
      <c r="B37" s="26" t="inlineStr">
        <is>
          <t>SF REIT</t>
        </is>
      </c>
      <c r="C37" s="26" t="inlineStr">
        <is>
          <t>順豐房託</t>
        </is>
      </c>
      <c r="D37" s="26" t="inlineStr">
        <is>
          <t>Real Estate</t>
        </is>
      </c>
      <c r="E37" s="26" t="inlineStr">
        <is>
          <t>REITs / asset-light</t>
        </is>
      </c>
      <c r="F37" s="26" t="inlineStr">
        <is>
          <t>Standard</t>
        </is>
      </c>
      <c r="G37" s="27" t="n">
        <v>44331</v>
      </c>
      <c r="H37" s="28" t="n">
        <v>2498</v>
      </c>
      <c r="I37" s="26" t="inlineStr">
        <is>
          <t>net proceeds</t>
        </is>
      </c>
      <c r="J37" s="29" t="n">
        <v>4.68</v>
      </c>
      <c r="K37" s="29" t="n">
        <v>5.16</v>
      </c>
      <c r="L37" s="29" t="n">
        <v>4.98</v>
      </c>
      <c r="M37" s="26" t="inlineStr">
        <is>
          <t>N</t>
        </is>
      </c>
      <c r="N37" s="30" t="n">
        <v>96.5</v>
      </c>
      <c r="O37" s="28" t="n">
        <v>4128</v>
      </c>
      <c r="P37" s="26" t="inlineStr">
        <is>
          <t>prospectus:stated market capitalisation</t>
        </is>
      </c>
      <c r="Q37" s="43">
        <f>IF('BBG Verify'!C37="","not filed — run on terminal",'BBG Verify'!C37)</f>
        <v/>
      </c>
      <c r="R37" s="32" t="n">
        <v>3</v>
      </c>
      <c r="S37" s="33" t="n">
        <v>14.9</v>
      </c>
      <c r="T37" s="26" t="inlineStr">
        <is>
          <t>China Orient Multi-Strategy Master Fund; CI Global Asset Management</t>
        </is>
      </c>
      <c r="U37" s="30" t="n">
        <v>5</v>
      </c>
      <c r="V37" s="26" t="inlineStr">
        <is>
          <t>lapsed</t>
        </is>
      </c>
      <c r="W37" s="34" t="n">
        <v>-16.47</v>
      </c>
      <c r="X37" s="34" t="n">
        <v>-7.63</v>
      </c>
      <c r="Y37" s="34" t="n">
        <v>-9.640000000000001</v>
      </c>
      <c r="Z37" s="34" t="n">
        <v>-12.45</v>
      </c>
      <c r="AA37" s="34" t="n">
        <v>8.18</v>
      </c>
      <c r="AB37" s="34" t="n">
        <v>-12.34</v>
      </c>
      <c r="AC37" s="34" t="n">
        <v>2.7</v>
      </c>
      <c r="AD37" s="26" t="inlineStr">
        <is>
          <t>Hang Seng Properties sub-index</t>
        </is>
      </c>
      <c r="AE37" s="34" t="n">
        <v>-48.29</v>
      </c>
      <c r="AF37" s="28" t="n">
        <v>279</v>
      </c>
      <c r="AG37" s="28" t="n">
        <v>26.9</v>
      </c>
      <c r="AH37" s="26" t="inlineStr">
        <is>
          <t>Y</t>
        </is>
      </c>
      <c r="AI37" s="35" t="n">
        <v>153.5</v>
      </c>
      <c r="AJ37" s="35" t="n">
        <v>14.8</v>
      </c>
      <c r="AK37" s="26" t="inlineStr">
        <is>
          <t>N</t>
        </is>
      </c>
      <c r="AL37" s="36">
        <f>IF('BBG Verify'!K37="","not filed — run on terminal",'BBG Verify'!K37)</f>
        <v/>
      </c>
      <c r="AM37" s="26" t="inlineStr">
        <is>
          <t>N/A</t>
        </is>
      </c>
      <c r="AN37" s="26" t="inlineStr">
        <is>
          <t>N/A</t>
        </is>
      </c>
      <c r="AO37" s="26" t="inlineStr">
        <is>
          <t>N/A</t>
        </is>
      </c>
      <c r="AP37" s="26" t="n"/>
      <c r="AQ37" s="26" t="inlineStr">
        <is>
          <t>瑞士信貸（香港）有限公司; 星展亞洲融資有限公司; J.P. Morgan Securities (Asia Pacific) Limited</t>
        </is>
      </c>
      <c r="AR37" s="26" t="inlineStr">
        <is>
          <t>REIT Manager SF REIT Asset Management Limited; HONG Kam Kit, Eddie CHOW Chi Ping, Simon Trustee DB Trustees (Hong Kong) Limited; Hong Kong Unit Registrar Tricor Investor Services Limited; PARTIES INVOLVED IN THE GLOBAL OFFERING –6 6– Sole Listing Agent DBS Asia Capital Limited; DBS Asia Capital Limited; Credit Suisse (Hong Kong) Limited; J.P. Morgan Securities (Asia Pacific) Limited; Managers DBS Asia Capital Limited; J.P. Morgan Securities plc</t>
        </is>
      </c>
      <c r="AS37" s="26" t="inlineStr">
        <is>
          <t>瑞士信貸（香港）有限公司; 星展亞洲融資有限公司; J.P. Morgan Securities (Asia Pacific) Limited</t>
        </is>
      </c>
      <c r="AT37" s="37">
        <f>HYPERLINK("https://www1.hkexnews.hk/listedco/listconews/sehk/2021/0505/2021050500053.pdf","prospectus")</f>
        <v/>
      </c>
      <c r="AU37" s="37">
        <f>HYPERLINK("https://www1.hkexnews.hk/listedco/listconews/sehk/2021/0514/2021051400092.htm","allotment")</f>
        <v/>
      </c>
      <c r="AV37" s="37">
        <f>HYPERLINK("https://www1.hkexnews.hk/listedco/listconews/sehk/2021/0609/2021060900679.pdf","stabilisation")</f>
        <v/>
      </c>
      <c r="AW37" s="26" t="inlineStr">
        <is>
          <t>A/H: no A-share listing · sponsor: English name not in the filing text; AAStocks 保薦人 shown</t>
        </is>
      </c>
    </row>
    <row r="38">
      <c r="A38" s="25" t="inlineStr">
        <is>
          <t>3658</t>
        </is>
      </c>
      <c r="B38" s="26" t="inlineStr">
        <is>
          <t>NEW HOPE SERV</t>
        </is>
      </c>
      <c r="C38" s="26" t="inlineStr">
        <is>
          <t>新希望服務</t>
        </is>
      </c>
      <c r="D38" s="26" t="inlineStr">
        <is>
          <t>Real Estate</t>
        </is>
      </c>
      <c r="E38" s="26" t="inlineStr">
        <is>
          <t>Property management</t>
        </is>
      </c>
      <c r="F38" s="26" t="inlineStr">
        <is>
          <t>Standard</t>
        </is>
      </c>
      <c r="G38" s="27" t="n">
        <v>44341</v>
      </c>
      <c r="H38" s="28" t="n">
        <v>760</v>
      </c>
      <c r="I38" s="26" t="inlineStr">
        <is>
          <t>gross (price x shares)</t>
        </is>
      </c>
      <c r="J38" s="29" t="n">
        <v>3.8</v>
      </c>
      <c r="K38" s="29" t="n">
        <v>4.7</v>
      </c>
      <c r="L38" s="29" t="n">
        <v>3.8</v>
      </c>
      <c r="M38" s="26" t="inlineStr">
        <is>
          <t>N</t>
        </is>
      </c>
      <c r="N38" s="30" t="n">
        <v>80.90000000000001</v>
      </c>
      <c r="O38" s="28" t="n">
        <v>3686.1</v>
      </c>
      <c r="P38" s="26" t="inlineStr">
        <is>
          <t>aastocks:上市市值 at the struck price</t>
        </is>
      </c>
      <c r="Q38" s="31" t="n">
        <v>4.75</v>
      </c>
      <c r="R38" s="39">
        <f>IF('BBG Verify'!E38="","not filed — run on terminal",'BBG Verify'!E38)</f>
        <v/>
      </c>
      <c r="S38" s="33" t="n">
        <v>50.3</v>
      </c>
      <c r="T38" s="26" t="inlineStr">
        <is>
          <t>中國四川國際投資有限公司; Golden Star International Pty Limited; Green Better Limited; Keltic Investment (HK) Limited; 海王星投資控股有限公司; 鼎睿再保險有限公司</t>
        </is>
      </c>
      <c r="U38" s="30" t="n">
        <v>7.7</v>
      </c>
      <c r="V38" s="26" t="inlineStr">
        <is>
          <t>partial</t>
        </is>
      </c>
      <c r="W38" s="34" t="n">
        <v>0.53</v>
      </c>
      <c r="X38" s="34" t="n">
        <v>5</v>
      </c>
      <c r="Y38" s="34" t="n">
        <v>-25.79</v>
      </c>
      <c r="Z38" s="34" t="n">
        <v>-45.26</v>
      </c>
      <c r="AA38" s="34" t="n">
        <v>-26.18</v>
      </c>
      <c r="AB38" s="34" t="n">
        <v>-26.66</v>
      </c>
      <c r="AC38" s="34" t="n">
        <v>0.87</v>
      </c>
      <c r="AD38" s="26" t="inlineStr">
        <is>
          <t>Hang Seng Properties sub-index</t>
        </is>
      </c>
      <c r="AE38" s="34" t="n">
        <v>-50.39</v>
      </c>
      <c r="AF38" s="28" t="n">
        <v>647.1</v>
      </c>
      <c r="AG38" s="28" t="n">
        <v>120.7</v>
      </c>
      <c r="AH38" s="26" t="inlineStr">
        <is>
          <t>Y</t>
        </is>
      </c>
      <c r="AI38" s="35" t="n">
        <v>30.5</v>
      </c>
      <c r="AJ38" s="35" t="n">
        <v>5.7</v>
      </c>
      <c r="AK38" s="26" t="inlineStr">
        <is>
          <t>N</t>
        </is>
      </c>
      <c r="AL38" s="36">
        <f>IF('BBG Verify'!K38="","not filed — run on terminal",'BBG Verify'!K38)</f>
        <v/>
      </c>
      <c r="AM38" s="26" t="inlineStr">
        <is>
          <t>N/A</t>
        </is>
      </c>
      <c r="AN38" s="26" t="inlineStr">
        <is>
          <t>N/A</t>
        </is>
      </c>
      <c r="AO38" s="26" t="inlineStr">
        <is>
          <t>N/A</t>
        </is>
      </c>
      <c r="AP38" s="26" t="inlineStr">
        <is>
          <t>ABCI Capital Limited</t>
        </is>
      </c>
      <c r="AQ38" s="26" t="inlineStr">
        <is>
          <t>農銀國際融資有限公司</t>
        </is>
      </c>
      <c r="AR38" s="26" t="inlineStr">
        <is>
          <t>ABCI Capital Limited; Haitong International Securities Company Limited; CMB International Capital Limited; CLSA Limited; CMBC Securities Company Limited; China Everbright Securities (HK) Limited</t>
        </is>
      </c>
      <c r="AS38" s="26" t="inlineStr">
        <is>
          <t>農銀國際證券有限公司; 中國光大證券(香港)有限公司; 中信里昂證券有限公司; 民銀證券有限公司; 招銀國際金融有限公司; 富強證券有限公司; 富途證券國際（香港）有限公司; 海通國際證券有限公司; 利弗莫爾證券有限公司</t>
        </is>
      </c>
      <c r="AT38" s="37">
        <f>HYPERLINK("https://www1.hkexnews.hk/listedco/listconews/sehk/2021/0511/2021051100021.pdf","prospectus")</f>
        <v/>
      </c>
      <c r="AU38" s="37">
        <f>HYPERLINK("https://www1.hkexnews.hk/listedco/listconews/sehk/2021/0524/2021052400010.htm","allotment")</f>
        <v/>
      </c>
      <c r="AV38" s="37">
        <f>HYPERLINK("https://www1.hkexnews.hk/listedco/listconews/sehk/2021/0615/2021061500076.pdf","stabilisation")</f>
        <v/>
      </c>
      <c r="AW38" s="26" t="inlineStr">
        <is>
          <t>intl sub: subscription level not stated in the filing · A/H: no A-share listing</t>
        </is>
      </c>
    </row>
    <row r="39">
      <c r="A39" s="25" t="inlineStr">
        <is>
          <t>2618</t>
        </is>
      </c>
      <c r="B39" s="26" t="inlineStr">
        <is>
          <t>JD LOGISTICS</t>
        </is>
      </c>
      <c r="C39" s="26" t="inlineStr">
        <is>
          <t>京東物流</t>
        </is>
      </c>
      <c r="D39" s="26" t="inlineStr">
        <is>
          <t>Industrials</t>
        </is>
      </c>
      <c r="E39" s="26" t="inlineStr">
        <is>
          <t>Logistics</t>
        </is>
      </c>
      <c r="F39" s="26" t="inlineStr">
        <is>
          <t>Standard</t>
        </is>
      </c>
      <c r="G39" s="27" t="n">
        <v>44344</v>
      </c>
      <c r="H39" s="28" t="n">
        <v>3632</v>
      </c>
      <c r="I39" s="26" t="inlineStr">
        <is>
          <t>net proceeds</t>
        </is>
      </c>
      <c r="J39" s="29" t="n"/>
      <c r="K39" s="29" t="n">
        <v>40.36</v>
      </c>
      <c r="L39" s="29" t="n">
        <v>40.36</v>
      </c>
      <c r="M39" s="26" t="inlineStr">
        <is>
          <t>Y</t>
        </is>
      </c>
      <c r="N39" s="30" t="n">
        <v>100</v>
      </c>
      <c r="O39" s="28" t="n">
        <v>255728.1</v>
      </c>
      <c r="P39" s="26" t="inlineStr">
        <is>
          <t>aastocks:上市市值 at the struck price</t>
        </is>
      </c>
      <c r="Q39" s="31" t="n">
        <v>715.61</v>
      </c>
      <c r="R39" s="32" t="n">
        <v>10.8</v>
      </c>
      <c r="S39" s="33" t="n">
        <v>48.33</v>
      </c>
      <c r="T39" s="26" t="inlineStr">
        <is>
          <t>中國誠通投資有限公司; Internet Fund IIIA Pte Ltd; Matthews Funds; Oaktree Emerging Markets Equity Fund, L.P; 軟銀集團; 黑石集團有限公司</t>
        </is>
      </c>
      <c r="U39" s="30" t="n"/>
      <c r="V39" s="26" t="n"/>
      <c r="W39" s="34" t="n">
        <v>3.32</v>
      </c>
      <c r="X39" s="34" t="n">
        <v>16.33</v>
      </c>
      <c r="Y39" s="34" t="n">
        <v>4.19</v>
      </c>
      <c r="Z39" s="34" t="n">
        <v>-24.18</v>
      </c>
      <c r="AA39" s="34" t="n">
        <v>0.84</v>
      </c>
      <c r="AB39" s="34" t="n">
        <v>-0.14</v>
      </c>
      <c r="AC39" s="34" t="n">
        <v>4.33</v>
      </c>
      <c r="AD39" s="26" t="inlineStr">
        <is>
          <t>Hang Seng Commerce &amp; Industry sub-index</t>
        </is>
      </c>
      <c r="AE39" s="34" t="n">
        <v>-71.11</v>
      </c>
      <c r="AF39" s="28" t="n"/>
      <c r="AG39" s="28" t="n"/>
      <c r="AH39" s="26" t="n"/>
      <c r="AI39" s="38">
        <f>IF('BBG Verify'!O39="","not filed — run on terminal",'BBG Verify'!O39)</f>
        <v/>
      </c>
      <c r="AJ39" s="35" t="n"/>
      <c r="AK39" s="26" t="inlineStr">
        <is>
          <t>N</t>
        </is>
      </c>
      <c r="AL39" s="36">
        <f>IF('BBG Verify'!K39="","not filed — run on terminal",'BBG Verify'!K39)</f>
        <v/>
      </c>
      <c r="AM39" s="26" t="inlineStr">
        <is>
          <t>N/A</t>
        </is>
      </c>
      <c r="AN39" s="26" t="inlineStr">
        <is>
          <t>N/A</t>
        </is>
      </c>
      <c r="AO39" s="26" t="inlineStr">
        <is>
          <t>N/A</t>
        </is>
      </c>
      <c r="AP39" s="26" t="inlineStr">
        <is>
          <t>BofA Securities; Goldman Sachs; Haitong International</t>
        </is>
      </c>
      <c r="AQ39" s="26" t="inlineStr">
        <is>
          <t>海通國際資本有限公司; 美林(亞太)有限公司; 高盛(亞洲)有限責任公司</t>
        </is>
      </c>
      <c r="AR39" s="26" t="inlineStr">
        <is>
          <t>農銀國際證券有限公司; Beta International Securities Limited; 中銀國際亞洲有限公司; 建銀國際金融有限公司; 中信里昂證券有限公司; 招銀國際融資有限公司</t>
        </is>
      </c>
      <c r="AS39" s="26" t="inlineStr">
        <is>
          <t>農銀國際證券有限公司; Beta International Securities Limited; 中銀國際亞洲有限公司; 建銀國際金融有限公司; 中信里昂證券有限公司; 招銀國際融資有限公司; 華興資本證券(香港)有限公司; 富途證券國際（香港）有限公司; 國泰君安證券(香港)有限公司; 高盛(亞洲)有限責任公司; 海通國際證券有限公司; 工銀國際證券有限公司; 美林(亞太)有限公司; 瑞穗證券亞洲有限公司; UBS AG 香港分行</t>
        </is>
      </c>
      <c r="AT39" s="37">
        <f>HYPERLINK("https://www1.hkexnews.hk/listedco/listconews/sehk/2021/0517/2021051700091.pdf","prospectus")</f>
        <v/>
      </c>
      <c r="AU39" s="37">
        <f>HYPERLINK("https://www1.hkexnews.hk/listedco/listconews/sehk/2021/0527/2021052700014.htm","allotment")</f>
        <v/>
      </c>
      <c r="AV39" s="26" t="n"/>
      <c r="AW39" s="26" t="inlineStr">
        <is>
          <t>P/E: net income not stated in extractable form · greenshoe: no over-allotment option in the offer structure · price range: fixed-price offering (no indicative range) · A/H: no A-share listing · cornerstone: AAStocks institutional table includes non-cornerstone orders (superset) — cornerstone % is from the prospectus</t>
        </is>
      </c>
    </row>
    <row r="40">
      <c r="A40" s="25" t="inlineStr">
        <is>
          <t>9982</t>
        </is>
      </c>
      <c r="B40" s="26" t="inlineStr">
        <is>
          <t>CENTRALCHINA MT</t>
        </is>
      </c>
      <c r="C40" s="26" t="inlineStr">
        <is>
          <t>中原建業</t>
        </is>
      </c>
      <c r="D40" s="26" t="inlineStr">
        <is>
          <t>Real Estate</t>
        </is>
      </c>
      <c r="E40" s="26" t="inlineStr">
        <is>
          <t>Property management</t>
        </is>
      </c>
      <c r="F40" s="26" t="inlineStr">
        <is>
          <t>Standard</t>
        </is>
      </c>
      <c r="G40" s="27" t="n">
        <v>44345</v>
      </c>
      <c r="H40" s="28" t="n">
        <v>117.97</v>
      </c>
      <c r="I40" s="26" t="inlineStr">
        <is>
          <t>net proceeds</t>
        </is>
      </c>
      <c r="J40" s="29" t="n">
        <v>2.4</v>
      </c>
      <c r="K40" s="29" t="n">
        <v>3.2</v>
      </c>
      <c r="L40" s="29" t="n">
        <v>3</v>
      </c>
      <c r="M40" s="26" t="inlineStr">
        <is>
          <t>N</t>
        </is>
      </c>
      <c r="N40" s="30" t="n">
        <v>93.8</v>
      </c>
      <c r="O40" s="28" t="n">
        <v>10380.1</v>
      </c>
      <c r="P40" s="26" t="inlineStr">
        <is>
          <t>aastocks:上市市值 at the struck price</t>
        </is>
      </c>
      <c r="Q40" s="31" t="n">
        <v>4.99</v>
      </c>
      <c r="R40" s="39">
        <f>IF('BBG Verify'!E40="","not filed — run on terminal",'BBG Verify'!E40)</f>
        <v/>
      </c>
      <c r="S40" s="33" t="n">
        <v>8.66</v>
      </c>
      <c r="T40" s="26" t="inlineStr">
        <is>
          <t>祥來有限公司</t>
        </is>
      </c>
      <c r="U40" s="30" t="n">
        <v>10</v>
      </c>
      <c r="V40" s="26" t="inlineStr">
        <is>
          <t>lapsed</t>
        </is>
      </c>
      <c r="W40" s="34" t="n">
        <v>-12</v>
      </c>
      <c r="X40" s="34" t="n">
        <v>-9</v>
      </c>
      <c r="Y40" s="34" t="n">
        <v>-23.67</v>
      </c>
      <c r="Z40" s="34" t="n">
        <v>-38.33</v>
      </c>
      <c r="AA40" s="34" t="n">
        <v>-13.26</v>
      </c>
      <c r="AB40" s="34" t="n">
        <v>-20.27</v>
      </c>
      <c r="AC40" s="34" t="n">
        <v>-3.4</v>
      </c>
      <c r="AD40" s="26" t="inlineStr">
        <is>
          <t>Hang Seng Properties sub-index</t>
        </is>
      </c>
      <c r="AE40" s="34" t="n">
        <v>-97.06999999999999</v>
      </c>
      <c r="AF40" s="28" t="n"/>
      <c r="AG40" s="28" t="n"/>
      <c r="AH40" s="26" t="n"/>
      <c r="AI40" s="38">
        <f>IF('BBG Verify'!O40="","not filed — run on terminal",'BBG Verify'!O40)</f>
        <v/>
      </c>
      <c r="AJ40" s="35" t="n"/>
      <c r="AK40" s="26" t="inlineStr">
        <is>
          <t>N</t>
        </is>
      </c>
      <c r="AL40" s="36">
        <f>IF('BBG Verify'!K40="","not filed — run on terminal",'BBG Verify'!K40)</f>
        <v/>
      </c>
      <c r="AM40" s="26" t="inlineStr">
        <is>
          <t>N/A</t>
        </is>
      </c>
      <c r="AN40" s="26" t="inlineStr">
        <is>
          <t>N/A</t>
        </is>
      </c>
      <c r="AO40" s="26" t="inlineStr">
        <is>
          <t>N/A</t>
        </is>
      </c>
      <c r="AP40" s="26" t="inlineStr">
        <is>
          <t>ICBC International Capital Limited; CCB International Capital Limited; Sole financial advisor to CCRE and our Company BNP Paribas Securities (Asia) Limited</t>
        </is>
      </c>
      <c r="AQ40" s="26" t="inlineStr">
        <is>
          <t>建銀國際金融有限公司; 工銀國際融資有限公司</t>
        </is>
      </c>
      <c r="AR40" s="26" t="inlineStr">
        <is>
          <t>BNP Paribas Securities (Asia) Limited; CCB International Capital Limited; ICBC International Capital Limited; DIRECTORS AND PARTIES INVOLVED IN THE GLOBAL OFFERING –7 3– ABCI Capital Limited; China Galaxy International Securities (Hong Kong) Co., Limited; CMB International Capital Limited; CRIC Securities Company Limited</t>
        </is>
      </c>
      <c r="AS40" s="26" t="inlineStr">
        <is>
          <t>農銀國際證券有限公司; 法國巴黎證券（亞洲）有限公司; 建銀國際金融有限公司; 中國銀河國際證券(香港)有限公司; 招銀國際融資有限公司; 克而瑞證券有限公司; 工銀國際證券有限公司; 一盈證券有限公司; 利弗莫爾證券有限公司</t>
        </is>
      </c>
      <c r="AT40" s="37">
        <f>HYPERLINK("https://www1.hkexnews.hk/listedco/listconews/sehk/2021/0518/2021051800033.pdf","prospectus")</f>
        <v/>
      </c>
      <c r="AU40" s="37">
        <f>HYPERLINK("https://www1.hkexnews.hk/listedco/listconews/sehk/2021/0528/2021052800048.htm","allotment")</f>
        <v/>
      </c>
      <c r="AV40" s="37">
        <f>HYPERLINK("https://www1.hkexnews.hk/listedco/listconews/sehk/2021/0623/2021062301182.pdf","stabilisation")</f>
        <v/>
      </c>
      <c r="AW40" s="26" t="inlineStr">
        <is>
          <t>intl sub: subscription level not stated in the filing · P/E: net income not stated in extractable form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41">
      <c r="A41" s="25" t="inlineStr">
        <is>
          <t>6699</t>
        </is>
      </c>
      <c r="B41" s="26" t="inlineStr">
        <is>
          <t>ANGELALIGN</t>
        </is>
      </c>
      <c r="C41" s="26" t="inlineStr">
        <is>
          <t>時代天使</t>
        </is>
      </c>
      <c r="D41" s="26" t="inlineStr">
        <is>
          <t>Healthcare</t>
        </is>
      </c>
      <c r="E41" s="26" t="inlineStr">
        <is>
          <t>Medical devices</t>
        </is>
      </c>
      <c r="F41" s="26" t="inlineStr">
        <is>
          <t>Standard</t>
        </is>
      </c>
      <c r="G41" s="27" t="n">
        <v>44363</v>
      </c>
      <c r="H41" s="28" t="n">
        <v>2911.5</v>
      </c>
      <c r="I41" s="26" t="inlineStr">
        <is>
          <t>gross (price x shares)</t>
        </is>
      </c>
      <c r="J41" s="29" t="n"/>
      <c r="K41" s="29" t="n">
        <v>173</v>
      </c>
      <c r="L41" s="29" t="n">
        <v>173</v>
      </c>
      <c r="M41" s="26" t="inlineStr">
        <is>
          <t>Y</t>
        </is>
      </c>
      <c r="N41" s="30" t="n">
        <v>100</v>
      </c>
      <c r="O41" s="28" t="n">
        <v>24373.6</v>
      </c>
      <c r="P41" s="26" t="inlineStr">
        <is>
          <t>prospectus:stated market capitalisation</t>
        </is>
      </c>
      <c r="Q41" s="31" t="n">
        <v>2079.16</v>
      </c>
      <c r="R41" s="32" t="n">
        <v>114.7</v>
      </c>
      <c r="S41" s="33" t="n">
        <v>0</v>
      </c>
      <c r="T41" s="26" t="n"/>
      <c r="U41" s="30" t="n">
        <v>10</v>
      </c>
      <c r="V41" s="26" t="inlineStr">
        <is>
          <t>full</t>
        </is>
      </c>
      <c r="W41" s="34" t="n">
        <v>131.79</v>
      </c>
      <c r="X41" s="34" t="n">
        <v>144.51</v>
      </c>
      <c r="Y41" s="34" t="n">
        <v>141.97</v>
      </c>
      <c r="Z41" s="34" t="n">
        <v>109.36</v>
      </c>
      <c r="AA41" s="34" t="n">
        <v>4.39</v>
      </c>
      <c r="AB41" s="34" t="n">
        <v>141.37</v>
      </c>
      <c r="AC41" s="34" t="n">
        <v>0.6</v>
      </c>
      <c r="AD41" s="26" t="inlineStr">
        <is>
          <t>China Biotech ETF (HS biotech proxy)</t>
        </is>
      </c>
      <c r="AE41" s="34" t="n">
        <v>-45.92</v>
      </c>
      <c r="AF41" s="28" t="n">
        <v>898.2</v>
      </c>
      <c r="AG41" s="28" t="n">
        <v>166</v>
      </c>
      <c r="AH41" s="26" t="inlineStr">
        <is>
          <t>Y</t>
        </is>
      </c>
      <c r="AI41" s="35" t="n">
        <v>146.8</v>
      </c>
      <c r="AJ41" s="35" t="n">
        <v>27.1</v>
      </c>
      <c r="AK41" s="26" t="inlineStr">
        <is>
          <t>N</t>
        </is>
      </c>
      <c r="AL41" s="36">
        <f>IF('BBG Verify'!K41="","not filed — run on terminal",'BBG Verify'!K41)</f>
        <v/>
      </c>
      <c r="AM41" s="26" t="inlineStr">
        <is>
          <t>N/A</t>
        </is>
      </c>
      <c r="AN41" s="26" t="inlineStr">
        <is>
          <t>N/A</t>
        </is>
      </c>
      <c r="AO41" s="26" t="inlineStr">
        <is>
          <t>N/A</t>
        </is>
      </c>
      <c r="AP41" s="26" t="inlineStr">
        <is>
          <t>Industry Consultant China Insights Industry Consultancy Limited; Shanghai, PRC Receiving Banks Standard Chartered Bank (Hong Kong) Limited; Bank of China (Hong Kong) Limited; The Cayman Islands Principal Share Registrar Maples Fund Services (Cayman) Limited; Compliance Advisor Somerley Capital Limited; Principal Banks China Minsheng Bank, Shanghai Branch; Pudong New Area Shanghai, PRC China CITIC Bank, Wuxi Huishan Sub-Branch; Wuxi City, PRC Bank of China, Shanghai KIC Science Park Sub-Branch</t>
        </is>
      </c>
      <c r="AQ41" s="26" t="inlineStr">
        <is>
          <t>中國國際金融香港證券有限公司; 高盛(亞洲)有限責任公司</t>
        </is>
      </c>
      <c r="AR41" s="26" t="inlineStr">
        <is>
          <t>中國國際金融香港證券有限公司; 高盛(亞洲)有限責任公司</t>
        </is>
      </c>
      <c r="AS41" s="26" t="inlineStr">
        <is>
          <t>中國國際金融香港證券有限公司; 高盛(亞洲)有限責任公司</t>
        </is>
      </c>
      <c r="AT41" s="37">
        <f>HYPERLINK("https://www1.hkexnews.hk/listedco/listconews/sehk/2021/0603/2021060300011.pdf","prospectus")</f>
        <v/>
      </c>
      <c r="AU41" s="37">
        <f>HYPERLINK("https://www1.hkexnews.hk/listedco/listconews/sehk/2021/0615/2021061500010.htm","allotment")</f>
        <v/>
      </c>
      <c r="AV41" s="37">
        <f>HYPERLINK("https://www1.hkexnews.hk/listedco/listconews/sehk/2021/0708/2021070801042.pdf","stabilisation")</f>
        <v/>
      </c>
      <c r="AW41" s="26" t="inlineStr">
        <is>
          <t>A/H: no A-share listing</t>
        </is>
      </c>
    </row>
    <row r="42">
      <c r="A42" s="25" t="inlineStr">
        <is>
          <t>2171</t>
        </is>
      </c>
      <c r="B42" s="26" t="inlineStr">
        <is>
          <t>CARSGEN-B</t>
        </is>
      </c>
      <c r="C42" s="26" t="inlineStr">
        <is>
          <t>科濟藥業－Ｂ</t>
        </is>
      </c>
      <c r="D42" s="26" t="inlineStr">
        <is>
          <t>Healthcare</t>
        </is>
      </c>
      <c r="E42" s="26" t="inlineStr">
        <is>
          <t>Biotech pre-revenue (18A)</t>
        </is>
      </c>
      <c r="F42" s="26" t="inlineStr">
        <is>
          <t>18A</t>
        </is>
      </c>
      <c r="G42" s="27" t="n">
        <v>44365</v>
      </c>
      <c r="H42" s="28" t="n">
        <v>3107.7</v>
      </c>
      <c r="I42" s="26" t="inlineStr">
        <is>
          <t>gross (price x shares)</t>
        </is>
      </c>
      <c r="J42" s="29" t="n">
        <v>29.6</v>
      </c>
      <c r="K42" s="29" t="n">
        <v>32.8</v>
      </c>
      <c r="L42" s="29" t="n">
        <v>32.8</v>
      </c>
      <c r="M42" s="26" t="inlineStr">
        <is>
          <t>Y</t>
        </is>
      </c>
      <c r="N42" s="30" t="n">
        <v>100</v>
      </c>
      <c r="O42" s="28" t="n">
        <v>17700</v>
      </c>
      <c r="P42" s="26" t="inlineStr">
        <is>
          <t>prospectus:stated market capitalisation</t>
        </is>
      </c>
      <c r="Q42" s="31" t="n">
        <v>434.57</v>
      </c>
      <c r="R42" s="32" t="n">
        <v>8.199999999999999</v>
      </c>
      <c r="S42" s="33" t="n">
        <v>27.2</v>
      </c>
      <c r="T42" s="26" t="inlineStr">
        <is>
          <t>新華資本管理有限公司; 南方基金管理股份有限公司; CloudAlpha Master Fund; Dymon Asia Capital (Singapore) Pte. Ltd; 睿遠基金管理有限公司; 廣發基金管理有限公司; 常春藤資產管理(香港)有限公司; LAV Star Limited; WT Asset Management Limited</t>
        </is>
      </c>
      <c r="U42" s="30" t="n">
        <v>5.5</v>
      </c>
      <c r="V42" s="26" t="inlineStr">
        <is>
          <t>lapsed</t>
        </is>
      </c>
      <c r="W42" s="34" t="n">
        <v>-8.539999999999999</v>
      </c>
      <c r="X42" s="34" t="n">
        <v>-3.05</v>
      </c>
      <c r="Y42" s="34" t="n">
        <v>-8.69</v>
      </c>
      <c r="Z42" s="34" t="n">
        <v>32.16</v>
      </c>
      <c r="AA42" s="34" t="n">
        <v>-0.16</v>
      </c>
      <c r="AB42" s="34" t="n">
        <v>-12.93</v>
      </c>
      <c r="AC42" s="34" t="n">
        <v>4.24</v>
      </c>
      <c r="AD42" s="26" t="inlineStr">
        <is>
          <t>China Biotech ETF (HS biotech proxy)</t>
        </is>
      </c>
      <c r="AE42" s="34" t="n">
        <v>-55.18</v>
      </c>
      <c r="AF42" s="28" t="n">
        <v>0</v>
      </c>
      <c r="AG42" s="28" t="n">
        <v>-291.6</v>
      </c>
      <c r="AH42" s="26" t="inlineStr">
        <is>
          <t>N</t>
        </is>
      </c>
      <c r="AI42" s="38">
        <f>IF('BBG Verify'!O42="","not filed — run on terminal",'BBG Verify'!O42)</f>
        <v/>
      </c>
      <c r="AJ42" s="35" t="n"/>
      <c r="AK42" s="26" t="inlineStr">
        <is>
          <t>N</t>
        </is>
      </c>
      <c r="AL42" s="36">
        <f>IF('BBG Verify'!K42="","not filed — run on terminal",'BBG Verify'!K42)</f>
        <v/>
      </c>
      <c r="AM42" s="26" t="inlineStr">
        <is>
          <t>N/A</t>
        </is>
      </c>
      <c r="AN42" s="26" t="inlineStr">
        <is>
          <t>N/A</t>
        </is>
      </c>
      <c r="AO42" s="26" t="inlineStr">
        <is>
          <t>N/A</t>
        </is>
      </c>
      <c r="AP42" s="26" t="inlineStr">
        <is>
          <t>Goldman Sachs (Asia) L.L.C; UBS Securities Hong Kong Limited</t>
        </is>
      </c>
      <c r="AQ42" s="26" t="inlineStr">
        <is>
          <t>瑞銀證券香港有限公司; 高盛(亞洲)有限責任公司</t>
        </is>
      </c>
      <c r="AR42" s="26" t="inlineStr">
        <is>
          <t>Goldman Sachs (Asia) L.L.C; UBS AG Hong Kong Branch; CLSA Limited; Credit Suisse (Hong Kong) Limited</t>
        </is>
      </c>
      <c r="AS42" s="26" t="inlineStr">
        <is>
          <t>中信里昂證券有限公司; 瑞士信貸（香港）有限公司; 高盛(亞洲)有限責任公司; UBS AG 香港分行</t>
        </is>
      </c>
      <c r="AT42" s="37">
        <f>HYPERLINK("https://www1.hkexnews.hk/listedco/listconews/sehk/2021/0607/2021060700009.pdf","prospectus")</f>
        <v/>
      </c>
      <c r="AU42" s="37">
        <f>HYPERLINK("https://www1.hkexnews.hk/listedco/listconews/sehk/2021/0617/2021061700006.htm","allotment")</f>
        <v/>
      </c>
      <c r="AV42" s="37">
        <f>HYPERLINK("https://www1.hkexnews.hk/listedco/listconews/sehk/2021/0712/2021071200836.pdf","stabilisation")</f>
        <v/>
      </c>
      <c r="AW42" s="26" t="inlineStr">
        <is>
          <t>P/E: n/m — loss-making at IPO (use P/S) · A/H: no A-share listing · cornerstone: AAStocks institutional table includes non-cornerstone orders (superset) — cornerstone % is from the prospectus</t>
        </is>
      </c>
    </row>
    <row r="43">
      <c r="A43" s="25" t="inlineStr">
        <is>
          <t>9858</t>
        </is>
      </c>
      <c r="B43" s="26" t="inlineStr">
        <is>
          <t>YOURAN DAIRY</t>
        </is>
      </c>
      <c r="C43" s="26" t="inlineStr">
        <is>
          <t>優然牧業</t>
        </is>
      </c>
      <c r="D43" s="26" t="inlineStr">
        <is>
          <t>Consumer</t>
        </is>
      </c>
      <c r="E43" s="26" t="inlineStr">
        <is>
          <t>Beverages / packaged food</t>
        </is>
      </c>
      <c r="F43" s="26" t="inlineStr">
        <is>
          <t>Standard</t>
        </is>
      </c>
      <c r="G43" s="27" t="n">
        <v>44365</v>
      </c>
      <c r="H43" s="28" t="n">
        <v>4993.7</v>
      </c>
      <c r="I43" s="26" t="inlineStr">
        <is>
          <t>gross (price x shares)</t>
        </is>
      </c>
      <c r="J43" s="29" t="n">
        <v>6.98</v>
      </c>
      <c r="K43" s="29" t="n">
        <v>8.66</v>
      </c>
      <c r="L43" s="29" t="n">
        <v>6.98</v>
      </c>
      <c r="M43" s="26" t="inlineStr">
        <is>
          <t>N</t>
        </is>
      </c>
      <c r="N43" s="30" t="n">
        <v>80.59999999999999</v>
      </c>
      <c r="O43" s="28" t="n">
        <v>31631.2</v>
      </c>
      <c r="P43" s="26" t="inlineStr">
        <is>
          <t>aastocks:上市市值 at the struck price</t>
        </is>
      </c>
      <c r="Q43" s="31" t="n">
        <v>3.73</v>
      </c>
      <c r="R43" s="32" t="n">
        <v>3.88</v>
      </c>
      <c r="S43" s="33" t="n">
        <v>7.77</v>
      </c>
      <c r="T43" s="26" t="inlineStr">
        <is>
          <t>中信保誠人壽保險有限公司; Harvest Private Wealth Thematic Fund SPC</t>
        </is>
      </c>
      <c r="U43" s="30" t="n">
        <v>16.97</v>
      </c>
      <c r="V43" s="26" t="inlineStr">
        <is>
          <t>lapsed</t>
        </is>
      </c>
      <c r="W43" s="34" t="n">
        <v>-11.89</v>
      </c>
      <c r="X43" s="34" t="n">
        <v>-11.32</v>
      </c>
      <c r="Y43" s="34" t="n">
        <v>-26.93</v>
      </c>
      <c r="Z43" s="34" t="n">
        <v>-29.08</v>
      </c>
      <c r="AA43" s="34" t="n">
        <v>-17.07</v>
      </c>
      <c r="AB43" s="34" t="n">
        <v>-23.51</v>
      </c>
      <c r="AC43" s="34" t="n">
        <v>-3.42</v>
      </c>
      <c r="AD43" s="26" t="inlineStr">
        <is>
          <t>Hang Seng Commerce &amp; Industry sub-index</t>
        </is>
      </c>
      <c r="AE43" s="34" t="n">
        <v>-40.47</v>
      </c>
      <c r="AF43" s="28" t="n">
        <v>12959.3</v>
      </c>
      <c r="AG43" s="28" t="n">
        <v>1694.7</v>
      </c>
      <c r="AH43" s="26" t="inlineStr">
        <is>
          <t>Y</t>
        </is>
      </c>
      <c r="AI43" s="35" t="n">
        <v>18.7</v>
      </c>
      <c r="AJ43" s="35" t="n">
        <v>2.4</v>
      </c>
      <c r="AK43" s="26" t="inlineStr">
        <is>
          <t>N</t>
        </is>
      </c>
      <c r="AL43" s="36">
        <f>IF('BBG Verify'!K43="","not filed — run on terminal",'BBG Verify'!K43)</f>
        <v/>
      </c>
      <c r="AM43" s="26" t="inlineStr">
        <is>
          <t>N/A</t>
        </is>
      </c>
      <c r="AN43" s="26" t="inlineStr">
        <is>
          <t>N/A</t>
        </is>
      </c>
      <c r="AO43" s="26" t="inlineStr">
        <is>
          <t>N/A</t>
        </is>
      </c>
      <c r="AP43" s="26" t="inlineStr">
        <is>
          <t>Huatai Financial Holdings (Hong Kong) Limited; Credit Suisse (Hong Kong) Limited</t>
        </is>
      </c>
      <c r="AQ43" s="26" t="inlineStr">
        <is>
          <t>華泰金融控股(香港)有限公司; 瑞士信貸（香港）有限公司</t>
        </is>
      </c>
      <c r="AR43" s="26" t="inlineStr">
        <is>
          <t>Huatai Financial Holdings (Hong Kong) Limited; Credit Suisse (Hong Kong) Limited; Citigroup Global Markets Asia Limited; Central, Hong Kong CLSA Limited; Central, Hong Kong Citigroup Global Markets Limited; Canary Wharf London E14 5LB United Kingdom CLSA Limited; The Hongkong and Shanghai Banking Corporation Limited; BOCOM International Securities Limited; Corporate Finance Company Limited; Central, Hong Kong ICBC International Capital Limited; Futu Securities International (Hong Kong) Limited</t>
        </is>
      </c>
      <c r="AS43" s="26" t="inlineStr">
        <is>
          <t>Beta International Securities Limited; 花旗環球金融亞洲有限公司; 中信里昂證券有限公司; 瑞士信貸（香港）有限公司; 中信建投(國際)融資有限公司; 富途證券國際（香港）有限公司; 華泰金融控股(香港)有限公司; 香港上海匯豐銀行有限公司; 工銀國際證券有限公司</t>
        </is>
      </c>
      <c r="AT43" s="37">
        <f>HYPERLINK("https://www1.hkexnews.hk/listedco/listconews/sehk/2021/0607/2021060700019.pdf","prospectus")</f>
        <v/>
      </c>
      <c r="AU43" s="37">
        <f>HYPERLINK("https://www1.hkexnews.hk/listedco/listconews/sehk/2021/0617/2021061700034.htm","allotment")</f>
        <v/>
      </c>
      <c r="AV43" s="37">
        <f>HYPERLINK("https://www1.hkexnews.hk/listedco/listconews/sehk/2021/0711/2021071100011.pdf","stabilisation")</f>
        <v/>
      </c>
      <c r="AW43" s="26" t="inlineStr">
        <is>
          <t>A/H: no A-share listing · market cap: estimate from deal size / offer % of enlarged capital disagreed with the published listing cap — published figure adopted</t>
        </is>
      </c>
    </row>
    <row r="44">
      <c r="A44" s="25" t="inlineStr">
        <is>
          <t>2155</t>
        </is>
      </c>
      <c r="B44" s="26" t="inlineStr">
        <is>
          <t>MORIMATSU INTL</t>
        </is>
      </c>
      <c r="C44" s="26" t="inlineStr">
        <is>
          <t>森松國際</t>
        </is>
      </c>
      <c r="D44" s="26" t="inlineStr">
        <is>
          <t>Industrials</t>
        </is>
      </c>
      <c r="E44" s="26" t="inlineStr">
        <is>
          <t>Capital goods / machinery</t>
        </is>
      </c>
      <c r="F44" s="26" t="inlineStr">
        <is>
          <t>Standard</t>
        </is>
      </c>
      <c r="G44" s="27" t="n">
        <v>44373</v>
      </c>
      <c r="H44" s="28" t="n">
        <v>620</v>
      </c>
      <c r="I44" s="26" t="inlineStr">
        <is>
          <t>gross (price x shares)</t>
        </is>
      </c>
      <c r="J44" s="29" t="n">
        <v>2.2</v>
      </c>
      <c r="K44" s="29" t="n">
        <v>2.48</v>
      </c>
      <c r="L44" s="29" t="n">
        <v>2.48</v>
      </c>
      <c r="M44" s="26" t="inlineStr">
        <is>
          <t>Y</t>
        </is>
      </c>
      <c r="N44" s="30" t="n">
        <v>100</v>
      </c>
      <c r="O44" s="28" t="n">
        <v>2755.6</v>
      </c>
      <c r="P44" s="26" t="inlineStr">
        <is>
          <t>derived:deal size / offer % of enlarged capital</t>
        </is>
      </c>
      <c r="Q44" s="31" t="n">
        <v>23.71</v>
      </c>
      <c r="R44" s="32" t="n">
        <v>2.36</v>
      </c>
      <c r="S44" s="33" t="n">
        <v>30</v>
      </c>
      <c r="T44" s="26" t="inlineStr">
        <is>
          <t>匯添富基金管理股份有限公司; 華友控股(香港)有限公司; Hwa-An International Limited; 晶之瑞(蘇州)微電子科技有限公司; 藥明生物產業基金</t>
        </is>
      </c>
      <c r="U44" s="30" t="n">
        <v>12.37</v>
      </c>
      <c r="V44" s="26" t="inlineStr">
        <is>
          <t>full</t>
        </is>
      </c>
      <c r="W44" s="34" t="n">
        <v>213.71</v>
      </c>
      <c r="X44" s="34" t="n">
        <v>492.74</v>
      </c>
      <c r="Y44" s="34" t="n">
        <v>337.9</v>
      </c>
      <c r="Z44" s="34" t="n">
        <v>273.79</v>
      </c>
      <c r="AA44" s="34" t="n">
        <v>39.59</v>
      </c>
      <c r="AB44" s="34" t="n">
        <v>350.92</v>
      </c>
      <c r="AC44" s="34" t="n">
        <v>-13.02</v>
      </c>
      <c r="AD44" s="26" t="inlineStr">
        <is>
          <t>Hang Seng Commerce &amp; Industry sub-index</t>
        </is>
      </c>
      <c r="AE44" s="34" t="n">
        <v>217.34</v>
      </c>
      <c r="AF44" s="28" t="n">
        <v>3109</v>
      </c>
      <c r="AG44" s="28" t="n">
        <v>161.3</v>
      </c>
      <c r="AH44" s="26" t="inlineStr">
        <is>
          <t>Y</t>
        </is>
      </c>
      <c r="AI44" s="35" t="n">
        <v>17.1</v>
      </c>
      <c r="AJ44" s="35" t="n">
        <v>0.9</v>
      </c>
      <c r="AK44" s="26" t="inlineStr">
        <is>
          <t>N</t>
        </is>
      </c>
      <c r="AL44" s="36">
        <f>IF('BBG Verify'!K44="","not filed — run on terminal",'BBG Verify'!K44)</f>
        <v/>
      </c>
      <c r="AM44" s="26" t="inlineStr">
        <is>
          <t>N/A</t>
        </is>
      </c>
      <c r="AN44" s="26" t="inlineStr">
        <is>
          <t>N/A</t>
        </is>
      </c>
      <c r="AO44" s="26" t="inlineStr">
        <is>
          <t>N/A</t>
        </is>
      </c>
      <c r="AP44" s="26" t="inlineStr">
        <is>
          <t>Sinolink Securities (Hong Kong) Company Limited</t>
        </is>
      </c>
      <c r="AQ44" s="26" t="inlineStr">
        <is>
          <t>國金證券（香港）有限公司</t>
        </is>
      </c>
      <c r="AR44" s="26" t="inlineStr">
        <is>
          <t>Sinolink Securities (Hong Kong) Company Limited; Haitong International Securities Company Limited; Innovax Securities Limited</t>
        </is>
      </c>
      <c r="AS44" s="26" t="inlineStr">
        <is>
          <t>富途證券國際（香港）有限公司; 海通國際證券有限公司; 創陞證券有限公司; 利弗莫爾證券有限公司; 國金證券（香港）有限公司; 佳富達證券有限公司; 友信證券有限公司</t>
        </is>
      </c>
      <c r="AT44" s="37">
        <f>HYPERLINK("https://www1.hkexnews.hk/listedco/listconews/sehk/2021/0615/2021061500023.pdf","prospectus")</f>
        <v/>
      </c>
      <c r="AU44" s="37">
        <f>HYPERLINK("https://www1.hkexnews.hk/listedco/listconews/sehk/2021/0625/2021062500064.htm","allotment")</f>
        <v/>
      </c>
      <c r="AV44" s="37">
        <f>HYPERLINK("https://www1.hkexnews.hk/listedco/listconews/sehk/2021/0719/2021071900868.pdf","stabilisation")</f>
        <v/>
      </c>
      <c r="AW44" s="26" t="inlineStr">
        <is>
          <t>A/H: no A-share listing</t>
        </is>
      </c>
    </row>
    <row r="45">
      <c r="A45" s="25" t="inlineStr">
        <is>
          <t>6626</t>
        </is>
      </c>
      <c r="B45" s="26" t="inlineStr">
        <is>
          <t>YUEXIU SERVICES</t>
        </is>
      </c>
      <c r="C45" s="26" t="inlineStr">
        <is>
          <t>越秀服務</t>
        </is>
      </c>
      <c r="D45" s="26" t="inlineStr">
        <is>
          <t>Real Estate</t>
        </is>
      </c>
      <c r="E45" s="26" t="inlineStr">
        <is>
          <t>Property management</t>
        </is>
      </c>
      <c r="F45" s="26" t="inlineStr">
        <is>
          <t>Standard</t>
        </is>
      </c>
      <c r="G45" s="27" t="n">
        <v>44373</v>
      </c>
      <c r="H45" s="28" t="n">
        <v>264.62</v>
      </c>
      <c r="I45" s="26" t="inlineStr">
        <is>
          <t>net proceeds</t>
        </is>
      </c>
      <c r="J45" s="29" t="n">
        <v>4.88</v>
      </c>
      <c r="K45" s="29" t="n">
        <v>6.52</v>
      </c>
      <c r="L45" s="29" t="n">
        <v>4.88</v>
      </c>
      <c r="M45" s="26" t="inlineStr">
        <is>
          <t>N</t>
        </is>
      </c>
      <c r="N45" s="30" t="n">
        <v>74.8</v>
      </c>
      <c r="O45" s="28" t="n">
        <v>7215.7</v>
      </c>
      <c r="P45" s="26" t="inlineStr">
        <is>
          <t>prospectus:stated market capitalisation</t>
        </is>
      </c>
      <c r="Q45" s="31" t="n">
        <v>9.880000000000001</v>
      </c>
      <c r="R45" s="32" t="n">
        <v>2.4</v>
      </c>
      <c r="S45" s="33" t="n">
        <v>10.76</v>
      </c>
      <c r="T45" s="26" t="inlineStr">
        <is>
          <t>Crotona Assets Limited; 尚慧企業有限公司; Kaiser Private Equity Fund SPC-SPI; Keltic Investment (HK) Limited; 新華資產管理(香港)有限公司; SensePower Management Limited; 昇輝控股有限公司; 華科資本有限公司</t>
        </is>
      </c>
      <c r="U45" s="30" t="n">
        <v>6.11</v>
      </c>
      <c r="V45" s="26" t="inlineStr">
        <is>
          <t>partial</t>
        </is>
      </c>
      <c r="W45" s="34" t="n">
        <v>0</v>
      </c>
      <c r="X45" s="34" t="n">
        <v>10.04</v>
      </c>
      <c r="Y45" s="34" t="n">
        <v>-13.93</v>
      </c>
      <c r="Z45" s="34" t="n">
        <v>-33.81</v>
      </c>
      <c r="AA45" s="34" t="n">
        <v>-13.93</v>
      </c>
      <c r="AB45" s="34" t="n">
        <v>-5.36</v>
      </c>
      <c r="AC45" s="34" t="n">
        <v>-8.57</v>
      </c>
      <c r="AD45" s="26" t="inlineStr">
        <is>
          <t>Hang Seng Properties sub-index</t>
        </is>
      </c>
      <c r="AE45" s="34" t="n">
        <v>-65.16</v>
      </c>
      <c r="AF45" s="28" t="n">
        <v>1284.9</v>
      </c>
      <c r="AG45" s="28" t="n">
        <v>224.1</v>
      </c>
      <c r="AH45" s="26" t="inlineStr">
        <is>
          <t>Y</t>
        </is>
      </c>
      <c r="AI45" s="35" t="n">
        <v>32.2</v>
      </c>
      <c r="AJ45" s="35" t="n">
        <v>5.6</v>
      </c>
      <c r="AK45" s="26" t="inlineStr">
        <is>
          <t>N</t>
        </is>
      </c>
      <c r="AL45" s="36">
        <f>IF('BBG Verify'!K45="","not filed — run on terminal",'BBG Verify'!K45)</f>
        <v/>
      </c>
      <c r="AM45" s="26" t="inlineStr">
        <is>
          <t>N/A</t>
        </is>
      </c>
      <c r="AN45" s="26" t="inlineStr">
        <is>
          <t>N/A</t>
        </is>
      </c>
      <c r="AO45" s="26" t="inlineStr">
        <is>
          <t>N/A</t>
        </is>
      </c>
      <c r="AP45" s="26" t="inlineStr">
        <is>
          <t>ABCI Capital Limited; China Securities (International) Corporate Finance Company Limited; CCB International Capital Limited; Yue Xiu Capital Limited</t>
        </is>
      </c>
      <c r="AQ45" s="26" t="inlineStr">
        <is>
          <t>建銀國際金融有限公司; 中信建投(國際)融資有限公司; 越秀融資有限公司; 農銀國際融資有限公司</t>
        </is>
      </c>
      <c r="AR45" s="26"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AS45" s="26" t="inlineStr">
        <is>
          <t>農銀國際證券有限公司; Beta International Securities Limited; 中銀國際亞洲有限公司; 建銀國際金融有限公司; 中國國際金融香港證券有限公司; 創興證券有限公司; 中信里昂證券有限公司; 民銀證券有限公司; 中信建投(國際)融資有限公司; 富途證券國際（香港）有限公司; 海通國際證券有限公司; 工銀國際證券有限公司; 利弗莫爾證券有限公司; 越秀證券有限公司</t>
        </is>
      </c>
      <c r="AT45" s="37">
        <f>HYPERLINK("https://www1.hkexnews.hk/listedco/listconews/sehk/2021/0616/2021061600035.pdf","prospectus")</f>
        <v/>
      </c>
      <c r="AU45" s="37">
        <f>HYPERLINK("https://www1.hkexnews.hk/listedco/listconews/sehk/2021/0625/2021062500178.htm","allotment")</f>
        <v/>
      </c>
      <c r="AV45" s="37">
        <f>HYPERLINK("https://www1.hkexnews.hk/listedco/listconews/sehk/2021/0721/2021072101184.pdf","stabilisation")</f>
        <v/>
      </c>
      <c r="AW45" s="26" t="inlineStr">
        <is>
          <t>A/H: no A-share listing · cornerstone: AAStocks institutional table includes non-cornerstone orders (superset) — cornerstone % is from the prospectus</t>
        </is>
      </c>
    </row>
    <row r="46">
      <c r="A46" s="25" t="inlineStr">
        <is>
          <t>0013</t>
        </is>
      </c>
      <c r="B46" s="26" t="inlineStr">
        <is>
          <t>HUTCHMED</t>
        </is>
      </c>
      <c r="C46" s="26" t="inlineStr">
        <is>
          <t>和黃醫藥</t>
        </is>
      </c>
      <c r="D46" s="26" t="inlineStr">
        <is>
          <t>Healthcare</t>
        </is>
      </c>
      <c r="E46" s="26" t="inlineStr">
        <is>
          <t>Biopharma commercial</t>
        </is>
      </c>
      <c r="F46" s="26" t="inlineStr">
        <is>
          <t>Standard</t>
        </is>
      </c>
      <c r="G46" s="27" t="n">
        <v>44377</v>
      </c>
      <c r="H46" s="28" t="n">
        <v>4170.4</v>
      </c>
      <c r="I46" s="26" t="inlineStr">
        <is>
          <t>gross (price x shares)</t>
        </is>
      </c>
      <c r="J46" s="29" t="n"/>
      <c r="K46" s="29" t="n">
        <v>40.1</v>
      </c>
      <c r="L46" s="29" t="n">
        <v>40.1</v>
      </c>
      <c r="M46" s="26" t="inlineStr">
        <is>
          <t>Y</t>
        </is>
      </c>
      <c r="N46" s="30" t="n">
        <v>100</v>
      </c>
      <c r="O46" s="41">
        <f>IF('BBG Verify'!M46="","not filed — run on terminal",'BBG Verify'!M46)</f>
        <v/>
      </c>
      <c r="P46" s="26" t="n"/>
      <c r="Q46" s="31" t="n">
        <v>5.23</v>
      </c>
      <c r="R46" s="32" t="n">
        <v>5</v>
      </c>
      <c r="S46" s="33" t="n">
        <v>44.9</v>
      </c>
      <c r="T46" s="26" t="inlineStr">
        <is>
          <t>CA Fern Parent; 中金啟融 (廈門)股權投資基金合夥企業 (有限合夥); CPP Investments; General Atlantic Singapore HCM Pte. Ltd; HBM Healthcare Investments (Cayman) Ltd</t>
        </is>
      </c>
      <c r="U46" s="30" t="n"/>
      <c r="V46" s="26" t="n"/>
      <c r="W46" s="34" t="n">
        <v>50.37</v>
      </c>
      <c r="X46" s="34" t="n">
        <v>42.02</v>
      </c>
      <c r="Y46" s="34" t="n">
        <v>76.06</v>
      </c>
      <c r="Z46" s="34" t="n">
        <v>44.26</v>
      </c>
      <c r="AA46" s="34" t="n">
        <v>17.08</v>
      </c>
      <c r="AB46" s="34" t="n">
        <v>85.86</v>
      </c>
      <c r="AC46" s="34" t="n">
        <v>-9.800000000000001</v>
      </c>
      <c r="AD46" s="26" t="inlineStr">
        <is>
          <t>China Biotech ETF (HS biotech proxy)</t>
        </is>
      </c>
      <c r="AE46" s="34" t="n">
        <v>-49.13</v>
      </c>
      <c r="AF46" s="28" t="n"/>
      <c r="AG46" s="28" t="n"/>
      <c r="AH46" s="26" t="n"/>
      <c r="AI46" s="38">
        <f>IF('BBG Verify'!O46="","not filed — run on terminal",'BBG Verify'!O46)</f>
        <v/>
      </c>
      <c r="AJ46" s="35" t="n"/>
      <c r="AK46" s="26" t="inlineStr">
        <is>
          <t>N</t>
        </is>
      </c>
      <c r="AL46" s="36">
        <f>IF('BBG Verify'!K46="","not filed — run on terminal",'BBG Verify'!K46)</f>
        <v/>
      </c>
      <c r="AM46" s="26" t="inlineStr">
        <is>
          <t>N/A</t>
        </is>
      </c>
      <c r="AN46" s="26" t="inlineStr">
        <is>
          <t>N/A</t>
        </is>
      </c>
      <c r="AO46" s="26" t="inlineStr">
        <is>
          <t>N/A</t>
        </is>
      </c>
      <c r="AP46" s="26" t="inlineStr">
        <is>
          <t>Morgan Stanley; Jefferies; CICC</t>
        </is>
      </c>
      <c r="AQ46" s="26" t="inlineStr">
        <is>
          <t>中國國際金融香港證券有限公司; 富瑞金融集團香港有限公司; 摩根士丹利亞洲有限公司</t>
        </is>
      </c>
      <c r="AR46" s="26" t="inlineStr">
        <is>
          <t>中銀國際亞洲有限公司; 中國國際金融香港證券有限公司; 招銀國際金融有限公司; 招商證券(香港)有限公司; 瑞士信貸（香港）有限公司; 德意志銀行香港分行</t>
        </is>
      </c>
      <c r="AS46" s="26" t="inlineStr">
        <is>
          <t>中銀國際亞洲有限公司; 中國國際金融香港證券有限公司; 招銀國際金融有限公司; 招商證券(香港)有限公司; 瑞士信貸（香港）有限公司; 德意志銀行香港分行; 香港上海匯豐銀行有限公司; 富瑞金融集團香港有限公司; 麥格理資本股份有限公司; 摩根士丹利亞洲有限公司</t>
        </is>
      </c>
      <c r="AT46" s="37">
        <f>HYPERLINK("https://www1.hkexnews.hk/listedco/listconews/sehk/2021/0618/2021061800169.pdf","prospectus")</f>
        <v/>
      </c>
      <c r="AU46" s="37">
        <f>HYPERLINK("https://www1.hkexnews.hk/listedco/listconews/sehk/2021/0629/2021062900052.htm","allotment")</f>
        <v/>
      </c>
      <c r="AV46" s="26" t="n"/>
      <c r="AW46" s="26" t="inlineStr">
        <is>
          <t>P/E: net income not stated in extractable form · greenshoe: no over-allotment option in the offer structure · price range: fixed-price offering (no indicative range) · A/H: no A-share listing</t>
        </is>
      </c>
    </row>
    <row r="47">
      <c r="A47" s="25" t="inlineStr">
        <is>
          <t>2150</t>
        </is>
      </c>
      <c r="B47" s="26" t="inlineStr">
        <is>
          <t>NAYUKI</t>
        </is>
      </c>
      <c r="C47" s="26" t="inlineStr">
        <is>
          <t>奈雪的茶</t>
        </is>
      </c>
      <c r="D47" s="26" t="inlineStr">
        <is>
          <t>Consumer</t>
        </is>
      </c>
      <c r="E47" s="26" t="inlineStr">
        <is>
          <t>F&amp;B chains / restaurants</t>
        </is>
      </c>
      <c r="F47" s="26" t="inlineStr">
        <is>
          <t>Standard</t>
        </is>
      </c>
      <c r="G47" s="27" t="n">
        <v>44377</v>
      </c>
      <c r="H47" s="28" t="n">
        <v>4842.4</v>
      </c>
      <c r="I47" s="26" t="inlineStr">
        <is>
          <t>net proceeds</t>
        </is>
      </c>
      <c r="J47" s="29" t="n">
        <v>17.2</v>
      </c>
      <c r="K47" s="29" t="n">
        <v>19.8</v>
      </c>
      <c r="L47" s="29" t="n">
        <v>19.8</v>
      </c>
      <c r="M47" s="26" t="inlineStr">
        <is>
          <t>Y</t>
        </is>
      </c>
      <c r="N47" s="30" t="n">
        <v>100</v>
      </c>
      <c r="O47" s="28" t="n">
        <v>29500.2</v>
      </c>
      <c r="P47" s="26" t="inlineStr">
        <is>
          <t>prospectus:stated market capitalisation</t>
        </is>
      </c>
      <c r="Q47" s="31" t="n">
        <v>432.03</v>
      </c>
      <c r="R47" s="39">
        <f>IF('BBG Verify'!E47="","not filed — run on terminal",'BBG Verify'!E47)</f>
        <v/>
      </c>
      <c r="S47" s="33" t="n">
        <v>23.6</v>
      </c>
      <c r="T47" s="26" t="inlineStr">
        <is>
          <t>南方基金管理股份有限公司; 匯添富基金管理股份有限公司; 廣發基金管理有限公司; 乾元復興精選基金; 瑞銀基金</t>
        </is>
      </c>
      <c r="U47" s="30" t="n">
        <v>15</v>
      </c>
      <c r="V47" s="26" t="inlineStr">
        <is>
          <t>lapsed</t>
        </is>
      </c>
      <c r="W47" s="34" t="n">
        <v>-13.54</v>
      </c>
      <c r="X47" s="34" t="n">
        <v>-19.09</v>
      </c>
      <c r="Y47" s="34" t="n">
        <v>-42.93</v>
      </c>
      <c r="Z47" s="34" t="n">
        <v>-39.19</v>
      </c>
      <c r="AA47" s="34" t="n">
        <v>-33.99</v>
      </c>
      <c r="AB47" s="34" t="n">
        <v>-28.13</v>
      </c>
      <c r="AC47" s="34" t="n">
        <v>-14.8</v>
      </c>
      <c r="AD47" s="26" t="inlineStr">
        <is>
          <t>Hang Seng Commerce &amp; Industry sub-index</t>
        </is>
      </c>
      <c r="AE47" s="34" t="n">
        <v>-96.29000000000001</v>
      </c>
      <c r="AF47" s="28" t="n">
        <v>3362.9</v>
      </c>
      <c r="AG47" s="28" t="n">
        <v>-223.6</v>
      </c>
      <c r="AH47" s="26" t="inlineStr">
        <is>
          <t>N</t>
        </is>
      </c>
      <c r="AI47" s="38">
        <f>IF('BBG Verify'!O47="","not filed — run on terminal",'BBG Verify'!O47)</f>
        <v/>
      </c>
      <c r="AJ47" s="35" t="n">
        <v>8.800000000000001</v>
      </c>
      <c r="AK47" s="26" t="inlineStr">
        <is>
          <t>N</t>
        </is>
      </c>
      <c r="AL47" s="36">
        <f>IF('BBG Verify'!K47="","not filed — run on terminal",'BBG Verify'!K47)</f>
        <v/>
      </c>
      <c r="AM47" s="26" t="inlineStr">
        <is>
          <t>N/A</t>
        </is>
      </c>
      <c r="AN47" s="26" t="inlineStr">
        <is>
          <t>N/A</t>
        </is>
      </c>
      <c r="AO47" s="26" t="inlineStr">
        <is>
          <t>N/A</t>
        </is>
      </c>
      <c r="AP47" s="26" t="inlineStr">
        <is>
          <t>J.P. Morgan Securities (Far East) Limited; CMB International Capital Limited; Huatai Financial Holdings (Hong Kong) Limited</t>
        </is>
      </c>
      <c r="AQ47" s="26" t="inlineStr">
        <is>
          <t>J.P. Morgan Securities (Far East) Limited; 華泰金融控股(香港)有限公司; 招銀國際融資有限公司</t>
        </is>
      </c>
      <c r="AR47" s="26"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AS47" s="26" t="inlineStr">
        <is>
          <t>農銀國際證券有限公司; Beta International Securities Limited; 招銀國際金融有限公司; 富途證券國際（香港）有限公司; 華泰金融控股(香港)有限公司; 海通國際證券有限公司; J.P. Morgan Securities (Asia Pacific) Limited</t>
        </is>
      </c>
      <c r="AT47" s="37">
        <f>HYPERLINK("https://www1.hkexnews.hk/listedco/listconews/sehk/2021/0618/2021061800009.pdf","prospectus")</f>
        <v/>
      </c>
      <c r="AU47" s="37">
        <f>HYPERLINK("https://www1.hkexnews.hk/listedco/listconews/sehk/2021/0629/2021062900074.htm","allotment")</f>
        <v/>
      </c>
      <c r="AV47" s="37">
        <f>HYPERLINK("https://www1.hkexnews.hk/listedco/listconews/sehk/2021/0723/2021072300965.pdf","stabilisation")</f>
        <v/>
      </c>
      <c r="AW47" s="26" t="inlineStr">
        <is>
          <t>intl sub: subscription level not stated in the filing · P/E: n/m — loss-making at IPO (use P/S) · A/H: no A-share listing</t>
        </is>
      </c>
    </row>
    <row r="48">
      <c r="A48" s="25" t="inlineStr">
        <is>
          <t>0606</t>
        </is>
      </c>
      <c r="B48" s="26" t="inlineStr">
        <is>
          <t>SCE CM</t>
        </is>
      </c>
      <c r="C48" s="26" t="inlineStr">
        <is>
          <t>中駿商管</t>
        </is>
      </c>
      <c r="D48" s="26" t="inlineStr">
        <is>
          <t>Real Estate</t>
        </is>
      </c>
      <c r="E48" s="26" t="inlineStr">
        <is>
          <t>Property management</t>
        </is>
      </c>
      <c r="F48" s="26" t="inlineStr">
        <is>
          <t>Standard</t>
        </is>
      </c>
      <c r="G48" s="27" t="n">
        <v>44378</v>
      </c>
      <c r="H48" s="28" t="n">
        <v>1850</v>
      </c>
      <c r="I48" s="26" t="inlineStr">
        <is>
          <t>gross (price x shares)</t>
        </is>
      </c>
      <c r="J48" s="29" t="n"/>
      <c r="K48" s="29" t="n">
        <v>3.7</v>
      </c>
      <c r="L48" s="29" t="n">
        <v>3.7</v>
      </c>
      <c r="M48" s="26" t="inlineStr">
        <is>
          <t>Y</t>
        </is>
      </c>
      <c r="N48" s="30" t="n">
        <v>100</v>
      </c>
      <c r="O48" s="28" t="n">
        <v>8611.200000000001</v>
      </c>
      <c r="P48" s="26" t="inlineStr">
        <is>
          <t>aastocks:上市市值 at the struck price</t>
        </is>
      </c>
      <c r="Q48" s="31" t="n">
        <v>1.3</v>
      </c>
      <c r="R48" s="32" t="n">
        <v>3.65</v>
      </c>
      <c r="S48" s="33" t="n">
        <v>29.36</v>
      </c>
      <c r="T48" s="26" t="inlineStr">
        <is>
          <t>和盛海外控股有限公司; King Terrace Limited; TX Capital Value Fund</t>
        </is>
      </c>
      <c r="U48" s="30" t="n"/>
      <c r="V48" s="26" t="n"/>
      <c r="W48" s="34" t="n">
        <v>8.109999999999999</v>
      </c>
      <c r="X48" s="34" t="n">
        <v>11.89</v>
      </c>
      <c r="Y48" s="34" t="n">
        <v>8.92</v>
      </c>
      <c r="Z48" s="34" t="n">
        <v>14.05</v>
      </c>
      <c r="AA48" s="34" t="n">
        <v>0.75</v>
      </c>
      <c r="AB48" s="34" t="n">
        <v>16.43</v>
      </c>
      <c r="AC48" s="34" t="n">
        <v>-7.51</v>
      </c>
      <c r="AD48" s="26" t="inlineStr">
        <is>
          <t>Hang Seng Properties sub-index</t>
        </is>
      </c>
      <c r="AE48" s="34" t="n">
        <v>-93.11</v>
      </c>
      <c r="AF48" s="28" t="n"/>
      <c r="AG48" s="28" t="n"/>
      <c r="AH48" s="26" t="n"/>
      <c r="AI48" s="38">
        <f>IF('BBG Verify'!O48="","not filed — run on terminal",'BBG Verify'!O48)</f>
        <v/>
      </c>
      <c r="AJ48" s="35" t="n"/>
      <c r="AK48" s="26" t="inlineStr">
        <is>
          <t>N</t>
        </is>
      </c>
      <c r="AL48" s="36">
        <f>IF('BBG Verify'!K48="","not filed — run on terminal",'BBG Verify'!K48)</f>
        <v/>
      </c>
      <c r="AM48" s="26" t="inlineStr">
        <is>
          <t>N/A</t>
        </is>
      </c>
      <c r="AN48" s="26" t="inlineStr">
        <is>
          <t>N/A</t>
        </is>
      </c>
      <c r="AO48" s="26" t="inlineStr">
        <is>
          <t>N/A</t>
        </is>
      </c>
      <c r="AP48" s="26" t="n"/>
      <c r="AQ48" s="26" t="inlineStr">
        <is>
          <t>瑞銀證券香港有限公司; 美林(亞太)有限公司; Merrill Lynch Far East Limited; UBS AG 香港分行</t>
        </is>
      </c>
      <c r="AR48" s="26" t="inlineStr">
        <is>
          <t>中信里昂證券有限公司; 克而瑞證券有限公司; 富途證券國際（香港）有限公司; 香港上海匯豐銀行有限公司; 美林(亞太)有限公司; UBS AG 香港分行</t>
        </is>
      </c>
      <c r="AS48" s="26" t="inlineStr">
        <is>
          <t>中信里昂證券有限公司; 克而瑞證券有限公司; 富途證券國際（香港）有限公司; 香港上海匯豐銀行有限公司; 美林(亞太)有限公司; UBS AG 香港分行</t>
        </is>
      </c>
      <c r="AT48" s="37">
        <f>HYPERLINK("https://www1.hkexnews.hk/listedco/listconews/sehk/2021/0621/2021062100009.pdf","prospectus")</f>
        <v/>
      </c>
      <c r="AU48" s="37">
        <f>HYPERLINK("https://www1.hkexnews.hk/listedco/listconews/sehk/2021/0630/2021063000308.htm","allotment")</f>
        <v/>
      </c>
      <c r="AV48" s="26" t="n"/>
      <c r="AW48" s="26" t="inlineStr">
        <is>
          <t>P/E: net income not stated in extractable form · greenshoe: no over-allotment option in the offer structure · price range: fixed-price offering (no indicative range) · A/H: no A-share listing · sponsor: English name not in the filing text; AAStocks 保薦人 shown</t>
        </is>
      </c>
    </row>
    <row r="49">
      <c r="A49" s="25" t="inlineStr">
        <is>
          <t>2190</t>
        </is>
      </c>
      <c r="B49" s="26" t="inlineStr">
        <is>
          <t>ZYLOXTB-B</t>
        </is>
      </c>
      <c r="C49" s="26" t="inlineStr">
        <is>
          <t>歸創通橋</t>
        </is>
      </c>
      <c r="D49" s="26" t="inlineStr">
        <is>
          <t>Healthcare</t>
        </is>
      </c>
      <c r="E49" s="26" t="inlineStr">
        <is>
          <t>Medical devices</t>
        </is>
      </c>
      <c r="F49" s="26" t="inlineStr">
        <is>
          <t>18A</t>
        </is>
      </c>
      <c r="G49" s="27" t="n">
        <v>44380</v>
      </c>
      <c r="H49" s="28" t="n">
        <v>2562</v>
      </c>
      <c r="I49" s="26" t="inlineStr">
        <is>
          <t>gross (price x shares)</t>
        </is>
      </c>
      <c r="J49" s="29" t="n">
        <v>39.8</v>
      </c>
      <c r="K49" s="29" t="n">
        <v>42.7</v>
      </c>
      <c r="L49" s="29" t="n">
        <v>42.7</v>
      </c>
      <c r="M49" s="26" t="inlineStr">
        <is>
          <t>Y</t>
        </is>
      </c>
      <c r="N49" s="30" t="n">
        <v>100</v>
      </c>
      <c r="O49" s="28" t="n">
        <v>12317.3</v>
      </c>
      <c r="P49" s="26" t="inlineStr">
        <is>
          <t>derived:deal size / offer % of enlarged capital</t>
        </is>
      </c>
      <c r="Q49" s="31" t="n">
        <v>1190.37</v>
      </c>
      <c r="R49" s="32" t="n">
        <v>22.5</v>
      </c>
      <c r="S49" s="33" t="n">
        <v>44.9</v>
      </c>
      <c r="T49" s="26" t="inlineStr">
        <is>
          <t>AIHC Capital Management Limited; Athos Capital Limited; Boyu Capital Opportunity Master Fund; Cormorant Asset Management, LP; 富達國際; Gaoling Fund, L.P.及YHG Investment, L.P; Hudson Bay Master Fund Ltd; 常春藤資產管理(香港)有限公司; Lake Bleu Prime Healthcare Master Fund Limited; Octagon Investments Master Fund LP; Sage Partners Master Fund; Snow Lake China Master Fund, Ltd</t>
        </is>
      </c>
      <c r="U49" s="30" t="n">
        <v>15.94</v>
      </c>
      <c r="V49" s="26" t="inlineStr">
        <is>
          <t>full</t>
        </is>
      </c>
      <c r="W49" s="34" t="n">
        <v>40.52</v>
      </c>
      <c r="X49" s="34" t="n">
        <v>29.51</v>
      </c>
      <c r="Y49" s="34" t="n">
        <v>8.67</v>
      </c>
      <c r="Z49" s="34" t="n">
        <v>-1.64</v>
      </c>
      <c r="AA49" s="34" t="n">
        <v>-22.67</v>
      </c>
      <c r="AB49" s="34" t="n">
        <v>9.76</v>
      </c>
      <c r="AC49" s="34" t="n">
        <v>-1.09</v>
      </c>
      <c r="AD49" s="26" t="inlineStr">
        <is>
          <t>China Biotech ETF (HS biotech proxy)</t>
        </is>
      </c>
      <c r="AE49" s="34" t="n">
        <v>-53.75</v>
      </c>
      <c r="AF49" s="28" t="n">
        <v>30.4</v>
      </c>
      <c r="AG49" s="28" t="n">
        <v>-110.5</v>
      </c>
      <c r="AH49" s="26" t="inlineStr">
        <is>
          <t>N</t>
        </is>
      </c>
      <c r="AI49" s="38">
        <f>IF('BBG Verify'!O49="","not filed — run on terminal",'BBG Verify'!O49)</f>
        <v/>
      </c>
      <c r="AJ49" s="35" t="n">
        <v>405.2</v>
      </c>
      <c r="AK49" s="26" t="inlineStr">
        <is>
          <t>N</t>
        </is>
      </c>
      <c r="AL49" s="36">
        <f>IF('BBG Verify'!K49="","not filed — run on terminal",'BBG Verify'!K49)</f>
        <v/>
      </c>
      <c r="AM49" s="26" t="inlineStr">
        <is>
          <t>N/A</t>
        </is>
      </c>
      <c r="AN49" s="26" t="inlineStr">
        <is>
          <t>N/A</t>
        </is>
      </c>
      <c r="AO49" s="26" t="inlineStr">
        <is>
          <t>N/A</t>
        </is>
      </c>
      <c r="AP49" s="26" t="inlineStr">
        <is>
          <t>Morgan Stanley Asia Limited; CLSA Capital Markets Limited</t>
        </is>
      </c>
      <c r="AQ49" s="26" t="inlineStr">
        <is>
          <t>摩根士丹利亞洲有限公司; 中信里昂證券資本市場有限公司</t>
        </is>
      </c>
      <c r="AR49" s="26" t="inlineStr">
        <is>
          <t>Morgan Stanley Asia Limited; CLSA Limited; China Industrial Securities International Capital Limited; Sheung Wan, Hong Kong Essence International Securities (Hong Kong) Limited; Central, Hong Kong ICBC International Capital Limited; CMB International Capital Limited; Morgan Stanley &amp; Co. International plc; London E14 4QA United Kingdom CLSA Limited; Essence International Securities (Hong Kong) Limited</t>
        </is>
      </c>
      <c r="AS49" s="26" t="inlineStr">
        <is>
          <t>興證國際融資有限公司; 中信里昂證券有限公司; 招銀國際融資有限公司; 安信國際證券(香港)有限公司; 工銀國際證券有限公司; 摩根士丹利亞洲有限公司</t>
        </is>
      </c>
      <c r="AT49" s="37">
        <f>HYPERLINK("https://www1.hkexnews.hk/listedco/listconews/sehk/2021/0622/2021062200009.pdf","prospectus")</f>
        <v/>
      </c>
      <c r="AU49" s="37">
        <f>HYPERLINK("https://www1.hkexnews.hk/listedco/listconews/sehk/2021/0702/2021070200028.htm","allotment")</f>
        <v/>
      </c>
      <c r="AV49" s="37">
        <f>HYPERLINK("https://www1.hkexnews.hk/listedco/listconews/sehk/2021/0726/2021072601655.pdf","stabilisation")</f>
        <v/>
      </c>
      <c r="AW49" s="26" t="inlineStr">
        <is>
          <t>P/E: n/m — loss-making at IPO (use P/S) · A/H: no A-share listing</t>
        </is>
      </c>
    </row>
    <row r="50">
      <c r="A50" s="25" t="inlineStr">
        <is>
          <t>2219</t>
        </is>
      </c>
      <c r="B50" s="26" t="inlineStr">
        <is>
          <t>CHAOJU EYE CARE</t>
        </is>
      </c>
      <c r="C50" s="26" t="inlineStr">
        <is>
          <t>朝聚眼科</t>
        </is>
      </c>
      <c r="D50" s="26" t="inlineStr">
        <is>
          <t>Healthcare</t>
        </is>
      </c>
      <c r="E50" s="26" t="inlineStr">
        <is>
          <t>Hospitals / clinics</t>
        </is>
      </c>
      <c r="F50" s="26" t="inlineStr">
        <is>
          <t>Standard</t>
        </is>
      </c>
      <c r="G50" s="27" t="n">
        <v>44384</v>
      </c>
      <c r="H50" s="28" t="n">
        <v>1811.9</v>
      </c>
      <c r="I50" s="26" t="inlineStr">
        <is>
          <t>gross (price x shares)</t>
        </is>
      </c>
      <c r="J50" s="29" t="n"/>
      <c r="K50" s="29" t="n">
        <v>10.6</v>
      </c>
      <c r="L50" s="29" t="n">
        <v>10.6</v>
      </c>
      <c r="M50" s="26" t="inlineStr">
        <is>
          <t>Y</t>
        </is>
      </c>
      <c r="N50" s="30" t="n">
        <v>100</v>
      </c>
      <c r="O50" s="28" t="n">
        <v>7288.4</v>
      </c>
      <c r="P50" s="26" t="inlineStr">
        <is>
          <t>derived:deal size / offer % of enlarged capital</t>
        </is>
      </c>
      <c r="Q50" s="31" t="n">
        <v>113.97</v>
      </c>
      <c r="R50" s="39">
        <f>IF('BBG Verify'!E50="","not filed — run on terminal",'BBG Verify'!E50)</f>
        <v/>
      </c>
      <c r="S50" s="33" t="n">
        <v>49.4</v>
      </c>
      <c r="T50" s="26" t="inlineStr">
        <is>
          <t>富國基金管理有限公司; Gigantic Wealth Holdings Limited; 通柏資本（香港）有限公司; The Valliance Fund</t>
        </is>
      </c>
      <c r="U50" s="30" t="n">
        <v>15</v>
      </c>
      <c r="V50" s="26" t="inlineStr">
        <is>
          <t>full</t>
        </is>
      </c>
      <c r="W50" s="34" t="n">
        <v>33.02</v>
      </c>
      <c r="X50" s="34" t="n">
        <v>44.34</v>
      </c>
      <c r="Y50" s="34" t="n">
        <v>25.47</v>
      </c>
      <c r="Z50" s="34" t="n">
        <v>-10.47</v>
      </c>
      <c r="AA50" s="34" t="n">
        <v>-5.68</v>
      </c>
      <c r="AB50" s="34" t="n">
        <v>21.82</v>
      </c>
      <c r="AC50" s="34" t="n">
        <v>3.65</v>
      </c>
      <c r="AD50" s="26" t="inlineStr">
        <is>
          <t>China Biotech ETF (HS biotech proxy)</t>
        </is>
      </c>
      <c r="AE50" s="34" t="n">
        <v>-75.70999999999999</v>
      </c>
      <c r="AF50" s="28" t="n">
        <v>0.9</v>
      </c>
      <c r="AG50" s="28" t="n">
        <v>0.1</v>
      </c>
      <c r="AH50" s="26" t="inlineStr">
        <is>
          <t>Y</t>
        </is>
      </c>
      <c r="AI50" s="35" t="n">
        <v>72884</v>
      </c>
      <c r="AJ50" s="35" t="n">
        <v>8098.2</v>
      </c>
      <c r="AK50" s="26" t="inlineStr">
        <is>
          <t>N</t>
        </is>
      </c>
      <c r="AL50" s="36">
        <f>IF('BBG Verify'!K50="","not filed — run on terminal",'BBG Verify'!K50)</f>
        <v/>
      </c>
      <c r="AM50" s="26" t="inlineStr">
        <is>
          <t>N/A</t>
        </is>
      </c>
      <c r="AN50" s="26" t="inlineStr">
        <is>
          <t>N/A</t>
        </is>
      </c>
      <c r="AO50" s="26" t="inlineStr">
        <is>
          <t>N/A</t>
        </is>
      </c>
      <c r="AP50" s="26" t="inlineStr">
        <is>
          <t>Compliance Adviser Haitong International Capital Limited; Receiving Bank Industrial and Commercial Bank of China (Asia) Limited; Hong Kong Share Registrar Computershare Hong Kong Investor Services Limited; Industrial and Commercial Bank of China Co., Ltd., Xiamen Xinglin Branch</t>
        </is>
      </c>
      <c r="AQ50" s="26" t="inlineStr">
        <is>
          <t>海通國際資本有限公司; 華泰金融控股(香港)有限公司</t>
        </is>
      </c>
      <c r="AR50" s="26" t="inlineStr">
        <is>
          <t>華泰金融控股(香港)有限公司; 海通國際證券有限公司</t>
        </is>
      </c>
      <c r="AS50" s="26" t="inlineStr">
        <is>
          <t>華泰金融控股(香港)有限公司; 海通國際證券有限公司</t>
        </is>
      </c>
      <c r="AT50" s="37">
        <f>HYPERLINK("https://www1.hkexnews.hk/listedco/listconews/sehk/2021/0624/2021062400013.pdf","prospectus")</f>
        <v/>
      </c>
      <c r="AU50" s="37">
        <f>HYPERLINK("https://www1.hkexnews.hk/listedco/listconews/sehk/2021/0706/2021070600016.htm","allotment")</f>
        <v/>
      </c>
      <c r="AV50" s="37">
        <f>HYPERLINK("https://www1.hkexnews.hk/listedco/listconews/sehk/2021/0729/2021072901513.pdf","stabilisation")</f>
        <v/>
      </c>
      <c r="AW50" s="26" t="inlineStr">
        <is>
          <t>intl sub: subscription level not stated in the filing · A/H: no A-share listing</t>
        </is>
      </c>
    </row>
    <row r="51">
      <c r="A51" s="25" t="inlineStr">
        <is>
          <t>9868</t>
        </is>
      </c>
      <c r="B51" s="26" t="inlineStr">
        <is>
          <t>XPENG-W</t>
        </is>
      </c>
      <c r="C51" s="26" t="inlineStr">
        <is>
          <t>小鵬集團－Ｗ</t>
        </is>
      </c>
      <c r="D51" s="26" t="inlineStr">
        <is>
          <t>Consumer</t>
        </is>
      </c>
      <c r="E51" s="26" t="inlineStr">
        <is>
          <t>Autos (NEV OEM)</t>
        </is>
      </c>
      <c r="F51" s="26" t="inlineStr">
        <is>
          <t>WVR</t>
        </is>
      </c>
      <c r="G51" s="27" t="n">
        <v>44384</v>
      </c>
      <c r="H51" s="28" t="n">
        <v>14025</v>
      </c>
      <c r="I51" s="26" t="inlineStr">
        <is>
          <t>gross (price x shares)</t>
        </is>
      </c>
      <c r="J51" s="29" t="n"/>
      <c r="K51" s="29" t="n">
        <v>180</v>
      </c>
      <c r="L51" s="29" t="n">
        <v>165</v>
      </c>
      <c r="M51" s="26" t="inlineStr">
        <is>
          <t>N</t>
        </is>
      </c>
      <c r="N51" s="30" t="n">
        <v>91.7</v>
      </c>
      <c r="O51" s="41">
        <f>IF('BBG Verify'!M51="","not filed — run on terminal",'BBG Verify'!M51)</f>
        <v/>
      </c>
      <c r="P51" s="26" t="n"/>
      <c r="Q51" s="31" t="n">
        <v>14.73</v>
      </c>
      <c r="R51" s="32" t="n">
        <v>8.539999999999999</v>
      </c>
      <c r="S51" s="33" t="n"/>
      <c r="T51" s="26" t="n"/>
      <c r="U51" s="30" t="n">
        <v>7.5</v>
      </c>
      <c r="V51" s="26" t="inlineStr">
        <is>
          <t>partial</t>
        </is>
      </c>
      <c r="W51" s="34" t="n">
        <v>0</v>
      </c>
      <c r="X51" s="34" t="n">
        <v>-8.48</v>
      </c>
      <c r="Y51" s="34" t="n">
        <v>-0.12</v>
      </c>
      <c r="Z51" s="34" t="n">
        <v>-17.7</v>
      </c>
      <c r="AA51" s="34" t="n">
        <v>-0.12</v>
      </c>
      <c r="AB51" s="34" t="n">
        <v>8.289999999999999</v>
      </c>
      <c r="AC51" s="34" t="n">
        <v>-8.41</v>
      </c>
      <c r="AD51" s="26" t="inlineStr">
        <is>
          <t>Hang Seng Commerce &amp; Industry sub-index</t>
        </is>
      </c>
      <c r="AE51" s="34" t="n">
        <v>-71.36</v>
      </c>
      <c r="AF51" s="28" t="n"/>
      <c r="AG51" s="28" t="n"/>
      <c r="AH51" s="26" t="n"/>
      <c r="AI51" s="38">
        <f>IF('BBG Verify'!O51="","not filed — run on terminal",'BBG Verify'!O51)</f>
        <v/>
      </c>
      <c r="AJ51" s="35" t="n"/>
      <c r="AK51" s="26" t="inlineStr">
        <is>
          <t>N</t>
        </is>
      </c>
      <c r="AL51" s="36">
        <f>IF('BBG Verify'!K51="","not filed — run on terminal",'BBG Verify'!K51)</f>
        <v/>
      </c>
      <c r="AM51" s="26" t="inlineStr">
        <is>
          <t>N/A</t>
        </is>
      </c>
      <c r="AN51" s="26" t="inlineStr">
        <is>
          <t>N/A</t>
        </is>
      </c>
      <c r="AO51" s="26" t="inlineStr">
        <is>
          <t>N/A</t>
        </is>
      </c>
      <c r="AP51" s="26" t="inlineStr">
        <is>
          <t>J.P. Morgan Securities (Far East) Limited; Merrill Lynch (Asia Pacific) Limited; J.P. Morgan Securities (Asia Pacific) Limited; Citigroup Global Markets Asia Limited</t>
        </is>
      </c>
      <c r="AQ51" s="26" t="inlineStr">
        <is>
          <t>J.P. Morgan Securities (Far East) Limited; 美林(亞太)有限公司</t>
        </is>
      </c>
      <c r="AR51" s="26" t="inlineStr">
        <is>
          <t>J.P. Morgan Securities (Asia Pacific) Limited; Merrill Lynch (Asia Pacific) Limited; Citigroup Global Markets Asia Limited; – 157 – DIRECTORS AND PARTIES INVOLVED IN THE GLOBAL OFFERING CLSA Limited; Managers J.P. Morgan Securities (Asia Pacific) Limited; J.P. Morgan Securities plc; Canary Wharf London E14 5JP United Kingdom J.P. Morgan Securities LLC; New York, NY 10179 United States of America Merrill Lynch (Asia Pacific) Limited; Citigroup Global Markets Limited; DIRECTORS AND PARTIES INVOLVED IN THE GLOBAL OFFERING CLSA Limited; ABCI Capital Limited; ABCI Securities Company Limited</t>
        </is>
      </c>
      <c r="AS51" s="26" t="inlineStr">
        <is>
          <t>農銀國際證券有限公司; 中銀國際亞洲有限公司; 花旗環球金融亞洲有限公司; 中信里昂證券有限公司; 富途證券國際（香港）有限公司; J.P. Morgan Securities (Asia Pacific) Limited; 美林(亞太)有限公司</t>
        </is>
      </c>
      <c r="AT51" s="37">
        <f>HYPERLINK("https://www1.hkexnews.hk/listedco/listconews/sehk/2021/0625/2021062500039.pdf","prospectus")</f>
        <v/>
      </c>
      <c r="AU51" s="37">
        <f>HYPERLINK("https://www1.hkexnews.hk/listedco/listconews/sehk/2021/0706/2021070600032.htm","allotment")</f>
        <v/>
      </c>
      <c r="AV51" s="37">
        <f>HYPERLINK("https://www1.hkexnews.hk/listedco/listconews/sehk/2021/0730/2021073001378.pdf","stabilisation")</f>
        <v/>
      </c>
      <c r="AW51" s="26" t="inlineStr">
        <is>
          <t>P/E: net income not stated in extractable form · A/H: no A-share listing</t>
        </is>
      </c>
    </row>
    <row r="52">
      <c r="A52" s="25" t="inlineStr">
        <is>
          <t>1965</t>
        </is>
      </c>
      <c r="B52" s="26" t="inlineStr">
        <is>
          <t>LANDSEA LIFE</t>
        </is>
      </c>
      <c r="C52" s="26" t="inlineStr">
        <is>
          <t>朗詩綠色生活</t>
        </is>
      </c>
      <c r="D52" s="26" t="inlineStr">
        <is>
          <t>Real Estate</t>
        </is>
      </c>
      <c r="E52" s="26" t="inlineStr">
        <is>
          <t>Property management</t>
        </is>
      </c>
      <c r="F52" s="26" t="inlineStr">
        <is>
          <t>Standard</t>
        </is>
      </c>
      <c r="G52" s="27" t="n">
        <v>44385</v>
      </c>
      <c r="H52" s="28" t="n">
        <v>318</v>
      </c>
      <c r="I52" s="26" t="inlineStr">
        <is>
          <t>gross (price x shares)</t>
        </is>
      </c>
      <c r="J52" s="29" t="n">
        <v>2.86</v>
      </c>
      <c r="K52" s="29" t="n">
        <v>4.16</v>
      </c>
      <c r="L52" s="29" t="n">
        <v>3.18</v>
      </c>
      <c r="M52" s="26" t="inlineStr">
        <is>
          <t>N</t>
        </is>
      </c>
      <c r="N52" s="30" t="n">
        <v>76.40000000000001</v>
      </c>
      <c r="O52" s="28" t="n">
        <v>1583</v>
      </c>
      <c r="P52" s="26" t="inlineStr">
        <is>
          <t>aastocks:上市市值 at the struck price</t>
        </is>
      </c>
      <c r="Q52" s="31" t="n">
        <v>8.01</v>
      </c>
      <c r="R52" s="32" t="n">
        <v>1.25</v>
      </c>
      <c r="S52" s="33" t="n">
        <v>10</v>
      </c>
      <c r="T52" s="26" t="inlineStr">
        <is>
          <t>中城國際（香港）投資管理有限公司</t>
        </is>
      </c>
      <c r="U52" s="30" t="n">
        <v>10</v>
      </c>
      <c r="V52" s="26" t="inlineStr">
        <is>
          <t>partial</t>
        </is>
      </c>
      <c r="W52" s="34" t="n">
        <v>41.51</v>
      </c>
      <c r="X52" s="34" t="n">
        <v>2.52</v>
      </c>
      <c r="Y52" s="34" t="n">
        <v>0</v>
      </c>
      <c r="Z52" s="34" t="n">
        <v>3.77</v>
      </c>
      <c r="AA52" s="34" t="n">
        <v>-29.33</v>
      </c>
      <c r="AB52" s="34" t="n">
        <v>9.33</v>
      </c>
      <c r="AC52" s="34" t="n">
        <v>-9.33</v>
      </c>
      <c r="AD52" s="26" t="inlineStr">
        <is>
          <t>Hang Seng Properties sub-index</t>
        </is>
      </c>
      <c r="AE52" s="34" t="n">
        <v>-95.81999999999999</v>
      </c>
      <c r="AF52" s="28" t="n">
        <v>131.9</v>
      </c>
      <c r="AG52" s="28" t="n">
        <v>72.09999999999999</v>
      </c>
      <c r="AH52" s="26" t="inlineStr">
        <is>
          <t>Y</t>
        </is>
      </c>
      <c r="AI52" s="35" t="n">
        <v>22</v>
      </c>
      <c r="AJ52" s="35" t="n">
        <v>12</v>
      </c>
      <c r="AK52" s="26" t="inlineStr">
        <is>
          <t>N</t>
        </is>
      </c>
      <c r="AL52" s="36">
        <f>IF('BBG Verify'!K52="","not filed — run on terminal",'BBG Verify'!K52)</f>
        <v/>
      </c>
      <c r="AM52" s="26" t="inlineStr">
        <is>
          <t>N/A</t>
        </is>
      </c>
      <c r="AN52" s="26" t="inlineStr">
        <is>
          <t>N/A</t>
        </is>
      </c>
      <c r="AO52" s="26" t="inlineStr">
        <is>
          <t>N/A</t>
        </is>
      </c>
      <c r="AP52" s="26" t="inlineStr">
        <is>
          <t>Haitong International Capital Limited</t>
        </is>
      </c>
      <c r="AQ52" s="26" t="inlineStr">
        <is>
          <t>海通國際資本有限公司</t>
        </is>
      </c>
      <c r="AR52" s="26" t="inlineStr">
        <is>
          <t>Beta International Securities Limited; 建銀國際金融有限公司; 興證國際融資有限公司; 中信里昂證券有限公司; 招銀國際金融有限公司; 克而瑞證券有限公司</t>
        </is>
      </c>
      <c r="AS52" s="26" t="inlineStr">
        <is>
          <t>Beta International Securities Limited; 建銀國際金融有限公司; 興證國際融資有限公司; 中信里昂證券有限公司; 招銀國際金融有限公司; 克而瑞證券有限公司; 安信國際證券(香港)有限公司; 富途證券國際（香港）有限公司; 海通國際證券有限公司; 邁時資本有限公司; 東方證券(香港)有限公司; 耀盛證券有限公司</t>
        </is>
      </c>
      <c r="AT52" s="37">
        <f>HYPERLINK("https://www1.hkexnews.hk/listedco/listconews/sehk/2021/0625/2021062500057.pdf","prospectus")</f>
        <v/>
      </c>
      <c r="AU52" s="37">
        <f>HYPERLINK("https://www1.hkexnews.hk/listedco/listconews/sehk/2021/0707/2021070700022.htm","allotment")</f>
        <v/>
      </c>
      <c r="AV52" s="37">
        <f>HYPERLINK("https://www1.hkexnews.hk/listedco/listconews/sehk/2021/0730/2021073001922.pdf","stabilisation")</f>
        <v/>
      </c>
      <c r="AW52" s="26" t="inlineStr">
        <is>
          <t>A/H: no A-share listing · market cap: estimate from deal size / offer % of enlarged capital disagreed with the published listing cap — published figure adopted</t>
        </is>
      </c>
    </row>
    <row r="53">
      <c r="A53" s="25" t="inlineStr">
        <is>
          <t>2162</t>
        </is>
      </c>
      <c r="B53" s="26" t="inlineStr">
        <is>
          <t>KEYMED BIO-B</t>
        </is>
      </c>
      <c r="C53" s="26" t="inlineStr">
        <is>
          <t>康諾亞－Ｂ</t>
        </is>
      </c>
      <c r="D53" s="26" t="inlineStr">
        <is>
          <t>Healthcare</t>
        </is>
      </c>
      <c r="E53" s="26" t="inlineStr">
        <is>
          <t>Biotech pre-revenue (18A)</t>
        </is>
      </c>
      <c r="F53" s="26" t="inlineStr">
        <is>
          <t>18A</t>
        </is>
      </c>
      <c r="G53" s="27" t="n">
        <v>44385</v>
      </c>
      <c r="H53" s="28" t="n">
        <v>3105.5</v>
      </c>
      <c r="I53" s="26" t="inlineStr">
        <is>
          <t>gross (price x shares)</t>
        </is>
      </c>
      <c r="J53" s="29" t="n">
        <v>50.5</v>
      </c>
      <c r="K53" s="29" t="n">
        <v>53.3</v>
      </c>
      <c r="L53" s="29" t="n">
        <v>53.3</v>
      </c>
      <c r="M53" s="26" t="inlineStr">
        <is>
          <t>Y</t>
        </is>
      </c>
      <c r="N53" s="30" t="n">
        <v>100</v>
      </c>
      <c r="O53" s="28" t="n">
        <v>13685.3</v>
      </c>
      <c r="P53" s="26" t="inlineStr">
        <is>
          <t>prospectus:stated market capitalisation</t>
        </is>
      </c>
      <c r="Q53" s="31" t="n">
        <v>429.97</v>
      </c>
      <c r="R53" s="32" t="n">
        <v>21.9</v>
      </c>
      <c r="S53" s="33" t="n">
        <v>20</v>
      </c>
      <c r="T53" s="26" t="inlineStr">
        <is>
          <t>Aranda Investments Pte. Ltd; Boyu Capital Opportunities Master Fund; Double Joy Ventures Limited; 佳曦控股有限公司;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U53" s="30" t="n">
        <v>10.78</v>
      </c>
      <c r="V53" s="26" t="inlineStr">
        <is>
          <t>full</t>
        </is>
      </c>
      <c r="W53" s="34" t="n">
        <v>27.58</v>
      </c>
      <c r="X53" s="34" t="n">
        <v>27.95</v>
      </c>
      <c r="Y53" s="34" t="n">
        <v>22.51</v>
      </c>
      <c r="Z53" s="34" t="n">
        <v>-6.19</v>
      </c>
      <c r="AA53" s="34" t="n">
        <v>-3.97</v>
      </c>
      <c r="AB53" s="34" t="n">
        <v>25.29</v>
      </c>
      <c r="AC53" s="34" t="n">
        <v>-2.78</v>
      </c>
      <c r="AD53" s="26" t="inlineStr">
        <is>
          <t>China Biotech ETF (HS biotech proxy)</t>
        </is>
      </c>
      <c r="AE53" s="34" t="n">
        <v>46.44</v>
      </c>
      <c r="AF53" s="28" t="n">
        <v>0.2</v>
      </c>
      <c r="AG53" s="28" t="n">
        <v>-108.3</v>
      </c>
      <c r="AH53" s="26" t="inlineStr">
        <is>
          <t>N</t>
        </is>
      </c>
      <c r="AI53" s="38">
        <f>IF('BBG Verify'!O53="","not filed — run on terminal",'BBG Verify'!O53)</f>
        <v/>
      </c>
      <c r="AJ53" s="35" t="n">
        <v>68426.5</v>
      </c>
      <c r="AK53" s="26" t="inlineStr">
        <is>
          <t>N</t>
        </is>
      </c>
      <c r="AL53" s="36">
        <f>IF('BBG Verify'!K53="","not filed — run on terminal",'BBG Verify'!K53)</f>
        <v/>
      </c>
      <c r="AM53" s="26" t="inlineStr">
        <is>
          <t>N/A</t>
        </is>
      </c>
      <c r="AN53" s="26" t="inlineStr">
        <is>
          <t>N/A</t>
        </is>
      </c>
      <c r="AO53" s="26" t="inlineStr">
        <is>
          <t>N/A</t>
        </is>
      </c>
      <c r="AP53" s="26" t="inlineStr">
        <is>
          <t>Morgan Stanley Asia Limited; China International Capital Corporation Hong Kong Securities Limited; Central, Hong Kong Huatai Financial Holdings (Hong Kong) Limited</t>
        </is>
      </c>
      <c r="AQ53" s="26" t="inlineStr">
        <is>
          <t>中國國際金融香港證券有限公司; 摩根士丹利亞洲有限公司; 華泰金融控股(香港)有限公司</t>
        </is>
      </c>
      <c r="AR53" s="26" t="inlineStr">
        <is>
          <t>Morgan Stanley Asia Limited; China International Capital Corporation Hong Kong Securities Limited; Central, Hong Kong Huatai Financial Holdings (Hong Kong) Limited; Managers Morgan Stanley Asia Limited; Morgan Stanley &amp; Co. International plc; Hong Kong Securities Limited; China Everbright Securities (HK) Limited</t>
        </is>
      </c>
      <c r="AS53" s="26" t="inlineStr">
        <is>
          <t>中國光大證券(香港)有限公司; 中國國際金融香港證券有限公司; 華泰金融控股(香港)有限公司; 摩根士丹利亞洲有限公司</t>
        </is>
      </c>
      <c r="AT53" s="37">
        <f>HYPERLINK("https://www1.hkexnews.hk/listedco/listconews/sehk/2021/0625/2021062500031.pdf","prospectus")</f>
        <v/>
      </c>
      <c r="AU53" s="37">
        <f>HYPERLINK("https://www1.hkexnews.hk/listedco/listconews/sehk/2021/0707/2021070700054.htm","allotment")</f>
        <v/>
      </c>
      <c r="AV53" s="37">
        <f>HYPERLINK("https://www1.hkexnews.hk/listedco/listconews/sehk/2021/0730/2021073001918.pdf","stabilisation")</f>
        <v/>
      </c>
      <c r="AW53" s="26" t="inlineStr">
        <is>
          <t>P/E: n/m — loss-making at IPO (use P/S) · A/H: no A-share listing · cornerstone: AAStocks institutional table includes non-cornerstone orders (superset) — cornerstone % is from the prospectus</t>
        </is>
      </c>
    </row>
    <row r="54">
      <c r="A54" s="25" t="inlineStr">
        <is>
          <t>2209</t>
        </is>
      </c>
      <c r="B54" s="26" t="inlineStr">
        <is>
          <t>YESASIA HLDGS</t>
        </is>
      </c>
      <c r="C54" s="26" t="inlineStr">
        <is>
          <t>喆麗控股</t>
        </is>
      </c>
      <c r="D54" s="26" t="inlineStr">
        <is>
          <t>Tech/AI</t>
        </is>
      </c>
      <c r="E54" s="26" t="inlineStr">
        <is>
          <t>Internet platform / e-commerce</t>
        </is>
      </c>
      <c r="F54" s="26" t="inlineStr">
        <is>
          <t>Standard</t>
        </is>
      </c>
      <c r="G54" s="27" t="n">
        <v>44386</v>
      </c>
      <c r="H54" s="28" t="n">
        <v>4.5</v>
      </c>
      <c r="I54" s="26" t="inlineStr">
        <is>
          <t>gross (stated)</t>
        </is>
      </c>
      <c r="J54" s="29" t="n">
        <v>3</v>
      </c>
      <c r="K54" s="29" t="n">
        <v>3.33</v>
      </c>
      <c r="L54" s="29" t="n">
        <v>3.28</v>
      </c>
      <c r="M54" s="26" t="inlineStr">
        <is>
          <t>N</t>
        </is>
      </c>
      <c r="N54" s="30" t="n">
        <v>98.5</v>
      </c>
      <c r="O54" s="28" t="n">
        <v>1316</v>
      </c>
      <c r="P54" s="26" t="inlineStr">
        <is>
          <t>aastocks:上市市值 at the struck price</t>
        </is>
      </c>
      <c r="Q54" s="31" t="n">
        <v>3.2</v>
      </c>
      <c r="R54" s="39">
        <f>IF('BBG Verify'!E54="","not filed — run on terminal",'BBG Verify'!E54)</f>
        <v/>
      </c>
      <c r="S54" s="33" t="n">
        <v>50</v>
      </c>
      <c r="T54" s="26" t="inlineStr">
        <is>
          <t>CS Logistics Holdings Ltd; Triple Surge Holdings Limited</t>
        </is>
      </c>
      <c r="U54" s="30" t="n">
        <v>11.3</v>
      </c>
      <c r="V54" s="26" t="inlineStr">
        <is>
          <t>partial</t>
        </is>
      </c>
      <c r="W54" s="34" t="n">
        <v>5.49</v>
      </c>
      <c r="X54" s="34" t="n">
        <v>-7.62</v>
      </c>
      <c r="Y54" s="34" t="n">
        <v>-20.12</v>
      </c>
      <c r="Z54" s="34" t="n">
        <v>-56.1</v>
      </c>
      <c r="AA54" s="34" t="n">
        <v>-24.28</v>
      </c>
      <c r="AB54" s="34" t="n">
        <v>-10.79</v>
      </c>
      <c r="AC54" s="34" t="n">
        <v>-9.33</v>
      </c>
      <c r="AD54" s="26" t="inlineStr">
        <is>
          <t>HSTECH (Hang Seng TECH ETF)</t>
        </is>
      </c>
      <c r="AE54" s="34" t="n">
        <v>7.47</v>
      </c>
      <c r="AF54" s="28" t="n">
        <v>1351.9</v>
      </c>
      <c r="AG54" s="28" t="n">
        <v>87.5</v>
      </c>
      <c r="AH54" s="26" t="inlineStr">
        <is>
          <t>Y</t>
        </is>
      </c>
      <c r="AI54" s="35" t="n">
        <v>15</v>
      </c>
      <c r="AJ54" s="35" t="n">
        <v>1</v>
      </c>
      <c r="AK54" s="26" t="inlineStr">
        <is>
          <t>N</t>
        </is>
      </c>
      <c r="AL54" s="36">
        <f>IF('BBG Verify'!K54="","not filed — run on terminal",'BBG Verify'!K54)</f>
        <v/>
      </c>
      <c r="AM54" s="26" t="inlineStr">
        <is>
          <t>N/A</t>
        </is>
      </c>
      <c r="AN54" s="26" t="inlineStr">
        <is>
          <t>N/A</t>
        </is>
      </c>
      <c r="AO54" s="26" t="inlineStr">
        <is>
          <t>N/A</t>
        </is>
      </c>
      <c r="AP54" s="26" t="inlineStr">
        <is>
          <t>and Sole Global Coordinator UOB Kay Hian (Hong Kong) Limited</t>
        </is>
      </c>
      <c r="AQ54" s="26" t="inlineStr">
        <is>
          <t>大華繼顯(香港)有限公司</t>
        </is>
      </c>
      <c r="AR54" s="26" t="inlineStr">
        <is>
          <t>UOB Kay Hian (Hong Kong) Limited; Anuenue Securities Limited; China Everbright Securities (HK) Limited; Wanchai, Hong Kong Haitong International Securities Company Limited; ICBC International Capital Limited; Central, Hong Kong Soochow Securities International Brokerage Limited; VMS Securities Limited</t>
        </is>
      </c>
      <c r="AS54" s="26" t="inlineStr">
        <is>
          <t>鉅亨證券有限公司; 中國光大證券(香港)有限公司; 海通國際證券有限公司; 工銀國際證券有限公司; 邁時資本有限公司; 東吳證券國際經紀有限公司; 大華繼顯(香港)有限公司; 華盛資本証券有限公司; 鼎珮證券有限公司</t>
        </is>
      </c>
      <c r="AT54" s="37">
        <f>HYPERLINK("https://www1.hkexnews.hk/listedco/listconews/sehk/2021/0628/2021062800027.pdf","prospectus")</f>
        <v/>
      </c>
      <c r="AU54" s="37">
        <f>HYPERLINK("https://www1.hkexnews.hk/listedco/listconews/sehk/2021/0708/2021070800026.htm","allotment")</f>
        <v/>
      </c>
      <c r="AV54" s="37">
        <f>HYPERLINK("https://www1.hkexnews.hk/listedco/listconews/sehk/2021/0801/2021080100011.pdf","stabilisation")</f>
        <v/>
      </c>
      <c r="AW54" s="26" t="inlineStr">
        <is>
          <t>intl sub: subscription level not stated in the filing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55">
      <c r="A55" s="25" t="inlineStr">
        <is>
          <t>2165</t>
        </is>
      </c>
      <c r="B55" s="26" t="inlineStr">
        <is>
          <t>LING YUE SER GP</t>
        </is>
      </c>
      <c r="C55" s="26" t="inlineStr">
        <is>
          <t>領悅服務集團</t>
        </is>
      </c>
      <c r="D55" s="26" t="inlineStr">
        <is>
          <t>Real Estate</t>
        </is>
      </c>
      <c r="E55" s="26" t="inlineStr">
        <is>
          <t>Property management</t>
        </is>
      </c>
      <c r="F55" s="26" t="inlineStr">
        <is>
          <t>Standard</t>
        </is>
      </c>
      <c r="G55" s="27" t="n">
        <v>44387</v>
      </c>
      <c r="H55" s="28" t="n">
        <v>293.3</v>
      </c>
      <c r="I55" s="26" t="inlineStr">
        <is>
          <t>gross (price x shares)</t>
        </is>
      </c>
      <c r="J55" s="29" t="n"/>
      <c r="K55" s="29" t="n">
        <v>4.55</v>
      </c>
      <c r="L55" s="29" t="n">
        <v>4.19</v>
      </c>
      <c r="M55" s="26" t="inlineStr">
        <is>
          <t>N</t>
        </is>
      </c>
      <c r="N55" s="30" t="n">
        <v>92.09999999999999</v>
      </c>
      <c r="O55" s="28" t="n">
        <v>1058.8</v>
      </c>
      <c r="P55" s="26" t="inlineStr">
        <is>
          <t>derived:deal size / offer % of enlarged capital</t>
        </is>
      </c>
      <c r="Q55" s="31" t="n">
        <v>5.23</v>
      </c>
      <c r="R55" s="39">
        <f>IF('BBG Verify'!E55="","not filed — run on terminal",'BBG Verify'!E55)</f>
        <v/>
      </c>
      <c r="S55" s="33" t="n">
        <v>0</v>
      </c>
      <c r="T55" s="26" t="n"/>
      <c r="U55" s="30" t="n">
        <v>16.5</v>
      </c>
      <c r="V55" s="26" t="inlineStr">
        <is>
          <t>partial</t>
        </is>
      </c>
      <c r="W55" s="34" t="n">
        <v>0</v>
      </c>
      <c r="X55" s="34" t="n">
        <v>0</v>
      </c>
      <c r="Y55" s="34" t="n">
        <v>0.24</v>
      </c>
      <c r="Z55" s="34" t="n">
        <v>0</v>
      </c>
      <c r="AA55" s="34" t="n">
        <v>0.24</v>
      </c>
      <c r="AB55" s="34" t="n">
        <v>5.83</v>
      </c>
      <c r="AC55" s="34" t="n">
        <v>-5.59</v>
      </c>
      <c r="AD55" s="26" t="inlineStr">
        <is>
          <t>Hang Seng Properties sub-index</t>
        </is>
      </c>
      <c r="AE55" s="34" t="n">
        <v>-61.1</v>
      </c>
      <c r="AF55" s="28" t="n">
        <v>471</v>
      </c>
      <c r="AG55" s="28" t="n">
        <v>77.3</v>
      </c>
      <c r="AH55" s="26" t="inlineStr">
        <is>
          <t>Y</t>
        </is>
      </c>
      <c r="AI55" s="35" t="n">
        <v>13.7</v>
      </c>
      <c r="AJ55" s="35" t="n">
        <v>2.2</v>
      </c>
      <c r="AK55" s="26" t="inlineStr">
        <is>
          <t>N</t>
        </is>
      </c>
      <c r="AL55" s="36">
        <f>IF('BBG Verify'!K55="","not filed — run on terminal",'BBG Verify'!K55)</f>
        <v/>
      </c>
      <c r="AM55" s="26" t="inlineStr">
        <is>
          <t>N/A</t>
        </is>
      </c>
      <c r="AN55" s="26" t="inlineStr">
        <is>
          <t>N/A</t>
        </is>
      </c>
      <c r="AO55" s="26" t="inlineStr">
        <is>
          <t>N/A</t>
        </is>
      </c>
      <c r="AP55" s="26" t="inlineStr">
        <is>
          <t>CCB International Capital Limited</t>
        </is>
      </c>
      <c r="AQ55" s="26" t="inlineStr">
        <is>
          <t>建銀國際金融有限公司</t>
        </is>
      </c>
      <c r="AR55" s="26" t="inlineStr">
        <is>
          <t>CCB International Capital Limited; CMB International Capital Limited; Huatai Financial Holdings (Hong Kong) Limited; Seazen Resources Securities Limited; Shenwan Hongyuan Securities (H.K.) Limited; CMBC Securities Company Limited</t>
        </is>
      </c>
      <c r="AS55" s="26" t="inlineStr">
        <is>
          <t>建銀國際金融有限公司; 民銀證券有限公司; 招銀國際融資有限公司; 華泰金融控股(香港)有限公司; 一盈證券有限公司; 申萬宏源證券（香港）有限公司; 新城晉峰證券有限公司; 萬盛金融控股有限公司</t>
        </is>
      </c>
      <c r="AT55" s="37">
        <f>HYPERLINK("https://www1.hkexnews.hk/listedco/listconews/sehk/2021/0629/2021062900045.pdf","prospectus")</f>
        <v/>
      </c>
      <c r="AU55" s="37">
        <f>HYPERLINK("https://www1.hkexnews.hk/listedco/listconews/sehk/2021/0709/2021070900020.htm","allotment")</f>
        <v/>
      </c>
      <c r="AV55" s="37">
        <f>HYPERLINK("https://www1.hkexnews.hk/listedco/listconews/sehk/2021/0805/2021080500013.pdf","stabilisation")</f>
        <v/>
      </c>
      <c r="AW55" s="26" t="inlineStr">
        <is>
          <t>intl sub: subscription level not stated in the filing · A/H: no A-share listing</t>
        </is>
      </c>
    </row>
    <row r="56">
      <c r="A56" s="25" t="inlineStr">
        <is>
          <t>2177</t>
        </is>
      </c>
      <c r="B56" s="26" t="inlineStr">
        <is>
          <t>UNQ HOLDINGS</t>
        </is>
      </c>
      <c r="C56" s="26" t="inlineStr">
        <is>
          <t>優趣匯控股</t>
        </is>
      </c>
      <c r="D56" s="26" t="inlineStr">
        <is>
          <t>Tech/AI</t>
        </is>
      </c>
      <c r="E56" s="26" t="inlineStr">
        <is>
          <t>Internet platform / e-commerce</t>
        </is>
      </c>
      <c r="F56" s="26" t="inlineStr">
        <is>
          <t>Standard</t>
        </is>
      </c>
      <c r="G56" s="27" t="n">
        <v>44387</v>
      </c>
      <c r="H56" s="28" t="n">
        <v>327.99</v>
      </c>
      <c r="I56" s="26" t="inlineStr">
        <is>
          <t>net proceeds</t>
        </is>
      </c>
      <c r="J56" s="29" t="n">
        <v>11.86</v>
      </c>
      <c r="K56" s="29" t="n">
        <v>15.35</v>
      </c>
      <c r="L56" s="29" t="n">
        <v>11.86</v>
      </c>
      <c r="M56" s="26" t="inlineStr">
        <is>
          <t>N</t>
        </is>
      </c>
      <c r="N56" s="30" t="n">
        <v>77.3</v>
      </c>
      <c r="O56" s="28" t="n">
        <v>1967.5</v>
      </c>
      <c r="P56" s="26" t="inlineStr">
        <is>
          <t>prospectus:stated market capitalisation</t>
        </is>
      </c>
      <c r="Q56" s="31" t="n">
        <v>25.45</v>
      </c>
      <c r="R56" s="32" t="n">
        <v>1.83</v>
      </c>
      <c r="S56" s="33" t="n">
        <v>31.3</v>
      </c>
      <c r="T56" s="26" t="inlineStr">
        <is>
          <t>碧桂園物業香港控股有限公司; Kobayashi Pharmaceutical Co., Ltd; Unicharm Corporation</t>
        </is>
      </c>
      <c r="U56" s="30" t="n">
        <v>17.7</v>
      </c>
      <c r="V56" s="26" t="inlineStr">
        <is>
          <t>lapsed</t>
        </is>
      </c>
      <c r="W56" s="34" t="n">
        <v>-23.78</v>
      </c>
      <c r="X56" s="34" t="n">
        <v>-29.09</v>
      </c>
      <c r="Y56" s="34" t="n">
        <v>-50.42</v>
      </c>
      <c r="Z56" s="34" t="n">
        <v>-57</v>
      </c>
      <c r="AA56" s="34" t="n">
        <v>-34.95</v>
      </c>
      <c r="AB56" s="34" t="n">
        <v>-42.4</v>
      </c>
      <c r="AC56" s="34" t="n">
        <v>-8.02</v>
      </c>
      <c r="AD56" s="26" t="inlineStr">
        <is>
          <t>HSTECH (Hang Seng TECH ETF)</t>
        </is>
      </c>
      <c r="AE56" s="34" t="n">
        <v>-81.79000000000001</v>
      </c>
      <c r="AF56" s="28" t="n">
        <v>3080.9</v>
      </c>
      <c r="AG56" s="28" t="n">
        <v>47.3</v>
      </c>
      <c r="AH56" s="26" t="inlineStr">
        <is>
          <t>Y</t>
        </is>
      </c>
      <c r="AI56" s="35" t="n">
        <v>41.6</v>
      </c>
      <c r="AJ56" s="35" t="n">
        <v>0.6</v>
      </c>
      <c r="AK56" s="26" t="inlineStr">
        <is>
          <t>N</t>
        </is>
      </c>
      <c r="AL56" s="36">
        <f>IF('BBG Verify'!K56="","not filed — run on terminal",'BBG Verify'!K56)</f>
        <v/>
      </c>
      <c r="AM56" s="26" t="inlineStr">
        <is>
          <t>N/A</t>
        </is>
      </c>
      <c r="AN56" s="26" t="inlineStr">
        <is>
          <t>N/A</t>
        </is>
      </c>
      <c r="AO56" s="26" t="inlineStr">
        <is>
          <t>N/A</t>
        </is>
      </c>
      <c r="AP56" s="26" t="inlineStr">
        <is>
          <t>China International Capital Corporation Hong Kong Securities Limited</t>
        </is>
      </c>
      <c r="AQ56" s="26" t="inlineStr">
        <is>
          <t>中國國際金融香港證券有限公司</t>
        </is>
      </c>
      <c r="AR56" s="26"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Central, Hong Kong Zhongtai International Securities Limited</t>
        </is>
      </c>
      <c r="AS56" s="26" t="inlineStr">
        <is>
          <t>Beta International Securities Limited; 中銀國際亞洲有限公司; 中國國際金融香港證券有限公司; 富途證券國際（香港）有限公司; 海通國際證券有限公司; 利弗莫爾證券有限公司; 野村國際(香港)有限公司; 耀盛證券有限公司; 中泰國際證券有限公司</t>
        </is>
      </c>
      <c r="AT56" s="37">
        <f>HYPERLINK("https://www1.hkexnews.hk/listedco/listconews/sehk/2021/0628/2021062800009.pdf","prospectus")</f>
        <v/>
      </c>
      <c r="AU56" s="37">
        <f>HYPERLINK("https://www1.hkexnews.hk/listedco/listconews/sehk/2021/0709/2021070900048.htm","allotment")</f>
        <v/>
      </c>
      <c r="AV56" s="37">
        <f>HYPERLINK("https://www1.hkexnews.hk/listedco/listconews/sehk/2021/0804/2021080401759.pdf","stabilisation")</f>
        <v/>
      </c>
      <c r="AW56" s="26" t="inlineStr">
        <is>
          <t>A/H: no A-share listing</t>
        </is>
      </c>
    </row>
    <row r="57">
      <c r="A57" s="25" t="inlineStr">
        <is>
          <t>6913</t>
        </is>
      </c>
      <c r="B57" s="26" t="inlineStr">
        <is>
          <t>SCVE GROUP</t>
        </is>
      </c>
      <c r="C57" s="26" t="inlineStr">
        <is>
          <t>華南職業教育</t>
        </is>
      </c>
      <c r="D57" s="26" t="inlineStr">
        <is>
          <t>Consumer</t>
        </is>
      </c>
      <c r="E57" s="26" t="inlineStr">
        <is>
          <t>Consumer services / education</t>
        </is>
      </c>
      <c r="F57" s="26" t="inlineStr">
        <is>
          <t>Standard</t>
        </is>
      </c>
      <c r="G57" s="27" t="n">
        <v>44390</v>
      </c>
      <c r="H57" s="28" t="n">
        <v>531.1</v>
      </c>
      <c r="I57" s="26" t="inlineStr">
        <is>
          <t>gross (price x shares)</t>
        </is>
      </c>
      <c r="J57" s="29" t="n"/>
      <c r="K57" s="29" t="n">
        <v>2.01</v>
      </c>
      <c r="L57" s="29" t="n">
        <v>1.59</v>
      </c>
      <c r="M57" s="26" t="inlineStr">
        <is>
          <t>N</t>
        </is>
      </c>
      <c r="N57" s="30" t="n">
        <v>79.09999999999999</v>
      </c>
      <c r="O57" s="28" t="n">
        <v>2564.2</v>
      </c>
      <c r="P57" s="26" t="inlineStr">
        <is>
          <t>aastocks:上市市值 at the struck price</t>
        </is>
      </c>
      <c r="Q57" s="31" t="n">
        <v>6.01</v>
      </c>
      <c r="R57" s="32" t="n">
        <v>1.99</v>
      </c>
      <c r="S57" s="33" t="n">
        <v>0</v>
      </c>
      <c r="T57" s="26" t="n"/>
      <c r="U57" s="30" t="n">
        <v>12.3</v>
      </c>
      <c r="V57" s="26" t="inlineStr">
        <is>
          <t>lapsed</t>
        </is>
      </c>
      <c r="W57" s="34" t="n">
        <v>-16.98</v>
      </c>
      <c r="X57" s="34" t="n">
        <v>-33.33</v>
      </c>
      <c r="Y57" s="34" t="n">
        <v>-11.95</v>
      </c>
      <c r="Z57" s="34" t="n">
        <v>-24.53</v>
      </c>
      <c r="AA57" s="34" t="n">
        <v>6.06</v>
      </c>
      <c r="AB57" s="34" t="n">
        <v>-6.8</v>
      </c>
      <c r="AC57" s="34" t="n">
        <v>-5.15</v>
      </c>
      <c r="AD57" s="26" t="inlineStr">
        <is>
          <t>Hang Seng Commerce &amp; Industry sub-index</t>
        </is>
      </c>
      <c r="AE57" s="34" t="n">
        <v>-92.26000000000001</v>
      </c>
      <c r="AF57" s="28" t="n"/>
      <c r="AG57" s="28" t="n">
        <v>0.2</v>
      </c>
      <c r="AH57" s="26" t="inlineStr">
        <is>
          <t>Y</t>
        </is>
      </c>
      <c r="AI57" s="35" t="n">
        <v>12821</v>
      </c>
      <c r="AJ57" s="35" t="n"/>
      <c r="AK57" s="26" t="inlineStr">
        <is>
          <t>N</t>
        </is>
      </c>
      <c r="AL57" s="36">
        <f>IF('BBG Verify'!K57="","not filed — run on terminal",'BBG Verify'!K57)</f>
        <v/>
      </c>
      <c r="AM57" s="26" t="inlineStr">
        <is>
          <t>N/A</t>
        </is>
      </c>
      <c r="AN57" s="26" t="inlineStr">
        <is>
          <t>N/A</t>
        </is>
      </c>
      <c r="AO57" s="26" t="inlineStr">
        <is>
          <t>N/A</t>
        </is>
      </c>
      <c r="AP57" s="26" t="inlineStr">
        <is>
          <t>BNP Paribas Securities (Asia) Limited</t>
        </is>
      </c>
      <c r="AQ57" s="26" t="inlineStr">
        <is>
          <t>法國巴黎證券（亞洲）有限公司</t>
        </is>
      </c>
      <c r="AR57" s="26"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AS57" s="26" t="inlineStr">
        <is>
          <t>法國巴黎證券（亞洲）有限公司; 建銀國際金融有限公司; 中國銀河國際證券(香港)有限公司; 招銀國際金融有限公司; 富途證券國際（香港）有限公司; 海通國際證券有限公司; 佳富達證券有限公司</t>
        </is>
      </c>
      <c r="AT57" s="37">
        <f>HYPERLINK("https://www1.hkexnews.hk/listedco/listconews/sehk/2021/0630/2021063000199.pdf","prospectus")</f>
        <v/>
      </c>
      <c r="AU57" s="37">
        <f>HYPERLINK("https://www1.hkexnews.hk/listedco/listconews/sehk/2021/0712/2021071200022.htm","allotment")</f>
        <v/>
      </c>
      <c r="AV57" s="37">
        <f>HYPERLINK("https://www1.hkexnews.hk/listedco/listconews/sehk/2021/0805/2021080500675.pdf","stabilisation")</f>
        <v/>
      </c>
      <c r="AW57" s="26" t="inlineStr">
        <is>
          <t>A/H: no A-share listing · market cap: estimate from deal size / offer % of enlarged capital disagreed with the published listing cap — published figure adopted</t>
        </is>
      </c>
    </row>
    <row r="58">
      <c r="A58" s="25" t="inlineStr">
        <is>
          <t>2137</t>
        </is>
      </c>
      <c r="B58" s="26" t="inlineStr">
        <is>
          <t>BRII - B</t>
        </is>
      </c>
      <c r="C58" s="26" t="inlineStr">
        <is>
          <t>騰盛博藥－Ｂ</t>
        </is>
      </c>
      <c r="D58" s="26" t="inlineStr">
        <is>
          <t>Healthcare</t>
        </is>
      </c>
      <c r="E58" s="26" t="inlineStr">
        <is>
          <t>Biotech pre-revenue (18A)</t>
        </is>
      </c>
      <c r="F58" s="26" t="inlineStr">
        <is>
          <t>Standard</t>
        </is>
      </c>
      <c r="G58" s="27" t="n">
        <v>44390</v>
      </c>
      <c r="H58" s="28" t="n">
        <v>2482.7</v>
      </c>
      <c r="I58" s="26" t="inlineStr">
        <is>
          <t>gross (price x shares)</t>
        </is>
      </c>
      <c r="J58" s="29" t="n">
        <v>21</v>
      </c>
      <c r="K58" s="29" t="n">
        <v>22.25</v>
      </c>
      <c r="L58" s="29" t="n">
        <v>22.25</v>
      </c>
      <c r="M58" s="26" t="inlineStr">
        <is>
          <t>Y</t>
        </is>
      </c>
      <c r="N58" s="30" t="n">
        <v>100</v>
      </c>
      <c r="O58" s="28" t="n">
        <v>13987</v>
      </c>
      <c r="P58" s="26" t="inlineStr">
        <is>
          <t>derived:deal size / offer % of enlarged capital</t>
        </is>
      </c>
      <c r="Q58" s="31" t="n">
        <v>292</v>
      </c>
      <c r="R58" s="32" t="n">
        <v>12</v>
      </c>
      <c r="S58" s="33" t="n">
        <v>47.52</v>
      </c>
      <c r="T58" s="26" t="inlineStr">
        <is>
          <t>AIHC Master Fund; Athos Asia Event Driven Master Fund; Boyu Capital Opportunities Master Fund; Invesco Advisers, Inc; 加皇環球資產管理（亞洲）有限公司; Sage Partners Master Fund; SCC Growth V Holdco Q, Ltd; Springhill Master Fund Limited; The Valliance Fund; UBS Asset Management (Singapore) Ltd; 有魚環球有限公司</t>
        </is>
      </c>
      <c r="U58" s="30" t="n">
        <v>6.1</v>
      </c>
      <c r="V58" s="26" t="inlineStr">
        <is>
          <t>partial</t>
        </is>
      </c>
      <c r="W58" s="34" t="n">
        <v>3.15</v>
      </c>
      <c r="X58" s="34" t="n">
        <v>-6.52</v>
      </c>
      <c r="Y58" s="34" t="n">
        <v>79.78</v>
      </c>
      <c r="Z58" s="34" t="n">
        <v>22.02</v>
      </c>
      <c r="AA58" s="34" t="n">
        <v>74.29000000000001</v>
      </c>
      <c r="AB58" s="34" t="n">
        <v>87.09999999999999</v>
      </c>
      <c r="AC58" s="34" t="n">
        <v>-7.32</v>
      </c>
      <c r="AD58" s="26" t="inlineStr">
        <is>
          <t>China Biotech ETF (HS biotech proxy)</t>
        </is>
      </c>
      <c r="AE58" s="34" t="n">
        <v>-95.55</v>
      </c>
      <c r="AF58" s="28" t="n">
        <v>0</v>
      </c>
      <c r="AG58" s="28" t="n">
        <v>-1411.9</v>
      </c>
      <c r="AH58" s="26" t="inlineStr">
        <is>
          <t>N</t>
        </is>
      </c>
      <c r="AI58" s="38">
        <f>IF('BBG Verify'!O58="","not filed — run on terminal",'BBG Verify'!O58)</f>
        <v/>
      </c>
      <c r="AJ58" s="35" t="n"/>
      <c r="AK58" s="26" t="inlineStr">
        <is>
          <t>N</t>
        </is>
      </c>
      <c r="AL58" s="36">
        <f>IF('BBG Verify'!K58="","not filed — run on terminal",'BBG Verify'!K58)</f>
        <v/>
      </c>
      <c r="AM58" s="26" t="inlineStr">
        <is>
          <t>N/A</t>
        </is>
      </c>
      <c r="AN58" s="26" t="inlineStr">
        <is>
          <t>N/A</t>
        </is>
      </c>
      <c r="AO58" s="26" t="inlineStr">
        <is>
          <t>N/A</t>
        </is>
      </c>
      <c r="AP58" s="26" t="inlineStr">
        <is>
          <t>Morgan Stanley Asia Limited; UBS Securities Hong Kong Limited</t>
        </is>
      </c>
      <c r="AQ58" s="26" t="inlineStr">
        <is>
          <t>摩根士丹利亞洲有限公司; 瑞銀證券香港有限公司</t>
        </is>
      </c>
      <c r="AR58" s="26" t="inlineStr">
        <is>
          <t>Morgan Stanley Asia Limited; UBS AG Hong Kong Branch; China International Capital Corporation Hong Kong Securities Limited</t>
        </is>
      </c>
      <c r="AS58" s="26" t="inlineStr">
        <is>
          <t>中國國際金融香港證券有限公司; 摩根士丹利亞洲有限公司; UBS AG 香港分行</t>
        </is>
      </c>
      <c r="AT58" s="37">
        <f>HYPERLINK("https://www1.hkexnews.hk/listedco/listconews/sehk/2021/0630/2021063000045.pdf","prospectus")</f>
        <v/>
      </c>
      <c r="AU58" s="37">
        <f>HYPERLINK("https://www1.hkexnews.hk/listedco/listconews/sehk/2021/0712/2021071200036.htm","allotment")</f>
        <v/>
      </c>
      <c r="AV58" s="37">
        <f>HYPERLINK("https://www1.hkexnews.hk/listedco/listconews/sehk/2021/0805/2021080502190.pdf","stabilisation")</f>
        <v/>
      </c>
      <c r="AW58" s="26" t="inlineStr">
        <is>
          <t>P/E: n/m — loss-making at IPO (use P/S) · A/H: no A-share listing</t>
        </is>
      </c>
    </row>
    <row r="59">
      <c r="A59" s="25" t="inlineStr">
        <is>
          <t>2192</t>
        </is>
      </c>
      <c r="B59" s="26" t="inlineStr">
        <is>
          <t>MEDLIVE</t>
        </is>
      </c>
      <c r="C59" s="26" t="inlineStr">
        <is>
          <t>醫脈通</t>
        </is>
      </c>
      <c r="D59" s="26" t="inlineStr">
        <is>
          <t>Healthcare</t>
        </is>
      </c>
      <c r="E59" s="26" t="inlineStr">
        <is>
          <t>Digital health</t>
        </is>
      </c>
      <c r="F59" s="26" t="inlineStr">
        <is>
          <t>Standard</t>
        </is>
      </c>
      <c r="G59" s="27" t="n">
        <v>44392</v>
      </c>
      <c r="H59" s="28" t="n">
        <v>4218.6</v>
      </c>
      <c r="I59" s="26" t="inlineStr">
        <is>
          <t>gross (price x shares)</t>
        </is>
      </c>
      <c r="J59" s="29" t="n">
        <v>24.1</v>
      </c>
      <c r="K59" s="29" t="n">
        <v>27.2</v>
      </c>
      <c r="L59" s="29" t="n">
        <v>27.2</v>
      </c>
      <c r="M59" s="26" t="inlineStr">
        <is>
          <t>Y</t>
        </is>
      </c>
      <c r="N59" s="30" t="n">
        <v>100</v>
      </c>
      <c r="O59" s="28" t="n">
        <v>17703</v>
      </c>
      <c r="P59" s="26" t="inlineStr">
        <is>
          <t>prospectus:stated market capitalisation</t>
        </is>
      </c>
      <c r="Q59" s="31" t="n">
        <v>592.41</v>
      </c>
      <c r="R59" s="32" t="n">
        <v>31.2</v>
      </c>
      <c r="S59" s="33" t="n">
        <v>40.48</v>
      </c>
      <c r="T59" s="26" t="inlineStr">
        <is>
          <t>Fidelity Investments; 富達基金(香港)有限公司; GIC Private Limited; Matthews Funds; OrbiMed Funds; Springhill Master Fund Limited; Tencent Mobility Limited</t>
        </is>
      </c>
      <c r="U59" s="30" t="n">
        <v>5.2</v>
      </c>
      <c r="V59" s="26" t="inlineStr">
        <is>
          <t>partial</t>
        </is>
      </c>
      <c r="W59" s="34" t="n">
        <v>13.97</v>
      </c>
      <c r="X59" s="34" t="n">
        <v>11.21</v>
      </c>
      <c r="Y59" s="34" t="n">
        <v>29.23</v>
      </c>
      <c r="Z59" s="34" t="n">
        <v>42.28</v>
      </c>
      <c r="AA59" s="34" t="n">
        <v>13.39</v>
      </c>
      <c r="AB59" s="34" t="n">
        <v>39.37</v>
      </c>
      <c r="AC59" s="34" t="n">
        <v>-10.14</v>
      </c>
      <c r="AD59" s="26" t="inlineStr">
        <is>
          <t>China Biotech ETF (HS biotech proxy)</t>
        </is>
      </c>
      <c r="AE59" s="34" t="n">
        <v>-71.91</v>
      </c>
      <c r="AF59" s="28" t="n">
        <v>234.9</v>
      </c>
      <c r="AG59" s="28" t="n">
        <v>93.7</v>
      </c>
      <c r="AH59" s="26" t="inlineStr">
        <is>
          <t>Y</t>
        </is>
      </c>
      <c r="AI59" s="35" t="n">
        <v>188.9</v>
      </c>
      <c r="AJ59" s="35" t="n">
        <v>75.40000000000001</v>
      </c>
      <c r="AK59" s="26" t="inlineStr">
        <is>
          <t>N</t>
        </is>
      </c>
      <c r="AL59" s="36">
        <f>IF('BBG Verify'!K59="","not filed — run on terminal",'BBG Verify'!K59)</f>
        <v/>
      </c>
      <c r="AM59" s="26" t="inlineStr">
        <is>
          <t>N/A</t>
        </is>
      </c>
      <c r="AN59" s="26" t="inlineStr">
        <is>
          <t>N/A</t>
        </is>
      </c>
      <c r="AO59" s="26" t="inlineStr">
        <is>
          <t>N/A</t>
        </is>
      </c>
      <c r="AP59" s="26" t="inlineStr">
        <is>
          <t>Industry Consultant Frost &amp; Sullivan (Beijing) Inc., Shanghai Branch; Receiving Bank Bank of China (Hong Kong) Limited; KY1-1102 Cayman Islands Hong Kong Share Registrar Tricor Investor Services Limited; Compliance Adviser Somerley Capital Limited; Principal Banks Bank of Beijing Co., Ltd., Beijing Branch; The Industrial Bank Co., Ltd., Beijing Branch; Sanyuanqiao Sub-branch; CORPORATE INFORMATION – 143 – China Citic Bank Corporation Limited, Beijing Branch; Jiuxianqiao Sub-branch; DBS Bank (China) Limited, Beijing Branch</t>
        </is>
      </c>
      <c r="AQ59" s="26" t="inlineStr">
        <is>
          <t>海通國際資本有限公司; 高盛(亞洲)有限責任公司</t>
        </is>
      </c>
      <c r="AR59" s="26" t="inlineStr">
        <is>
          <t>中國國際金融香港證券有限公司; 高盛(亞洲)有限責任公司; 海通國際證券有限公司</t>
        </is>
      </c>
      <c r="AS59" s="26" t="inlineStr">
        <is>
          <t>中國國際金融香港證券有限公司; 高盛(亞洲)有限責任公司; 海通國際證券有限公司</t>
        </is>
      </c>
      <c r="AT59" s="37">
        <f>HYPERLINK("https://www1.hkexnews.hk/listedco/listconews/sehk/2021/0630/2021063000187.pdf","prospectus")</f>
        <v/>
      </c>
      <c r="AU59" s="37">
        <f>HYPERLINK("https://www1.hkexnews.hk/listedco/listconews/sehk/2021/0714/2021071400028.htm","allotment")</f>
        <v/>
      </c>
      <c r="AV59" s="37">
        <f>HYPERLINK("https://www1.hkexnews.hk/listedco/listconews/sehk/2021/0808/2021080800055.pdf","stabilisation")</f>
        <v/>
      </c>
      <c r="AW59" s="26" t="inlineStr">
        <is>
          <t>A/H: no A-share listing</t>
        </is>
      </c>
    </row>
    <row r="60">
      <c r="A60" s="25" t="inlineStr">
        <is>
          <t>6909</t>
        </is>
      </c>
      <c r="B60" s="26" t="inlineStr">
        <is>
          <t>BETTERLIFE HLDG</t>
        </is>
      </c>
      <c r="C60" s="26" t="inlineStr">
        <is>
          <t>百得利控股</t>
        </is>
      </c>
      <c r="D60" s="26" t="inlineStr">
        <is>
          <t>Consumer</t>
        </is>
      </c>
      <c r="E60" s="26" t="inlineStr">
        <is>
          <t>Retail / distribution</t>
        </is>
      </c>
      <c r="F60" s="26" t="inlineStr">
        <is>
          <t>Standard</t>
        </is>
      </c>
      <c r="G60" s="27" t="n">
        <v>44392</v>
      </c>
      <c r="H60" s="28" t="n">
        <v>660</v>
      </c>
      <c r="I60" s="26" t="inlineStr">
        <is>
          <t>gross (price x shares)</t>
        </is>
      </c>
      <c r="J60" s="29" t="n"/>
      <c r="K60" s="29" t="n">
        <v>4.8</v>
      </c>
      <c r="L60" s="29" t="n">
        <v>4.4</v>
      </c>
      <c r="M60" s="26" t="inlineStr">
        <is>
          <t>N</t>
        </is>
      </c>
      <c r="N60" s="30" t="n">
        <v>91.7</v>
      </c>
      <c r="O60" s="28" t="n">
        <v>2640</v>
      </c>
      <c r="P60" s="26" t="inlineStr">
        <is>
          <t>derived:deal size / offer % of enlarged capital</t>
        </is>
      </c>
      <c r="Q60" s="31" t="n">
        <v>43.92</v>
      </c>
      <c r="R60" s="32" t="n">
        <v>2.28</v>
      </c>
      <c r="S60" s="33" t="n">
        <v>0</v>
      </c>
      <c r="T60" s="26" t="n"/>
      <c r="U60" s="30" t="n">
        <v>9.800000000000001</v>
      </c>
      <c r="V60" s="26" t="inlineStr">
        <is>
          <t>full</t>
        </is>
      </c>
      <c r="W60" s="34" t="n">
        <v>25</v>
      </c>
      <c r="X60" s="34" t="n">
        <v>89.55</v>
      </c>
      <c r="Y60" s="34" t="n">
        <v>63.41</v>
      </c>
      <c r="Z60" s="34" t="n">
        <v>57.27</v>
      </c>
      <c r="AA60" s="34" t="n">
        <v>30.73</v>
      </c>
      <c r="AB60" s="34" t="n">
        <v>71.28</v>
      </c>
      <c r="AC60" s="34" t="n">
        <v>-7.87</v>
      </c>
      <c r="AD60" s="26" t="inlineStr">
        <is>
          <t>Hang Seng Commerce &amp; Industry sub-index</t>
        </is>
      </c>
      <c r="AE60" s="34" t="n">
        <v>-94.34</v>
      </c>
      <c r="AF60" s="28" t="n">
        <v>9386.4</v>
      </c>
      <c r="AG60" s="28" t="n">
        <v>337.1</v>
      </c>
      <c r="AH60" s="26" t="inlineStr">
        <is>
          <t>Y</t>
        </is>
      </c>
      <c r="AI60" s="35" t="n">
        <v>7.8</v>
      </c>
      <c r="AJ60" s="35" t="n">
        <v>0.3</v>
      </c>
      <c r="AK60" s="26" t="inlineStr">
        <is>
          <t>N</t>
        </is>
      </c>
      <c r="AL60" s="36">
        <f>IF('BBG Verify'!K60="","not filed — run on terminal",'BBG Verify'!K60)</f>
        <v/>
      </c>
      <c r="AM60" s="26" t="inlineStr">
        <is>
          <t>N/A</t>
        </is>
      </c>
      <c r="AN60" s="26" t="inlineStr">
        <is>
          <t>N/A</t>
        </is>
      </c>
      <c r="AO60" s="26" t="inlineStr">
        <is>
          <t>N/A</t>
        </is>
      </c>
      <c r="AP60" s="26" t="inlineStr">
        <is>
          <t>Macquarie Capital Limited</t>
        </is>
      </c>
      <c r="AQ60" s="26" t="inlineStr">
        <is>
          <t>麥格理資本股份有限公司</t>
        </is>
      </c>
      <c r="AR60" s="26" t="inlineStr">
        <is>
          <t>Macquarie Capital Limited; Huatai Financial Holdings (Hong Kong) Limited; BOCOM International Securities Limited; UOB Kay Hian (Hong Kong) Limited; DBS Asia Capital Limited; First Shanghai Securities Limited; Maxa Capital Limited</t>
        </is>
      </c>
      <c r="AS60" s="26" t="inlineStr">
        <is>
          <t>Beta International Securities Limited; 星展亞洲融資有限公司; 第一上海證券有限公司; 富途證券國際（香港）有限公司; 華泰金融控股(香港)有限公司; 華金證券（國際）有限公司; 麥格理資本股份有限公司; 邁時資本有限公司; 大華繼顯(香港)有限公司; 友信證券有限公司; 華盛資本証券有限公司</t>
        </is>
      </c>
      <c r="AT60" s="37">
        <f>HYPERLINK("https://www1.hkexnews.hk/listedco/listconews/sehk/2021/0630/2021063000067.pdf","prospectus")</f>
        <v/>
      </c>
      <c r="AU60" s="37">
        <f>HYPERLINK("https://www1.hkexnews.hk/listedco/listconews/sehk/2021/0714/2021071400040.htm","allotment")</f>
        <v/>
      </c>
      <c r="AV60" s="37">
        <f>HYPERLINK("https://www1.hkexnews.hk/listedco/listconews/sehk/2021/0808/2021080800009.pdf","stabilisation")</f>
        <v/>
      </c>
      <c r="AW60" s="26" t="inlineStr">
        <is>
          <t>A/H: no A-share listing</t>
        </is>
      </c>
    </row>
    <row r="61">
      <c r="A61" s="25" t="inlineStr">
        <is>
          <t>2215</t>
        </is>
      </c>
      <c r="B61" s="26" t="inlineStr">
        <is>
          <t>DEXIN SER GROUP</t>
        </is>
      </c>
      <c r="C61" s="26" t="inlineStr">
        <is>
          <t>德信服務集團</t>
        </is>
      </c>
      <c r="D61" s="26" t="inlineStr">
        <is>
          <t>Real Estate</t>
        </is>
      </c>
      <c r="E61" s="26" t="inlineStr">
        <is>
          <t>Property management</t>
        </is>
      </c>
      <c r="F61" s="26" t="inlineStr">
        <is>
          <t>Standard</t>
        </is>
      </c>
      <c r="G61" s="27" t="n">
        <v>44392</v>
      </c>
      <c r="H61" s="28" t="n">
        <v>106.9</v>
      </c>
      <c r="I61" s="26" t="inlineStr">
        <is>
          <t>net proceeds</t>
        </is>
      </c>
      <c r="J61" s="29" t="n">
        <v>2.66</v>
      </c>
      <c r="K61" s="29" t="n">
        <v>3.44</v>
      </c>
      <c r="L61" s="29" t="n">
        <v>3.06</v>
      </c>
      <c r="M61" s="26" t="inlineStr">
        <is>
          <t>N</t>
        </is>
      </c>
      <c r="N61" s="30" t="n">
        <v>89</v>
      </c>
      <c r="O61" s="28" t="n">
        <v>3410.4</v>
      </c>
      <c r="P61" s="26" t="inlineStr">
        <is>
          <t>aastocks:上市市值 at the struck price</t>
        </is>
      </c>
      <c r="Q61" s="31" t="n">
        <v>3.08</v>
      </c>
      <c r="R61" s="39">
        <f>IF('BBG Verify'!E61="","not filed — run on terminal",'BBG Verify'!E61)</f>
        <v/>
      </c>
      <c r="S61" s="33" t="n">
        <v>21.4</v>
      </c>
      <c r="T61" s="26" t="inlineStr">
        <is>
          <t>杭州金投盛?投資合伙企業(有限合伙); 杭州輕聯投資集團有限公司; 中建投信托股份有限公司</t>
        </is>
      </c>
      <c r="U61" s="30" t="n">
        <v>15</v>
      </c>
      <c r="V61" s="26" t="inlineStr">
        <is>
          <t>partial</t>
        </is>
      </c>
      <c r="W61" s="34" t="n">
        <v>0</v>
      </c>
      <c r="X61" s="34" t="n">
        <v>-0</v>
      </c>
      <c r="Y61" s="34" t="n">
        <v>9.800000000000001</v>
      </c>
      <c r="Z61" s="34" t="n">
        <v>10.13</v>
      </c>
      <c r="AA61" s="34" t="n">
        <v>9.800000000000001</v>
      </c>
      <c r="AB61" s="34" t="n">
        <v>14.33</v>
      </c>
      <c r="AC61" s="34" t="n">
        <v>-4.53</v>
      </c>
      <c r="AD61" s="26" t="inlineStr">
        <is>
          <t>Hang Seng Properties sub-index</t>
        </is>
      </c>
      <c r="AE61" s="34" t="n">
        <v>-89.54000000000001</v>
      </c>
      <c r="AF61" s="28" t="n">
        <v>761.6</v>
      </c>
      <c r="AG61" s="28" t="n">
        <v>116.4</v>
      </c>
      <c r="AH61" s="26" t="inlineStr">
        <is>
          <t>Y</t>
        </is>
      </c>
      <c r="AI61" s="35" t="n">
        <v>29.3</v>
      </c>
      <c r="AJ61" s="35" t="n">
        <v>4.5</v>
      </c>
      <c r="AK61" s="26" t="inlineStr">
        <is>
          <t>N</t>
        </is>
      </c>
      <c r="AL61" s="36">
        <f>IF('BBG Verify'!K61="","not filed — run on terminal",'BBG Verify'!K61)</f>
        <v/>
      </c>
      <c r="AM61" s="26" t="inlineStr">
        <is>
          <t>N/A</t>
        </is>
      </c>
      <c r="AN61" s="26" t="inlineStr">
        <is>
          <t>N/A</t>
        </is>
      </c>
      <c r="AO61" s="26" t="inlineStr">
        <is>
          <t>N/A</t>
        </is>
      </c>
      <c r="AP61" s="26" t="inlineStr">
        <is>
          <t>CCB International Capital Limited</t>
        </is>
      </c>
      <c r="AQ61" s="26" t="inlineStr">
        <is>
          <t>建銀國際金融有限公司</t>
        </is>
      </c>
      <c r="AR61" s="26" t="inlineStr">
        <is>
          <t>CCB International Capital Limited; China Industrial Securities International Capital Limited; Zhongtai International Securities Limited; Vision Capital International Holdings Limited</t>
        </is>
      </c>
      <c r="AS61" s="26" t="inlineStr">
        <is>
          <t>建銀國際金融有限公司; 興證國際融資有限公司; 富途證券國際（香港）有限公司; 一盈證券有限公司; 華盛資本証券有限公司; 萬盛金融控股有限公司; 中泰國際證券有限公司</t>
        </is>
      </c>
      <c r="AT61" s="37">
        <f>HYPERLINK("https://www1.hkexnews.hk/listedco/listconews/sehk/2021/0629/2021062900043.pdf","prospectus")</f>
        <v/>
      </c>
      <c r="AU61" s="37">
        <f>HYPERLINK("https://www1.hkexnews.hk/listedco/listconews/sehk/2021/0714/2021071400259.htm","allotment")</f>
        <v/>
      </c>
      <c r="AV61" s="37">
        <f>HYPERLINK("https://www1.hkexnews.hk/listedco/listconews/sehk/2021/0808/2021080800043.pdf","stabilisation")</f>
        <v/>
      </c>
      <c r="AW61" s="26" t="inlineStr">
        <is>
          <t>intl sub: subscription level not stated in the filing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62">
      <c r="A62" s="25" t="inlineStr">
        <is>
          <t>9960</t>
        </is>
      </c>
      <c r="B62" s="26" t="inlineStr">
        <is>
          <t>KINDSTAR GLOBAL</t>
        </is>
      </c>
      <c r="C62" s="26" t="inlineStr">
        <is>
          <t>康聖環球</t>
        </is>
      </c>
      <c r="D62" s="26" t="inlineStr">
        <is>
          <t>Healthcare</t>
        </is>
      </c>
      <c r="E62" s="26" t="inlineStr">
        <is>
          <t>CXO / pharma services</t>
        </is>
      </c>
      <c r="F62" s="26" t="inlineStr">
        <is>
          <t>Standard</t>
        </is>
      </c>
      <c r="G62" s="27" t="n">
        <v>44393</v>
      </c>
      <c r="H62" s="28" t="n">
        <v>2214.2</v>
      </c>
      <c r="I62" s="26" t="inlineStr">
        <is>
          <t>gross (price x shares)</t>
        </is>
      </c>
      <c r="J62" s="29" t="n">
        <v>8.6</v>
      </c>
      <c r="K62" s="29" t="n">
        <v>9.779999999999999</v>
      </c>
      <c r="L62" s="29" t="n">
        <v>9.779999999999999</v>
      </c>
      <c r="M62" s="26" t="inlineStr">
        <is>
          <t>Y</t>
        </is>
      </c>
      <c r="N62" s="30" t="n">
        <v>100</v>
      </c>
      <c r="O62" s="28" t="n">
        <v>7993.5</v>
      </c>
      <c r="P62" s="26" t="inlineStr">
        <is>
          <t>derived:deal size / offer % of enlarged capital</t>
        </is>
      </c>
      <c r="Q62" s="31" t="n">
        <v>543.03</v>
      </c>
      <c r="R62" s="32" t="n">
        <v>13.81</v>
      </c>
      <c r="S62" s="33" t="n">
        <v>49.08</v>
      </c>
      <c r="T62" s="26" t="inlineStr">
        <is>
          <t>Athos Capital Limited; BlackRock, Inc; Carmignac Funds; 源峰基金管理有限公司; DNCA Finance; 常春藤資產管理(香港)有限公司; Snow Lake Capital (HK) Limited</t>
        </is>
      </c>
      <c r="U62" s="30" t="n">
        <v>7.2</v>
      </c>
      <c r="V62" s="26" t="inlineStr">
        <is>
          <t>lapsed</t>
        </is>
      </c>
      <c r="W62" s="34" t="n">
        <v>-7.57</v>
      </c>
      <c r="X62" s="34" t="n">
        <v>-18</v>
      </c>
      <c r="Y62" s="34" t="n">
        <v>-20.76</v>
      </c>
      <c r="Z62" s="34" t="n">
        <v>-45.3</v>
      </c>
      <c r="AA62" s="34" t="n">
        <v>-14.27</v>
      </c>
      <c r="AB62" s="34" t="n">
        <v>-10.43</v>
      </c>
      <c r="AC62" s="34" t="n">
        <v>-10.33</v>
      </c>
      <c r="AD62" s="26" t="inlineStr">
        <is>
          <t>China Biotech ETF (HS biotech proxy)</t>
        </is>
      </c>
      <c r="AE62" s="34" t="n">
        <v>-90.23999999999999</v>
      </c>
      <c r="AF62" s="28" t="n">
        <v>980.5</v>
      </c>
      <c r="AG62" s="28" t="n">
        <v>-1067.1</v>
      </c>
      <c r="AH62" s="26" t="inlineStr">
        <is>
          <t>N</t>
        </is>
      </c>
      <c r="AI62" s="38">
        <f>IF('BBG Verify'!O62="","not filed — run on terminal",'BBG Verify'!O62)</f>
        <v/>
      </c>
      <c r="AJ62" s="35" t="n">
        <v>8.199999999999999</v>
      </c>
      <c r="AK62" s="26" t="inlineStr">
        <is>
          <t>N</t>
        </is>
      </c>
      <c r="AL62" s="36">
        <f>IF('BBG Verify'!K62="","not filed — run on terminal",'BBG Verify'!K62)</f>
        <v/>
      </c>
      <c r="AM62" s="26" t="inlineStr">
        <is>
          <t>N/A</t>
        </is>
      </c>
      <c r="AN62" s="26" t="inlineStr">
        <is>
          <t>N/A</t>
        </is>
      </c>
      <c r="AO62" s="26" t="inlineStr">
        <is>
          <t>N/A</t>
        </is>
      </c>
      <c r="AP62" s="26" t="inlineStr">
        <is>
          <t>Goldman Sachs (Asia) L.L.C; China International Capital Corporation Hong Kong Securities Limited; Credit Suisse (Hong Kong) Limited</t>
        </is>
      </c>
      <c r="AQ62" s="26" t="inlineStr">
        <is>
          <t>中國國際金融香港證券有限公司; 高盛(亞洲)有限責任公司; 瑞士信貸（香港）有限公司</t>
        </is>
      </c>
      <c r="AR62" s="26" t="inlineStr">
        <is>
          <t>Goldman Sachs (Asia) L.L.C; China International Capital Corporation Hong Kong Securities Limited; Credit Suisse (Hong Kong) Limited</t>
        </is>
      </c>
      <c r="AS62" s="26" t="inlineStr">
        <is>
          <t>中國國際金融香港證券有限公司; 瑞士信貸（香港）有限公司; 富途證券國際（香港）有限公司; 國泰君安證券(香港)有限公司; 高盛(亞洲)有限責任公司; 鼎珮證券有限公司</t>
        </is>
      </c>
      <c r="AT62" s="37">
        <f>HYPERLINK("https://www1.hkexnews.hk/listedco/listconews/sehk/2021/0629/2021062900037.pdf","prospectus")</f>
        <v/>
      </c>
      <c r="AU62" s="37">
        <f>HYPERLINK("https://www1.hkexnews.hk/listedco/listconews/sehk/2021/0715/2021071500008.htm","allotment")</f>
        <v/>
      </c>
      <c r="AV62" s="37">
        <f>HYPERLINK("https://www1.hkexnews.hk/listedco/listconews/sehk/2021/0806/2021080601107.pdf","stabilisation")</f>
        <v/>
      </c>
      <c r="AW62" s="26" t="inlineStr">
        <is>
          <t>P/E: n/m — loss-making at IPO (use P/S) · A/H: no A-share listing</t>
        </is>
      </c>
    </row>
    <row r="63">
      <c r="A63" s="25" t="inlineStr">
        <is>
          <t>2175</t>
        </is>
      </c>
      <c r="B63" s="26" t="inlineStr">
        <is>
          <t>CH GENERAL EDU</t>
        </is>
      </c>
      <c r="C63" s="26" t="inlineStr">
        <is>
          <t>中國通才教育</t>
        </is>
      </c>
      <c r="D63" s="26" t="inlineStr">
        <is>
          <t>Consumer</t>
        </is>
      </c>
      <c r="E63" s="26" t="inlineStr">
        <is>
          <t>Consumer services / education</t>
        </is>
      </c>
      <c r="F63" s="26" t="inlineStr">
        <is>
          <t>Standard</t>
        </is>
      </c>
      <c r="G63" s="27" t="n">
        <v>44393</v>
      </c>
      <c r="H63" s="28" t="n">
        <v>461.2</v>
      </c>
      <c r="I63" s="26" t="inlineStr">
        <is>
          <t>gross (price x shares)</t>
        </is>
      </c>
      <c r="J63" s="29" t="n"/>
      <c r="K63" s="29" t="n">
        <v>4.38</v>
      </c>
      <c r="L63" s="29" t="n">
        <v>3.69</v>
      </c>
      <c r="M63" s="26" t="inlineStr">
        <is>
          <t>N</t>
        </is>
      </c>
      <c r="N63" s="30" t="n">
        <v>84.2</v>
      </c>
      <c r="O63" s="28" t="n">
        <v>2117</v>
      </c>
      <c r="P63" s="26" t="inlineStr">
        <is>
          <t>aastocks:上市市值 at the struck price</t>
        </is>
      </c>
      <c r="Q63" s="31" t="n">
        <v>4.12</v>
      </c>
      <c r="R63" s="32" t="n">
        <v>1.47</v>
      </c>
      <c r="S63" s="33" t="n">
        <v>0</v>
      </c>
      <c r="T63" s="26" t="n"/>
      <c r="U63" s="30" t="n">
        <v>20</v>
      </c>
      <c r="V63" s="26" t="inlineStr">
        <is>
          <t>partial</t>
        </is>
      </c>
      <c r="W63" s="34" t="n">
        <v>0</v>
      </c>
      <c r="X63" s="34" t="n">
        <v>0.8100000000000001</v>
      </c>
      <c r="Y63" s="34" t="n">
        <v>20.6</v>
      </c>
      <c r="Z63" s="34" t="n">
        <v>16.8</v>
      </c>
      <c r="AA63" s="34" t="n">
        <v>20.6</v>
      </c>
      <c r="AB63" s="34" t="n">
        <v>30.6</v>
      </c>
      <c r="AC63" s="34" t="n">
        <v>-10</v>
      </c>
      <c r="AD63" s="26" t="inlineStr">
        <is>
          <t>Hang Seng Commerce &amp; Industry sub-index</t>
        </is>
      </c>
      <c r="AE63" s="34" t="n">
        <v>-32.52</v>
      </c>
      <c r="AF63" s="28" t="n">
        <v>298.2</v>
      </c>
      <c r="AG63" s="28" t="n">
        <v>157</v>
      </c>
      <c r="AH63" s="26" t="inlineStr">
        <is>
          <t>Y</t>
        </is>
      </c>
      <c r="AI63" s="35" t="n">
        <v>13.5</v>
      </c>
      <c r="AJ63" s="35" t="n">
        <v>7.1</v>
      </c>
      <c r="AK63" s="26" t="inlineStr">
        <is>
          <t>N</t>
        </is>
      </c>
      <c r="AL63" s="36">
        <f>IF('BBG Verify'!K63="","not filed — run on terminal",'BBG Verify'!K63)</f>
        <v/>
      </c>
      <c r="AM63" s="26" t="inlineStr">
        <is>
          <t>N/A</t>
        </is>
      </c>
      <c r="AN63" s="26" t="inlineStr">
        <is>
          <t>N/A</t>
        </is>
      </c>
      <c r="AO63" s="26" t="inlineStr">
        <is>
          <t>N/A</t>
        </is>
      </c>
      <c r="AP63" s="26" t="inlineStr">
        <is>
          <t>Guotai Junan Capital Limited</t>
        </is>
      </c>
      <c r="AQ63" s="26" t="inlineStr">
        <is>
          <t>國泰君安融資有限公司</t>
        </is>
      </c>
      <c r="AR63" s="26"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DIRECTORS AND PARTIES INVOLVED IN THE GLOBAL OFFERING –9 3– Livermore Holdings Limited</t>
        </is>
      </c>
      <c r="AS63" s="26" t="inlineStr">
        <is>
          <t>雅利多證券有限公司; 中國光大證券(香港)有限公司; 中國銀河國際證券(香港)有限公司; 民銀證券有限公司; 招銀國際融資有限公司; 招商證券(香港)有限公司; 國泰君安證券(香港)有限公司; 仁和資本有限公司; 海通國際證券有限公司; 瑞豐國際證券有限公司; 利弗莫爾證券有限公司; 領智證券有限公司; 申萬宏源證券（香港）有限公司; 恆宇證券有限公司; 山證國際證券有限公司</t>
        </is>
      </c>
      <c r="AT63" s="37">
        <f>HYPERLINK("https://www1.hkexnews.hk/listedco/listconews/sehk/2021/0630/2021063000077.pdf","prospectus")</f>
        <v/>
      </c>
      <c r="AU63" s="37">
        <f>HYPERLINK("https://www1.hkexnews.hk/listedco/listconews/sehk/2021/0715/2021071500034.htm","allotment")</f>
        <v/>
      </c>
      <c r="AV63" s="37">
        <f>HYPERLINK("https://www1.hkexnews.hk/listedco/listconews/sehk/2021/0808/2021080800003.pdf","stabilisation")</f>
        <v/>
      </c>
      <c r="AW63" s="26" t="inlineStr">
        <is>
          <t>A/H: no A-share listing · market cap: estimate from stated market capitalisation disagreed with the published listing cap — published figure adopted</t>
        </is>
      </c>
    </row>
    <row r="64">
      <c r="A64" s="25" t="inlineStr">
        <is>
          <t>2205</t>
        </is>
      </c>
      <c r="B64" s="26" t="inlineStr">
        <is>
          <t>KANGQIAO SER</t>
        </is>
      </c>
      <c r="C64" s="26" t="inlineStr">
        <is>
          <t>康橋悅生活</t>
        </is>
      </c>
      <c r="D64" s="26" t="inlineStr">
        <is>
          <t>Real Estate</t>
        </is>
      </c>
      <c r="E64" s="26" t="inlineStr">
        <is>
          <t>Property management</t>
        </is>
      </c>
      <c r="F64" s="26" t="inlineStr">
        <is>
          <t>Standard</t>
        </is>
      </c>
      <c r="G64" s="27" t="n">
        <v>44393</v>
      </c>
      <c r="H64" s="28" t="n">
        <v>93.5</v>
      </c>
      <c r="I64" s="26" t="inlineStr">
        <is>
          <t>net proceeds</t>
        </is>
      </c>
      <c r="J64" s="29" t="n"/>
      <c r="K64" s="29" t="n">
        <v>3.88</v>
      </c>
      <c r="L64" s="29" t="n">
        <v>3.68</v>
      </c>
      <c r="M64" s="26" t="inlineStr">
        <is>
          <t>N</t>
        </is>
      </c>
      <c r="N64" s="30" t="n">
        <v>94.8</v>
      </c>
      <c r="O64" s="28" t="n">
        <v>2676.3</v>
      </c>
      <c r="P64" s="26" t="inlineStr">
        <is>
          <t>aastocks:上市市值 at the struck price</t>
        </is>
      </c>
      <c r="Q64" s="31" t="n">
        <v>23.72</v>
      </c>
      <c r="R64" s="39">
        <f>IF('BBG Verify'!E64="","not filed — run on terminal",'BBG Verify'!E64)</f>
        <v/>
      </c>
      <c r="S64" s="33" t="n">
        <v>38.55</v>
      </c>
      <c r="T64" s="26" t="inlineStr">
        <is>
          <t>58.com Holdings Inc; 鄭州安圖實業集團股份有限公司; 碧桂園物業香港控股有限公司</t>
        </is>
      </c>
      <c r="U64" s="30" t="n">
        <v>10.2</v>
      </c>
      <c r="V64" s="26" t="inlineStr">
        <is>
          <t>lapsed</t>
        </is>
      </c>
      <c r="W64" s="34" t="n">
        <v>-1.09</v>
      </c>
      <c r="X64" s="34" t="n">
        <v>-1.09</v>
      </c>
      <c r="Y64" s="34" t="n">
        <v>-2.99</v>
      </c>
      <c r="Z64" s="34" t="n">
        <v>-0.82</v>
      </c>
      <c r="AA64" s="34" t="n">
        <v>-1.92</v>
      </c>
      <c r="AB64" s="34" t="n">
        <v>2.73</v>
      </c>
      <c r="AC64" s="34" t="n">
        <v>-5.72</v>
      </c>
      <c r="AD64" s="26" t="inlineStr">
        <is>
          <t>Hang Seng Properties sub-index</t>
        </is>
      </c>
      <c r="AE64" s="34" t="n">
        <v>-84.38</v>
      </c>
      <c r="AF64" s="28" t="n">
        <v>633.1</v>
      </c>
      <c r="AG64" s="28" t="n">
        <v>101</v>
      </c>
      <c r="AH64" s="26" t="inlineStr">
        <is>
          <t>Y</t>
        </is>
      </c>
      <c r="AI64" s="35" t="n">
        <v>26.5</v>
      </c>
      <c r="AJ64" s="35" t="n">
        <v>4.2</v>
      </c>
      <c r="AK64" s="26" t="inlineStr">
        <is>
          <t>N</t>
        </is>
      </c>
      <c r="AL64" s="36">
        <f>IF('BBG Verify'!K64="","not filed — run on terminal",'BBG Verify'!K64)</f>
        <v/>
      </c>
      <c r="AM64" s="26" t="inlineStr">
        <is>
          <t>N/A</t>
        </is>
      </c>
      <c r="AN64" s="26" t="inlineStr">
        <is>
          <t>N/A</t>
        </is>
      </c>
      <c r="AO64" s="26" t="inlineStr">
        <is>
          <t>N/A</t>
        </is>
      </c>
      <c r="AP64" s="26" t="inlineStr">
        <is>
          <t>CCB International Capital Limited</t>
        </is>
      </c>
      <c r="AQ64" s="26" t="inlineStr">
        <is>
          <t>建銀國際金融有限公司</t>
        </is>
      </c>
      <c r="AR64" s="26" t="inlineStr">
        <is>
          <t>CCB International Capital Limited; Haitong International Securities Company Limited; Sheng Yuan Securities Limited; Shenwan Hongyuan Securities (H.K.) Limited; DL SECURITIES (HK) LIMITED</t>
        </is>
      </c>
      <c r="AS64" s="26" t="inlineStr">
        <is>
          <t>建銀國際金融有限公司; 德林證券（香港）有限公司; 富途證券國際（香港）有限公司; 國信證券(香港)融資有限公司; 海通國際證券有限公司; 利弗莫爾證券有限公司; 創富融資有限公司; 申萬宏源證券（香港）有限公司; 盛源證券有限公司</t>
        </is>
      </c>
      <c r="AT64" s="37">
        <f>HYPERLINK("https://www1.hkexnews.hk/listedco/listconews/sehk/2021/0629/2021062900193.pdf","prospectus")</f>
        <v/>
      </c>
      <c r="AU64" s="37">
        <f>HYPERLINK("https://www1.hkexnews.hk/listedco/listconews/sehk/2021/0715/2021071500080.htm","allotment")</f>
        <v/>
      </c>
      <c r="AV64" s="37">
        <f>HYPERLINK("https://www1.hkexnews.hk/listedco/listconews/sehk/2021/0809/2021080900033.pdf","stabilisation")</f>
        <v/>
      </c>
      <c r="AW64" s="26" t="inlineStr">
        <is>
          <t>intl sub: subscription level not stated in the filing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65">
      <c r="A65" s="25" t="inlineStr">
        <is>
          <t>6616</t>
        </is>
      </c>
      <c r="B65" s="26" t="inlineStr">
        <is>
          <t>GLOBAL NEW MAT</t>
        </is>
      </c>
      <c r="C65" s="26" t="inlineStr">
        <is>
          <t>環球新材國際</t>
        </is>
      </c>
      <c r="D65" s="26" t="inlineStr">
        <is>
          <t>Materials/Energy</t>
        </is>
      </c>
      <c r="E65" s="26" t="inlineStr">
        <is>
          <t>Chemicals</t>
        </is>
      </c>
      <c r="F65" s="26" t="inlineStr">
        <is>
          <t>Standard</t>
        </is>
      </c>
      <c r="G65" s="27" t="n">
        <v>44393</v>
      </c>
      <c r="H65" s="28" t="n">
        <v>944.7</v>
      </c>
      <c r="I65" s="26" t="inlineStr">
        <is>
          <t>gross (price x shares)</t>
        </is>
      </c>
      <c r="J65" s="29" t="n">
        <v>3.52</v>
      </c>
      <c r="K65" s="29" t="n">
        <v>4.22</v>
      </c>
      <c r="L65" s="29" t="n">
        <v>3.25</v>
      </c>
      <c r="M65" s="26" t="inlineStr">
        <is>
          <t>N</t>
        </is>
      </c>
      <c r="N65" s="30" t="n">
        <v>77</v>
      </c>
      <c r="O65" s="28" t="n">
        <v>4741.6</v>
      </c>
      <c r="P65" s="26" t="inlineStr">
        <is>
          <t>aastocks:上市市值 at the struck price</t>
        </is>
      </c>
      <c r="Q65" s="31" t="n">
        <v>10.79</v>
      </c>
      <c r="R65" s="39">
        <f>IF('BBG Verify'!E65="","not filed — run on terminal",'BBG Verify'!E65)</f>
        <v/>
      </c>
      <c r="S65" s="33" t="n">
        <v>9.31</v>
      </c>
      <c r="T65" s="26" t="inlineStr">
        <is>
          <t>上海匯瑾資產管理有限公司; 中逸資本</t>
        </is>
      </c>
      <c r="U65" s="30" t="n">
        <v>6.6</v>
      </c>
      <c r="V65" s="26" t="inlineStr">
        <is>
          <t>partial</t>
        </is>
      </c>
      <c r="W65" s="34" t="n">
        <v>13.85</v>
      </c>
      <c r="X65" s="34" t="n">
        <v>26.46</v>
      </c>
      <c r="Y65" s="34" t="n">
        <v>93.84999999999999</v>
      </c>
      <c r="Z65" s="34" t="n">
        <v>61.54</v>
      </c>
      <c r="AA65" s="34" t="n">
        <v>70.27</v>
      </c>
      <c r="AB65" s="34" t="n">
        <v>92.42</v>
      </c>
      <c r="AC65" s="34" t="n">
        <v>1.43</v>
      </c>
      <c r="AD65" s="26" t="inlineStr">
        <is>
          <t>Hang Seng Utilities sub-index</t>
        </is>
      </c>
      <c r="AE65" s="34" t="n">
        <v>186.92</v>
      </c>
      <c r="AF65" s="28" t="n">
        <v>626</v>
      </c>
      <c r="AG65" s="28" t="n">
        <v>168.1</v>
      </c>
      <c r="AH65" s="26" t="inlineStr">
        <is>
          <t>Y</t>
        </is>
      </c>
      <c r="AI65" s="35" t="n">
        <v>28.2</v>
      </c>
      <c r="AJ65" s="35" t="n">
        <v>7.6</v>
      </c>
      <c r="AK65" s="26" t="inlineStr">
        <is>
          <t>N</t>
        </is>
      </c>
      <c r="AL65" s="36">
        <f>IF('BBG Verify'!K65="","not filed — run on terminal",'BBG Verify'!K65)</f>
        <v/>
      </c>
      <c r="AM65" s="26" t="inlineStr">
        <is>
          <t>N/A</t>
        </is>
      </c>
      <c r="AN65" s="26" t="inlineStr">
        <is>
          <t>N/A</t>
        </is>
      </c>
      <c r="AO65" s="26" t="inlineStr">
        <is>
          <t>N/A</t>
        </is>
      </c>
      <c r="AP65" s="26" t="inlineStr">
        <is>
          <t>Essence Corporate Finance (Hong Kong) Limited</t>
        </is>
      </c>
      <c r="AQ65" s="26" t="inlineStr">
        <is>
          <t>安信融資(香港)有限公司</t>
        </is>
      </c>
      <c r="AR65" s="26" t="inlineStr">
        <is>
          <t>Beta International Securities Limited; 興證國際融資有限公司; 民銀證券有限公司; 平證證券（香港）有限公司; 安信國際證券(香港)有限公司; 富途證券國際（香港）有限公司</t>
        </is>
      </c>
      <c r="AS65" s="26" t="inlineStr">
        <is>
          <t>Beta International Securities Limited; 興證國際融資有限公司; 民銀證券有限公司; 平證證券（香港）有限公司; 安信國際證券(香港)有限公司; 富途證券國際（香港）有限公司; 富元證券有限公司; 廣發證券（香港）經紀有限公司; 國泰君安證券(香港)有限公司; 國信證券(香港)融資有限公司; 金猴證券有限公司; 申萬宏源證券（香港）有限公司; 浦銀國際融資有限公司; 東吳證券國際經紀有限公司; 華盛資本証券有限公司; 越秀證券有限公司; 中泰國際證券有限公司</t>
        </is>
      </c>
      <c r="AT65" s="37">
        <f>HYPERLINK("https://www1.hkexnews.hk/listedco/listconews/sehk/2021/0630/2021063000059.pdf","prospectus")</f>
        <v/>
      </c>
      <c r="AU65" s="37">
        <f>HYPERLINK("https://www1.hkexnews.hk/listedco/listconews/sehk/2021/0715/2021071500120.htm","allotment")</f>
        <v/>
      </c>
      <c r="AV65" s="37">
        <f>HYPERLINK("https://www1.hkexnews.hk/listedco/listconews/sehk/2021/0805/2021080502158.pdf","stabilisation")</f>
        <v/>
      </c>
      <c r="AW65" s="26" t="inlineStr">
        <is>
          <t>intl sub: subscription level not stated in the filing · A/H: no A-share listing · market cap: estimate from deal size / offer % of enlarged capital disagreed with the published listing cap — published figure adopted</t>
        </is>
      </c>
    </row>
    <row r="66">
      <c r="A66" s="25" t="inlineStr">
        <is>
          <t>6611</t>
        </is>
      </c>
      <c r="B66" s="26" t="inlineStr">
        <is>
          <t>SANXUN GROUP</t>
        </is>
      </c>
      <c r="C66" s="26" t="inlineStr">
        <is>
          <t>三巽集團</t>
        </is>
      </c>
      <c r="D66" s="26" t="inlineStr">
        <is>
          <t>Real Estate</t>
        </is>
      </c>
      <c r="E66" s="26" t="inlineStr">
        <is>
          <t>Developers</t>
        </is>
      </c>
      <c r="F66" s="26" t="inlineStr">
        <is>
          <t>Standard</t>
        </is>
      </c>
      <c r="G66" s="27" t="n">
        <v>44394</v>
      </c>
      <c r="H66" s="28" t="n">
        <v>783.8</v>
      </c>
      <c r="I66" s="26" t="inlineStr">
        <is>
          <t>gross (price x shares)</t>
        </is>
      </c>
      <c r="J66" s="29" t="n"/>
      <c r="K66" s="29" t="n">
        <v>5.2</v>
      </c>
      <c r="L66" s="29" t="n">
        <v>4.75</v>
      </c>
      <c r="M66" s="26" t="inlineStr">
        <is>
          <t>N</t>
        </is>
      </c>
      <c r="N66" s="30" t="n">
        <v>91.3</v>
      </c>
      <c r="O66" s="28" t="n">
        <v>2805</v>
      </c>
      <c r="P66" s="26" t="inlineStr">
        <is>
          <t>prospectus:stated market capitalisation</t>
        </is>
      </c>
      <c r="Q66" s="31" t="n">
        <v>3.22</v>
      </c>
      <c r="R66" s="39">
        <f>IF('BBG Verify'!E66="","not filed — run on terminal",'BBG Verify'!E66)</f>
        <v/>
      </c>
      <c r="S66" s="33" t="n">
        <v>0</v>
      </c>
      <c r="T66" s="26" t="n"/>
      <c r="U66" s="30" t="n">
        <v>15</v>
      </c>
      <c r="V66" s="26" t="inlineStr">
        <is>
          <t>partial</t>
        </is>
      </c>
      <c r="W66" s="34" t="n">
        <v>0</v>
      </c>
      <c r="X66" s="34" t="n">
        <v>0</v>
      </c>
      <c r="Y66" s="34" t="n">
        <v>-7.37</v>
      </c>
      <c r="Z66" s="34" t="n">
        <v>-3.16</v>
      </c>
      <c r="AA66" s="34" t="n">
        <v>-7.37</v>
      </c>
      <c r="AB66" s="34" t="n">
        <v>-1.03</v>
      </c>
      <c r="AC66" s="34" t="n">
        <v>-6.34</v>
      </c>
      <c r="AD66" s="26" t="inlineStr">
        <is>
          <t>Hang Seng Properties sub-index</t>
        </is>
      </c>
      <c r="AE66" s="34" t="n">
        <v>-99.03</v>
      </c>
      <c r="AF66" s="28" t="n">
        <v>4340.7</v>
      </c>
      <c r="AG66" s="28" t="n">
        <v>404.5</v>
      </c>
      <c r="AH66" s="26" t="inlineStr">
        <is>
          <t>Y</t>
        </is>
      </c>
      <c r="AI66" s="35" t="n">
        <v>6.9</v>
      </c>
      <c r="AJ66" s="35" t="n">
        <v>0.6</v>
      </c>
      <c r="AK66" s="26" t="inlineStr">
        <is>
          <t>N</t>
        </is>
      </c>
      <c r="AL66" s="36">
        <f>IF('BBG Verify'!K66="","not filed — run on terminal",'BBG Verify'!K66)</f>
        <v/>
      </c>
      <c r="AM66" s="26" t="inlineStr">
        <is>
          <t>N/A</t>
        </is>
      </c>
      <c r="AN66" s="26" t="inlineStr">
        <is>
          <t>N/A</t>
        </is>
      </c>
      <c r="AO66" s="26" t="inlineStr">
        <is>
          <t>N/A</t>
        </is>
      </c>
      <c r="AP66" s="26" t="n"/>
      <c r="AQ66" s="26" t="inlineStr">
        <is>
          <t>建銀國際金融有限公司</t>
        </is>
      </c>
      <c r="AR66" s="26" t="inlineStr">
        <is>
          <t>CCB International Capital Limited; CRIC Securities Company Limited; BOCOM International Securities Limited</t>
        </is>
      </c>
      <c r="AS66" s="26" t="inlineStr">
        <is>
          <t>Beta International Securities Limited; 建銀國際金融有限公司; 克而瑞證券有限公司; 富途證券國際（香港）有限公司; 一盈證券有限公司; 華盛資本証券有限公司</t>
        </is>
      </c>
      <c r="AT66" s="37">
        <f>HYPERLINK("https://www1.hkexnews.hk/listedco/listconews/sehk/2021/0630/2021063000037.pdf","prospectus")</f>
        <v/>
      </c>
      <c r="AU66" s="37">
        <f>HYPERLINK("https://www1.hkexnews.hk/listedco/listconews/sehk/2021/0716/2021071600044.htm","allotment")</f>
        <v/>
      </c>
      <c r="AV66" s="37">
        <f>HYPERLINK("https://www1.hkexnews.hk/listedco/listconews/sehk/2021/0811/2021081101494.pdf","stabilisation")</f>
        <v/>
      </c>
      <c r="AW66" s="26" t="inlineStr">
        <is>
          <t>intl sub: subscription level not stated in the filing · A/H: no A-share listing · sponsor: English name not in the filing text; AAStocks 保薦人 shown</t>
        </is>
      </c>
    </row>
    <row r="67">
      <c r="A67" s="25" t="inlineStr">
        <is>
          <t>2015</t>
        </is>
      </c>
      <c r="B67" s="26" t="inlineStr">
        <is>
          <t>LI AUTO-W</t>
        </is>
      </c>
      <c r="C67" s="26" t="inlineStr">
        <is>
          <t>理想汽車－Ｗ</t>
        </is>
      </c>
      <c r="D67" s="26" t="inlineStr">
        <is>
          <t>Consumer</t>
        </is>
      </c>
      <c r="E67" s="26" t="inlineStr">
        <is>
          <t>Autos (NEV OEM)</t>
        </is>
      </c>
      <c r="F67" s="26" t="inlineStr">
        <is>
          <t>WVR</t>
        </is>
      </c>
      <c r="G67" s="27" t="n">
        <v>44420</v>
      </c>
      <c r="H67" s="28" t="n">
        <v>11800</v>
      </c>
      <c r="I67" s="26" t="inlineStr">
        <is>
          <t>gross (price x shares)</t>
        </is>
      </c>
      <c r="J67" s="29" t="n"/>
      <c r="K67" s="29" t="n">
        <v>150</v>
      </c>
      <c r="L67" s="29" t="n">
        <v>118</v>
      </c>
      <c r="M67" s="26" t="inlineStr">
        <is>
          <t>N</t>
        </is>
      </c>
      <c r="N67" s="30" t="n">
        <v>78.7</v>
      </c>
      <c r="O67" s="28" t="n">
        <v>307800</v>
      </c>
      <c r="P67" s="26" t="inlineStr">
        <is>
          <t>prospectus:stated market capitalisation</t>
        </is>
      </c>
      <c r="Q67" s="31" t="n">
        <v>5.5</v>
      </c>
      <c r="R67" s="32" t="n">
        <v>7.9</v>
      </c>
      <c r="S67" s="33" t="n"/>
      <c r="T67" s="26" t="n"/>
      <c r="U67" s="30" t="n">
        <v>5.56</v>
      </c>
      <c r="V67" s="26" t="inlineStr">
        <is>
          <t>partial</t>
        </is>
      </c>
      <c r="W67" s="34" t="n">
        <v>-0.85</v>
      </c>
      <c r="X67" s="34" t="n">
        <v>-7.71</v>
      </c>
      <c r="Y67" s="34" t="n">
        <v>0.76</v>
      </c>
      <c r="Z67" s="34" t="n">
        <v>0.85</v>
      </c>
      <c r="AA67" s="34" t="n">
        <v>1.62</v>
      </c>
      <c r="AB67" s="34" t="n">
        <v>2.02</v>
      </c>
      <c r="AC67" s="34" t="n">
        <v>-1.26</v>
      </c>
      <c r="AD67" s="26" t="inlineStr">
        <is>
          <t>Hang Seng Commerce &amp; Industry sub-index</t>
        </is>
      </c>
      <c r="AE67" s="34" t="n">
        <v>-59.42</v>
      </c>
      <c r="AF67" s="28" t="n">
        <v>1</v>
      </c>
      <c r="AG67" s="28" t="n"/>
      <c r="AH67" s="26" t="n"/>
      <c r="AI67" s="38">
        <f>IF('BBG Verify'!O67="","not filed — run on terminal",'BBG Verify'!O67)</f>
        <v/>
      </c>
      <c r="AJ67" s="35" t="n">
        <v>307800</v>
      </c>
      <c r="AK67" s="26" t="inlineStr">
        <is>
          <t>N</t>
        </is>
      </c>
      <c r="AL67" s="36">
        <f>IF('BBG Verify'!K67="","not filed — run on terminal",'BBG Verify'!K67)</f>
        <v/>
      </c>
      <c r="AM67" s="26" t="inlineStr">
        <is>
          <t>N/A</t>
        </is>
      </c>
      <c r="AN67" s="26" t="inlineStr">
        <is>
          <t>N/A</t>
        </is>
      </c>
      <c r="AO67" s="26" t="inlineStr">
        <is>
          <t>N/A</t>
        </is>
      </c>
      <c r="AP67" s="26" t="inlineStr">
        <is>
          <t>Goldman Sachs (Asia) L.L.C; China International Capital Corporation Hong Kong Securities Limited</t>
        </is>
      </c>
      <c r="AQ67" s="26" t="inlineStr">
        <is>
          <t>中國國際金融香港證券有限公司; 高盛(亞洲)有限責任公司</t>
        </is>
      </c>
      <c r="AR67" s="26" t="inlineStr">
        <is>
          <t>Goldman Sachs (Asia) L.L.C; China International Capital Corporation Hong Kong Securities Limited; UBS AG Hong Kong Branch; Managers Goldman Sachs (Asia) L.L.C; UBS Securities LLC; New Y ork New Y ork 10019 United States CLSA Limited; DIRECTORS AND PARTIES INVOLVED IN THE GLOBAL OFFERING – 183 – BOCI Asia Limited; CMB International Capital Limited; Futu Securities International (Hong Kong) Limited; Financial Adviser to our Company UBS AG Hong Kong Branch</t>
        </is>
      </c>
      <c r="AS67" s="26" t="inlineStr">
        <is>
          <t>中銀國際亞洲有限公司; 中國國際金融香港證券有限公司; 中信里昂證券有限公司; 招銀國際融資有限公司; 富途證券國際（香港）有限公司; 高盛(亞洲)有限責任公司; UBS AG 香港分行</t>
        </is>
      </c>
      <c r="AT67" s="37">
        <f>HYPERLINK("https://www1.hkexnews.hk/listedco/listconews/sehk/2021/0803/2021080300011.pdf","prospectus")</f>
        <v/>
      </c>
      <c r="AU67" s="37">
        <f>HYPERLINK("https://www1.hkexnews.hk/listedco/listconews/sehk/2021/0811/2021081100020.htm","allotment")</f>
        <v/>
      </c>
      <c r="AV67" s="37">
        <f>HYPERLINK("https://www1.hkexnews.hk/listedco/listconews/sehk/2021/0905/2021090500025.pdf","stabilisation")</f>
        <v/>
      </c>
      <c r="AW67" s="26" t="inlineStr">
        <is>
          <t>P/E: net income not stated in extractable form · A/H: no A-share listing</t>
        </is>
      </c>
    </row>
    <row r="68">
      <c r="A68" s="25" t="inlineStr">
        <is>
          <t>6609</t>
        </is>
      </c>
      <c r="B68" s="26" t="inlineStr">
        <is>
          <t>HEARTCARE-B</t>
        </is>
      </c>
      <c r="C68" s="26" t="inlineStr">
        <is>
          <t>心瑋醫療－Ｂ</t>
        </is>
      </c>
      <c r="D68" s="26" t="inlineStr">
        <is>
          <t>Healthcare</t>
        </is>
      </c>
      <c r="E68" s="26" t="inlineStr">
        <is>
          <t>Medical devices</t>
        </is>
      </c>
      <c r="F68" s="26" t="inlineStr">
        <is>
          <t>18A</t>
        </is>
      </c>
      <c r="G68" s="27" t="n">
        <v>44428</v>
      </c>
      <c r="H68" s="28" t="n">
        <v>159.8</v>
      </c>
      <c r="I68" s="26" t="inlineStr">
        <is>
          <t>net proceeds</t>
        </is>
      </c>
      <c r="J68" s="29" t="n">
        <v>160</v>
      </c>
      <c r="K68" s="29" t="n">
        <v>171</v>
      </c>
      <c r="L68" s="29" t="n">
        <v>171</v>
      </c>
      <c r="M68" s="26" t="inlineStr">
        <is>
          <t>Y</t>
        </is>
      </c>
      <c r="N68" s="30" t="n">
        <v>100</v>
      </c>
      <c r="O68" s="28" t="n">
        <v>6640.7</v>
      </c>
      <c r="P68" s="26" t="inlineStr">
        <is>
          <t>aastocks:上市市值 at the struck price</t>
        </is>
      </c>
      <c r="Q68" s="31" t="n">
        <v>100</v>
      </c>
      <c r="R68" s="32" t="n">
        <v>8.300000000000001</v>
      </c>
      <c r="S68" s="33" t="n">
        <v>13.8</v>
      </c>
      <c r="T68" s="26"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U68" s="30" t="n">
        <v>9.470000000000001</v>
      </c>
      <c r="V68" s="26" t="inlineStr">
        <is>
          <t>lapsed</t>
        </is>
      </c>
      <c r="W68" s="34" t="n">
        <v>-24.56</v>
      </c>
      <c r="X68" s="34" t="n">
        <v>-28.19</v>
      </c>
      <c r="Y68" s="34" t="n">
        <v>-42.4</v>
      </c>
      <c r="Z68" s="34" t="n">
        <v>-56.9</v>
      </c>
      <c r="AA68" s="34" t="n">
        <v>-23.65</v>
      </c>
      <c r="AB68" s="34" t="n">
        <v>-42.45</v>
      </c>
      <c r="AC68" s="34" t="n">
        <v>0.05</v>
      </c>
      <c r="AD68" s="26" t="inlineStr">
        <is>
          <t>China Biotech ETF (HS biotech proxy)</t>
        </is>
      </c>
      <c r="AE68" s="34" t="n">
        <v>-69.39</v>
      </c>
      <c r="AF68" s="28" t="n">
        <v>0.1</v>
      </c>
      <c r="AG68" s="28" t="n"/>
      <c r="AH68" s="26" t="n"/>
      <c r="AI68" s="38">
        <f>IF('BBG Verify'!O68="","not filed — run on terminal",'BBG Verify'!O68)</f>
        <v/>
      </c>
      <c r="AJ68" s="35" t="n">
        <v>66407</v>
      </c>
      <c r="AK68" s="26" t="inlineStr">
        <is>
          <t>N</t>
        </is>
      </c>
      <c r="AL68" s="36">
        <f>IF('BBG Verify'!K68="","not filed — run on terminal",'BBG Verify'!K68)</f>
        <v/>
      </c>
      <c r="AM68" s="26" t="inlineStr">
        <is>
          <t>N/A</t>
        </is>
      </c>
      <c r="AN68" s="26" t="inlineStr">
        <is>
          <t>N/A</t>
        </is>
      </c>
      <c r="AO68" s="26" t="inlineStr">
        <is>
          <t>N/A</t>
        </is>
      </c>
      <c r="AP68" s="26" t="inlineStr">
        <is>
          <t>Goldman Sachs (Asia) L.L.C; China International Capital Corporation Hong Kong Securities Limited</t>
        </is>
      </c>
      <c r="AQ68" s="26" t="inlineStr">
        <is>
          <t>中國國際金融香港證券有限公司; 高盛(亞洲)有限責任公司</t>
        </is>
      </c>
      <c r="AR68" s="26" t="inlineStr">
        <is>
          <t>Goldman Sachs (Asia) L.L.C; China International Capital Corporation Hong Kong Securities Limited</t>
        </is>
      </c>
      <c r="AS68" s="26" t="inlineStr">
        <is>
          <t>中國國際金融香港證券有限公司; 富途證券國際（香港）有限公司; 高盛(亞洲)有限責任公司</t>
        </is>
      </c>
      <c r="AT68" s="37">
        <f>HYPERLINK("https://www1.hkexnews.hk/listedco/listconews/sehk/2021/0810/2021081000015.pdf","prospectus")</f>
        <v/>
      </c>
      <c r="AU68" s="37">
        <f>HYPERLINK("https://www1.hkexnews.hk/listedco/listconews/sehk/2021/0819/2021081900014.htm","allotment")</f>
        <v/>
      </c>
      <c r="AV68" s="37">
        <f>HYPERLINK("https://www1.hkexnews.hk/listedco/listconews/sehk/2021/0912/2021091200105.pdf","stabilisation")</f>
        <v/>
      </c>
      <c r="AW68" s="26" t="inlineStr">
        <is>
          <t>P/E: net income not stated in extractable form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69">
      <c r="A69" s="25" t="inlineStr">
        <is>
          <t>6669</t>
        </is>
      </c>
      <c r="B69" s="26" t="inlineStr">
        <is>
          <t>ACOTEC-B</t>
        </is>
      </c>
      <c r="C69" s="26" t="inlineStr">
        <is>
          <t>先瑞達醫療－Ｂ</t>
        </is>
      </c>
      <c r="D69" s="26" t="inlineStr">
        <is>
          <t>Healthcare</t>
        </is>
      </c>
      <c r="E69" s="26" t="inlineStr">
        <is>
          <t>Medical devices</t>
        </is>
      </c>
      <c r="F69" s="26" t="inlineStr">
        <is>
          <t>18A</t>
        </is>
      </c>
      <c r="G69" s="27" t="n">
        <v>44432</v>
      </c>
      <c r="H69" s="28" t="n">
        <v>1633.5</v>
      </c>
      <c r="I69" s="26" t="inlineStr">
        <is>
          <t>gross (price x shares)</t>
        </is>
      </c>
      <c r="J69" s="29" t="n">
        <v>22.2</v>
      </c>
      <c r="K69" s="29" t="n">
        <v>23.8</v>
      </c>
      <c r="L69" s="29" t="n">
        <v>23.8</v>
      </c>
      <c r="M69" s="26" t="inlineStr">
        <is>
          <t>Y</t>
        </is>
      </c>
      <c r="N69" s="30" t="n">
        <v>100</v>
      </c>
      <c r="O69" s="28" t="n">
        <v>6694.7</v>
      </c>
      <c r="P69" s="26" t="inlineStr">
        <is>
          <t>derived:deal size / offer % of enlarged capital</t>
        </is>
      </c>
      <c r="Q69" s="31" t="n">
        <v>654.51</v>
      </c>
      <c r="R69" s="32" t="n">
        <v>4.86</v>
      </c>
      <c r="S69" s="33" t="n">
        <v>28.5</v>
      </c>
      <c r="T69" s="26" t="inlineStr">
        <is>
          <t>Athos Asia Event Driven Master Fund; 中國國際金融股份有限公司; 匯添富基金管理股份有限公司; CPE Investment Wu Limited; 達觀國際有限公司; Dymon Asia Capital (Singapore) Pte. Ltd; 易方達全球醫藥行業混合型發起式證券投資基金; 新里程醫院集團有限公司; Panjing Harbourview Investment Fund; Perseverance Asset Management International (Singapore) Pte. Ltd; 保銀資產管理有限公司; PRIMEONE LUCK LIMITED; The Valliance Fund</t>
        </is>
      </c>
      <c r="U69" s="30" t="n">
        <v>11.72</v>
      </c>
      <c r="V69" s="26" t="inlineStr">
        <is>
          <t>lapsed</t>
        </is>
      </c>
      <c r="W69" s="34" t="n">
        <v>-26.05</v>
      </c>
      <c r="X69" s="34" t="n">
        <v>-26.89</v>
      </c>
      <c r="Y69" s="34" t="n">
        <v>-37.9</v>
      </c>
      <c r="Z69" s="34" t="n">
        <v>-41.01</v>
      </c>
      <c r="AA69" s="34" t="n">
        <v>-16.02</v>
      </c>
      <c r="AB69" s="34" t="n">
        <v>-38.55</v>
      </c>
      <c r="AC69" s="34" t="n">
        <v>0.65</v>
      </c>
      <c r="AD69" s="26" t="inlineStr">
        <is>
          <t>China Biotech ETF (HS biotech proxy)</t>
        </is>
      </c>
      <c r="AE69" s="34" t="n">
        <v>-74.37</v>
      </c>
      <c r="AF69" s="28" t="n">
        <v>21.6</v>
      </c>
      <c r="AG69" s="28" t="n">
        <v>-4.1</v>
      </c>
      <c r="AH69" s="26" t="inlineStr">
        <is>
          <t>N</t>
        </is>
      </c>
      <c r="AI69" s="38">
        <f>IF('BBG Verify'!O69="","not filed — run on terminal",'BBG Verify'!O69)</f>
        <v/>
      </c>
      <c r="AJ69" s="35" t="n">
        <v>309.9</v>
      </c>
      <c r="AK69" s="26" t="inlineStr">
        <is>
          <t>N</t>
        </is>
      </c>
      <c r="AL69" s="36">
        <f>IF('BBG Verify'!K69="","not filed — run on terminal",'BBG Verify'!K69)</f>
        <v/>
      </c>
      <c r="AM69" s="26" t="inlineStr">
        <is>
          <t>N/A</t>
        </is>
      </c>
      <c r="AN69" s="26" t="inlineStr">
        <is>
          <t>N/A</t>
        </is>
      </c>
      <c r="AO69" s="26" t="inlineStr">
        <is>
          <t>N/A</t>
        </is>
      </c>
      <c r="AP69" s="26" t="inlineStr">
        <is>
          <t>Coordinators Morgan Stanley Asia Limited; China International Capital Corporation Hong Kong Securities Limited</t>
        </is>
      </c>
      <c r="AQ69" s="26" t="inlineStr">
        <is>
          <t>中國國際金融香港證券有限公司; 摩根士丹利亞洲有限公司</t>
        </is>
      </c>
      <c r="AR69" s="26" t="inlineStr">
        <is>
          <t>Managers Morgan Stanley Asia Limited; Morgan Stanley &amp; Co. International plc; Hong Kong Securities Limited; China Merchants Securities (HK) Co., Limited; DIRECTORS AND PARTIES INVOLVED IN THE GLOBAL OFFERING –1 1 5– Valuable Capital Limited</t>
        </is>
      </c>
      <c r="AS69" s="26" t="inlineStr">
        <is>
          <t>中國國際金融香港證券有限公司; 招商證券(香港)有限公司; 摩根士丹利亞洲有限公司; 華盛資本証券有限公司</t>
        </is>
      </c>
      <c r="AT69" s="37">
        <f>HYPERLINK("https://www1.hkexnews.hk/listedco/listconews/sehk/2021/0812/2021081200017.pdf","prospectus")</f>
        <v/>
      </c>
      <c r="AU69" s="37">
        <f>HYPERLINK("https://www1.hkexnews.hk/listedco/listconews/sehk/2021/0823/2021082300014.htm","allotment")</f>
        <v/>
      </c>
      <c r="AV69" s="37">
        <f>HYPERLINK("https://www1.hkexnews.hk/listedco/listconews/sehk/2021/0916/2021091601755.pdf","stabilisation")</f>
        <v/>
      </c>
      <c r="AW69" s="26" t="inlineStr">
        <is>
          <t>P/E: n/m — loss-making at IPO (use P/S) · A/H: no A-share listing · cornerstone: AAStocks institutional table includes non-cornerstone orders (superset) — cornerstone % is from the prospectus</t>
        </is>
      </c>
    </row>
    <row r="70">
      <c r="A70" s="25" t="inlineStr">
        <is>
          <t>9869</t>
        </is>
      </c>
      <c r="B70" s="26" t="inlineStr">
        <is>
          <t>HELENS</t>
        </is>
      </c>
      <c r="C70" s="26" t="inlineStr">
        <is>
          <t>海倫司</t>
        </is>
      </c>
      <c r="D70" s="26" t="inlineStr">
        <is>
          <t>Consumer</t>
        </is>
      </c>
      <c r="E70" s="26" t="inlineStr">
        <is>
          <t>F&amp;B chains / restaurants</t>
        </is>
      </c>
      <c r="F70" s="26" t="inlineStr">
        <is>
          <t>Standard</t>
        </is>
      </c>
      <c r="G70" s="27" t="n">
        <v>44449</v>
      </c>
      <c r="H70" s="28" t="n">
        <v>2662</v>
      </c>
      <c r="I70" s="26" t="inlineStr">
        <is>
          <t>gross (price x shares)</t>
        </is>
      </c>
      <c r="J70" s="29" t="n"/>
      <c r="K70" s="29" t="n">
        <v>20.72</v>
      </c>
      <c r="L70" s="29" t="n">
        <v>19.77</v>
      </c>
      <c r="M70" s="26" t="inlineStr">
        <is>
          <t>N</t>
        </is>
      </c>
      <c r="N70" s="30" t="n">
        <v>95.40000000000001</v>
      </c>
      <c r="O70" s="28" t="n">
        <v>25831.7</v>
      </c>
      <c r="P70" s="26" t="inlineStr">
        <is>
          <t>prospectus:stated market capitalisation</t>
        </is>
      </c>
      <c r="Q70" s="31" t="n">
        <v>30.8</v>
      </c>
      <c r="R70" s="32" t="n">
        <v>25.58</v>
      </c>
      <c r="S70" s="33" t="n">
        <v>0</v>
      </c>
      <c r="T70" s="26" t="n"/>
      <c r="U70" s="30" t="n">
        <v>19.4478</v>
      </c>
      <c r="V70" s="26" t="inlineStr">
        <is>
          <t>full</t>
        </is>
      </c>
      <c r="W70" s="34" t="n">
        <v>22.91</v>
      </c>
      <c r="X70" s="34" t="n">
        <v>16.34</v>
      </c>
      <c r="Y70" s="34" t="n">
        <v>2.93</v>
      </c>
      <c r="Z70" s="34" t="n">
        <v>4.96</v>
      </c>
      <c r="AA70" s="34" t="n">
        <v>-16.26</v>
      </c>
      <c r="AB70" s="34" t="n">
        <v>5.11</v>
      </c>
      <c r="AC70" s="34" t="n">
        <v>-2.18</v>
      </c>
      <c r="AD70" s="26" t="inlineStr">
        <is>
          <t>Hang Seng Commerce &amp; Industry sub-index</t>
        </is>
      </c>
      <c r="AE70" s="34" t="n">
        <v>-92.16</v>
      </c>
      <c r="AF70" s="28" t="n">
        <v>899.7</v>
      </c>
      <c r="AG70" s="28" t="n">
        <v>106.7</v>
      </c>
      <c r="AH70" s="26" t="inlineStr">
        <is>
          <t>Y</t>
        </is>
      </c>
      <c r="AI70" s="35" t="n">
        <v>242.1</v>
      </c>
      <c r="AJ70" s="35" t="n">
        <v>28.7</v>
      </c>
      <c r="AK70" s="26" t="inlineStr">
        <is>
          <t>N</t>
        </is>
      </c>
      <c r="AL70" s="36">
        <f>IF('BBG Verify'!K70="","not filed — run on terminal",'BBG Verify'!K70)</f>
        <v/>
      </c>
      <c r="AM70" s="26" t="inlineStr">
        <is>
          <t>N/A</t>
        </is>
      </c>
      <c r="AN70" s="26" t="inlineStr">
        <is>
          <t>N/A</t>
        </is>
      </c>
      <c r="AO70" s="26" t="inlineStr">
        <is>
          <t>N/A</t>
        </is>
      </c>
      <c r="AP70" s="26" t="inlineStr">
        <is>
          <t>China International Capital Corporation Hong Kong Securities Limited; Compliance Adviser Somerley Capital Limited; Receiving Banks CMB Wing Lung Bank Limited; Standard Chartered Bank (Hong Kong) Limited; and Transfer Office Walkers Corporate Limited; Principal Banks China Merchants Bank Co., Ltd., Wuhan Guanggu Technology Sub-branch; Wuhan, Hubei Province The PRC Standard Chartered Bank (Hong Kong) Ltd</t>
        </is>
      </c>
      <c r="AQ70" s="26" t="inlineStr">
        <is>
          <t>中國國際金融香港證券有限公司</t>
        </is>
      </c>
      <c r="AR70" s="26" t="inlineStr">
        <is>
          <t>中國國際金融香港證券有限公司</t>
        </is>
      </c>
      <c r="AS70" s="26" t="inlineStr">
        <is>
          <t>中國國際金融香港證券有限公司</t>
        </is>
      </c>
      <c r="AT70" s="37">
        <f>HYPERLINK("https://www1.hkexnews.hk/listedco/listconews/sehk/2021/0831/2021083100011.pdf","prospectus")</f>
        <v/>
      </c>
      <c r="AU70" s="37">
        <f>HYPERLINK("https://www1.hkexnews.hk/listedco/listconews/sehk/2021/0909/2021090900010.htm","allotment")</f>
        <v/>
      </c>
      <c r="AV70" s="37">
        <f>HYPERLINK("https://www1.hkexnews.hk/listedco/listconews/sehk/2021/1003/2021100300023.pdf","stabilisation")</f>
        <v/>
      </c>
      <c r="AW70" s="26" t="inlineStr">
        <is>
          <t>A/H: no A-share listing</t>
        </is>
      </c>
    </row>
    <row r="71">
      <c r="A71" s="25" t="inlineStr">
        <is>
          <t>2216</t>
        </is>
      </c>
      <c r="B71" s="26" t="inlineStr">
        <is>
          <t>BRONCUS-B</t>
        </is>
      </c>
      <c r="C71" s="26" t="inlineStr">
        <is>
          <t>堃博醫療－Ｂ</t>
        </is>
      </c>
      <c r="D71" s="26" t="inlineStr">
        <is>
          <t>Healthcare</t>
        </is>
      </c>
      <c r="E71" s="26" t="inlineStr">
        <is>
          <t>Medical devices</t>
        </is>
      </c>
      <c r="F71" s="26" t="inlineStr">
        <is>
          <t>18A</t>
        </is>
      </c>
      <c r="G71" s="27" t="n">
        <v>44463</v>
      </c>
      <c r="H71" s="28" t="n">
        <v>1670.9</v>
      </c>
      <c r="I71" s="26" t="inlineStr">
        <is>
          <t>gross (price x shares)</t>
        </is>
      </c>
      <c r="J71" s="29" t="n">
        <v>17.2</v>
      </c>
      <c r="K71" s="29" t="n">
        <v>18.7</v>
      </c>
      <c r="L71" s="29" t="n">
        <v>18.7</v>
      </c>
      <c r="M71" s="26" t="inlineStr">
        <is>
          <t>Y</t>
        </is>
      </c>
      <c r="N71" s="30" t="n">
        <v>100</v>
      </c>
      <c r="O71" s="28" t="n">
        <v>9435</v>
      </c>
      <c r="P71" s="26" t="inlineStr">
        <is>
          <t>prospectus:stated market capitalisation</t>
        </is>
      </c>
      <c r="Q71" s="31" t="n">
        <v>11.13</v>
      </c>
      <c r="R71" s="32" t="n">
        <v>4.1</v>
      </c>
      <c r="S71" s="33" t="n">
        <v>42.3</v>
      </c>
      <c r="T71" s="26" t="inlineStr">
        <is>
          <t>Artisan China Post-Venture Master Fund LP; CEPHEI; Emerging Markets Healthcare Partners LLC; Lake Bleu Prime Healthcare Master Fund Limited; 雪湖資本(香港)有限公司; Springhill Master Fund Limited; Summer Healthcare Fund, L.P; The Valliance Fund; UBS Asset Management (Singapore) Ltd; Worldwide Healthcare Partners LLC</t>
        </is>
      </c>
      <c r="U71" s="30" t="n">
        <v>7</v>
      </c>
      <c r="V71" s="26" t="inlineStr">
        <is>
          <t>lapsed</t>
        </is>
      </c>
      <c r="W71" s="34" t="n">
        <v>-19.79</v>
      </c>
      <c r="X71" s="34" t="n">
        <v>-27.81</v>
      </c>
      <c r="Y71" s="34" t="n">
        <v>-39.57</v>
      </c>
      <c r="Z71" s="34" t="n">
        <v>-56.74</v>
      </c>
      <c r="AA71" s="34" t="n">
        <v>-24.66</v>
      </c>
      <c r="AB71" s="34" t="n">
        <v>-32.85</v>
      </c>
      <c r="AC71" s="34" t="n">
        <v>-6.72</v>
      </c>
      <c r="AD71" s="26" t="inlineStr">
        <is>
          <t>China Biotech ETF (HS biotech proxy)</t>
        </is>
      </c>
      <c r="AE71" s="34" t="n">
        <v>-96.76000000000001</v>
      </c>
      <c r="AF71" s="28" t="n">
        <v>-0.1</v>
      </c>
      <c r="AG71" s="28" t="n"/>
      <c r="AH71" s="26" t="n"/>
      <c r="AI71" s="38">
        <f>IF('BBG Verify'!O71="","not filed — run on terminal",'BBG Verify'!O71)</f>
        <v/>
      </c>
      <c r="AJ71" s="35" t="n"/>
      <c r="AK71" s="26" t="inlineStr">
        <is>
          <t>N</t>
        </is>
      </c>
      <c r="AL71" s="36">
        <f>IF('BBG Verify'!K71="","not filed — run on terminal",'BBG Verify'!K71)</f>
        <v/>
      </c>
      <c r="AM71" s="26" t="inlineStr">
        <is>
          <t>N/A</t>
        </is>
      </c>
      <c r="AN71" s="26" t="inlineStr">
        <is>
          <t>N/A</t>
        </is>
      </c>
      <c r="AO71" s="26" t="inlineStr">
        <is>
          <t>N/A</t>
        </is>
      </c>
      <c r="AP71" s="26" t="inlineStr">
        <is>
          <t>Goldman Sachs (Asia) L.L.C; Haitong International Capital Limited</t>
        </is>
      </c>
      <c r="AQ71" s="26" t="inlineStr">
        <is>
          <t>海通國際資本有限公司; 高盛(亞洲)有限責任公司</t>
        </is>
      </c>
      <c r="AR71" s="26"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AS71" s="26" t="inlineStr">
        <is>
          <t>興證國際融資有限公司; 招銀國際融資有限公司; 信銀（香港）資本有限公司; 瑞士信貸（香港）有限公司; 高盛(亞洲)有限責任公司; 華泰金融控股(香港)有限公司; 海通國際證券有限公司</t>
        </is>
      </c>
      <c r="AT71" s="37">
        <f>HYPERLINK("https://www1.hkexnews.hk/listedco/listconews/sehk/2021/0913/2021091300015.pdf","prospectus")</f>
        <v/>
      </c>
      <c r="AU71" s="37">
        <f>HYPERLINK("https://www1.hkexnews.hk/listedco/listconews/sehk/2021/0923/2021092300020.htm","allotment")</f>
        <v/>
      </c>
      <c r="AV71" s="37">
        <f>HYPERLINK("https://www1.hkexnews.hk/listedco/listconews/sehk/2021/1017/2021101700017.pdf","stabilisation")</f>
        <v/>
      </c>
      <c r="AW71" s="26" t="inlineStr">
        <is>
          <t>P/E: net income not stated in extractable form · A/H: no A-share listing</t>
        </is>
      </c>
    </row>
    <row r="72">
      <c r="A72" s="25" t="inlineStr">
        <is>
          <t>9889</t>
        </is>
      </c>
      <c r="B72" s="26" t="inlineStr">
        <is>
          <t>DRCB</t>
        </is>
      </c>
      <c r="C72" s="26" t="inlineStr">
        <is>
          <t>東莞農商銀行</t>
        </is>
      </c>
      <c r="D72" s="26" t="inlineStr">
        <is>
          <t>Financials</t>
        </is>
      </c>
      <c r="E72" s="26" t="inlineStr">
        <is>
          <t>Banks</t>
        </is>
      </c>
      <c r="F72" s="26" t="inlineStr">
        <is>
          <t>Standard</t>
        </is>
      </c>
      <c r="G72" s="27" t="n">
        <v>44468</v>
      </c>
      <c r="H72" s="28" t="n">
        <v>8881.700000000001</v>
      </c>
      <c r="I72" s="26" t="inlineStr">
        <is>
          <t>net proceeds</t>
        </is>
      </c>
      <c r="J72" s="29" t="n">
        <v>7.92</v>
      </c>
      <c r="K72" s="29" t="n">
        <v>8.710000000000001</v>
      </c>
      <c r="L72" s="29" t="n">
        <v>7.92</v>
      </c>
      <c r="M72" s="26" t="inlineStr">
        <is>
          <t>N</t>
        </is>
      </c>
      <c r="N72" s="30" t="n">
        <v>90.90000000000001</v>
      </c>
      <c r="O72" s="28" t="n">
        <v>53279.5</v>
      </c>
      <c r="P72" s="26" t="inlineStr">
        <is>
          <t>derived:deal size / offer % of enlarged capital</t>
        </is>
      </c>
      <c r="Q72" s="43">
        <f>IF('BBG Verify'!C72="","not filed — run on terminal",'BBG Verify'!C72)</f>
        <v/>
      </c>
      <c r="R72" s="32" t="n">
        <v>1.18</v>
      </c>
      <c r="S72" s="33" t="n">
        <v>2.2</v>
      </c>
      <c r="T72" s="26" t="inlineStr">
        <is>
          <t>福民發展有限公司</t>
        </is>
      </c>
      <c r="U72" s="30" t="n">
        <v>16.67</v>
      </c>
      <c r="V72" s="26" t="inlineStr">
        <is>
          <t>lapsed (no over-allocation)</t>
        </is>
      </c>
      <c r="W72" s="34" t="n">
        <v>4.17</v>
      </c>
      <c r="X72" s="34" t="n">
        <v>-4.92</v>
      </c>
      <c r="Y72" s="34" t="n">
        <v>-8.59</v>
      </c>
      <c r="Z72" s="34" t="n">
        <v>-4.67</v>
      </c>
      <c r="AA72" s="34" t="n">
        <v>-12.25</v>
      </c>
      <c r="AB72" s="34" t="n">
        <v>-12.64</v>
      </c>
      <c r="AC72" s="34" t="n">
        <v>4.05</v>
      </c>
      <c r="AD72" s="26" t="inlineStr">
        <is>
          <t>Hang Seng Finance sub-index</t>
        </is>
      </c>
      <c r="AE72" s="34" t="n">
        <v>-58.4</v>
      </c>
      <c r="AF72" s="28" t="n">
        <v>2.2</v>
      </c>
      <c r="AG72" s="28" t="n">
        <v>5.6</v>
      </c>
      <c r="AH72" s="26" t="inlineStr">
        <is>
          <t>Y</t>
        </is>
      </c>
      <c r="AI72" s="35" t="n">
        <v>9514.200000000001</v>
      </c>
      <c r="AJ72" s="35" t="n">
        <v>24218</v>
      </c>
      <c r="AK72" s="26" t="inlineStr">
        <is>
          <t>N</t>
        </is>
      </c>
      <c r="AL72" s="36">
        <f>IF('BBG Verify'!K72="","not filed — run on terminal",'BBG Verify'!K72)</f>
        <v/>
      </c>
      <c r="AM72" s="26" t="inlineStr">
        <is>
          <t>N/A</t>
        </is>
      </c>
      <c r="AN72" s="26" t="inlineStr">
        <is>
          <t>N/A</t>
        </is>
      </c>
      <c r="AO72" s="26" t="inlineStr">
        <is>
          <t>N/A</t>
        </is>
      </c>
      <c r="AP72" s="26" t="inlineStr">
        <is>
          <t>China Merchants Securities (HK) Co., Limited; Central, Hong Kong CMB International Capital Limited; Central, Hong Kong ABCI Capital Limited; ICBC International Capital Limited</t>
        </is>
      </c>
      <c r="AQ72" s="26" t="inlineStr">
        <is>
          <t>招銀國際融資有限公司; 招商證券(香港)有限公司; 工銀國際融資有限公司; 農銀國際融資有限公司</t>
        </is>
      </c>
      <c r="AR72" s="26" t="inlineStr">
        <is>
          <t>ABCI Capital Limited; China Merchants Securities (HK) Co., Limited; Central, Hong Kong CMB International Capital Limited; Fortune (HK) Securities Limited; Central, Hong Kong ICBC International Capital Limited; Haitong International Securities Company Limited; CCB International Capital Limited; Central, Hong Kong AMTD Global Markets Limited</t>
        </is>
      </c>
      <c r="AS72" s="26" t="inlineStr">
        <is>
          <t>農銀國際證券有限公司; 尚乘環球市場有限公司; 建銀國際金融有限公司; 招銀國際融資有限公司; 招商證券(香港)有限公司; 富強證券有限公司; 海通國際證券有限公司; 工銀國際證券有限公司</t>
        </is>
      </c>
      <c r="AT72" s="37">
        <f>HYPERLINK("https://www1.hkexnews.hk/listedco/listconews/sehk/2021/0916/2021091600052.htm","prospectus")</f>
        <v/>
      </c>
      <c r="AU72" s="37">
        <f>HYPERLINK("https://www1.hkexnews.hk/listedco/listconews/sehk/2021/0928/2021092800010.htm","allotment")</f>
        <v/>
      </c>
      <c r="AV72" s="37">
        <f>HYPERLINK("https://www1.hkexnews.hk/listedco/listconews/sehk/2021/1021/2021102100557.pdf","stabilisation")</f>
        <v/>
      </c>
      <c r="AW72" s="26" t="inlineStr">
        <is>
          <t>A/H: no A-share listing</t>
        </is>
      </c>
    </row>
    <row r="73">
      <c r="A73" s="25" t="inlineStr">
        <is>
          <t>6628</t>
        </is>
      </c>
      <c r="B73" s="26" t="inlineStr">
        <is>
          <t>TRANSCENTA-B</t>
        </is>
      </c>
      <c r="C73" s="26" t="inlineStr">
        <is>
          <t>創勝集團醫藥－Ｂ</t>
        </is>
      </c>
      <c r="D73" s="26" t="inlineStr">
        <is>
          <t>Healthcare</t>
        </is>
      </c>
      <c r="E73" s="26" t="inlineStr">
        <is>
          <t>Biotech pre-revenue (18A)</t>
        </is>
      </c>
      <c r="F73" s="26" t="inlineStr">
        <is>
          <t>18A</t>
        </is>
      </c>
      <c r="G73" s="27" t="n">
        <v>44468</v>
      </c>
      <c r="H73" s="28" t="n">
        <v>645.3</v>
      </c>
      <c r="I73" s="26" t="inlineStr">
        <is>
          <t>gross (price x shares)</t>
        </is>
      </c>
      <c r="J73" s="29" t="n"/>
      <c r="K73" s="29" t="n">
        <v>16</v>
      </c>
      <c r="L73" s="29" t="n">
        <v>16</v>
      </c>
      <c r="M73" s="26" t="inlineStr">
        <is>
          <t>Y</t>
        </is>
      </c>
      <c r="N73" s="30" t="n">
        <v>100</v>
      </c>
      <c r="O73" s="28" t="n">
        <v>6265</v>
      </c>
      <c r="P73" s="26" t="inlineStr">
        <is>
          <t>derived:deal size / offer % of enlarged capital</t>
        </is>
      </c>
      <c r="Q73" s="31" t="n">
        <v>60.7</v>
      </c>
      <c r="R73" s="32" t="n">
        <v>2.1</v>
      </c>
      <c r="S73" s="33" t="n">
        <v>40</v>
      </c>
      <c r="T73" s="26" t="inlineStr">
        <is>
          <t>中國國有企業結構調整基金; LAV Biosciences Fund V, L.P</t>
        </is>
      </c>
      <c r="U73" s="30" t="n">
        <v>15.1</v>
      </c>
      <c r="V73" s="26" t="inlineStr">
        <is>
          <t>lapsed</t>
        </is>
      </c>
      <c r="W73" s="34" t="n">
        <v>-17.25</v>
      </c>
      <c r="X73" s="34" t="n">
        <v>-3.12</v>
      </c>
      <c r="Y73" s="34" t="n">
        <v>-43.81</v>
      </c>
      <c r="Z73" s="34" t="n">
        <v>-41.75</v>
      </c>
      <c r="AA73" s="34" t="n">
        <v>-32.1</v>
      </c>
      <c r="AB73" s="34" t="n">
        <v>-34.62</v>
      </c>
      <c r="AC73" s="34" t="n">
        <v>-9.19</v>
      </c>
      <c r="AD73" s="26" t="inlineStr">
        <is>
          <t>China Biotech ETF (HS biotech proxy)</t>
        </is>
      </c>
      <c r="AE73" s="34" t="n">
        <v>-93.53</v>
      </c>
      <c r="AF73" s="28" t="n">
        <v>7.5</v>
      </c>
      <c r="AG73" s="28" t="n">
        <v>-27.3</v>
      </c>
      <c r="AH73" s="26" t="inlineStr">
        <is>
          <t>N</t>
        </is>
      </c>
      <c r="AI73" s="38">
        <f>IF('BBG Verify'!O73="","not filed — run on terminal",'BBG Verify'!O73)</f>
        <v/>
      </c>
      <c r="AJ73" s="35" t="n">
        <v>835.3</v>
      </c>
      <c r="AK73" s="26" t="inlineStr">
        <is>
          <t>N</t>
        </is>
      </c>
      <c r="AL73" s="36">
        <f>IF('BBG Verify'!K73="","not filed — run on terminal",'BBG Verify'!K73)</f>
        <v/>
      </c>
      <c r="AM73" s="26" t="inlineStr">
        <is>
          <t>N/A</t>
        </is>
      </c>
      <c r="AN73" s="26" t="inlineStr">
        <is>
          <t>N/A</t>
        </is>
      </c>
      <c r="AO73" s="26" t="inlineStr">
        <is>
          <t>N/A</t>
        </is>
      </c>
      <c r="AP73" s="26"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AQ73" s="26" t="inlineStr">
        <is>
          <t>中國國際金融香港證券有限公司; 高盛(亞洲)有限責任公司</t>
        </is>
      </c>
      <c r="AR73" s="26" t="inlineStr">
        <is>
          <t>中銀國際亞洲有限公司; 中國國際金融香港證券有限公司; 華興資本證券(香港)有限公司; 高盛(亞洲)有限責任公司</t>
        </is>
      </c>
      <c r="AS73" s="26" t="inlineStr">
        <is>
          <t>中銀國際亞洲有限公司; 中國國際金融香港證券有限公司; 華興資本證券(香港)有限公司; 高盛(亞洲)有限責任公司</t>
        </is>
      </c>
      <c r="AT73" s="37">
        <f>HYPERLINK("https://www1.hkexnews.hk/listedco/listconews/sehk/2021/0914/2021091400015.pdf","prospectus")</f>
        <v/>
      </c>
      <c r="AU73" s="37">
        <f>HYPERLINK("https://www1.hkexnews.hk/listedco/listconews/sehk/2021/0928/2021092800028.htm","allotment")</f>
        <v/>
      </c>
      <c r="AV73" s="37">
        <f>HYPERLINK("https://www1.hkexnews.hk/listedco/listconews/sehk/2021/1017/2021101700005.pdf","stabilisation")</f>
        <v/>
      </c>
      <c r="AW73" s="26" t="inlineStr">
        <is>
          <t>P/E: n/m — loss-making at IPO (use P/S) · A/H: no A-share listing</t>
        </is>
      </c>
    </row>
    <row r="74">
      <c r="A74" s="25" t="inlineStr">
        <is>
          <t>2378</t>
        </is>
      </c>
      <c r="B74" s="26" t="inlineStr">
        <is>
          <t>PRU</t>
        </is>
      </c>
      <c r="C74" s="26" t="inlineStr">
        <is>
          <t>保誠</t>
        </is>
      </c>
      <c r="D74" s="26" t="inlineStr">
        <is>
          <t>Financials</t>
        </is>
      </c>
      <c r="E74" s="26" t="inlineStr">
        <is>
          <t>Insurance</t>
        </is>
      </c>
      <c r="F74" s="26" t="inlineStr">
        <is>
          <t>Standard</t>
        </is>
      </c>
      <c r="G74" s="27" t="n">
        <v>44473</v>
      </c>
      <c r="H74" s="28" t="n">
        <v>18500</v>
      </c>
      <c r="I74" s="26" t="inlineStr">
        <is>
          <t>net proceeds</t>
        </is>
      </c>
      <c r="J74" s="29" t="n"/>
      <c r="K74" s="29" t="n">
        <v>172</v>
      </c>
      <c r="L74" s="29" t="n">
        <v>143.8</v>
      </c>
      <c r="M74" s="26" t="inlineStr">
        <is>
          <t>N</t>
        </is>
      </c>
      <c r="N74" s="30" t="n">
        <v>83.59999999999999</v>
      </c>
      <c r="O74" s="41">
        <f>IF('BBG Verify'!M74="","not filed — run on terminal",'BBG Verify'!M74)</f>
        <v/>
      </c>
      <c r="P74" s="26" t="n"/>
      <c r="Q74" s="31" t="n">
        <v>1.43</v>
      </c>
      <c r="R74" s="39">
        <f>IF('BBG Verify'!E74="","not filed — run on terminal",'BBG Verify'!E74)</f>
        <v/>
      </c>
      <c r="S74" s="33" t="n"/>
      <c r="T74" s="26" t="n"/>
      <c r="U74" s="30" t="n"/>
      <c r="V74" s="26" t="n"/>
      <c r="W74" s="34" t="n">
        <v>4.73</v>
      </c>
      <c r="X74" s="34" t="n">
        <v>10.64</v>
      </c>
      <c r="Y74" s="34" t="n">
        <v>8.9</v>
      </c>
      <c r="Z74" s="34" t="n">
        <v>-6.05</v>
      </c>
      <c r="AA74" s="34" t="n">
        <v>3.98</v>
      </c>
      <c r="AB74" s="34" t="n">
        <v>7.57</v>
      </c>
      <c r="AC74" s="34" t="n">
        <v>1.33</v>
      </c>
      <c r="AD74" s="26" t="inlineStr">
        <is>
          <t>Hang Seng Finance sub-index</t>
        </is>
      </c>
      <c r="AE74" s="34" t="n">
        <v>-24.06</v>
      </c>
      <c r="AF74" s="28" t="n"/>
      <c r="AG74" s="28" t="n"/>
      <c r="AH74" s="26" t="n"/>
      <c r="AI74" s="38">
        <f>IF('BBG Verify'!O74="","not filed — run on terminal",'BBG Verify'!O74)</f>
        <v/>
      </c>
      <c r="AJ74" s="35" t="n"/>
      <c r="AK74" s="26" t="inlineStr">
        <is>
          <t>N</t>
        </is>
      </c>
      <c r="AL74" s="36">
        <f>IF('BBG Verify'!K74="","not filed — run on terminal",'BBG Verify'!K74)</f>
        <v/>
      </c>
      <c r="AM74" s="26" t="inlineStr">
        <is>
          <t>N/A</t>
        </is>
      </c>
      <c r="AN74" s="26" t="inlineStr">
        <is>
          <t>N/A</t>
        </is>
      </c>
      <c r="AO74" s="26" t="inlineStr">
        <is>
          <t>N/A</t>
        </is>
      </c>
      <c r="AP74" s="26" t="n"/>
      <c r="AQ74" s="26" t="n"/>
      <c r="AR74" s="26" t="n"/>
      <c r="AS74" s="26" t="n"/>
      <c r="AT74" s="37">
        <f>HYPERLINK("https://www1.hkexnews.hk/listedco/listconews/sehk/2021/0920/2021092000007.pdf","prospectus")</f>
        <v/>
      </c>
      <c r="AU74" s="37">
        <f>HYPERLINK("https://www1.hkexnews.hk/listedco/listconews/sehk/2021/0930/2021093000120.htm","allotment")</f>
        <v/>
      </c>
      <c r="AV74" s="26" t="n"/>
      <c r="AW74" s="26" t="inlineStr">
        <is>
          <t>intl sub: subscription level not stated in the filing · P/E: net income not stated in extractable form · greenshoe: no over-allotment option in the offer structure · A/H: no A-share listing · sponsor: sponsor not stated in the extractable filing text</t>
        </is>
      </c>
    </row>
    <row r="75">
      <c r="A75" s="25" t="inlineStr">
        <is>
          <t>2256</t>
        </is>
      </c>
      <c r="B75" s="26" t="inlineStr">
        <is>
          <t>ABBISKO-B</t>
        </is>
      </c>
      <c r="C75" s="26" t="inlineStr">
        <is>
          <t>和譽－Ｂ</t>
        </is>
      </c>
      <c r="D75" s="26" t="inlineStr">
        <is>
          <t>Healthcare</t>
        </is>
      </c>
      <c r="E75" s="26" t="inlineStr">
        <is>
          <t>Biotech pre-revenue (18A)</t>
        </is>
      </c>
      <c r="F75" s="26" t="inlineStr">
        <is>
          <t>18A</t>
        </is>
      </c>
      <c r="G75" s="27" t="n">
        <v>44482</v>
      </c>
      <c r="H75" s="28" t="n">
        <v>1753.6</v>
      </c>
      <c r="I75" s="26" t="inlineStr">
        <is>
          <t>gross (price x shares)</t>
        </is>
      </c>
      <c r="J75" s="29" t="n">
        <v>12.16</v>
      </c>
      <c r="K75" s="29" t="n">
        <v>12.46</v>
      </c>
      <c r="L75" s="29" t="n">
        <v>12.46</v>
      </c>
      <c r="M75" s="26" t="inlineStr">
        <is>
          <t>Y</t>
        </is>
      </c>
      <c r="N75" s="30" t="n">
        <v>100</v>
      </c>
      <c r="O75" s="28" t="n">
        <v>8542</v>
      </c>
      <c r="P75" s="26" t="inlineStr">
        <is>
          <t>prospectus:stated market capitalisation</t>
        </is>
      </c>
      <c r="Q75" s="31" t="n">
        <v>5.64</v>
      </c>
      <c r="R75" s="32" t="n">
        <v>4.65</v>
      </c>
      <c r="S75" s="33" t="n">
        <v>56.63</v>
      </c>
      <c r="T75" s="26"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U75" s="30" t="n">
        <v>8.5</v>
      </c>
      <c r="V75" s="26" t="inlineStr">
        <is>
          <t>partial</t>
        </is>
      </c>
      <c r="W75" s="34" t="n">
        <v>-0.48</v>
      </c>
      <c r="X75" s="34" t="n">
        <v>-6.9</v>
      </c>
      <c r="Y75" s="34" t="n">
        <v>-13</v>
      </c>
      <c r="Z75" s="34" t="n">
        <v>-31.94</v>
      </c>
      <c r="AA75" s="34" t="n">
        <v>-12.58</v>
      </c>
      <c r="AB75" s="34" t="n">
        <v>-10.74</v>
      </c>
      <c r="AC75" s="34" t="n">
        <v>-2.26</v>
      </c>
      <c r="AD75" s="26" t="inlineStr">
        <is>
          <t>China Biotech ETF (HS biotech proxy)</t>
        </is>
      </c>
      <c r="AE75" s="34" t="n">
        <v>-17.26</v>
      </c>
      <c r="AF75" s="28" t="n">
        <v>0.6</v>
      </c>
      <c r="AG75" s="28" t="n">
        <v>-147.3</v>
      </c>
      <c r="AH75" s="26" t="inlineStr">
        <is>
          <t>N</t>
        </is>
      </c>
      <c r="AI75" s="38">
        <f>IF('BBG Verify'!O75="","not filed — run on terminal",'BBG Verify'!O75)</f>
        <v/>
      </c>
      <c r="AJ75" s="35" t="n">
        <v>14236.7</v>
      </c>
      <c r="AK75" s="26" t="inlineStr">
        <is>
          <t>N</t>
        </is>
      </c>
      <c r="AL75" s="36">
        <f>IF('BBG Verify'!K75="","not filed — run on terminal",'BBG Verify'!K75)</f>
        <v/>
      </c>
      <c r="AM75" s="26" t="inlineStr">
        <is>
          <t>N/A</t>
        </is>
      </c>
      <c r="AN75" s="26" t="inlineStr">
        <is>
          <t>N/A</t>
        </is>
      </c>
      <c r="AO75" s="26" t="inlineStr">
        <is>
          <t>N/A</t>
        </is>
      </c>
      <c r="AP75" s="26" t="inlineStr">
        <is>
          <t>Morgan Stanley Asia Limited; J.P. Morgan Securities (Far East) Limited</t>
        </is>
      </c>
      <c r="AQ75" s="26" t="inlineStr">
        <is>
          <t>摩根士丹利亞洲有限公司; J.P. Morgan Securities (Far East) Limited</t>
        </is>
      </c>
      <c r="AR75" s="26" t="inlineStr">
        <is>
          <t>Morgan Stanley Asia Limited; J.P. Morgan Securities (Asia Pacific) Limited; China International Capital Corporation Hong Kong Securities Limited</t>
        </is>
      </c>
      <c r="AS75" s="26" t="inlineStr">
        <is>
          <t>中國國際金融香港證券有限公司; 興證國際融資有限公司; 華泰金融控股(香港)有限公司; 海通國際證券有限公司; 香港上海匯豐銀行有限公司; J.P. Morgan Securities (Asia Pacific) Limited; J.P. Morgan Securities plc; 摩根士丹利亞洲有限公司; Morgan Stanley &amp; Co. International plc; SVB Leerink LLC</t>
        </is>
      </c>
      <c r="AT75" s="37">
        <f>HYPERLINK("https://www1.hkexnews.hk/listedco/listconews/sehk/2021/0930/2021093000017.pdf","prospectus")</f>
        <v/>
      </c>
      <c r="AU75" s="37">
        <f>HYPERLINK("https://www1.hkexnews.hk/listedco/listconews/sehk/2021/1012/2021101200008.htm","allotment")</f>
        <v/>
      </c>
      <c r="AV75" s="37">
        <f>HYPERLINK("https://www1.hkexnews.hk/listedco/listconews/sehk/2021/1105/2021110501527.pdf","stabilisation")</f>
        <v/>
      </c>
      <c r="AW75" s="26" t="inlineStr">
        <is>
          <t>P/E: n/m — loss-making at IPO (use P/S) · A/H: no A-share listing</t>
        </is>
      </c>
    </row>
    <row r="76">
      <c r="A76" s="25" t="inlineStr">
        <is>
          <t>2235</t>
        </is>
      </c>
      <c r="B76" s="26" t="inlineStr">
        <is>
          <t>MICROTECH MED-B</t>
        </is>
      </c>
      <c r="C76" s="26" t="inlineStr">
        <is>
          <t>微泰醫療－Ｂ</t>
        </is>
      </c>
      <c r="D76" s="26" t="inlineStr">
        <is>
          <t>Healthcare</t>
        </is>
      </c>
      <c r="E76" s="26" t="inlineStr">
        <is>
          <t>Medical devices</t>
        </is>
      </c>
      <c r="F76" s="26" t="inlineStr">
        <is>
          <t>18A</t>
        </is>
      </c>
      <c r="G76" s="27" t="n">
        <v>44488</v>
      </c>
      <c r="H76" s="28" t="n">
        <v>75.7</v>
      </c>
      <c r="I76" s="26" t="inlineStr">
        <is>
          <t>gross (stated)</t>
        </is>
      </c>
      <c r="J76" s="29" t="n">
        <v>27.7</v>
      </c>
      <c r="K76" s="29" t="n">
        <v>31.15</v>
      </c>
      <c r="L76" s="29" t="n">
        <v>30.5</v>
      </c>
      <c r="M76" s="26" t="inlineStr">
        <is>
          <t>N</t>
        </is>
      </c>
      <c r="N76" s="30" t="n">
        <v>97.90000000000001</v>
      </c>
      <c r="O76" s="28" t="n">
        <v>13231.3</v>
      </c>
      <c r="P76" s="26" t="inlineStr">
        <is>
          <t>aastocks:上市市值 at the struck price</t>
        </is>
      </c>
      <c r="Q76" s="31" t="n">
        <v>6.79</v>
      </c>
      <c r="R76" s="32" t="n">
        <v>4.9</v>
      </c>
      <c r="S76" s="33" t="n">
        <v>61.7</v>
      </c>
      <c r="T76" s="26" t="inlineStr">
        <is>
          <t>Boyu Capital Opportunities Master Fund; Hudson Bay Master Fund Ltd; Invesco Advisers, Inc; Lake Bleu Prime Healthcare Master Fund Limited; LAV Star Limited and LAV Star Opportunities Limited; Octagon Investments Master Fund LP; OrbiMed Advisors LLC; Sage Partners Master Fund; Springhill Master Fund Limited; Tencent Mobility Limited; UBS Asset Management (Singapore) Ltd</t>
        </is>
      </c>
      <c r="U76" s="30" t="n">
        <v>17.36</v>
      </c>
      <c r="V76" s="26" t="inlineStr">
        <is>
          <t>partial</t>
        </is>
      </c>
      <c r="W76" s="34" t="n">
        <v>0</v>
      </c>
      <c r="X76" s="34" t="n">
        <v>0.16</v>
      </c>
      <c r="Y76" s="34" t="n">
        <v>-6.56</v>
      </c>
      <c r="Z76" s="34" t="n">
        <v>-35.74</v>
      </c>
      <c r="AA76" s="34" t="n">
        <v>-6.56</v>
      </c>
      <c r="AB76" s="34" t="n">
        <v>-7.91</v>
      </c>
      <c r="AC76" s="34" t="n">
        <v>1.35</v>
      </c>
      <c r="AD76" s="26" t="inlineStr">
        <is>
          <t>China Biotech ETF (HS biotech proxy)</t>
        </is>
      </c>
      <c r="AE76" s="34" t="n">
        <v>-77.08</v>
      </c>
      <c r="AF76" s="28" t="n">
        <v>19.5</v>
      </c>
      <c r="AG76" s="28" t="n">
        <v>-4.5</v>
      </c>
      <c r="AH76" s="26" t="inlineStr">
        <is>
          <t>N</t>
        </is>
      </c>
      <c r="AI76" s="38">
        <f>IF('BBG Verify'!O76="","not filed — run on terminal",'BBG Verify'!O76)</f>
        <v/>
      </c>
      <c r="AJ76" s="35" t="n">
        <v>678.5</v>
      </c>
      <c r="AK76" s="26" t="inlineStr">
        <is>
          <t>N</t>
        </is>
      </c>
      <c r="AL76" s="36">
        <f>IF('BBG Verify'!K76="","not filed — run on terminal",'BBG Verify'!K76)</f>
        <v/>
      </c>
      <c r="AM76" s="26" t="inlineStr">
        <is>
          <t>N/A</t>
        </is>
      </c>
      <c r="AN76" s="26" t="inlineStr">
        <is>
          <t>N/A</t>
        </is>
      </c>
      <c r="AO76" s="26" t="inlineStr">
        <is>
          <t>N/A</t>
        </is>
      </c>
      <c r="AP76" s="26" t="inlineStr">
        <is>
          <t>Goldman Sachs (Asia) L.L.C; China International Capital Corporation Hong Kong Securities Limited</t>
        </is>
      </c>
      <c r="AQ76" s="26" t="inlineStr">
        <is>
          <t>中國國際金融香港證券有限公司; 高盛(亞洲)有限責任公司</t>
        </is>
      </c>
      <c r="AR76" s="26" t="inlineStr">
        <is>
          <t>Goldman Sachs (Asia) L.L.C; China International Capital Corporation Hong Kong Securities Limited; CLSA Limited</t>
        </is>
      </c>
      <c r="AS76" s="26" t="inlineStr">
        <is>
          <t>中國國際金融香港證券有限公司; 中信里昂證券有限公司; 高盛(亞洲)有限責任公司</t>
        </is>
      </c>
      <c r="AT76" s="37">
        <f>HYPERLINK("https://www1.hkexnews.hk/listedco/listconews/sehk/2021/1006/2021100600007.pdf","prospectus")</f>
        <v/>
      </c>
      <c r="AU76" s="37">
        <f>HYPERLINK("https://www1.hkexnews.hk/listedco/listconews/sehk/2021/1018/2021101800008.htm","allotment")</f>
        <v/>
      </c>
      <c r="AV76" s="37">
        <f>HYPERLINK("https://www1.hkexnews.hk/listedco/listconews/sehk/2021/1111/2021111100027.pdf","stabilisation")</f>
        <v/>
      </c>
      <c r="AW76" s="26"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77">
      <c r="A77" s="25" t="inlineStr">
        <is>
          <t>2252</t>
        </is>
      </c>
      <c r="B77" s="26" t="inlineStr">
        <is>
          <t>MEDBOT-B</t>
        </is>
      </c>
      <c r="C77" s="26" t="inlineStr">
        <is>
          <t>微創機器人－Ｂ</t>
        </is>
      </c>
      <c r="D77" s="26" t="inlineStr">
        <is>
          <t>Healthcare</t>
        </is>
      </c>
      <c r="E77" s="26" t="inlineStr">
        <is>
          <t>Medical devices</t>
        </is>
      </c>
      <c r="F77" s="26" t="inlineStr">
        <is>
          <t>18A</t>
        </is>
      </c>
      <c r="G77" s="27" t="n">
        <v>44502</v>
      </c>
      <c r="H77" s="28" t="n">
        <v>1563.8</v>
      </c>
      <c r="I77" s="26" t="inlineStr">
        <is>
          <t>gross (price x shares)</t>
        </is>
      </c>
      <c r="J77" s="29" t="n">
        <v>36</v>
      </c>
      <c r="K77" s="29" t="n">
        <v>43.2</v>
      </c>
      <c r="L77" s="29" t="n">
        <v>43.2</v>
      </c>
      <c r="M77" s="26" t="inlineStr">
        <is>
          <t>Y</t>
        </is>
      </c>
      <c r="N77" s="30" t="n">
        <v>100</v>
      </c>
      <c r="O77" s="28" t="n">
        <v>41411.3</v>
      </c>
      <c r="P77" s="26" t="inlineStr">
        <is>
          <t>aastocks:上市市值 at the struck price</t>
        </is>
      </c>
      <c r="Q77" s="31" t="n">
        <v>163.83</v>
      </c>
      <c r="R77" s="39">
        <f>IF('BBG Verify'!E77="","not filed — run on terminal",'BBG Verify'!E77)</f>
        <v/>
      </c>
      <c r="S77" s="33" t="n">
        <v>45</v>
      </c>
      <c r="T77" s="26" t="inlineStr">
        <is>
          <t>Artisan China Post-Venture Master Fund LP; Aspex Master Fund; CloudAlpha Master Fund; Hillhouse Funds; LAV Fund VI, L.P; Snow Lake Funds and Accounts; Yorkool International Limited</t>
        </is>
      </c>
      <c r="U77" s="30" t="n">
        <v>15</v>
      </c>
      <c r="V77" s="26" t="inlineStr">
        <is>
          <t>full</t>
        </is>
      </c>
      <c r="W77" s="34" t="n">
        <v>6.02</v>
      </c>
      <c r="X77" s="34" t="n">
        <v>34.03</v>
      </c>
      <c r="Y77" s="34" t="n">
        <v>24.19</v>
      </c>
      <c r="Z77" s="34" t="n">
        <v>6.48</v>
      </c>
      <c r="AA77" s="34" t="n">
        <v>17.14</v>
      </c>
      <c r="AB77" s="34" t="n">
        <v>22.54</v>
      </c>
      <c r="AC77" s="34" t="n">
        <v>1.65</v>
      </c>
      <c r="AD77" s="26" t="inlineStr">
        <is>
          <t>China Biotech ETF (HS biotech proxy)</t>
        </is>
      </c>
      <c r="AE77" s="34" t="n">
        <v>-42.55</v>
      </c>
      <c r="AF77" s="28" t="n">
        <v>8.800000000000001</v>
      </c>
      <c r="AG77" s="28" t="n">
        <v>-53.9</v>
      </c>
      <c r="AH77" s="26" t="inlineStr">
        <is>
          <t>N</t>
        </is>
      </c>
      <c r="AI77" s="38">
        <f>IF('BBG Verify'!O77="","not filed — run on terminal",'BBG Verify'!O77)</f>
        <v/>
      </c>
      <c r="AJ77" s="35" t="n">
        <v>4705.8</v>
      </c>
      <c r="AK77" s="26" t="inlineStr">
        <is>
          <t>N</t>
        </is>
      </c>
      <c r="AL77" s="36">
        <f>IF('BBG Verify'!K77="","not filed — run on terminal",'BBG Verify'!K77)</f>
        <v/>
      </c>
      <c r="AM77" s="26" t="inlineStr">
        <is>
          <t>N/A</t>
        </is>
      </c>
      <c r="AN77" s="26" t="inlineStr">
        <is>
          <t>N/A</t>
        </is>
      </c>
      <c r="AO77" s="26" t="inlineStr">
        <is>
          <t>N/A</t>
        </is>
      </c>
      <c r="AP77" s="26" t="inlineStr">
        <is>
          <t>J.P. Morgan Securities (Far East) Limited; China International Capital Corporation Hong Kong Securities Limited</t>
        </is>
      </c>
      <c r="AQ77" s="26" t="inlineStr">
        <is>
          <t>中國國際金融香港證券有限公司; J.P. Morgan Securities (Far East) Limited</t>
        </is>
      </c>
      <c r="AR77" s="26" t="inlineStr">
        <is>
          <t>J.P. Morgan Securities (Asia Pacific) Limited; China International Capital Corporation Hong Kong Securities Limited; Hong Kong Securities Limited</t>
        </is>
      </c>
      <c r="AS77" s="26" t="inlineStr">
        <is>
          <t>中國國際金融香港證券有限公司; 富途證券國際（香港）有限公司; J.P. Morgan Securities (Asia Pacific) Limited; 利弗莫爾證券有限公司</t>
        </is>
      </c>
      <c r="AT77" s="37">
        <f>HYPERLINK("https://www1.hkexnews.hk/listedco/listconews/sehk/2021/1021/2021102100011.pdf","prospectus")</f>
        <v/>
      </c>
      <c r="AU77" s="37">
        <f>HYPERLINK("https://www1.hkexnews.hk/listedco/listconews/sehk/2021/1101/2021110100012.htm","allotment")</f>
        <v/>
      </c>
      <c r="AV77" s="37">
        <f>HYPERLINK("https://www1.hkexnews.hk/listedco/listconews/sehk/2021/1125/2021112501059.pdf","stabilisation")</f>
        <v/>
      </c>
      <c r="AW77" s="26" t="inlineStr">
        <is>
          <t>intl sub: subscription level not stated in the filing · P/E: n/m — loss-making at IPO (use P/S) · A/H: no A-share listing</t>
        </is>
      </c>
    </row>
    <row r="78">
      <c r="A78" s="25" t="inlineStr">
        <is>
          <t>2251</t>
        </is>
      </c>
      <c r="B78" s="26" t="inlineStr">
        <is>
          <t>AIRDOC-B</t>
        </is>
      </c>
      <c r="C78" s="26" t="inlineStr">
        <is>
          <t>鷹瞳科技－Ｂ</t>
        </is>
      </c>
      <c r="D78" s="26" t="inlineStr">
        <is>
          <t>Healthcare</t>
        </is>
      </c>
      <c r="E78" s="26" t="inlineStr">
        <is>
          <t>Digital health</t>
        </is>
      </c>
      <c r="F78" s="26" t="inlineStr">
        <is>
          <t>18A</t>
        </is>
      </c>
      <c r="G78" s="27" t="n">
        <v>44505</v>
      </c>
      <c r="H78" s="28" t="n">
        <v>1566.4</v>
      </c>
      <c r="I78" s="26" t="inlineStr">
        <is>
          <t>net proceeds</t>
        </is>
      </c>
      <c r="J78" s="29" t="n">
        <v>75.09999999999999</v>
      </c>
      <c r="K78" s="29" t="n">
        <v>81.3</v>
      </c>
      <c r="L78" s="29" t="n">
        <v>75.09999999999999</v>
      </c>
      <c r="M78" s="26" t="inlineStr">
        <is>
          <t>N</t>
        </is>
      </c>
      <c r="N78" s="30" t="n">
        <v>92.40000000000001</v>
      </c>
      <c r="O78" s="28" t="n">
        <v>8099.1</v>
      </c>
      <c r="P78" s="26" t="inlineStr">
        <is>
          <t>aastocks:上市市值 at the struck price</t>
        </is>
      </c>
      <c r="Q78" s="31" t="n">
        <v>6.18</v>
      </c>
      <c r="R78" s="32" t="n">
        <v>2.9</v>
      </c>
      <c r="S78" s="33" t="n">
        <v>10</v>
      </c>
      <c r="T78" s="26" t="inlineStr">
        <is>
          <t>CloudAlpha Master Fund; 廣發基金管理有限公司; 常春藤資產管理(香港)有限公司; Lake Bleu Prime Healthcare Master Fund Limited; LAV Star Limited and LAV Star Opportunities Limited; LMR Master Fund Limited; WT Asset Management Limited</t>
        </is>
      </c>
      <c r="U78" s="30" t="n">
        <v>10</v>
      </c>
      <c r="V78" s="26" t="inlineStr">
        <is>
          <t>lapsed</t>
        </is>
      </c>
      <c r="W78" s="34" t="n">
        <v>-9.449999999999999</v>
      </c>
      <c r="X78" s="34" t="n">
        <v>-12.98</v>
      </c>
      <c r="Y78" s="34" t="n">
        <v>-24.37</v>
      </c>
      <c r="Z78" s="34" t="n">
        <v>-56.06</v>
      </c>
      <c r="AA78" s="34" t="n">
        <v>-16.48</v>
      </c>
      <c r="AB78" s="34" t="n">
        <v>-20.53</v>
      </c>
      <c r="AC78" s="34" t="n">
        <v>-3.84</v>
      </c>
      <c r="AD78" s="26" t="inlineStr">
        <is>
          <t>China Biotech ETF (HS biotech proxy)</t>
        </is>
      </c>
      <c r="AE78" s="34" t="n">
        <v>-86.95</v>
      </c>
      <c r="AF78" s="28" t="n">
        <v>7.2</v>
      </c>
      <c r="AG78" s="28" t="n">
        <v>-53.7</v>
      </c>
      <c r="AH78" s="26" t="inlineStr">
        <is>
          <t>N</t>
        </is>
      </c>
      <c r="AI78" s="38">
        <f>IF('BBG Verify'!O78="","not filed — run on terminal",'BBG Verify'!O78)</f>
        <v/>
      </c>
      <c r="AJ78" s="35" t="n">
        <v>1124.9</v>
      </c>
      <c r="AK78" s="26" t="inlineStr">
        <is>
          <t>N</t>
        </is>
      </c>
      <c r="AL78" s="36">
        <f>IF('BBG Verify'!K78="","not filed — run on terminal",'BBG Verify'!K78)</f>
        <v/>
      </c>
      <c r="AM78" s="26" t="inlineStr">
        <is>
          <t>N/A</t>
        </is>
      </c>
      <c r="AN78" s="26" t="inlineStr">
        <is>
          <t>N/A</t>
        </is>
      </c>
      <c r="AO78" s="26" t="inlineStr">
        <is>
          <t>N/A</t>
        </is>
      </c>
      <c r="AP78" s="26" t="inlineStr">
        <is>
          <t>UBS Securities Hong Kong Limited; CLSA Capital Markets Limited; UBS AG Hong Kong Branch; CLSA Limited</t>
        </is>
      </c>
      <c r="AQ78" s="26" t="inlineStr">
        <is>
          <t>瑞銀證券香港有限公司; 中信里昂證券資本市場有限公司</t>
        </is>
      </c>
      <c r="AR78" s="26" t="inlineStr">
        <is>
          <t>UBS AG Hong Kong Branch; CLSA Limited; CMB International Capital Limited; Haitong International Securities Company Limited; Essence International Securities (Hong Kong) Limited; Fosun Hani Securities Limited; GF Securities (Hong Kong) Brokerage Limited; Guodu Securities (Hong Kong) Limited; SPDB International Capital Limited</t>
        </is>
      </c>
      <c r="AS78" s="26" t="inlineStr">
        <is>
          <t>中信里昂證券有限公司; 招銀國際融資有限公司; 平證證券（香港）有限公司; 安信國際證券(香港)有限公司; 復星恒利證券有限公司; 國都證券（香港）有限公司; 廣發證券（香港）經紀有限公司; 海通國際證券有限公司; 浦銀國際融資有限公司; UBS AG 香港分行</t>
        </is>
      </c>
      <c r="AT78" s="37">
        <f>HYPERLINK("https://www1.hkexnews.hk/listedco/listconews/sehk/2021/1026/2021102600012.htm","prospectus")</f>
        <v/>
      </c>
      <c r="AU78" s="37">
        <f>HYPERLINK("https://www1.hkexnews.hk/listedco/listconews/sehk/2021/1104/2021110400022.htm","allotment")</f>
        <v/>
      </c>
      <c r="AV78" s="37">
        <f>HYPERLINK("https://www1.hkexnews.hk/listedco/listconews/sehk/2021/1128/2021112800017.pdf","stabilisation")</f>
        <v/>
      </c>
      <c r="AW78" s="26" t="inlineStr">
        <is>
          <t>P/E: n/m — loss-making at IPO (use P/S) · A/H: no A-share listing · cornerstone: AAStocks institutional table includes non-cornerstone orders (superset) — cornerstone % is from the prospectus</t>
        </is>
      </c>
    </row>
    <row r="79">
      <c r="A79" s="25" t="inlineStr">
        <is>
          <t>2197</t>
        </is>
      </c>
      <c r="B79" s="26" t="inlineStr">
        <is>
          <t>CLOVER BIO-B</t>
        </is>
      </c>
      <c r="C79" s="26" t="inlineStr">
        <is>
          <t>三葉草生物－Ｂ</t>
        </is>
      </c>
      <c r="D79" s="26" t="inlineStr">
        <is>
          <t>Healthcare</t>
        </is>
      </c>
      <c r="E79" s="26" t="inlineStr">
        <is>
          <t>Biotech pre-revenue (18A)</t>
        </is>
      </c>
      <c r="F79" s="26" t="inlineStr">
        <is>
          <t>18A</t>
        </is>
      </c>
      <c r="G79" s="27" t="n">
        <v>44505</v>
      </c>
      <c r="H79" s="28" t="n">
        <v>2007</v>
      </c>
      <c r="I79" s="26" t="inlineStr">
        <is>
          <t>gross (price x shares)</t>
        </is>
      </c>
      <c r="J79" s="29" t="n">
        <v>12.8</v>
      </c>
      <c r="K79" s="29" t="n">
        <v>13.5</v>
      </c>
      <c r="L79" s="29" t="n">
        <v>13.38</v>
      </c>
      <c r="M79" s="26" t="inlineStr">
        <is>
          <t>N</t>
        </is>
      </c>
      <c r="N79" s="30" t="n">
        <v>99.09999999999999</v>
      </c>
      <c r="O79" s="28" t="n">
        <v>14823.9</v>
      </c>
      <c r="P79" s="26" t="inlineStr">
        <is>
          <t>prospectus:stated market capitalisation</t>
        </is>
      </c>
      <c r="Q79" s="31" t="n">
        <v>4.4</v>
      </c>
      <c r="R79" s="32" t="n">
        <v>3.21</v>
      </c>
      <c r="S79" s="33" t="n">
        <v>10.8</v>
      </c>
      <c r="T79" s="26" t="inlineStr">
        <is>
          <t>Athos Capital Limited; HHLR Fund, L.P.及YHG Investment, L.P; Oceanpine Capital Management Limited; Orbimed Funds; Rock Springs Capital Master Fund LP; Springhill Master Fund Limited; Superstring Capital Master Fund LP; Toroa Master Fund</t>
        </is>
      </c>
      <c r="U79" s="30" t="n">
        <v>6.9</v>
      </c>
      <c r="V79" s="26" t="inlineStr">
        <is>
          <t>lapsed</t>
        </is>
      </c>
      <c r="W79" s="34" t="n">
        <v>-2.99</v>
      </c>
      <c r="X79" s="34" t="n">
        <v>-22.57</v>
      </c>
      <c r="Y79" s="34" t="n">
        <v>-16.89</v>
      </c>
      <c r="Z79" s="34" t="n">
        <v>-17.79</v>
      </c>
      <c r="AA79" s="34" t="n">
        <v>-14.33</v>
      </c>
      <c r="AB79" s="34" t="n">
        <v>-13.05</v>
      </c>
      <c r="AC79" s="34" t="n">
        <v>-3.84</v>
      </c>
      <c r="AD79" s="26" t="inlineStr">
        <is>
          <t>China Biotech ETF (HS biotech proxy)</t>
        </is>
      </c>
      <c r="AE79" s="34" t="n">
        <v>-82.7</v>
      </c>
      <c r="AF79" s="28" t="n">
        <v>1.1</v>
      </c>
      <c r="AG79" s="28" t="n">
        <v>-163</v>
      </c>
      <c r="AH79" s="26" t="inlineStr">
        <is>
          <t>N</t>
        </is>
      </c>
      <c r="AI79" s="38">
        <f>IF('BBG Verify'!O79="","not filed — run on terminal",'BBG Verify'!O79)</f>
        <v/>
      </c>
      <c r="AJ79" s="35" t="n">
        <v>13476.3</v>
      </c>
      <c r="AK79" s="26" t="inlineStr">
        <is>
          <t>N</t>
        </is>
      </c>
      <c r="AL79" s="36">
        <f>IF('BBG Verify'!K79="","not filed — run on terminal",'BBG Verify'!K79)</f>
        <v/>
      </c>
      <c r="AM79" s="26" t="inlineStr">
        <is>
          <t>N/A</t>
        </is>
      </c>
      <c r="AN79" s="26" t="inlineStr">
        <is>
          <t>N/A</t>
        </is>
      </c>
      <c r="AO79" s="26" t="inlineStr">
        <is>
          <t>N/A</t>
        </is>
      </c>
      <c r="AP79" s="26" t="inlineStr">
        <is>
          <t>Goldman Sachs (Asia) L.L.C; China International Capital Corporation Hong Kong Securities Limited</t>
        </is>
      </c>
      <c r="AQ79" s="26" t="inlineStr">
        <is>
          <t>中國國際金融香港證券有限公司; 高盛(亞洲)有限責任公司</t>
        </is>
      </c>
      <c r="AR79" s="26" t="inlineStr">
        <is>
          <t>中國國際金融香港證券有限公司; 瑞士信貸（香港）有限公司; 高盛(亞洲)有限責任公司</t>
        </is>
      </c>
      <c r="AS79" s="26" t="inlineStr">
        <is>
          <t>中國國際金融香港證券有限公司; 瑞士信貸（香港）有限公司; 高盛(亞洲)有限責任公司</t>
        </is>
      </c>
      <c r="AT79" s="37">
        <f>HYPERLINK("https://www1.hkexnews.hk/listedco/listconews/sehk/2021/1025/2021102500007.pdf","prospectus")</f>
        <v/>
      </c>
      <c r="AU79" s="37">
        <f>HYPERLINK("https://www1.hkexnews.hk/listedco/listconews/sehk/2021/1104/2021110400036.htm","allotment")</f>
        <v/>
      </c>
      <c r="AV79" s="37">
        <f>HYPERLINK("https://www1.hkexnews.hk/listedco/listconews/sehk/2021/1129/2021112900089.pdf","stabilisation")</f>
        <v/>
      </c>
      <c r="AW79" s="26" t="inlineStr">
        <is>
          <t>P/E: n/m — loss-making at IPO (use P/S) · A/H: no A-share listing · cornerstone: AAStocks institutional table includes non-cornerstone orders (superset) — cornerstone % is from the prospectus</t>
        </is>
      </c>
    </row>
    <row r="80">
      <c r="A80" s="25" t="inlineStr">
        <is>
          <t>1948</t>
        </is>
      </c>
      <c r="B80" s="26" t="inlineStr">
        <is>
          <t>UJU HOLDING</t>
        </is>
      </c>
      <c r="C80" s="26" t="inlineStr">
        <is>
          <t>優矩控股</t>
        </is>
      </c>
      <c r="D80" s="26" t="inlineStr">
        <is>
          <t>TMT-other</t>
        </is>
      </c>
      <c r="E80" s="26" t="inlineStr">
        <is>
          <t>Media / advertising</t>
        </is>
      </c>
      <c r="F80" s="26" t="inlineStr">
        <is>
          <t>Standard</t>
        </is>
      </c>
      <c r="G80" s="27" t="n">
        <v>44506</v>
      </c>
      <c r="H80" s="28" t="n">
        <v>804</v>
      </c>
      <c r="I80" s="26" t="inlineStr">
        <is>
          <t>gross (price x shares)</t>
        </is>
      </c>
      <c r="J80" s="29" t="n">
        <v>6.7</v>
      </c>
      <c r="K80" s="29" t="n">
        <v>9.16</v>
      </c>
      <c r="L80" s="29" t="n">
        <v>6.7</v>
      </c>
      <c r="M80" s="26" t="inlineStr">
        <is>
          <t>N</t>
        </is>
      </c>
      <c r="N80" s="30" t="n">
        <v>73.09999999999999</v>
      </c>
      <c r="O80" s="28" t="n">
        <v>5099.6</v>
      </c>
      <c r="P80" s="26" t="inlineStr">
        <is>
          <t>aastocks:上市市值 at the struck price</t>
        </is>
      </c>
      <c r="Q80" s="31" t="n">
        <v>4.56</v>
      </c>
      <c r="R80" s="39">
        <f>IF('BBG Verify'!E80="","not filed — run on terminal",'BBG Verify'!E80)</f>
        <v/>
      </c>
      <c r="S80" s="33" t="n">
        <v>10</v>
      </c>
      <c r="T80" s="26" t="inlineStr">
        <is>
          <t>字節跳動(香港)有限公司; GREEN BETTER LIMITED</t>
        </is>
      </c>
      <c r="U80" s="30" t="n">
        <v>18</v>
      </c>
      <c r="V80" s="26" t="inlineStr">
        <is>
          <t>lapsed</t>
        </is>
      </c>
      <c r="W80" s="34" t="n">
        <v>-4.33</v>
      </c>
      <c r="X80" s="34" t="n">
        <v>-1.94</v>
      </c>
      <c r="Y80" s="34" t="n">
        <v>-19.4</v>
      </c>
      <c r="Z80" s="34" t="n">
        <v>-13.58</v>
      </c>
      <c r="AA80" s="34" t="n">
        <v>-15.75</v>
      </c>
      <c r="AB80" s="34" t="n">
        <v>-15.83</v>
      </c>
      <c r="AC80" s="34" t="n">
        <v>-3.57</v>
      </c>
      <c r="AD80" s="26" t="inlineStr">
        <is>
          <t>Hang Seng Index</t>
        </is>
      </c>
      <c r="AE80" s="34" t="n">
        <v>-47.84</v>
      </c>
      <c r="AF80" s="28" t="n">
        <v>6996.8</v>
      </c>
      <c r="AG80" s="28" t="n">
        <v>146.5</v>
      </c>
      <c r="AH80" s="26" t="inlineStr">
        <is>
          <t>Y</t>
        </is>
      </c>
      <c r="AI80" s="35" t="n">
        <v>34.8</v>
      </c>
      <c r="AJ80" s="35" t="n">
        <v>0.7</v>
      </c>
      <c r="AK80" s="26" t="inlineStr">
        <is>
          <t>N</t>
        </is>
      </c>
      <c r="AL80" s="36">
        <f>IF('BBG Verify'!K80="","not filed — run on terminal",'BBG Verify'!K80)</f>
        <v/>
      </c>
      <c r="AM80" s="26" t="inlineStr">
        <is>
          <t>N/A</t>
        </is>
      </c>
      <c r="AN80" s="26" t="inlineStr">
        <is>
          <t>N/A</t>
        </is>
      </c>
      <c r="AO80" s="26" t="inlineStr">
        <is>
          <t>N/A</t>
        </is>
      </c>
      <c r="AP80" s="26" t="inlineStr">
        <is>
          <t>CMBC International Capital Limited; Financial Adviser SBI China Capital Hong Kong Securities Limited</t>
        </is>
      </c>
      <c r="AQ80" s="26" t="inlineStr">
        <is>
          <t>民銀資本有限公司</t>
        </is>
      </c>
      <c r="AR80" s="26"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AS80" s="26" t="inlineStr">
        <is>
          <t>中銀國際證券有限公司; 建銀國際證券有限公司; 中信里昂證券有限公司; 民銀證券有限公司; 招銀國際證券有限公司; 安信國際證券(香港)有限公司; 富途證券國際（香港）有限公司; 國泰君安證券(香港)有限公司; 海通國際證券有限公司; 利弗莫爾證券有限公司; 軟庫中華金融服務有限公司; 申萬宏源證券（香港）有限公司; 華盛資本証券有限公司</t>
        </is>
      </c>
      <c r="AT80" s="37">
        <f>HYPERLINK("https://www1.hkexnews.hk/listedco/listconews/sehk/2021/1026/2021102600091.pdf","prospectus")</f>
        <v/>
      </c>
      <c r="AU80" s="37">
        <f>HYPERLINK("https://www1.hkexnews.hk/listedco/listconews/sehk/2021/1105/2021110500012.htm","allotment")</f>
        <v/>
      </c>
      <c r="AV80" s="37">
        <f>HYPERLINK("https://www1.hkexnews.hk/listedco/listconews/sehk/2021/1128/2021112800021.pdf","stabilisation")</f>
        <v/>
      </c>
      <c r="AW80" s="26" t="inlineStr">
        <is>
          <t>intl sub: subscription level not stated in the filing · A/H: no A-share listing · market cap: estimate from deal size / offer % of enlarged capital disagreed with the published listing cap — published figure adopted</t>
        </is>
      </c>
    </row>
    <row r="81">
      <c r="A81" s="25" t="inlineStr">
        <is>
          <t>2210</t>
        </is>
      </c>
      <c r="B81" s="26" t="inlineStr">
        <is>
          <t>BEIJING JIAYE</t>
        </is>
      </c>
      <c r="C81" s="26" t="inlineStr">
        <is>
          <t>京城佳業</t>
        </is>
      </c>
      <c r="D81" s="26" t="inlineStr">
        <is>
          <t>Real Estate</t>
        </is>
      </c>
      <c r="E81" s="26" t="inlineStr">
        <is>
          <t>Property management</t>
        </is>
      </c>
      <c r="F81" s="26" t="inlineStr">
        <is>
          <t>Standard</t>
        </is>
      </c>
      <c r="G81" s="27" t="n">
        <v>44510</v>
      </c>
      <c r="H81" s="28" t="n">
        <v>303.6</v>
      </c>
      <c r="I81" s="26" t="inlineStr">
        <is>
          <t>gross (price x shares)</t>
        </is>
      </c>
      <c r="J81" s="29" t="n"/>
      <c r="K81" s="29" t="n">
        <v>9.960000000000001</v>
      </c>
      <c r="L81" s="29" t="n">
        <v>8.279999999999999</v>
      </c>
      <c r="M81" s="26" t="inlineStr">
        <is>
          <t>N</t>
        </is>
      </c>
      <c r="N81" s="30" t="n">
        <v>83.09999999999999</v>
      </c>
      <c r="O81" s="28" t="n">
        <v>1214.4</v>
      </c>
      <c r="P81" s="26" t="inlineStr">
        <is>
          <t>derived:deal size / offer % of enlarged capital</t>
        </is>
      </c>
      <c r="Q81" s="31" t="n">
        <v>2.88</v>
      </c>
      <c r="R81" s="32" t="n">
        <v>1.41</v>
      </c>
      <c r="S81" s="33" t="n">
        <v>48.9</v>
      </c>
      <c r="T81" s="26" t="inlineStr">
        <is>
          <t>廣聯達（香港）軟件有限公司; Keltic Investment (HK) Limited</t>
        </is>
      </c>
      <c r="U81" s="30" t="n">
        <v>15</v>
      </c>
      <c r="V81" s="26" t="inlineStr">
        <is>
          <t>lapsed</t>
        </is>
      </c>
      <c r="W81" s="34" t="n">
        <v>-0.24</v>
      </c>
      <c r="X81" s="34" t="n">
        <v>-9.300000000000001</v>
      </c>
      <c r="Y81" s="34" t="n">
        <v>-31.28</v>
      </c>
      <c r="Z81" s="34" t="n">
        <v>-42.63</v>
      </c>
      <c r="AA81" s="34" t="n">
        <v>-31.11</v>
      </c>
      <c r="AB81" s="34" t="n">
        <v>-34.16</v>
      </c>
      <c r="AC81" s="34" t="n">
        <v>2.88</v>
      </c>
      <c r="AD81" s="26" t="inlineStr">
        <is>
          <t>Hang Seng Properties sub-index</t>
        </is>
      </c>
      <c r="AE81" s="34" t="n">
        <v>-77.42</v>
      </c>
      <c r="AF81" s="28" t="n">
        <v>1199.6</v>
      </c>
      <c r="AG81" s="28" t="n">
        <v>75.59999999999999</v>
      </c>
      <c r="AH81" s="26" t="inlineStr">
        <is>
          <t>Y</t>
        </is>
      </c>
      <c r="AI81" s="35" t="n">
        <v>16.1</v>
      </c>
      <c r="AJ81" s="35" t="n">
        <v>1</v>
      </c>
      <c r="AK81" s="26" t="inlineStr">
        <is>
          <t>N</t>
        </is>
      </c>
      <c r="AL81" s="36">
        <f>IF('BBG Verify'!K81="","not filed — run on terminal",'BBG Verify'!K81)</f>
        <v/>
      </c>
      <c r="AM81" s="26" t="inlineStr">
        <is>
          <t>N/A</t>
        </is>
      </c>
      <c r="AN81" s="26" t="inlineStr">
        <is>
          <t>N/A</t>
        </is>
      </c>
      <c r="AO81" s="26" t="inlineStr">
        <is>
          <t>N/A</t>
        </is>
      </c>
      <c r="AP81" s="26" t="inlineStr">
        <is>
          <t>China International Capital Corporation Hong Kong Securities Limited</t>
        </is>
      </c>
      <c r="AQ81" s="26" t="inlineStr">
        <is>
          <t>中國國際金融香港證券有限公司</t>
        </is>
      </c>
      <c r="AR81" s="26" t="inlineStr">
        <is>
          <t>China International Capital Corporation Hong Kong Securities Limited; Managers China International Capital Corporation Hong Kong Securities Limited; Zhongtai International Securities Limited; BOCOM International Securities Limited; CMBC Securities Company Limited; CCB International Capital Limited</t>
        </is>
      </c>
      <c r="AS81" s="26" t="inlineStr">
        <is>
          <t>Beta International Securities Limited; 建銀國際金融有限公司; 中國國際金融香港證券有限公司; 民銀證券有限公司; 招銀國際融資有限公司; 中泰國際證券有限公司</t>
        </is>
      </c>
      <c r="AT81" s="37">
        <f>HYPERLINK("https://www1.hkexnews.hk/listedco/listconews/sehk/2021/1029/2021102900097.pdf","prospectus")</f>
        <v/>
      </c>
      <c r="AU81" s="37">
        <f>HYPERLINK("https://www1.hkexnews.hk/listedco/listconews/sehk/2021/1109/2021110900030.htm","allotment")</f>
        <v/>
      </c>
      <c r="AV81" s="37">
        <f>HYPERLINK("https://www1.hkexnews.hk/listedco/listconews/sehk/2021/1203/2021120301558.pdf","stabilisation")</f>
        <v/>
      </c>
      <c r="AW81" s="26" t="inlineStr">
        <is>
          <t>A/H: no A-share listing</t>
        </is>
      </c>
    </row>
    <row r="82">
      <c r="A82" s="25" t="inlineStr">
        <is>
          <t>2265</t>
        </is>
      </c>
      <c r="B82" s="26" t="inlineStr">
        <is>
          <t>HC ENV TECH</t>
        </is>
      </c>
      <c r="C82" s="26" t="inlineStr">
        <is>
          <t>鴻承環保科技</t>
        </is>
      </c>
      <c r="D82" s="26" t="inlineStr">
        <is>
          <t>Materials/Energy</t>
        </is>
      </c>
      <c r="E82" s="26" t="inlineStr">
        <is>
          <t>Oil &amp; gas / utilities</t>
        </is>
      </c>
      <c r="F82" s="26" t="inlineStr">
        <is>
          <t>Standard</t>
        </is>
      </c>
      <c r="G82" s="27" t="n">
        <v>44512</v>
      </c>
      <c r="H82" s="28" t="n">
        <v>255</v>
      </c>
      <c r="I82" s="26" t="inlineStr">
        <is>
          <t>gross (price x shares)</t>
        </is>
      </c>
      <c r="J82" s="29" t="n"/>
      <c r="K82" s="29" t="n">
        <v>1.48</v>
      </c>
      <c r="L82" s="29" t="n">
        <v>1.02</v>
      </c>
      <c r="M82" s="26" t="inlineStr">
        <is>
          <t>N</t>
        </is>
      </c>
      <c r="N82" s="30" t="n">
        <v>68.90000000000001</v>
      </c>
      <c r="O82" s="28" t="n">
        <v>1133.3</v>
      </c>
      <c r="P82" s="26" t="inlineStr">
        <is>
          <t>derived:deal size / offer % of enlarged capital</t>
        </is>
      </c>
      <c r="Q82" s="31" t="n">
        <v>24.26</v>
      </c>
      <c r="R82" s="39">
        <f>IF('BBG Verify'!E82="","not filed — run on terminal",'BBG Verify'!E82)</f>
        <v/>
      </c>
      <c r="S82" s="33" t="n">
        <v>0</v>
      </c>
      <c r="T82" s="26" t="n"/>
      <c r="U82" s="30" t="n">
        <v>20</v>
      </c>
      <c r="V82" s="26" t="inlineStr">
        <is>
          <t>lapsed (no over-allocation)</t>
        </is>
      </c>
      <c r="W82" s="34" t="n">
        <v>-10.78</v>
      </c>
      <c r="X82" s="34" t="n">
        <v>-3.92</v>
      </c>
      <c r="Y82" s="34" t="n">
        <v>-10.78</v>
      </c>
      <c r="Z82" s="34" t="n">
        <v>-17.65</v>
      </c>
      <c r="AA82" s="34" t="n">
        <v>0</v>
      </c>
      <c r="AB82" s="34" t="n">
        <v>-8.98</v>
      </c>
      <c r="AC82" s="34" t="n">
        <v>-1.8</v>
      </c>
      <c r="AD82" s="26" t="inlineStr">
        <is>
          <t>Hang Seng Utilities sub-index</t>
        </is>
      </c>
      <c r="AE82" s="34" t="n">
        <v>17.16</v>
      </c>
      <c r="AF82" s="28" t="n">
        <v>225.9</v>
      </c>
      <c r="AG82" s="28" t="n">
        <v>80.2</v>
      </c>
      <c r="AH82" s="26" t="inlineStr">
        <is>
          <t>Y</t>
        </is>
      </c>
      <c r="AI82" s="35" t="n">
        <v>14.1</v>
      </c>
      <c r="AJ82" s="35" t="n">
        <v>5</v>
      </c>
      <c r="AK82" s="26" t="inlineStr">
        <is>
          <t>N</t>
        </is>
      </c>
      <c r="AL82" s="36">
        <f>IF('BBG Verify'!K82="","not filed — run on terminal",'BBG Verify'!K82)</f>
        <v/>
      </c>
      <c r="AM82" s="26" t="inlineStr">
        <is>
          <t>N/A</t>
        </is>
      </c>
      <c r="AN82" s="26" t="inlineStr">
        <is>
          <t>N/A</t>
        </is>
      </c>
      <c r="AO82" s="26" t="inlineStr">
        <is>
          <t>N/A</t>
        </is>
      </c>
      <c r="AP82" s="26" t="inlineStr">
        <is>
          <t>First Shanghai Capital Limited</t>
        </is>
      </c>
      <c r="AQ82" s="26" t="inlineStr">
        <is>
          <t>第一上海融資有限公司</t>
        </is>
      </c>
      <c r="AR82" s="26" t="inlineStr">
        <is>
          <t>First Shanghai Securities Limited; Zhongtai International Securities Limited; Valuable Capital Limited; ICBC International Capital Limited; Blackwell Global Securities Limited</t>
        </is>
      </c>
      <c r="AS82" s="26" t="inlineStr">
        <is>
          <t>博威環球證券有限公司; 中國銀河國際證券(香港)有限公司; 第一上海證券有限公司; 復星恒利證券有限公司; 工銀國際證券有限公司; 華盛資本証券有限公司; 中泰國際證券有限公司</t>
        </is>
      </c>
      <c r="AT82" s="37">
        <f>HYPERLINK("https://www1.hkexnews.hk/listedco/listconews/sehk/2021/1029/2021102900113.pdf","prospectus")</f>
        <v/>
      </c>
      <c r="AU82" s="37">
        <f>HYPERLINK("https://www1.hkexnews.hk/listedco/listconews/sehk/2021/1111/2021111100010.htm","allotment")</f>
        <v/>
      </c>
      <c r="AV82" s="37">
        <f>HYPERLINK("https://www1.hkexnews.hk/listedco/listconews/sehk/2021/1203/2021120301544.pdf","stabilisation")</f>
        <v/>
      </c>
      <c r="AW82" s="26" t="inlineStr">
        <is>
          <t>intl sub: subscription level not stated in the filing · A/H: no A-share listing</t>
        </is>
      </c>
    </row>
    <row r="83">
      <c r="A83" s="25" t="inlineStr">
        <is>
          <t>9899</t>
        </is>
      </c>
      <c r="B83" s="26" t="inlineStr">
        <is>
          <t>CLOUD VILLAGE</t>
        </is>
      </c>
      <c r="C83" s="26" t="inlineStr">
        <is>
          <t>網易雲音樂</t>
        </is>
      </c>
      <c r="D83" s="26" t="inlineStr">
        <is>
          <t>Tech/AI</t>
        </is>
      </c>
      <c r="E83" s="26" t="inlineStr">
        <is>
          <t>Internet platform / e-commerce</t>
        </is>
      </c>
      <c r="F83" s="26" t="inlineStr">
        <is>
          <t>Standard</t>
        </is>
      </c>
      <c r="G83" s="27" t="n">
        <v>44532</v>
      </c>
      <c r="H83" s="28" t="n">
        <v>3280</v>
      </c>
      <c r="I83" s="26" t="inlineStr">
        <is>
          <t>gross (price x shares)</t>
        </is>
      </c>
      <c r="J83" s="29" t="n"/>
      <c r="K83" s="29" t="n">
        <v>220</v>
      </c>
      <c r="L83" s="29" t="n">
        <v>205</v>
      </c>
      <c r="M83" s="26" t="inlineStr">
        <is>
          <t>N</t>
        </is>
      </c>
      <c r="N83" s="30" t="n">
        <v>93.2</v>
      </c>
      <c r="O83" s="28" t="n">
        <v>39474</v>
      </c>
      <c r="P83" s="26" t="inlineStr">
        <is>
          <t>prospectus:stated market capitalisation</t>
        </is>
      </c>
      <c r="Q83" s="31" t="n">
        <v>8.92</v>
      </c>
      <c r="R83" s="32" t="n">
        <v>1.7</v>
      </c>
      <c r="S83" s="33" t="n">
        <v>83.15000000000001</v>
      </c>
      <c r="T83" s="26" t="inlineStr">
        <is>
          <t>NetEase, Inc; Orbis Investment Management Limited; 索尼音樂娛樂</t>
        </is>
      </c>
      <c r="U83" s="30" t="n">
        <v>7.7</v>
      </c>
      <c r="V83" s="26" t="inlineStr">
        <is>
          <t>lapsed</t>
        </is>
      </c>
      <c r="W83" s="34" t="n">
        <v>-2.49</v>
      </c>
      <c r="X83" s="34" t="n">
        <v>-2.73</v>
      </c>
      <c r="Y83" s="34" t="n">
        <v>-27.02</v>
      </c>
      <c r="Z83" s="34" t="n">
        <v>-55.12</v>
      </c>
      <c r="AA83" s="34" t="n">
        <v>-25.16</v>
      </c>
      <c r="AB83" s="34" t="n">
        <v>-20.01</v>
      </c>
      <c r="AC83" s="34" t="n">
        <v>-7.01</v>
      </c>
      <c r="AD83" s="26" t="inlineStr">
        <is>
          <t>HSTECH (Hang Seng TECH ETF)</t>
        </is>
      </c>
      <c r="AE83" s="34" t="n">
        <v>-44.44</v>
      </c>
      <c r="AF83" s="28" t="n">
        <v>5385.3</v>
      </c>
      <c r="AG83" s="28" t="n"/>
      <c r="AH83" s="26" t="n"/>
      <c r="AI83" s="38">
        <f>IF('BBG Verify'!O83="","not filed — run on terminal",'BBG Verify'!O83)</f>
        <v/>
      </c>
      <c r="AJ83" s="35" t="n">
        <v>7.3</v>
      </c>
      <c r="AK83" s="26" t="inlineStr">
        <is>
          <t>N</t>
        </is>
      </c>
      <c r="AL83" s="36">
        <f>IF('BBG Verify'!K83="","not filed — run on terminal",'BBG Verify'!K83)</f>
        <v/>
      </c>
      <c r="AM83" s="26" t="inlineStr">
        <is>
          <t>N/A</t>
        </is>
      </c>
      <c r="AN83" s="26" t="inlineStr">
        <is>
          <t>N/A</t>
        </is>
      </c>
      <c r="AO83" s="26" t="inlineStr">
        <is>
          <t>N/A</t>
        </is>
      </c>
      <c r="AP83" s="26" t="inlineStr">
        <is>
          <t>BofA Securities; CICC; Credit Suisse</t>
        </is>
      </c>
      <c r="AQ83" s="26" t="inlineStr">
        <is>
          <t>中國國際金融香港證券有限公司; 美林(亞太)有限公司; 瑞士信貸（香港）有限公司</t>
        </is>
      </c>
      <c r="AR83" s="26" t="inlineStr">
        <is>
          <t>農銀國際證券有限公司; 中銀國際亞洲有限公司; 建銀國際金融有限公司; 花旗環球金融亞洲有限公司; 中國國際金融香港證券有限公司; 招銀國際金融有限公司</t>
        </is>
      </c>
      <c r="AS83" s="26" t="inlineStr">
        <is>
          <t>農銀國際證券有限公司; 中銀國際亞洲有限公司; 建銀國際金融有限公司; 花旗環球金融亞洲有限公司; 中國國際金融香港證券有限公司; 招銀國際金融有限公司; 瑞士信貸（香港）有限公司; 華泰金融控股(香港)有限公司; 香港上海匯豐銀行有限公司; 工銀國際證券有限公司; 美林(亞太)有限公司</t>
        </is>
      </c>
      <c r="AT83" s="37">
        <f>HYPERLINK("https://www1.hkexnews.hk/listedco/listconews/sehk/2021/1123/2021112300032.pdf","prospectus")</f>
        <v/>
      </c>
      <c r="AU83" s="37">
        <f>HYPERLINK("https://www1.hkexnews.hk/listedco/listconews/sehk/2021/1201/2021120100040.htm","allotment")</f>
        <v/>
      </c>
      <c r="AV83" s="37">
        <f>HYPERLINK("https://www1.hkexnews.hk/listedco/listconews/sehk/2021/1227/2021122700001.pdf","stabilisation")</f>
        <v/>
      </c>
      <c r="AW83" s="26" t="inlineStr">
        <is>
          <t>P/E: net income not stated in extractable form · A/H: no A-share listing</t>
        </is>
      </c>
    </row>
    <row r="84">
      <c r="A84" s="25" t="inlineStr">
        <is>
          <t>9898</t>
        </is>
      </c>
      <c r="B84" s="26" t="inlineStr">
        <is>
          <t>WB-SW</t>
        </is>
      </c>
      <c r="C84" s="26" t="inlineStr">
        <is>
          <t>微博－ＳＷ</t>
        </is>
      </c>
      <c r="D84" s="26" t="inlineStr">
        <is>
          <t>Tech/AI</t>
        </is>
      </c>
      <c r="E84" s="26" t="inlineStr">
        <is>
          <t>Internet platform / e-commerce</t>
        </is>
      </c>
      <c r="F84" s="26" t="inlineStr">
        <is>
          <t>Secondary + WVR</t>
        </is>
      </c>
      <c r="G84" s="27" t="n">
        <v>44538</v>
      </c>
      <c r="H84" s="28" t="n">
        <v>1383.4</v>
      </c>
      <c r="I84" s="26" t="inlineStr">
        <is>
          <t>net proceeds</t>
        </is>
      </c>
      <c r="J84" s="29" t="n"/>
      <c r="K84" s="29" t="n">
        <v>388</v>
      </c>
      <c r="L84" s="29" t="n">
        <v>272.8</v>
      </c>
      <c r="M84" s="26" t="inlineStr">
        <is>
          <t>N</t>
        </is>
      </c>
      <c r="N84" s="30" t="n">
        <v>70.3</v>
      </c>
      <c r="O84" s="28" t="n">
        <v>91022</v>
      </c>
      <c r="P84" s="26" t="inlineStr">
        <is>
          <t>prospectus:stated market capitalisation</t>
        </is>
      </c>
      <c r="Q84" s="31" t="n">
        <v>2.67</v>
      </c>
      <c r="R84" s="32" t="n">
        <v>5.5</v>
      </c>
      <c r="S84" s="33" t="n"/>
      <c r="T84" s="26" t="n"/>
      <c r="U84" s="30" t="n">
        <v>5.4</v>
      </c>
      <c r="V84" s="26" t="inlineStr">
        <is>
          <t>partial</t>
        </is>
      </c>
      <c r="W84" s="34" t="n">
        <v>-7.18</v>
      </c>
      <c r="X84" s="34" t="n">
        <v>-19.65</v>
      </c>
      <c r="Y84" s="34" t="n">
        <v>-4.4</v>
      </c>
      <c r="Z84" s="34" t="n">
        <v>-28.52</v>
      </c>
      <c r="AA84" s="34" t="n">
        <v>3</v>
      </c>
      <c r="AB84" s="34" t="n">
        <v>3.72</v>
      </c>
      <c r="AC84" s="34" t="n">
        <v>-8.119999999999999</v>
      </c>
      <c r="AD84" s="26" t="inlineStr">
        <is>
          <t>HSTECH (Hang Seng TECH ETF)</t>
        </is>
      </c>
      <c r="AE84" s="34" t="n">
        <v>-78.28</v>
      </c>
      <c r="AF84" s="28" t="n"/>
      <c r="AG84" s="28" t="n"/>
      <c r="AH84" s="26" t="n"/>
      <c r="AI84" s="38">
        <f>IF('BBG Verify'!O84="","not filed — run on terminal",'BBG Verify'!O84)</f>
        <v/>
      </c>
      <c r="AJ84" s="35" t="n"/>
      <c r="AK84" s="26" t="inlineStr">
        <is>
          <t>N</t>
        </is>
      </c>
      <c r="AL84" s="36">
        <f>IF('BBG Verify'!K84="","not filed — run on terminal",'BBG Verify'!K84)</f>
        <v/>
      </c>
      <c r="AM84" s="26" t="inlineStr">
        <is>
          <t>N/A</t>
        </is>
      </c>
      <c r="AN84" s="26" t="inlineStr">
        <is>
          <t>N/A</t>
        </is>
      </c>
      <c r="AO84" s="26" t="inlineStr">
        <is>
          <t>N/A</t>
        </is>
      </c>
      <c r="AP84" s="26" t="inlineStr">
        <is>
          <t>Goldman Sachs (Asia) L.L.C; Credit Suisse (Hong Kong) Limited; CLSA Capital Markets Limited; China International Capital Corporation Hong Kong Securities Limited; Central, Hong Kong Joint Representatives Goldman Sachs (Asia) L.L.C; CLSA Limited</t>
        </is>
      </c>
      <c r="AQ84" s="26" t="inlineStr">
        <is>
          <t>中國國際金融香港證券有限公司; 高盛(亞洲)有限責任公司; 中信里昂證券資本市場有限公司; 瑞士信貸（香港）有限公司</t>
        </is>
      </c>
      <c r="AR84" s="26" t="inlineStr">
        <is>
          <t>Goldman Sachs (Asia) L.L.C; Credit Suisse (Hong Kong) Limited; CLSA Limited; China International Capital Corporation Hong Kong Securities Limited; Central, Hong Kong Nomura International (Hong Kong) Limited; Central, Hong Kong Deutsche Bank AG, Hong Kong Branch; Haitong International Securities Company Limited; Huatai Financial Holdings (Hong Kong) Limited; Valuable Capital Limited; ABCI Capital Limited; CMBC Securities Company Limited; Central, Hong Kong CMB International Capital Limited</t>
        </is>
      </c>
      <c r="AS84" s="26" t="inlineStr">
        <is>
          <t>農銀國際證券有限公司; 中國國際金融香港證券有限公司; 中信里昂證券有限公司; 民銀證券有限公司; 招銀國際融資有限公司; 瑞士信貸（香港）有限公司; 德意志銀行香港分行; 高盛(亞洲)有限責任公司; 華泰金融控股(香港)有限公司; 海通國際證券有限公司; 野村國際(香港)有限公司; 華盛資本証券有限公司</t>
        </is>
      </c>
      <c r="AT84" s="37">
        <f>HYPERLINK("https://www1.hkexnews.hk/listedco/listconews/sehk/2021/1129/2021112900007.pdf","prospectus")</f>
        <v/>
      </c>
      <c r="AU84" s="37">
        <f>HYPERLINK("https://www1.hkexnews.hk/listedco/listconews/sehk/2021/1207/2021120700020.htm","allotment")</f>
        <v/>
      </c>
      <c r="AV84" s="37">
        <f>HYPERLINK("https://www1.hkexnews.hk/listedco/listconews/sehk/2022/0102/2022010200019.pdf","stabilisation")</f>
        <v/>
      </c>
      <c r="AW84" s="26" t="inlineStr">
        <is>
          <t>P/E: net income not stated in extractable form · A/H: no A-share listing</t>
        </is>
      </c>
    </row>
    <row r="85">
      <c r="A85" s="25" t="inlineStr">
        <is>
          <t>1228</t>
        </is>
      </c>
      <c r="B85" s="26" t="inlineStr">
        <is>
          <t>CANBRIDGE-B</t>
        </is>
      </c>
      <c r="C85" s="26" t="inlineStr">
        <is>
          <t>北海康成－Ｂ</t>
        </is>
      </c>
      <c r="D85" s="26" t="inlineStr">
        <is>
          <t>Healthcare</t>
        </is>
      </c>
      <c r="E85" s="26" t="inlineStr">
        <is>
          <t>Biotech pre-revenue (18A)</t>
        </is>
      </c>
      <c r="F85" s="26" t="inlineStr">
        <is>
          <t>18A</t>
        </is>
      </c>
      <c r="G85" s="27" t="n">
        <v>44540</v>
      </c>
      <c r="H85" s="28" t="n">
        <v>685.1</v>
      </c>
      <c r="I85" s="26" t="inlineStr">
        <is>
          <t>gross (price x shares)</t>
        </is>
      </c>
      <c r="J85" s="29" t="n"/>
      <c r="K85" s="29" t="n">
        <v>12.18</v>
      </c>
      <c r="L85" s="29" t="n">
        <v>12.18</v>
      </c>
      <c r="M85" s="26" t="inlineStr">
        <is>
          <t>Y</t>
        </is>
      </c>
      <c r="N85" s="30" t="n">
        <v>100</v>
      </c>
      <c r="O85" s="41">
        <f>IF('BBG Verify'!M85="","not filed — run on terminal",'BBG Verify'!M85)</f>
        <v/>
      </c>
      <c r="P85" s="26" t="n"/>
      <c r="Q85" s="31" t="n">
        <v>1.97</v>
      </c>
      <c r="R85" s="39">
        <f>IF('BBG Verify'!E85="","not filed — run on terminal",'BBG Verify'!E85)</f>
        <v/>
      </c>
      <c r="S85" s="33" t="n">
        <v>75.8</v>
      </c>
      <c r="T85" s="26" t="inlineStr">
        <is>
          <t>Belinda A. Termeer; General Atlantic Singapore CP Pte. Ltd; 香港瑞華投資管理有限公司; Hudson Bay Master Fund Ltd; Janus Investors; RA Capital Healthcare Fund, L.P; 藥明生物產業基金</t>
        </is>
      </c>
      <c r="U85" s="30" t="n"/>
      <c r="V85" s="26" t="n"/>
      <c r="W85" s="34" t="n">
        <v>-26.93</v>
      </c>
      <c r="X85" s="34" t="n">
        <v>-30.13</v>
      </c>
      <c r="Y85" s="34" t="n">
        <v>-32.84</v>
      </c>
      <c r="Z85" s="34" t="n">
        <v>-64.37</v>
      </c>
      <c r="AA85" s="34" t="n">
        <v>-8.09</v>
      </c>
      <c r="AB85" s="34" t="n">
        <v>-22.11</v>
      </c>
      <c r="AC85" s="34" t="n">
        <v>-10.73</v>
      </c>
      <c r="AD85" s="26" t="inlineStr">
        <is>
          <t>China Biotech ETF (HS biotech proxy)</t>
        </is>
      </c>
      <c r="AE85" s="34" t="n">
        <v>-82.8</v>
      </c>
      <c r="AF85" s="28" t="n"/>
      <c r="AG85" s="28" t="n"/>
      <c r="AH85" s="26" t="n"/>
      <c r="AI85" s="38">
        <f>IF('BBG Verify'!O85="","not filed — run on terminal",'BBG Verify'!O85)</f>
        <v/>
      </c>
      <c r="AJ85" s="35" t="n"/>
      <c r="AK85" s="26" t="inlineStr">
        <is>
          <t>N</t>
        </is>
      </c>
      <c r="AL85" s="36">
        <f>IF('BBG Verify'!K85="","not filed — run on terminal",'BBG Verify'!K85)</f>
        <v/>
      </c>
      <c r="AM85" s="26" t="inlineStr">
        <is>
          <t>N/A</t>
        </is>
      </c>
      <c r="AN85" s="26" t="inlineStr">
        <is>
          <t>N/A</t>
        </is>
      </c>
      <c r="AO85" s="26" t="inlineStr">
        <is>
          <t>N/A</t>
        </is>
      </c>
      <c r="AP85" s="26" t="n"/>
      <c r="AQ85" s="26" t="inlineStr">
        <is>
          <t>富瑞金融集團香港有限公司; 摩根士丹利亞洲有限公司</t>
        </is>
      </c>
      <c r="AR85" s="26" t="inlineStr">
        <is>
          <t>中銀國際亞洲有限公司; 招商證券(香港)有限公司; 富途證券國際（香港）有限公司; 海通國際證券有限公司; 富瑞金融集團香港有限公司; 摩根士丹利亞洲有限公司</t>
        </is>
      </c>
      <c r="AS85" s="26" t="inlineStr">
        <is>
          <t>中銀國際亞洲有限公司; 招商證券(香港)有限公司; 富途證券國際（香港）有限公司; 海通國際證券有限公司; 富瑞金融集團香港有限公司; 摩根士丹利亞洲有限公司</t>
        </is>
      </c>
      <c r="AT85" s="37">
        <f>HYPERLINK("https://www1.hkexnews.hk/listedco/listconews/sehk/2021/1130/2021113000013.pdf","prospectus")</f>
        <v/>
      </c>
      <c r="AU85" s="37">
        <f>HYPERLINK("https://www1.hkexnews.hk/listedco/listconews/sehk/2021/1209/2021120900010.htm","allotment")</f>
        <v/>
      </c>
      <c r="AV85" s="26" t="n"/>
      <c r="AW85" s="26" t="inlineStr">
        <is>
          <t>intl sub: subscription level not stated in the filing · P/E: net income not stated in extractable form · greenshoe: no over-allotment option in the offer structure · price range: fixed-price offering (no indicative range) · A/H: no A-share listing · sponsor: English name not in the filing text; AAStocks 保薦人 shown</t>
        </is>
      </c>
    </row>
    <row r="86">
      <c r="A86" s="25" t="inlineStr">
        <is>
          <t>2273</t>
        </is>
      </c>
      <c r="B86" s="26" t="inlineStr">
        <is>
          <t>GUSHENGTANG</t>
        </is>
      </c>
      <c r="C86" s="26" t="inlineStr">
        <is>
          <t>固生堂</t>
        </is>
      </c>
      <c r="D86" s="26" t="inlineStr">
        <is>
          <t>Healthcare</t>
        </is>
      </c>
      <c r="E86" s="26" t="inlineStr">
        <is>
          <t>TCM</t>
        </is>
      </c>
      <c r="F86" s="26" t="inlineStr">
        <is>
          <t>Standard</t>
        </is>
      </c>
      <c r="G86" s="27" t="n">
        <v>44540</v>
      </c>
      <c r="H86" s="28" t="n">
        <v>808.5</v>
      </c>
      <c r="I86" s="26" t="inlineStr">
        <is>
          <t>gross (price x shares)</t>
        </is>
      </c>
      <c r="J86" s="29" t="n">
        <v>25.8</v>
      </c>
      <c r="K86" s="29" t="n">
        <v>29</v>
      </c>
      <c r="L86" s="29" t="n">
        <v>29</v>
      </c>
      <c r="M86" s="26" t="inlineStr">
        <is>
          <t>Y</t>
        </is>
      </c>
      <c r="N86" s="30" t="n">
        <v>100</v>
      </c>
      <c r="O86" s="28" t="n">
        <v>5914.4</v>
      </c>
      <c r="P86" s="26" t="inlineStr">
        <is>
          <t>derived:deal size / offer % of enlarged capital</t>
        </is>
      </c>
      <c r="Q86" s="31" t="n">
        <v>2.84</v>
      </c>
      <c r="R86" s="32" t="n">
        <v>4.4</v>
      </c>
      <c r="S86" s="33" t="n">
        <v>10</v>
      </c>
      <c r="T86" s="26" t="inlineStr">
        <is>
          <t>Boyu Capital Opportunities Master Fund; Foresight Funds; Sage Partners Master Fund; UBS Asset Management (Singapore) Ltd</t>
        </is>
      </c>
      <c r="U86" s="30" t="n">
        <v>15.14</v>
      </c>
      <c r="V86" s="26" t="inlineStr">
        <is>
          <t>lapsed</t>
        </is>
      </c>
      <c r="W86" s="34" t="n">
        <v>0</v>
      </c>
      <c r="X86" s="34" t="n">
        <v>-17.24</v>
      </c>
      <c r="Y86" s="34" t="n">
        <v>45.86</v>
      </c>
      <c r="Z86" s="34" t="n">
        <v>-28.45</v>
      </c>
      <c r="AA86" s="34" t="n">
        <v>45.86</v>
      </c>
      <c r="AB86" s="34" t="n">
        <v>56.59</v>
      </c>
      <c r="AC86" s="34" t="n">
        <v>-10.73</v>
      </c>
      <c r="AD86" s="26" t="inlineStr">
        <is>
          <t>China Biotech ETF (HS biotech proxy)</t>
        </is>
      </c>
      <c r="AE86" s="34" t="n">
        <v>-6.55</v>
      </c>
      <c r="AF86" s="28" t="n">
        <v>1017.9</v>
      </c>
      <c r="AG86" s="28" t="n">
        <v>-280.9</v>
      </c>
      <c r="AH86" s="26" t="inlineStr">
        <is>
          <t>N</t>
        </is>
      </c>
      <c r="AI86" s="38">
        <f>IF('BBG Verify'!O86="","not filed — run on terminal",'BBG Verify'!O86)</f>
        <v/>
      </c>
      <c r="AJ86" s="35" t="n">
        <v>5.8</v>
      </c>
      <c r="AK86" s="26" t="inlineStr">
        <is>
          <t>N</t>
        </is>
      </c>
      <c r="AL86" s="36">
        <f>IF('BBG Verify'!K86="","not filed — run on terminal",'BBG Verify'!K86)</f>
        <v/>
      </c>
      <c r="AM86" s="26" t="inlineStr">
        <is>
          <t>N/A</t>
        </is>
      </c>
      <c r="AN86" s="26" t="inlineStr">
        <is>
          <t>N/A</t>
        </is>
      </c>
      <c r="AO86" s="26" t="inlineStr">
        <is>
          <t>N/A</t>
        </is>
      </c>
      <c r="AP86" s="26" t="inlineStr">
        <is>
          <t>Merrill Lynch (Asia Pacific) Limited; Haitong International Capital Limited; Central, Hong Kong Joint Representatives Merrill Lynch (Asia Pacific) Limited; Haitong International Securities Company Limited</t>
        </is>
      </c>
      <c r="AQ86" s="26" t="inlineStr">
        <is>
          <t>海通國際資本有限公司; 美林(亞太)有限公司</t>
        </is>
      </c>
      <c r="AR86" s="26" t="inlineStr">
        <is>
          <t>Merrill Lynch (Asia Pacific) Limited; Haitong International Securities Company Limited; China International Capital Corporation Hong Kong Securities Limited; GF Securities (Hong Kong) Brokerage Limited; ICBC International Capital Limited</t>
        </is>
      </c>
      <c r="AS86" s="26" t="inlineStr">
        <is>
          <t>中國國際金融香港證券有限公司; 富途證券國際（香港）有限公司; 廣發證券（香港）經紀有限公司; 海通國際證券有限公司; 工銀國際證券有限公司; 美林(亞太)有限公司; 佳富達證券有限公司</t>
        </is>
      </c>
      <c r="AT86" s="37">
        <f>HYPERLINK("https://www1.hkexnews.hk/listedco/listconews/sehk/2021/1130/2021113000025.pdf","prospectus")</f>
        <v/>
      </c>
      <c r="AU86" s="37">
        <f>HYPERLINK("https://www1.hkexnews.hk/listedco/listconews/sehk/2021/1209/2021120900040.htm","allotment")</f>
        <v/>
      </c>
      <c r="AV86" s="37">
        <f>HYPERLINK("https://www1.hkexnews.hk/listedco/listconews/sehk/2022/0103/2022010302918.pdf","stabilisation")</f>
        <v/>
      </c>
      <c r="AW86" s="26" t="inlineStr">
        <is>
          <t>P/E: n/m — loss-making at IPO (use P/S) · A/H: no A-share listing · cornerstone: AAStocks institutional table includes non-cornerstone orders (superset) — cornerstone % is from the prospectus</t>
        </is>
      </c>
    </row>
    <row r="87">
      <c r="A87" s="25" t="inlineStr">
        <is>
          <t>6821</t>
        </is>
      </c>
      <c r="B87" s="26" t="inlineStr">
        <is>
          <t>ASYMCHEM</t>
        </is>
      </c>
      <c r="C87" s="26" t="inlineStr">
        <is>
          <t>凱萊英</t>
        </is>
      </c>
      <c r="D87" s="26" t="inlineStr">
        <is>
          <t>Healthcare</t>
        </is>
      </c>
      <c r="E87" s="26" t="inlineStr">
        <is>
          <t>CXO / pharma services</t>
        </is>
      </c>
      <c r="F87" s="26" t="inlineStr">
        <is>
          <t>Standard</t>
        </is>
      </c>
      <c r="G87" s="27" t="n">
        <v>44540</v>
      </c>
      <c r="H87" s="28" t="n">
        <v>7145.2</v>
      </c>
      <c r="I87" s="26" t="inlineStr">
        <is>
          <t>gross (price x shares)</t>
        </is>
      </c>
      <c r="J87" s="29" t="n"/>
      <c r="K87" s="29" t="n">
        <v>410</v>
      </c>
      <c r="L87" s="29" t="n">
        <v>388</v>
      </c>
      <c r="M87" s="26" t="inlineStr">
        <is>
          <t>N</t>
        </is>
      </c>
      <c r="N87" s="30" t="n">
        <v>94.59999999999999</v>
      </c>
      <c r="O87" s="28" t="n">
        <v>141820</v>
      </c>
      <c r="P87" s="26" t="inlineStr">
        <is>
          <t>prospectus:stated market capitalisation</t>
        </is>
      </c>
      <c r="Q87" s="31" t="n">
        <v>4.5</v>
      </c>
      <c r="R87" s="39">
        <f>IF('BBG Verify'!E87="","not filed — run on terminal",'BBG Verify'!E87)</f>
        <v/>
      </c>
      <c r="S87" s="33" t="n">
        <v>0</v>
      </c>
      <c r="T87" s="26" t="n"/>
      <c r="U87" s="30" t="n">
        <v>7.97</v>
      </c>
      <c r="V87" s="26" t="inlineStr">
        <is>
          <t>partial</t>
        </is>
      </c>
      <c r="W87" s="34" t="n">
        <v>-4.64</v>
      </c>
      <c r="X87" s="34" t="n">
        <v>-16.55</v>
      </c>
      <c r="Y87" s="34" t="n">
        <v>-32.27</v>
      </c>
      <c r="Z87" s="34" t="n">
        <v>-44.85</v>
      </c>
      <c r="AA87" s="34" t="n">
        <v>-28.97</v>
      </c>
      <c r="AB87" s="34" t="n">
        <v>-21.54</v>
      </c>
      <c r="AC87" s="34" t="n">
        <v>-10.73</v>
      </c>
      <c r="AD87" s="26" t="inlineStr">
        <is>
          <t>China Biotech ETF (HS biotech proxy)</t>
        </is>
      </c>
      <c r="AE87" s="34" t="n">
        <v>-67.01000000000001</v>
      </c>
      <c r="AF87" s="28" t="n">
        <v>3450.4</v>
      </c>
      <c r="AG87" s="28" t="n">
        <v>791.7</v>
      </c>
      <c r="AH87" s="26" t="inlineStr">
        <is>
          <t>Y</t>
        </is>
      </c>
      <c r="AI87" s="35" t="n">
        <v>179.1</v>
      </c>
      <c r="AJ87" s="35" t="n">
        <v>41.1</v>
      </c>
      <c r="AK87" s="26" t="inlineStr">
        <is>
          <t>Y</t>
        </is>
      </c>
      <c r="AL87" s="26" t="inlineStr">
        <is>
          <t>002821.SZ</t>
        </is>
      </c>
      <c r="AM87" s="34" t="n">
        <v>-33.61</v>
      </c>
      <c r="AN87" s="29" t="n">
        <v>584.465</v>
      </c>
      <c r="AO87" s="42" t="n">
        <v>-0.4258</v>
      </c>
      <c r="AP87" s="26" t="inlineStr">
        <is>
          <t>Goldman Sachs (Asia) L.L.C; CLSA Capital Markets Limited</t>
        </is>
      </c>
      <c r="AQ87" s="26" t="inlineStr">
        <is>
          <t>高盛(亞洲)有限責任公司; 中信里昂證券資本市場有限公司</t>
        </is>
      </c>
      <c r="AR87" s="26" t="inlineStr">
        <is>
          <t>Goldman Sachs (Asia) L.L.C; CLSA Limited; Managers Goldman Sachs (Asia) L.L.C; Credit Suisse (Hong Kong) Limited; Citigroup Global Markets Asia Limited; BOCOM International Securities Limited</t>
        </is>
      </c>
      <c r="AS87" s="26" t="inlineStr">
        <is>
          <t>Beta International Securities Limited; 花旗環球金融亞洲有限公司; 中信里昂證券有限公司; 瑞士信貸（香港）有限公司; 國泰君安證券(香港)有限公司; 高盛(亞洲)有限責任公司</t>
        </is>
      </c>
      <c r="AT87" s="37">
        <f>HYPERLINK("https://www1.hkexnews.hk/listedco/listconews/sehk/2021/1130/2021113000029.pdf","prospectus")</f>
        <v/>
      </c>
      <c r="AU87" s="37">
        <f>HYPERLINK("https://www1.hkexnews.hk/listedco/listconews/sehk/2021/1209/2021120900056.htm","allotment")</f>
        <v/>
      </c>
      <c r="AV87" s="37">
        <f>HYPERLINK("https://www1.hkexnews.hk/listedco/listconews/sehk/2022/0102/2022010200055.pdf","stabilisation")</f>
        <v/>
      </c>
      <c r="AW87" s="26" t="inlineStr">
        <is>
          <t>intl sub: subscription level not stated in the filing · A/H: H listed Dec 2021 (CDMO)</t>
        </is>
      </c>
    </row>
    <row r="88">
      <c r="A88" s="25" t="inlineStr">
        <is>
          <t>2279</t>
        </is>
      </c>
      <c r="B88" s="26" t="inlineStr">
        <is>
          <t>YONGHE MEDICAL</t>
        </is>
      </c>
      <c r="C88" s="26" t="inlineStr">
        <is>
          <t>雍禾醫療</t>
        </is>
      </c>
      <c r="D88" s="26" t="inlineStr">
        <is>
          <t>Healthcare</t>
        </is>
      </c>
      <c r="E88" s="26" t="inlineStr">
        <is>
          <t>Hospitals / clinics</t>
        </is>
      </c>
      <c r="F88" s="26" t="inlineStr">
        <is>
          <t>Standard</t>
        </is>
      </c>
      <c r="G88" s="27" t="n">
        <v>44541</v>
      </c>
      <c r="H88" s="28" t="n">
        <v>1491.9</v>
      </c>
      <c r="I88" s="26" t="inlineStr">
        <is>
          <t>gross (price x shares)</t>
        </is>
      </c>
      <c r="J88" s="29" t="n"/>
      <c r="K88" s="29" t="n">
        <v>15.8</v>
      </c>
      <c r="L88" s="29" t="n">
        <v>15.8</v>
      </c>
      <c r="M88" s="26" t="inlineStr">
        <is>
          <t>Y</t>
        </is>
      </c>
      <c r="N88" s="30" t="n">
        <v>100</v>
      </c>
      <c r="O88" s="28" t="n">
        <v>8215.299999999999</v>
      </c>
      <c r="P88" s="26" t="inlineStr">
        <is>
          <t>prospectus:stated market capitalisation</t>
        </is>
      </c>
      <c r="Q88" s="31" t="n">
        <v>160.06</v>
      </c>
      <c r="R88" s="32" t="n">
        <v>8.390000000000001</v>
      </c>
      <c r="S88" s="33" t="n">
        <v>50</v>
      </c>
      <c r="T88" s="26" t="inlineStr">
        <is>
          <t>Athos Capital Limited; Enreal and Forreal Funds; Hudson Bay Master Fund Ltd; 常春藤資產管理（香港）有限公司; Lake Bleu Prime Healthcare Master Fund Limited; LAV Star Funds; NCC China A-Share Master Fund; WT Asset Management Limited; Yi Fang Da Hadar Investment Limited; York Asian Opportunities Investments Master Fund, LP</t>
        </is>
      </c>
      <c r="U88" s="30" t="n">
        <v>9.199999999999999</v>
      </c>
      <c r="V88" s="26" t="inlineStr">
        <is>
          <t>partial</t>
        </is>
      </c>
      <c r="W88" s="34" t="n">
        <v>5.06</v>
      </c>
      <c r="X88" s="34" t="n">
        <v>1.14</v>
      </c>
      <c r="Y88" s="34" t="n">
        <v>-17.34</v>
      </c>
      <c r="Z88" s="34" t="n">
        <v>-38.1</v>
      </c>
      <c r="AA88" s="34" t="n">
        <v>-21.32</v>
      </c>
      <c r="AB88" s="34" t="n">
        <v>-9.119999999999999</v>
      </c>
      <c r="AC88" s="34" t="n">
        <v>-8.220000000000001</v>
      </c>
      <c r="AD88" s="26" t="inlineStr">
        <is>
          <t>China Biotech ETF (HS biotech proxy)</t>
        </is>
      </c>
      <c r="AE88" s="34" t="n">
        <v>-84.05</v>
      </c>
      <c r="AF88" s="28" t="n">
        <v>0</v>
      </c>
      <c r="AG88" s="28" t="n">
        <v>179.7</v>
      </c>
      <c r="AH88" s="26" t="inlineStr">
        <is>
          <t>Y</t>
        </is>
      </c>
      <c r="AI88" s="35" t="n">
        <v>45.7</v>
      </c>
      <c r="AJ88" s="35" t="n"/>
      <c r="AK88" s="26" t="inlineStr">
        <is>
          <t>N</t>
        </is>
      </c>
      <c r="AL88" s="36">
        <f>IF('BBG Verify'!K88="","not filed — run on terminal",'BBG Verify'!K88)</f>
        <v/>
      </c>
      <c r="AM88" s="26" t="inlineStr">
        <is>
          <t>N/A</t>
        </is>
      </c>
      <c r="AN88" s="26" t="inlineStr">
        <is>
          <t>N/A</t>
        </is>
      </c>
      <c r="AO88" s="26" t="inlineStr">
        <is>
          <t>N/A</t>
        </is>
      </c>
      <c r="AP88" s="26" t="inlineStr">
        <is>
          <t>Morgan Stanley Asia Limited; China International Capital Corporation Hong Kong Securities Limited</t>
        </is>
      </c>
      <c r="AQ88" s="26" t="inlineStr">
        <is>
          <t>中國國際金融香港證券有限公司; 摩根士丹利亞洲有限公司</t>
        </is>
      </c>
      <c r="AR88" s="26" t="inlineStr">
        <is>
          <t>Morgan Stanley Asia Limited; China International Capital Corporation Hong Kong Securities Limited; Managers Morgan Stanley Asia Limited; Morgan Stanley &amp; Co. International plc</t>
        </is>
      </c>
      <c r="AS88" s="26" t="inlineStr">
        <is>
          <t>中國國際金融香港證券有限公司; 摩根士丹利亞洲有限公司</t>
        </is>
      </c>
      <c r="AT88" s="37">
        <f>HYPERLINK("https://www1.hkexnews.hk/listedco/listconews/sehk/2021/1201/2021120100031.pdf","prospectus")</f>
        <v/>
      </c>
      <c r="AU88" s="37">
        <f>HYPERLINK("https://www1.hkexnews.hk/listedco/listconews/sehk/2021/1210/2021121000062.htm","allotment")</f>
        <v/>
      </c>
      <c r="AV88" s="37">
        <f>HYPERLINK("https://www1.hkexnews.hk/listedco/listconews/sehk/2022/0105/2022010502109.pdf","stabilisation")</f>
        <v/>
      </c>
      <c r="AW88" s="26" t="inlineStr">
        <is>
          <t>A/H: no A-share listing</t>
        </is>
      </c>
    </row>
    <row r="89">
      <c r="A89" s="25" t="inlineStr">
        <is>
          <t>9699</t>
        </is>
      </c>
      <c r="B89" s="26" t="inlineStr">
        <is>
          <t>SF INTRA-CITY</t>
        </is>
      </c>
      <c r="C89" s="26" t="inlineStr">
        <is>
          <t>順豐同城</t>
        </is>
      </c>
      <c r="D89" s="26" t="inlineStr">
        <is>
          <t>Industrials</t>
        </is>
      </c>
      <c r="E89" s="26" t="inlineStr">
        <is>
          <t>Logistics</t>
        </is>
      </c>
      <c r="F89" s="26" t="inlineStr">
        <is>
          <t>Standard</t>
        </is>
      </c>
      <c r="G89" s="27" t="n">
        <v>44544</v>
      </c>
      <c r="H89" s="28" t="n">
        <v>2154</v>
      </c>
      <c r="I89" s="26" t="inlineStr">
        <is>
          <t>gross (price x shares)</t>
        </is>
      </c>
      <c r="J89" s="29" t="n">
        <v>16.42</v>
      </c>
      <c r="K89" s="29" t="n">
        <v>17.96</v>
      </c>
      <c r="L89" s="29" t="n">
        <v>16.42</v>
      </c>
      <c r="M89" s="26" t="inlineStr">
        <is>
          <t>N</t>
        </is>
      </c>
      <c r="N89" s="30" t="n">
        <v>91.40000000000001</v>
      </c>
      <c r="O89" s="28" t="n">
        <v>15327.4</v>
      </c>
      <c r="P89" s="26" t="inlineStr">
        <is>
          <t>prospectus:stated market capitalisation</t>
        </is>
      </c>
      <c r="Q89" s="43">
        <f>IF('BBG Verify'!C89="","not filed — run on terminal",'BBG Verify'!C89)</f>
        <v/>
      </c>
      <c r="R89" s="32" t="n">
        <v>2.41</v>
      </c>
      <c r="S89" s="33" t="n">
        <v>43.9</v>
      </c>
      <c r="T89" s="26" t="inlineStr">
        <is>
          <t>Hello Inc; 淘寶中國控股有限公司</t>
        </is>
      </c>
      <c r="U89" s="30" t="n">
        <v>5.6</v>
      </c>
      <c r="V89" s="26" t="inlineStr">
        <is>
          <t>lapsed</t>
        </is>
      </c>
      <c r="W89" s="34" t="n">
        <v>-9.26</v>
      </c>
      <c r="X89" s="34" t="n">
        <v>-6.94</v>
      </c>
      <c r="Y89" s="34" t="n">
        <v>-19.85</v>
      </c>
      <c r="Z89" s="34" t="n">
        <v>-52.01</v>
      </c>
      <c r="AA89" s="34" t="n">
        <v>-11.67</v>
      </c>
      <c r="AB89" s="34" t="n">
        <v>-18.45</v>
      </c>
      <c r="AC89" s="34" t="n">
        <v>-1.4</v>
      </c>
      <c r="AD89" s="26" t="inlineStr">
        <is>
          <t>Hang Seng Commerce &amp; Industry sub-index</t>
        </is>
      </c>
      <c r="AE89" s="34" t="n">
        <v>-50.76</v>
      </c>
      <c r="AF89" s="28" t="n">
        <v>5327.7</v>
      </c>
      <c r="AG89" s="28" t="n">
        <v>-833.4</v>
      </c>
      <c r="AH89" s="26" t="inlineStr">
        <is>
          <t>N</t>
        </is>
      </c>
      <c r="AI89" s="38">
        <f>IF('BBG Verify'!O89="","not filed — run on terminal",'BBG Verify'!O89)</f>
        <v/>
      </c>
      <c r="AJ89" s="35" t="n">
        <v>2.9</v>
      </c>
      <c r="AK89" s="26" t="inlineStr">
        <is>
          <t>N</t>
        </is>
      </c>
      <c r="AL89" s="36">
        <f>IF('BBG Verify'!K89="","not filed — run on terminal",'BBG Verify'!K89)</f>
        <v/>
      </c>
      <c r="AM89" s="26" t="inlineStr">
        <is>
          <t>N/A</t>
        </is>
      </c>
      <c r="AN89" s="26" t="inlineStr">
        <is>
          <t>N/A</t>
        </is>
      </c>
      <c r="AO89" s="26" t="inlineStr">
        <is>
          <t>N/A</t>
        </is>
      </c>
      <c r="AP89" s="26" t="inlineStr">
        <is>
          <t>China International Capital Corporation Hong Kong Securities Limited; Merrill Lynch (Asia Pacific) Limited</t>
        </is>
      </c>
      <c r="AQ89" s="26" t="inlineStr">
        <is>
          <t>中國國際金融香港證券有限公司; 美林(亞太)有限公司</t>
        </is>
      </c>
      <c r="AR89" s="26" t="inlineStr">
        <is>
          <t>China International Capital Corporation Hong Kong Securities Limited; Merrill Lynch (Asia Pacific) Limited; Credit Suisse (Hong Kong) Limited; Huatai Financial Holdings (Hong Kong) Limited; CLSA Limited; CMB International Capital Limited; Central, Hong Kong ABCI Capital Limited; Futu Securities International (Hong Kong) Limited</t>
        </is>
      </c>
      <c r="AS89" s="26" t="inlineStr">
        <is>
          <t>農銀國際證券有限公司; 中國國際金融香港證券有限公司; 中信里昂證券有限公司; 招銀國際融資有限公司; 瑞士信貸（香港）有限公司; 富途證券國際（香港）有限公司; 華泰金融控股(香港)有限公司; 美林(亞太)有限公司</t>
        </is>
      </c>
      <c r="AT89" s="37">
        <f>HYPERLINK("https://www1.hkexnews.hk/listedco/listconews/sehk/2021/1130/2021113000021.pdf","prospectus")</f>
        <v/>
      </c>
      <c r="AU89" s="37">
        <f>HYPERLINK("https://www1.hkexnews.hk/listedco/listconews/sehk/2021/1213/2021121300010.htm","allotment")</f>
        <v/>
      </c>
      <c r="AV89" s="37">
        <f>HYPERLINK("https://www1.hkexnews.hk/listedco/listconews/sehk/2022/0106/2022010601365.pdf","stabilisation")</f>
        <v/>
      </c>
      <c r="AW89" s="26" t="inlineStr">
        <is>
          <t>P/E: n/m — loss-making at IPO (use P/S) · A/H: no A-share listing</t>
        </is>
      </c>
    </row>
    <row r="90">
      <c r="A90" s="25" t="inlineStr">
        <is>
          <t>2276</t>
        </is>
      </c>
      <c r="B90" s="26" t="inlineStr">
        <is>
          <t>CONANT OPTICAL</t>
        </is>
      </c>
      <c r="C90" s="26" t="inlineStr">
        <is>
          <t>康耐特光學</t>
        </is>
      </c>
      <c r="D90" s="26" t="inlineStr">
        <is>
          <t>Healthcare</t>
        </is>
      </c>
      <c r="E90" s="26" t="inlineStr">
        <is>
          <t>Medical devices</t>
        </is>
      </c>
      <c r="F90" s="26" t="inlineStr">
        <is>
          <t>Standard</t>
        </is>
      </c>
      <c r="G90" s="27" t="n">
        <v>44546</v>
      </c>
      <c r="H90" s="28" t="n">
        <v>542.3</v>
      </c>
      <c r="I90" s="26" t="inlineStr">
        <is>
          <t>gross (price x shares)</t>
        </is>
      </c>
      <c r="J90" s="29" t="n"/>
      <c r="K90" s="29" t="n">
        <v>6.1</v>
      </c>
      <c r="L90" s="29" t="n">
        <v>4.46</v>
      </c>
      <c r="M90" s="26" t="inlineStr">
        <is>
          <t>N</t>
        </is>
      </c>
      <c r="N90" s="30" t="n">
        <v>73.09999999999999</v>
      </c>
      <c r="O90" s="28" t="n">
        <v>1902.6</v>
      </c>
      <c r="P90" s="26" t="inlineStr">
        <is>
          <t>prospectus:stated market capitalisation</t>
        </is>
      </c>
      <c r="Q90" s="31" t="n">
        <v>1.78</v>
      </c>
      <c r="R90" s="39">
        <f>IF('BBG Verify'!E90="","not filed — run on terminal",'BBG Verify'!E90)</f>
        <v/>
      </c>
      <c r="S90" s="33" t="n"/>
      <c r="T90" s="26" t="n"/>
      <c r="U90" s="30" t="n">
        <v>15</v>
      </c>
      <c r="V90" s="26" t="inlineStr">
        <is>
          <t>lapsed (no over-allocation)</t>
        </is>
      </c>
      <c r="W90" s="34" t="n">
        <v>2.02</v>
      </c>
      <c r="X90" s="34" t="n">
        <v>0.45</v>
      </c>
      <c r="Y90" s="34" t="n">
        <v>-2.69</v>
      </c>
      <c r="Z90" s="34" t="n">
        <v>4.48</v>
      </c>
      <c r="AA90" s="34" t="n">
        <v>-4.62</v>
      </c>
      <c r="AB90" s="34" t="n">
        <v>0.59</v>
      </c>
      <c r="AC90" s="34" t="n">
        <v>-3.28</v>
      </c>
      <c r="AD90" s="26" t="inlineStr">
        <is>
          <t>China Biotech ETF (HS biotech proxy)</t>
        </is>
      </c>
      <c r="AE90" s="34" t="n">
        <v>811.66</v>
      </c>
      <c r="AF90" s="28" t="n">
        <v>13.5</v>
      </c>
      <c r="AG90" s="28" t="n">
        <v>-1.6</v>
      </c>
      <c r="AH90" s="26" t="inlineStr">
        <is>
          <t>N</t>
        </is>
      </c>
      <c r="AI90" s="38">
        <f>IF('BBG Verify'!O90="","not filed — run on terminal",'BBG Verify'!O90)</f>
        <v/>
      </c>
      <c r="AJ90" s="35" t="n">
        <v>140.9</v>
      </c>
      <c r="AK90" s="26" t="inlineStr">
        <is>
          <t>N</t>
        </is>
      </c>
      <c r="AL90" s="36">
        <f>IF('BBG Verify'!K90="","not filed — run on terminal",'BBG Verify'!K90)</f>
        <v/>
      </c>
      <c r="AM90" s="26" t="inlineStr">
        <is>
          <t>N/A</t>
        </is>
      </c>
      <c r="AN90" s="26" t="inlineStr">
        <is>
          <t>N/A</t>
        </is>
      </c>
      <c r="AO90" s="26" t="inlineStr">
        <is>
          <t>N/A</t>
        </is>
      </c>
      <c r="AP90" s="26" t="inlineStr">
        <is>
          <t>Guotai Junan Capital Limited</t>
        </is>
      </c>
      <c r="AQ90" s="26" t="inlineStr">
        <is>
          <t>國泰君安融資有限公司</t>
        </is>
      </c>
      <c r="AR90" s="26" t="inlineStr">
        <is>
          <t>Guotai Junan Securities (Hong Kong) Limited</t>
        </is>
      </c>
      <c r="AS90" s="26" t="inlineStr">
        <is>
          <t>長雄證券有限公司; 國泰君安證券(香港)有限公司; 瑞豐國際證券有限公司; 領智證券有限公司</t>
        </is>
      </c>
      <c r="AT90" s="37">
        <f>HYPERLINK("https://www1.hkexnews.hk/listedco/listconews/sehk/2021/1130/2021113000017.pdf","prospectus")</f>
        <v/>
      </c>
      <c r="AU90" s="37">
        <f>HYPERLINK("https://www1.hkexnews.hk/listedco/listconews/sehk/2021/1215/2021121500014.htm","allotment")</f>
        <v/>
      </c>
      <c r="AV90" s="37">
        <f>HYPERLINK("https://www1.hkexnews.hk/listedco/listconews/sehk/2022/0109/2022010900013.pdf","stabilisation")</f>
        <v/>
      </c>
      <c r="AW90" s="26" t="inlineStr">
        <is>
          <t>intl sub: subscription level not stated in the filing · P/E: n/m — loss-making at IPO (use P/S) · A/H: no A-share listing</t>
        </is>
      </c>
    </row>
    <row r="91">
      <c r="A91" s="25" t="inlineStr">
        <is>
          <t>6633</t>
        </is>
      </c>
      <c r="B91" s="26" t="inlineStr">
        <is>
          <t>QINGCI GAMES</t>
        </is>
      </c>
      <c r="C91" s="26" t="inlineStr">
        <is>
          <t>青瓷遊戲</t>
        </is>
      </c>
      <c r="D91" s="26" t="inlineStr">
        <is>
          <t>Tech/AI</t>
        </is>
      </c>
      <c r="E91" s="26" t="inlineStr">
        <is>
          <t>Gaming / entertainment tech</t>
        </is>
      </c>
      <c r="F91" s="26" t="inlineStr">
        <is>
          <t>Standard</t>
        </is>
      </c>
      <c r="G91" s="27" t="n">
        <v>44546</v>
      </c>
      <c r="H91" s="28" t="n">
        <v>952</v>
      </c>
      <c r="I91" s="26" t="inlineStr">
        <is>
          <t>gross (price x shares)</t>
        </is>
      </c>
      <c r="J91" s="29" t="n">
        <v>11.2</v>
      </c>
      <c r="K91" s="29" t="n">
        <v>14</v>
      </c>
      <c r="L91" s="29" t="n">
        <v>11.2</v>
      </c>
      <c r="M91" s="26" t="inlineStr">
        <is>
          <t>N</t>
        </is>
      </c>
      <c r="N91" s="30" t="n">
        <v>80</v>
      </c>
      <c r="O91" s="28" t="n">
        <v>7672</v>
      </c>
      <c r="P91" s="26" t="inlineStr">
        <is>
          <t>prospectus:stated market capitalisation</t>
        </is>
      </c>
      <c r="Q91" s="31" t="n">
        <v>3.64</v>
      </c>
      <c r="R91" s="32" t="n">
        <v>1.77</v>
      </c>
      <c r="S91" s="33" t="n">
        <v>57.3</v>
      </c>
      <c r="T91" s="26" t="inlineStr">
        <is>
          <t>ABCI China Dynamic Growth SP; Boyu Capital Opportunities Master Fund; 廣發全球資本有限公司; 嘉實另類投資機會3號基金; I-China Holdings Limited; 庫卡在線娛樂有限公司</t>
        </is>
      </c>
      <c r="U91" s="30" t="n">
        <v>7.11</v>
      </c>
      <c r="V91" s="26" t="inlineStr">
        <is>
          <t>partial</t>
        </is>
      </c>
      <c r="W91" s="34" t="n">
        <v>-4.64</v>
      </c>
      <c r="X91" s="34" t="n">
        <v>-4.46</v>
      </c>
      <c r="Y91" s="34" t="n">
        <v>-21.34</v>
      </c>
      <c r="Z91" s="34" t="n">
        <v>-61.88</v>
      </c>
      <c r="AA91" s="34" t="n">
        <v>-17.51</v>
      </c>
      <c r="AB91" s="34" t="n">
        <v>-20.2</v>
      </c>
      <c r="AC91" s="34" t="n">
        <v>-1.14</v>
      </c>
      <c r="AD91" s="26" t="inlineStr">
        <is>
          <t>HSTECH (Hang Seng TECH ETF)</t>
        </is>
      </c>
      <c r="AE91" s="34" t="n">
        <v>-73.20999999999999</v>
      </c>
      <c r="AF91" s="28" t="n">
        <v>1349.6</v>
      </c>
      <c r="AG91" s="28" t="n">
        <v>124.6</v>
      </c>
      <c r="AH91" s="26" t="inlineStr">
        <is>
          <t>Y</t>
        </is>
      </c>
      <c r="AI91" s="35" t="n">
        <v>61.6</v>
      </c>
      <c r="AJ91" s="35" t="n">
        <v>5.7</v>
      </c>
      <c r="AK91" s="26" t="inlineStr">
        <is>
          <t>N</t>
        </is>
      </c>
      <c r="AL91" s="36">
        <f>IF('BBG Verify'!K91="","not filed — run on terminal",'BBG Verify'!K91)</f>
        <v/>
      </c>
      <c r="AM91" s="26" t="inlineStr">
        <is>
          <t>N/A</t>
        </is>
      </c>
      <c r="AN91" s="26" t="inlineStr">
        <is>
          <t>N/A</t>
        </is>
      </c>
      <c r="AO91" s="26" t="inlineStr">
        <is>
          <t>N/A</t>
        </is>
      </c>
      <c r="AP91" s="26" t="inlineStr">
        <is>
          <t>China International Capital Corporation Hong Kong Securities Limited; CLSA Capital Markets Limited; CLSA Limited</t>
        </is>
      </c>
      <c r="AQ91" s="26" t="inlineStr">
        <is>
          <t>中國國際金融香港證券有限公司; 中信里昂證券資本市場有限公司</t>
        </is>
      </c>
      <c r="AR91" s="26" t="inlineStr">
        <is>
          <t>China International Capital Corporation Hong Kong Securities Limited; CLSA Limited; China Merchants Securities (HK) Co., Limited; (Below in alphabetical order) ABCI Capital Limited; Guotai Junan Securities (Hong Kong) Limited; Valuable Capital Limited</t>
        </is>
      </c>
      <c r="AS91" s="26" t="inlineStr">
        <is>
          <t>農銀國際證券有限公司; 中國國際金融香港證券有限公司; 中信里昂證券有限公司; 招商證券(香港)有限公司; 國泰君安證券(香港)有限公司; 天風國際證券與期貨有限公司; 華盛資本証券有限公司</t>
        </is>
      </c>
      <c r="AT91" s="37">
        <f>HYPERLINK("https://www1.hkexnews.hk/listedco/listconews/sehk/2021/1206/2021120600013.pdf","prospectus")</f>
        <v/>
      </c>
      <c r="AU91" s="37">
        <f>HYPERLINK("https://www1.hkexnews.hk/listedco/listconews/sehk/2021/1215/2021121500032.htm","allotment")</f>
        <v/>
      </c>
      <c r="AV91" s="37">
        <f>HYPERLINK("https://www1.hkexnews.hk/listedco/listconews/sehk/2022/0110/2022011000737.pdf","stabilisation")</f>
        <v/>
      </c>
      <c r="AW91" s="26" t="inlineStr">
        <is>
          <t>A/H: no A-share listing</t>
        </is>
      </c>
    </row>
    <row r="92">
      <c r="A92" s="25" t="inlineStr">
        <is>
          <t>2270</t>
        </is>
      </c>
      <c r="B92" s="26" t="inlineStr">
        <is>
          <t>DESUN SERVICES</t>
        </is>
      </c>
      <c r="C92" s="26" t="inlineStr">
        <is>
          <t>德商產投服務</t>
        </is>
      </c>
      <c r="D92" s="26" t="inlineStr">
        <is>
          <t>Real Estate</t>
        </is>
      </c>
      <c r="E92" s="26" t="inlineStr">
        <is>
          <t>Property management</t>
        </is>
      </c>
      <c r="F92" s="26" t="inlineStr">
        <is>
          <t>Standard</t>
        </is>
      </c>
      <c r="G92" s="27" t="n">
        <v>44547</v>
      </c>
      <c r="H92" s="28" t="n">
        <v>166.5</v>
      </c>
      <c r="I92" s="26" t="inlineStr">
        <is>
          <t>gross (price x shares)</t>
        </is>
      </c>
      <c r="J92" s="29" t="n">
        <v>1.1</v>
      </c>
      <c r="K92" s="29" t="n">
        <v>1.46</v>
      </c>
      <c r="L92" s="29" t="n">
        <v>1.11</v>
      </c>
      <c r="M92" s="26" t="inlineStr">
        <is>
          <t>N</t>
        </is>
      </c>
      <c r="N92" s="30" t="n">
        <v>76</v>
      </c>
      <c r="O92" s="28" t="n">
        <v>660</v>
      </c>
      <c r="P92" s="26" t="inlineStr">
        <is>
          <t>prospectus:stated market capitalisation</t>
        </is>
      </c>
      <c r="Q92" s="31" t="n">
        <v>1.37</v>
      </c>
      <c r="R92" s="32" t="n">
        <v>1.17</v>
      </c>
      <c r="S92" s="33" t="n">
        <v>0</v>
      </c>
      <c r="T92" s="26" t="n"/>
      <c r="U92" s="30" t="n">
        <v>15</v>
      </c>
      <c r="V92" s="26" t="inlineStr">
        <is>
          <t>partial</t>
        </is>
      </c>
      <c r="W92" s="34" t="n">
        <v>-5.41</v>
      </c>
      <c r="X92" s="34" t="n">
        <v>0</v>
      </c>
      <c r="Y92" s="34" t="n">
        <v>-1.8</v>
      </c>
      <c r="Z92" s="34" t="n">
        <v>-0.9</v>
      </c>
      <c r="AA92" s="34" t="n">
        <v>3.82</v>
      </c>
      <c r="AB92" s="34" t="n">
        <v>-3.13</v>
      </c>
      <c r="AC92" s="34" t="n">
        <v>1.33</v>
      </c>
      <c r="AD92" s="26" t="inlineStr">
        <is>
          <t>Hang Seng Properties sub-index</t>
        </is>
      </c>
      <c r="AE92" s="34" t="n">
        <v>556.76</v>
      </c>
      <c r="AF92" s="28" t="n">
        <v>61.3</v>
      </c>
      <c r="AG92" s="28" t="n">
        <v>47.2</v>
      </c>
      <c r="AH92" s="26" t="inlineStr">
        <is>
          <t>Y</t>
        </is>
      </c>
      <c r="AI92" s="35" t="n">
        <v>14</v>
      </c>
      <c r="AJ92" s="35" t="n">
        <v>10.8</v>
      </c>
      <c r="AK92" s="26" t="inlineStr">
        <is>
          <t>N</t>
        </is>
      </c>
      <c r="AL92" s="36">
        <f>IF('BBG Verify'!K92="","not filed — run on terminal",'BBG Verify'!K92)</f>
        <v/>
      </c>
      <c r="AM92" s="26" t="inlineStr">
        <is>
          <t>N/A</t>
        </is>
      </c>
      <c r="AN92" s="26" t="inlineStr">
        <is>
          <t>N/A</t>
        </is>
      </c>
      <c r="AO92" s="26" t="inlineStr">
        <is>
          <t>N/A</t>
        </is>
      </c>
      <c r="AP92" s="26" t="inlineStr">
        <is>
          <t>Shenwan Hongyuan Capital (H.K.) Limited</t>
        </is>
      </c>
      <c r="AQ92" s="26" t="inlineStr">
        <is>
          <t>申萬宏源融資（香港）有限公司</t>
        </is>
      </c>
      <c r="AR92" s="26" t="inlineStr">
        <is>
          <t>Shenwan Hongyuan Securities (H.K.) Limited; Wan Chai, Hong Kong China Everbright Securities (HK) Limited; Guosen Securities (HK) Capital Company Limited; Livermore Holdings Limited; CMBC Securities Company Limited; SPDB International Capital Limited; DIRECTORS AND PARTIES INVOLVED IN THE GLOBAL OFFERING –9 8– ZMF Asset Management Limited</t>
        </is>
      </c>
      <c r="AS92" s="26" t="inlineStr">
        <is>
          <t>中國光大證券(香港)有限公司; 民銀證券有限公司; 國信證券(香港)融資有限公司; 利弗莫爾證券有限公司; 申萬宏源證券（香港）有限公司; 浦銀國際融資有限公司; 中募金融資管有限公司</t>
        </is>
      </c>
      <c r="AT92" s="37">
        <f>HYPERLINK("https://www1.hkexnews.hk/listedco/listconews/sehk/2021/1130/2021113000045.pdf","prospectus")</f>
        <v/>
      </c>
      <c r="AU92" s="37">
        <f>HYPERLINK("https://www1.hkexnews.hk/listedco/listconews/sehk/2021/1216/2021121600022.htm","allotment")</f>
        <v/>
      </c>
      <c r="AV92" s="37">
        <f>HYPERLINK("https://www1.hkexnews.hk/listedco/listconews/sehk/2022/0106/2022010601685.pdf","stabilisation")</f>
        <v/>
      </c>
      <c r="AW92" s="26" t="inlineStr">
        <is>
          <t>A/H: no A-share listing</t>
        </is>
      </c>
    </row>
    <row r="93">
      <c r="A93" s="25" t="inlineStr">
        <is>
          <t>2185</t>
        </is>
      </c>
      <c r="B93" s="26" t="inlineStr">
        <is>
          <t>BIOHEART-B</t>
        </is>
      </c>
      <c r="C93" s="26" t="inlineStr">
        <is>
          <t>百心安－Ｂ</t>
        </is>
      </c>
      <c r="D93" s="26" t="inlineStr">
        <is>
          <t>Healthcare</t>
        </is>
      </c>
      <c r="E93" s="26" t="inlineStr">
        <is>
          <t>Medical devices</t>
        </is>
      </c>
      <c r="F93" s="26" t="inlineStr">
        <is>
          <t>18A</t>
        </is>
      </c>
      <c r="G93" s="27" t="n">
        <v>44553</v>
      </c>
      <c r="H93" s="28" t="n">
        <v>26.5</v>
      </c>
      <c r="I93" s="26" t="inlineStr">
        <is>
          <t>gross (stated)</t>
        </is>
      </c>
      <c r="J93" s="29" t="n"/>
      <c r="K93" s="29" t="n">
        <v>24.79</v>
      </c>
      <c r="L93" s="29" t="n">
        <v>21.25</v>
      </c>
      <c r="M93" s="26" t="inlineStr">
        <is>
          <t>N</t>
        </is>
      </c>
      <c r="N93" s="30" t="n">
        <v>85.7</v>
      </c>
      <c r="O93" s="28" t="n">
        <v>5923.9</v>
      </c>
      <c r="P93" s="26" t="inlineStr">
        <is>
          <t>aastocks:上市市值 at the struck price</t>
        </is>
      </c>
      <c r="Q93" s="31" t="n">
        <v>1.52</v>
      </c>
      <c r="R93" s="32" t="n">
        <v>1.16</v>
      </c>
      <c r="S93" s="33" t="n">
        <v>0</v>
      </c>
      <c r="T93" s="26" t="n"/>
      <c r="U93" s="30" t="n">
        <v>15.44</v>
      </c>
      <c r="V93" s="26" t="inlineStr">
        <is>
          <t>lapsed</t>
        </is>
      </c>
      <c r="W93" s="34" t="n">
        <v>-5.41</v>
      </c>
      <c r="X93" s="34" t="n">
        <v>27.76</v>
      </c>
      <c r="Y93" s="34" t="n">
        <v>37.18</v>
      </c>
      <c r="Z93" s="34" t="n">
        <v>110.82</v>
      </c>
      <c r="AA93" s="34" t="n">
        <v>45.03</v>
      </c>
      <c r="AB93" s="34" t="n">
        <v>45.84</v>
      </c>
      <c r="AC93" s="34" t="n">
        <v>-8.66</v>
      </c>
      <c r="AD93" s="26" t="inlineStr">
        <is>
          <t>China Biotech ETF (HS biotech proxy)</t>
        </is>
      </c>
      <c r="AE93" s="34" t="n">
        <v>-89.73999999999999</v>
      </c>
      <c r="AF93" s="28" t="n">
        <v>0.1</v>
      </c>
      <c r="AG93" s="28" t="n">
        <v>-15</v>
      </c>
      <c r="AH93" s="26" t="inlineStr">
        <is>
          <t>N</t>
        </is>
      </c>
      <c r="AI93" s="38">
        <f>IF('BBG Verify'!O93="","not filed — run on terminal",'BBG Verify'!O93)</f>
        <v/>
      </c>
      <c r="AJ93" s="35" t="n">
        <v>59239</v>
      </c>
      <c r="AK93" s="26" t="inlineStr">
        <is>
          <t>N</t>
        </is>
      </c>
      <c r="AL93" s="36">
        <f>IF('BBG Verify'!K93="","not filed — run on terminal",'BBG Verify'!K93)</f>
        <v/>
      </c>
      <c r="AM93" s="26" t="inlineStr">
        <is>
          <t>N/A</t>
        </is>
      </c>
      <c r="AN93" s="26" t="inlineStr">
        <is>
          <t>N/A</t>
        </is>
      </c>
      <c r="AO93" s="26" t="inlineStr">
        <is>
          <t>N/A</t>
        </is>
      </c>
      <c r="AP93" s="26" t="inlineStr">
        <is>
          <t>Huatai Financial Holdings (Hong Kong) Limited</t>
        </is>
      </c>
      <c r="AQ93" s="26" t="inlineStr">
        <is>
          <t>華泰金融控股(香港)有限公司</t>
        </is>
      </c>
      <c r="AR93" s="26" t="inlineStr">
        <is>
          <t>Huatai Financial Holdings (Hong Kong) Limited; Sole Lead Manager Huatai Financial Holdings (Hong Kong) Limited</t>
        </is>
      </c>
      <c r="AS93" s="26" t="inlineStr">
        <is>
          <t>華泰金融控股(香港)有限公司</t>
        </is>
      </c>
      <c r="AT93" s="37">
        <f>HYPERLINK("https://www1.hkexnews.hk/listedco/listconews/sehk/2021/1213/2021121300025.pdf","prospectus")</f>
        <v/>
      </c>
      <c r="AU93" s="37">
        <f>HYPERLINK("https://www1.hkexnews.hk/listedco/listconews/sehk/2021/1222/2021122200010.htm","allotment")</f>
        <v/>
      </c>
      <c r="AV93" s="37">
        <f>HYPERLINK("https://www1.hkexnews.hk/listedco/listconews/sehk/2022/0117/2022011700011.pdf","stabilisation")</f>
        <v/>
      </c>
      <c r="AW93" s="26" t="inlineStr">
        <is>
          <t>P/E: n/m — loss-making at IPO (use P/S) · A/H: no A-share listing · market cap: estimate from deal size / offer % of enlarged capital disagreed with the published listing cap — published figure adopted</t>
        </is>
      </c>
    </row>
    <row r="94">
      <c r="A94" s="25" t="inlineStr">
        <is>
          <t>2285</t>
        </is>
      </c>
      <c r="B94" s="26" t="inlineStr">
        <is>
          <t>CHERVON</t>
        </is>
      </c>
      <c r="C94" s="26" t="inlineStr">
        <is>
          <t>泉峰控股</t>
        </is>
      </c>
      <c r="D94" s="26" t="inlineStr">
        <is>
          <t>Industrials</t>
        </is>
      </c>
      <c r="E94" s="26" t="inlineStr">
        <is>
          <t>Capital goods / machinery</t>
        </is>
      </c>
      <c r="F94" s="26" t="inlineStr">
        <is>
          <t>Standard</t>
        </is>
      </c>
      <c r="G94" s="27" t="n">
        <v>44560</v>
      </c>
      <c r="H94" s="28" t="n">
        <v>3135.5</v>
      </c>
      <c r="I94" s="26" t="inlineStr">
        <is>
          <t>gross (price x shares)</t>
        </is>
      </c>
      <c r="J94" s="29" t="n">
        <v>37.6</v>
      </c>
      <c r="K94" s="29" t="n">
        <v>43.6</v>
      </c>
      <c r="L94" s="29" t="n">
        <v>43.6</v>
      </c>
      <c r="M94" s="26" t="inlineStr">
        <is>
          <t>Y</t>
        </is>
      </c>
      <c r="N94" s="30" t="n">
        <v>100</v>
      </c>
      <c r="O94" s="28" t="n">
        <v>18030</v>
      </c>
      <c r="P94" s="26" t="inlineStr">
        <is>
          <t>prospectus:stated market capitalisation</t>
        </is>
      </c>
      <c r="Q94" s="31" t="n">
        <v>7.49</v>
      </c>
      <c r="R94" s="32" t="n">
        <v>7.27</v>
      </c>
      <c r="S94" s="33" t="n">
        <v>13.8</v>
      </c>
      <c r="T94" s="26" t="inlineStr">
        <is>
          <t>3W Fund Management Limited; Dragon Billion China Master Fund; 景林資產管理香港有限公司; 常春藤資產管理(香港)有限公司; 惠理基金管理香港有限公司</t>
        </is>
      </c>
      <c r="U94" s="30" t="n">
        <v>10</v>
      </c>
      <c r="V94" s="26" t="inlineStr">
        <is>
          <t>full</t>
        </is>
      </c>
      <c r="W94" s="34" t="n">
        <v>28.44</v>
      </c>
      <c r="X94" s="34" t="n">
        <v>27.98</v>
      </c>
      <c r="Y94" s="34" t="n">
        <v>28.9</v>
      </c>
      <c r="Z94" s="34" t="n">
        <v>27.06</v>
      </c>
      <c r="AA94" s="34" t="n">
        <v>0.36</v>
      </c>
      <c r="AB94" s="34" t="n">
        <v>30.61</v>
      </c>
      <c r="AC94" s="34" t="n">
        <v>-1.71</v>
      </c>
      <c r="AD94" s="26" t="inlineStr">
        <is>
          <t>Hang Seng Commerce &amp; Industry sub-index</t>
        </is>
      </c>
      <c r="AE94" s="34" t="n">
        <v>-52.2</v>
      </c>
      <c r="AF94" s="28" t="n">
        <v>9367</v>
      </c>
      <c r="AG94" s="28" t="n">
        <v>377.4</v>
      </c>
      <c r="AH94" s="26" t="inlineStr">
        <is>
          <t>Y</t>
        </is>
      </c>
      <c r="AI94" s="35" t="n">
        <v>47.8</v>
      </c>
      <c r="AJ94" s="35" t="n">
        <v>1.9</v>
      </c>
      <c r="AK94" s="26" t="inlineStr">
        <is>
          <t>N</t>
        </is>
      </c>
      <c r="AL94" s="36">
        <f>IF('BBG Verify'!K94="","not filed — run on terminal",'BBG Verify'!K94)</f>
        <v/>
      </c>
      <c r="AM94" s="26" t="inlineStr">
        <is>
          <t>N/A</t>
        </is>
      </c>
      <c r="AN94" s="26" t="inlineStr">
        <is>
          <t>N/A</t>
        </is>
      </c>
      <c r="AO94" s="26" t="inlineStr">
        <is>
          <t>N/A</t>
        </is>
      </c>
      <c r="AP94" s="26" t="inlineStr">
        <is>
          <t>China International Capital Corporation Hong Kong Securities Limited; Citigroup Global Markets Asia Limited</t>
        </is>
      </c>
      <c r="AQ94" s="26" t="inlineStr">
        <is>
          <t>中國國際金融香港證券有限公司; 花旗環球金融亞洲有限公司</t>
        </is>
      </c>
      <c r="AR94" s="26" t="inlineStr">
        <is>
          <t>China International Capital Corporation Hong Kong Securities Limited; Citigroup Global Markets Asia Limited; The Hongkong and Shanghai Banking Corporation Limited; Managers China International Capital Corporation Hong Kong Securities Limited; (in relation to the Hong Kong Public Offering only) Citigroup Global Markets Limited; BOCOM International Securities Limited; CMB International Capital Limited</t>
        </is>
      </c>
      <c r="AS94" s="26" t="inlineStr">
        <is>
          <t>Beta International Securities Limited; 花旗環球金融亞洲有限公司; 中國國際金融香港證券有限公司; 招銀國際融資有限公司; 香港上海匯豐銀行有限公司</t>
        </is>
      </c>
      <c r="AT94" s="37">
        <f>HYPERLINK("https://www1.hkexnews.hk/listedco/listconews/sehk/2021/1217/2021121700005.pdf","prospectus")</f>
        <v/>
      </c>
      <c r="AU94" s="37">
        <f>HYPERLINK("https://www1.hkexnews.hk/listedco/listconews/sehk/2021/1229/2021122900020.htm","allotment")</f>
        <v/>
      </c>
      <c r="AV94" s="37">
        <f>HYPERLINK("https://www1.hkexnews.hk/listedco/listconews/sehk/2022/0121/2022012101124.pdf","stabilisation")</f>
        <v/>
      </c>
      <c r="AW94" s="26" t="inlineStr">
        <is>
          <t>A/H: no A-share listing · cornerstone: AAStocks institutional table includes non-cornerstone orders (superset) — cornerstone % is from the prospectus</t>
        </is>
      </c>
    </row>
    <row r="95">
      <c r="A95" s="25" t="inlineStr">
        <is>
          <t>2257</t>
        </is>
      </c>
      <c r="B95" s="26" t="inlineStr">
        <is>
          <t>SIRNAOMICS-B</t>
        </is>
      </c>
      <c r="C95" s="26" t="inlineStr">
        <is>
          <t>聖諾醫藥－Ｂ</t>
        </is>
      </c>
      <c r="D95" s="26" t="inlineStr">
        <is>
          <t>Healthcare</t>
        </is>
      </c>
      <c r="E95" s="26" t="inlineStr">
        <is>
          <t>Biotech pre-revenue (18A)</t>
        </is>
      </c>
      <c r="F95" s="26" t="inlineStr">
        <is>
          <t>18A</t>
        </is>
      </c>
      <c r="G95" s="27" t="n">
        <v>44560</v>
      </c>
      <c r="H95" s="28" t="n">
        <v>496.9</v>
      </c>
      <c r="I95" s="26" t="inlineStr">
        <is>
          <t>gross (price x shares)</t>
        </is>
      </c>
      <c r="J95" s="29" t="n">
        <v>65.90000000000001</v>
      </c>
      <c r="K95" s="29" t="n">
        <v>72.7</v>
      </c>
      <c r="L95" s="29" t="n">
        <v>65.90000000000001</v>
      </c>
      <c r="M95" s="26" t="inlineStr">
        <is>
          <t>N</t>
        </is>
      </c>
      <c r="N95" s="30" t="n">
        <v>90.59999999999999</v>
      </c>
      <c r="O95" s="28" t="n">
        <v>5804</v>
      </c>
      <c r="P95" s="26" t="inlineStr">
        <is>
          <t>prospectus:stated market capitalisation</t>
        </is>
      </c>
      <c r="Q95" s="31" t="n">
        <v>5.68</v>
      </c>
      <c r="R95" s="32" t="n">
        <v>1.22</v>
      </c>
      <c r="S95" s="33" t="n">
        <v>41.1</v>
      </c>
      <c r="T95" s="26" t="inlineStr">
        <is>
          <t>昆明佳時清投資合夥企業（有限合夥）; 浙江健新原力製藥有限公司</t>
        </is>
      </c>
      <c r="U95" s="30" t="n">
        <v>14.5</v>
      </c>
      <c r="V95" s="26" t="inlineStr">
        <is>
          <t>partial</t>
        </is>
      </c>
      <c r="W95" s="34" t="n">
        <v>18.21</v>
      </c>
      <c r="X95" s="34" t="n">
        <v>20.03</v>
      </c>
      <c r="Y95" s="34" t="n">
        <v>11.53</v>
      </c>
      <c r="Z95" s="34" t="n">
        <v>22.31</v>
      </c>
      <c r="AA95" s="34" t="n">
        <v>-5.65</v>
      </c>
      <c r="AB95" s="34" t="n">
        <v>28.3</v>
      </c>
      <c r="AC95" s="34" t="n">
        <v>-16.77</v>
      </c>
      <c r="AD95" s="26" t="inlineStr">
        <is>
          <t>China Biotech ETF (HS biotech proxy)</t>
        </is>
      </c>
      <c r="AE95" s="34" t="n">
        <v>-93.79000000000001</v>
      </c>
      <c r="AF95" s="28" t="n"/>
      <c r="AG95" s="28" t="n">
        <v>-258.5</v>
      </c>
      <c r="AH95" s="26" t="inlineStr">
        <is>
          <t>N</t>
        </is>
      </c>
      <c r="AI95" s="38">
        <f>IF('BBG Verify'!O95="","not filed — run on terminal",'BBG Verify'!O95)</f>
        <v/>
      </c>
      <c r="AJ95" s="35" t="n"/>
      <c r="AK95" s="26" t="inlineStr">
        <is>
          <t>N</t>
        </is>
      </c>
      <c r="AL95" s="36">
        <f>IF('BBG Verify'!K95="","not filed — run on terminal",'BBG Verify'!K95)</f>
        <v/>
      </c>
      <c r="AM95" s="26" t="inlineStr">
        <is>
          <t>N/A</t>
        </is>
      </c>
      <c r="AN95" s="26" t="inlineStr">
        <is>
          <t>N/A</t>
        </is>
      </c>
      <c r="AO95" s="26" t="inlineStr">
        <is>
          <t>N/A</t>
        </is>
      </c>
      <c r="AP95" s="26" t="inlineStr">
        <is>
          <t>China International Capital Corporation Hong Kong Securities Limited; Nomura International (Hong Kong) Limited</t>
        </is>
      </c>
      <c r="AQ95" s="26" t="inlineStr">
        <is>
          <t>中國國際金融香港證券有限公司</t>
        </is>
      </c>
      <c r="AR95" s="26" t="inlineStr">
        <is>
          <t>China International Capital Corporation Hong Kong Securities Limited; The Hongkong and Shanghai Banking Corporation Limited; Nomura International (Hong Kong) Limited; China Merchants Securities (HK) Co., Limited; China PA Securities (Hong Kong) Company Limited; Alpha Win Capital Limited; Valuable Capital Limited</t>
        </is>
      </c>
      <c r="AS95" s="26" t="inlineStr">
        <is>
          <t>中源國際資本有限公司; 中國國際金融香港證券有限公司; 招商證券(香港)有限公司; 平證證券（香港）有限公司; 香港上海匯豐銀行有限公司; 野村國際(香港)有限公司; 華盛資本証券有限公司</t>
        </is>
      </c>
      <c r="AT95" s="37">
        <f>HYPERLINK("https://www1.hkexnews.hk/listedco/listconews/sehk/2021/1220/2021122000014.htm","prospectus")</f>
        <v/>
      </c>
      <c r="AU95" s="37">
        <f>HYPERLINK("https://www1.hkexnews.hk/listedco/listconews/sehk/2021/1229/2021122900046.htm","allotment")</f>
        <v/>
      </c>
      <c r="AV95" s="37">
        <f>HYPERLINK("https://www1.hkexnews.hk/listedco/listconews/sehk/2022/0123/2022012300079.pdf","stabilisation")</f>
        <v/>
      </c>
      <c r="AW95" s="26" t="inlineStr">
        <is>
          <t>P/E: n/m — loss-making at IPO (use P/S) · A/H: no A-share listing</t>
        </is>
      </c>
    </row>
    <row r="96">
      <c r="A96" s="25" t="inlineStr">
        <is>
          <t>0020</t>
        </is>
      </c>
      <c r="B96" s="26" t="inlineStr">
        <is>
          <t>SENSETIME-W</t>
        </is>
      </c>
      <c r="C96" s="26" t="inlineStr">
        <is>
          <t>商湯－Ｗ</t>
        </is>
      </c>
      <c r="D96" s="26" t="inlineStr">
        <is>
          <t>Tech/AI</t>
        </is>
      </c>
      <c r="E96" s="26" t="inlineStr">
        <is>
          <t>AI application / agent software</t>
        </is>
      </c>
      <c r="F96" s="26" t="inlineStr">
        <is>
          <t>WVR</t>
        </is>
      </c>
      <c r="G96" s="27" t="n">
        <v>44560</v>
      </c>
      <c r="H96" s="28" t="n">
        <v>5775</v>
      </c>
      <c r="I96" s="26" t="inlineStr">
        <is>
          <t>gross (price x shares)</t>
        </is>
      </c>
      <c r="J96" s="29" t="n"/>
      <c r="K96" s="29" t="n">
        <v>3.85</v>
      </c>
      <c r="L96" s="29" t="n">
        <v>3.85</v>
      </c>
      <c r="M96" s="26" t="inlineStr">
        <is>
          <t>Y</t>
        </is>
      </c>
      <c r="N96" s="30" t="n">
        <v>100</v>
      </c>
      <c r="O96" s="28" t="n">
        <v>131349</v>
      </c>
      <c r="P96" s="26" t="inlineStr">
        <is>
          <t>aastocks:上市市值 at the struck price</t>
        </is>
      </c>
      <c r="Q96" s="31" t="n">
        <v>5.18</v>
      </c>
      <c r="R96" s="32" t="n">
        <v>1.5</v>
      </c>
      <c r="S96" s="33" t="n">
        <v>68.89</v>
      </c>
      <c r="T96" s="26" t="inlineStr">
        <is>
          <t>希瑪眼科醫療控股有限公司; 國盛海外控股(香港)有限公司; 國泰君安證券投資(香港)有限公司; 香港科技園創投基金; 上海汽車香港投資有限公司; 上海人工智能產業股權投資基金合夥企業; 上海徐匯資本投資有限公司; 泰州市文化旅遊發展集團有限公司; 中國國有企業混合所有制改革基金有限公司</t>
        </is>
      </c>
      <c r="U96" s="30" t="n"/>
      <c r="V96" s="26" t="n"/>
      <c r="W96" s="34" t="n">
        <v>7.27</v>
      </c>
      <c r="X96" s="34" t="n">
        <v>106.49</v>
      </c>
      <c r="Y96" s="34" t="n">
        <v>64.16</v>
      </c>
      <c r="Z96" s="34" t="n">
        <v>58.96</v>
      </c>
      <c r="AA96" s="34" t="n">
        <v>53.03</v>
      </c>
      <c r="AB96" s="34" t="n">
        <v>67.31</v>
      </c>
      <c r="AC96" s="34" t="n">
        <v>-3.15</v>
      </c>
      <c r="AD96" s="26" t="inlineStr">
        <is>
          <t>HSTECH (Hang Seng TECH ETF)</t>
        </is>
      </c>
      <c r="AE96" s="34" t="n">
        <v>-61.95</v>
      </c>
      <c r="AF96" s="28" t="n">
        <v>5170.3</v>
      </c>
      <c r="AG96" s="28" t="n">
        <v>-18854.1</v>
      </c>
      <c r="AH96" s="26" t="inlineStr">
        <is>
          <t>N</t>
        </is>
      </c>
      <c r="AI96" s="38">
        <f>IF('BBG Verify'!O96="","not filed — run on terminal",'BBG Verify'!O96)</f>
        <v/>
      </c>
      <c r="AJ96" s="35" t="n">
        <v>25.4</v>
      </c>
      <c r="AK96" s="26" t="inlineStr">
        <is>
          <t>N</t>
        </is>
      </c>
      <c r="AL96" s="36">
        <f>IF('BBG Verify'!K96="","not filed — run on terminal",'BBG Verify'!K96)</f>
        <v/>
      </c>
      <c r="AM96" s="26" t="inlineStr">
        <is>
          <t>N/A</t>
        </is>
      </c>
      <c r="AN96" s="26" t="inlineStr">
        <is>
          <t>N/A</t>
        </is>
      </c>
      <c r="AO96" s="26" t="inlineStr">
        <is>
          <t>N/A</t>
        </is>
      </c>
      <c r="AP96" s="26" t="inlineStr">
        <is>
          <t>CICC; Haitong International; HSBC</t>
        </is>
      </c>
      <c r="AQ96" s="26" t="inlineStr">
        <is>
          <t>中國國際金融香港證券有限公司; 海通國際資本有限公司; 香港上海匯豐銀行有限公司; HSBC Corporate Finance (Hong Kong) Limited</t>
        </is>
      </c>
      <c r="AR96" s="26" t="inlineStr">
        <is>
          <t>農銀國際證券有限公司; 中銀國際亞洲有限公司; 建銀國際金融有限公司; 中國國際金融香港證券有限公司; 招銀國際融資有限公司; 招商證券(香港)有限公司</t>
        </is>
      </c>
      <c r="AS96" s="26" t="inlineStr">
        <is>
          <t>農銀國際證券有限公司; 中銀國際亞洲有限公司; 建銀國際金融有限公司; 中國國際金融香港證券有限公司; 招銀國際融資有限公司; 招商證券(香港)有限公司; 星展亞洲融資有限公司; 富途證券國際（香港）有限公司; 海通國際證券有限公司; 香港上海匯豐銀行有限公司; 工銀國際證券有限公司; 陸國際（香港）有限公司; 東方證券(香港)有限公司; 大華繼顯(香港)有限公司; 清科證券有限公司</t>
        </is>
      </c>
      <c r="AT96" s="37">
        <f>HYPERLINK("https://www1.hkexnews.hk/listedco/listconews/sehk/2021/1220/2021122000084.htm","prospectus")</f>
        <v/>
      </c>
      <c r="AU96" s="37">
        <f>HYPERLINK("https://www1.hkexnews.hk/listedco/listconews/sehk/2021/1229/2021122900058.htm","allotment")</f>
        <v/>
      </c>
      <c r="AV96" s="26" t="n"/>
      <c r="AW96" s="26" t="inlineStr">
        <is>
          <t>P/E: n/m — loss-making at IPO (use P/S) · greenshoe: no over-allotment option in the offer structure · price range: fixed-price offering (no indicative range) · A/H: no A line; closest listed proxy {'code': '688327.SS', 'name': 'CloudWalk Technology', 'rationale': "Pure A-share computer-vision AI platform ('AI four dragons' peer) — the direct A analogue."}</t>
        </is>
      </c>
    </row>
    <row r="97">
      <c r="A97" s="25" t="inlineStr">
        <is>
          <t>2260</t>
        </is>
      </c>
      <c r="B97" s="26" t="inlineStr">
        <is>
          <t>VANOV HOLDINGS</t>
        </is>
      </c>
      <c r="C97" s="26" t="inlineStr">
        <is>
          <t>環龍控股</t>
        </is>
      </c>
      <c r="D97" s="26" t="inlineStr">
        <is>
          <t>Industrials</t>
        </is>
      </c>
      <c r="E97" s="26" t="inlineStr">
        <is>
          <t>Capital goods / machinery</t>
        </is>
      </c>
      <c r="F97" s="26" t="inlineStr">
        <is>
          <t>Standard</t>
        </is>
      </c>
      <c r="G97" s="27" t="n">
        <v>44572</v>
      </c>
      <c r="H97" s="28" t="n">
        <v>139.3</v>
      </c>
      <c r="I97" s="26" t="inlineStr">
        <is>
          <t>gross (price x shares)</t>
        </is>
      </c>
      <c r="J97" s="29" t="n"/>
      <c r="K97" s="29" t="n">
        <v>1.22</v>
      </c>
      <c r="L97" s="29" t="n">
        <v>1.22</v>
      </c>
      <c r="M97" s="26" t="inlineStr">
        <is>
          <t>Y</t>
        </is>
      </c>
      <c r="N97" s="30" t="n">
        <v>100</v>
      </c>
      <c r="O97" s="28" t="n">
        <v>643</v>
      </c>
      <c r="P97" s="26" t="inlineStr">
        <is>
          <t>aastocks:上市市值 at the struck price</t>
        </is>
      </c>
      <c r="Q97" s="31" t="n">
        <v>13.66</v>
      </c>
      <c r="R97" s="39">
        <f>IF('BBG Verify'!E97="","not filed — run on terminal",'BBG Verify'!E97)</f>
        <v/>
      </c>
      <c r="S97" s="33" t="n">
        <v>15.9</v>
      </c>
      <c r="T97" s="44" t="n"/>
      <c r="U97" s="30" t="n">
        <v>7.58</v>
      </c>
      <c r="V97" s="26" t="inlineStr">
        <is>
          <t>partial</t>
        </is>
      </c>
      <c r="W97" s="34" t="n">
        <v>0.82</v>
      </c>
      <c r="X97" s="34" t="n">
        <v>0.82</v>
      </c>
      <c r="Y97" s="34" t="n">
        <v>0</v>
      </c>
      <c r="Z97" s="34" t="n">
        <v>0</v>
      </c>
      <c r="AA97" s="34" t="n">
        <v>-0.8100000000000001</v>
      </c>
      <c r="AB97" s="34" t="n">
        <v>-0.55</v>
      </c>
      <c r="AC97" s="34" t="n">
        <v>0.55</v>
      </c>
      <c r="AD97" s="26" t="inlineStr">
        <is>
          <t>Hang Seng Commerce &amp; Industry sub-index</t>
        </is>
      </c>
      <c r="AE97" s="34" t="n">
        <v>3.69</v>
      </c>
      <c r="AF97" s="28" t="n">
        <v>201</v>
      </c>
      <c r="AG97" s="28" t="n">
        <v>45.1</v>
      </c>
      <c r="AH97" s="26" t="inlineStr">
        <is>
          <t>Y</t>
        </is>
      </c>
      <c r="AI97" s="35" t="n">
        <v>14.3</v>
      </c>
      <c r="AJ97" s="35" t="n">
        <v>3.2</v>
      </c>
      <c r="AK97" s="26" t="inlineStr">
        <is>
          <t>N</t>
        </is>
      </c>
      <c r="AL97" s="36">
        <f>IF('BBG Verify'!K97="","not filed — run on terminal",'BBG Verify'!K97)</f>
        <v/>
      </c>
      <c r="AM97" s="26" t="inlineStr">
        <is>
          <t>N/A</t>
        </is>
      </c>
      <c r="AN97" s="26" t="inlineStr">
        <is>
          <t>N/A</t>
        </is>
      </c>
      <c r="AO97" s="26" t="inlineStr">
        <is>
          <t>N/A</t>
        </is>
      </c>
      <c r="AP97" s="26" t="inlineStr">
        <is>
          <t>CMBC International Capital Limited</t>
        </is>
      </c>
      <c r="AQ97" s="26" t="inlineStr">
        <is>
          <t>民銀資本有限公司</t>
        </is>
      </c>
      <c r="AR97" s="26" t="inlineStr">
        <is>
          <t>CMBC Securities Company Limited; DIRECTORS AND PARTIES INVOLVED IN THE GLOBAL OFFERING –7 6– ABCI Capital Limited; CCB International Capital Limited; Essence International Securities (Hong Kong) Limited; CEB International Capital Corporation Limited; China Everbright Securities (HK) Limited; China Industrial Securities International Capital Limited; Livermore Holdings Limited; SBI China Capital Financial Services Limited; China Tonghai Securities Limited; Zhongtai International Securities Limited</t>
        </is>
      </c>
      <c r="AS97" s="26" t="inlineStr">
        <is>
          <t>農銀國際證券有限公司; 建銀國際金融有限公司; 光銀國際資本有限公司; 中國光大證券(香港)有限公司; 中國通海證券有限公司; 興證國際融資有限公司; 民銀證券有限公司; 中天證券有限公司; 安信國際證券(香港)有限公司; 艾德證券期貨有限公司; 富榮證券集團有限公司; 國信證券(香港)融資有限公司; 華福國際證券有限公司; 一盈證券有限公司; 利弗莫爾證券有限公司; 軟庫中華金融服務有限公司; 中泰國際證券有限公司</t>
        </is>
      </c>
      <c r="AT97" s="37">
        <f>HYPERLINK("https://www1.hkexnews.hk/listedco/listconews/sehk/2021/1229/2021122900078.htm","prospectus")</f>
        <v/>
      </c>
      <c r="AU97" s="37">
        <f>HYPERLINK("https://www1.hkexnews.hk/listedco/listconews/sehk/2022/0110/2022011000034.htm","allotment")</f>
        <v/>
      </c>
      <c r="AV97" s="37">
        <f>HYPERLINK("https://www1.hkexnews.hk/listedco/listconews/sehk/2022/0204/2022020400047.pdf","stabilisation")</f>
        <v/>
      </c>
      <c r="AW97" s="26" t="inlineStr">
        <is>
          <t>intl sub: subscription level not stated in the filing · price range: fixed-price offering (no indicative range) · A/H: no A-share listing · market cap: estimate from stated market capitalisation disagreed with the published listing cap — published figure adopted</t>
        </is>
      </c>
    </row>
    <row r="98">
      <c r="A98" s="25" t="inlineStr">
        <is>
          <t>6680</t>
        </is>
      </c>
      <c r="B98" s="26" t="inlineStr">
        <is>
          <t>JLMAG</t>
        </is>
      </c>
      <c r="C98" s="26" t="inlineStr">
        <is>
          <t>金力永磁</t>
        </is>
      </c>
      <c r="D98" s="26" t="inlineStr">
        <is>
          <t>Industrials</t>
        </is>
      </c>
      <c r="E98" s="26" t="inlineStr">
        <is>
          <t>Capital goods / machinery</t>
        </is>
      </c>
      <c r="F98" s="26" t="inlineStr">
        <is>
          <t>Standard</t>
        </is>
      </c>
      <c r="G98" s="27" t="n">
        <v>44575</v>
      </c>
      <c r="H98" s="28" t="n">
        <v>4240.8</v>
      </c>
      <c r="I98" s="26" t="inlineStr">
        <is>
          <t>gross (price x shares)</t>
        </is>
      </c>
      <c r="J98" s="29" t="n">
        <v>33.8</v>
      </c>
      <c r="K98" s="29" t="n">
        <v>40.3</v>
      </c>
      <c r="L98" s="29" t="n">
        <v>33.8</v>
      </c>
      <c r="M98" s="26" t="inlineStr">
        <is>
          <t>N</t>
        </is>
      </c>
      <c r="N98" s="30" t="n">
        <v>83.90000000000001</v>
      </c>
      <c r="O98" s="28" t="n">
        <v>32831.6</v>
      </c>
      <c r="P98" s="26" t="inlineStr">
        <is>
          <t>aastocks:上市市值 at the struck price</t>
        </is>
      </c>
      <c r="Q98" s="31" t="n">
        <v>2.39</v>
      </c>
      <c r="R98" s="32" t="n">
        <v>1.57</v>
      </c>
      <c r="S98" s="33" t="n">
        <v>50.56</v>
      </c>
      <c r="T98" s="26" t="inlineStr">
        <is>
          <t>中信保誠人壽保險有限公司; CR Alpha Investment II Limited; HHLR Fund, L.P.及YHG Investment, L.P; 中白產業投資基金; 中國國有企業混合所有制改革基金有限公司</t>
        </is>
      </c>
      <c r="U98" s="30" t="n">
        <v>15</v>
      </c>
      <c r="V98" s="26" t="inlineStr">
        <is>
          <t>lapsed</t>
        </is>
      </c>
      <c r="W98" s="34" t="n">
        <v>-16.57</v>
      </c>
      <c r="X98" s="34" t="n">
        <v>-19.23</v>
      </c>
      <c r="Y98" s="34" t="n">
        <v>-11.54</v>
      </c>
      <c r="Z98" s="34" t="n">
        <v>-35.06</v>
      </c>
      <c r="AA98" s="34" t="n">
        <v>6.03</v>
      </c>
      <c r="AB98" s="34" t="n">
        <v>-10.29</v>
      </c>
      <c r="AC98" s="34" t="n">
        <v>-1.25</v>
      </c>
      <c r="AD98" s="26" t="inlineStr">
        <is>
          <t>Hang Seng Commerce &amp; Industry sub-index</t>
        </is>
      </c>
      <c r="AE98" s="34" t="n">
        <v>-48.76</v>
      </c>
      <c r="AF98" s="28" t="n">
        <v>2517.5</v>
      </c>
      <c r="AG98" s="28" t="n">
        <v>-0.7</v>
      </c>
      <c r="AH98" s="26" t="inlineStr">
        <is>
          <t>N</t>
        </is>
      </c>
      <c r="AI98" s="38">
        <f>IF('BBG Verify'!O98="","not filed — run on terminal",'BBG Verify'!O98)</f>
        <v/>
      </c>
      <c r="AJ98" s="35" t="n">
        <v>13</v>
      </c>
      <c r="AK98" s="26" t="inlineStr">
        <is>
          <t>Y</t>
        </is>
      </c>
      <c r="AL98" s="26" t="inlineStr">
        <is>
          <t>300748.SZ</t>
        </is>
      </c>
      <c r="AM98" s="34" t="n">
        <v>-27.81</v>
      </c>
      <c r="AN98" s="29" t="n">
        <v>46.8177</v>
      </c>
      <c r="AO98" s="42" t="n">
        <v>-0.4669</v>
      </c>
      <c r="AP98" s="26" t="inlineStr">
        <is>
          <t>CLSA Capital Markets Limited; BNP Paribas Securities (Asia) Limited</t>
        </is>
      </c>
      <c r="AQ98" s="26" t="inlineStr">
        <is>
          <t>法國巴黎證券（亞洲）有限公司; 中信里昂證券資本市場有限公司</t>
        </is>
      </c>
      <c r="AR98" s="26" t="inlineStr">
        <is>
          <t>CLSA Limited; BNP Paribas Securities (Asia) Limited; DBS Asia Capital Limited</t>
        </is>
      </c>
      <c r="AS98" s="26" t="inlineStr">
        <is>
          <t>法國巴黎證券（亞洲）有限公司; 中信里昂證券有限公司; 星展亞洲融資有限公司; 富途證券國際（香港）有限公司; 利弗莫爾證券有限公司</t>
        </is>
      </c>
      <c r="AT98" s="37">
        <f>HYPERLINK("https://www1.hkexnews.hk/listedco/listconews/sehk/2021/1231/2021123100023.pdf","prospectus")</f>
        <v/>
      </c>
      <c r="AU98" s="37">
        <f>HYPERLINK("https://www1.hkexnews.hk/listedco/listconews/sehk/2022/0113/2022011300010.htm","allotment")</f>
        <v/>
      </c>
      <c r="AV98" s="37">
        <f>HYPERLINK("https://www1.hkexnews.hk/listedco/listconews/sehk/2022/0206/2022020600019.pdf","stabilisation")</f>
        <v/>
      </c>
      <c r="AW98" s="26" t="inlineStr">
        <is>
          <t>P/E: n/m — loss-making at IPO (use P/S) · A/H: H listed Jan 2022 (NdFeB magnets)</t>
        </is>
      </c>
    </row>
    <row r="99">
      <c r="A99" s="25" t="inlineStr">
        <is>
          <t>2250</t>
        </is>
      </c>
      <c r="B99" s="26" t="inlineStr">
        <is>
          <t>SEMK HOLDINGS</t>
        </is>
      </c>
      <c r="C99" s="26" t="inlineStr">
        <is>
          <t>小黃鴨德盈</t>
        </is>
      </c>
      <c r="D99" s="26" t="inlineStr">
        <is>
          <t>TMT-other</t>
        </is>
      </c>
      <c r="E99" s="26" t="inlineStr">
        <is>
          <t>Media / advertising</t>
        </is>
      </c>
      <c r="F99" s="26" t="inlineStr">
        <is>
          <t>Standard</t>
        </is>
      </c>
      <c r="G99" s="27" t="n">
        <v>44576</v>
      </c>
      <c r="H99" s="28" t="n">
        <v>246</v>
      </c>
      <c r="I99" s="26" t="inlineStr">
        <is>
          <t>gross (price x shares)</t>
        </is>
      </c>
      <c r="J99" s="29" t="n">
        <v>2.05</v>
      </c>
      <c r="K99" s="29" t="n">
        <v>3.45</v>
      </c>
      <c r="L99" s="29" t="n">
        <v>2.05</v>
      </c>
      <c r="M99" s="26" t="inlineStr">
        <is>
          <t>N</t>
        </is>
      </c>
      <c r="N99" s="30" t="n">
        <v>59.4</v>
      </c>
      <c r="O99" s="28" t="n">
        <v>2881.9</v>
      </c>
      <c r="P99" s="26" t="inlineStr">
        <is>
          <t>aastocks:上市市值 at the struck price</t>
        </is>
      </c>
      <c r="Q99" s="31" t="n">
        <v>7.31</v>
      </c>
      <c r="R99" s="39">
        <f>IF('BBG Verify'!E99="","not filed — run on terminal",'BBG Verify'!E99)</f>
        <v/>
      </c>
      <c r="S99" s="33" t="n">
        <v>0</v>
      </c>
      <c r="T99" s="26" t="n"/>
      <c r="U99" s="30" t="n">
        <v>10</v>
      </c>
      <c r="V99" s="26" t="inlineStr">
        <is>
          <t>lapsed (no over-allocation)</t>
        </is>
      </c>
      <c r="W99" s="34" t="n">
        <v>16.59</v>
      </c>
      <c r="X99" s="34" t="n">
        <v>2.44</v>
      </c>
      <c r="Y99" s="34" t="n">
        <v>2.44</v>
      </c>
      <c r="Z99" s="34" t="n">
        <v>-13.17</v>
      </c>
      <c r="AA99" s="34" t="n">
        <v>-12.14</v>
      </c>
      <c r="AB99" s="34" t="n">
        <v>2.67</v>
      </c>
      <c r="AC99" s="34" t="n">
        <v>-0.23</v>
      </c>
      <c r="AD99" s="26" t="inlineStr">
        <is>
          <t>Hang Seng Index</t>
        </is>
      </c>
      <c r="AE99" s="34" t="n">
        <v>-85.12</v>
      </c>
      <c r="AF99" s="28" t="n">
        <v>233.5</v>
      </c>
      <c r="AG99" s="28" t="n">
        <v>54.5</v>
      </c>
      <c r="AH99" s="26" t="inlineStr">
        <is>
          <t>Y</t>
        </is>
      </c>
      <c r="AI99" s="35" t="n">
        <v>52.9</v>
      </c>
      <c r="AJ99" s="35" t="n">
        <v>12.3</v>
      </c>
      <c r="AK99" s="26" t="inlineStr">
        <is>
          <t>N</t>
        </is>
      </c>
      <c r="AL99" s="36">
        <f>IF('BBG Verify'!K99="","not filed — run on terminal",'BBG Verify'!K99)</f>
        <v/>
      </c>
      <c r="AM99" s="26" t="inlineStr">
        <is>
          <t>N/A</t>
        </is>
      </c>
      <c r="AN99" s="26" t="inlineStr">
        <is>
          <t>N/A</t>
        </is>
      </c>
      <c r="AO99" s="26" t="inlineStr">
        <is>
          <t>N/A</t>
        </is>
      </c>
      <c r="AP99" s="26" t="inlineStr">
        <is>
          <t>: China Everbright Capital Limited; Sole Representative : China Everbright Securities (HK) Limited</t>
        </is>
      </c>
      <c r="AQ99" s="26" t="inlineStr">
        <is>
          <t>中國光大融資有限公司</t>
        </is>
      </c>
      <c r="AR99" s="26" t="inlineStr">
        <is>
          <t>: China Everbright Securities (HK) Limited; UOB Kay Hian (Hong Kong) Limited; BOCOM International Securities Limited; CMBC Securities Company Limited; Fosun Hani Securities Limited; Grand China Securities Limited; Zhongtai International Securities Limited</t>
        </is>
      </c>
      <c r="AS99" s="26" t="inlineStr">
        <is>
          <t>Beta International Securities Limited; 中國光大證券(香港)有限公司; 民銀證券有限公司; 第一上海證券有限公司; 復星恒利證券有限公司; 國泰君安證券(香港)有限公司; 華業證券有限公司; 創陞證券有限公司; 利弗莫爾證券有限公司; 邁時資本有限公司; 大華繼顯(香港)有限公司; 友信證券有限公司; 中泰國際證券有限公司; 中佳證券有限公司</t>
        </is>
      </c>
      <c r="AT99" s="37">
        <f>HYPERLINK("https://www1.hkexnews.hk/listedco/listconews/sehk/2021/1230/2021123000005.pdf","prospectus")</f>
        <v/>
      </c>
      <c r="AU99" s="37">
        <f>HYPERLINK("https://www1.hkexnews.hk/listedco/listconews/sehk/2022/0114/2022011400002.htm","allotment")</f>
        <v/>
      </c>
      <c r="AV99" s="37">
        <f>HYPERLINK("https://www1.hkexnews.hk/listedco/listconews/sehk/2022/0206/2022020600003.pdf","stabilisation")</f>
        <v/>
      </c>
      <c r="AW99" s="26" t="inlineStr">
        <is>
          <t>intl sub: subscription level not stated in the filing · A/H: no A-share listing · market cap: estimate from deal size / offer % of enlarged capital disagreed with the published listing cap — published figure adopted</t>
        </is>
      </c>
    </row>
    <row r="100">
      <c r="A100" s="25" t="inlineStr">
        <is>
          <t>2121</t>
        </is>
      </c>
      <c r="B100" s="26" t="inlineStr">
        <is>
          <t>AINNOVATION</t>
        </is>
      </c>
      <c r="C100" s="26" t="inlineStr">
        <is>
          <t>創新奇智</t>
        </is>
      </c>
      <c r="D100" s="26" t="inlineStr">
        <is>
          <t>Tech/AI</t>
        </is>
      </c>
      <c r="E100" s="26" t="inlineStr">
        <is>
          <t>AI application / agent software</t>
        </is>
      </c>
      <c r="F100" s="26" t="inlineStr">
        <is>
          <t>Standard</t>
        </is>
      </c>
      <c r="G100" s="27" t="n">
        <v>44588</v>
      </c>
      <c r="H100" s="28" t="n">
        <v>1176.8</v>
      </c>
      <c r="I100" s="26" t="inlineStr">
        <is>
          <t>gross (price x shares)</t>
        </is>
      </c>
      <c r="J100" s="29" t="n"/>
      <c r="K100" s="29" t="n">
        <v>26.3</v>
      </c>
      <c r="L100" s="29" t="n">
        <v>26.3</v>
      </c>
      <c r="M100" s="26" t="inlineStr">
        <is>
          <t>Y</t>
        </is>
      </c>
      <c r="N100" s="30" t="n">
        <v>100</v>
      </c>
      <c r="O100" s="28" t="n">
        <v>14989.4</v>
      </c>
      <c r="P100" s="26" t="inlineStr">
        <is>
          <t>aastocks:上市市值 at the struck price</t>
        </is>
      </c>
      <c r="Q100" s="31" t="n">
        <v>13.89</v>
      </c>
      <c r="R100" s="32" t="n">
        <v>2.62</v>
      </c>
      <c r="S100" s="33" t="n">
        <v>10</v>
      </c>
      <c r="T100" s="26" t="inlineStr">
        <is>
          <t>Laurion Capital Master Fund Ltd; SVF II Zeal</t>
        </is>
      </c>
      <c r="U100" s="30" t="n"/>
      <c r="V100" s="26" t="n"/>
      <c r="W100" s="34" t="n">
        <v>-25.48</v>
      </c>
      <c r="X100" s="34" t="n">
        <v>-34.37</v>
      </c>
      <c r="Y100" s="34" t="n">
        <v>-46.77</v>
      </c>
      <c r="Z100" s="34" t="n">
        <v>-24.11</v>
      </c>
      <c r="AA100" s="34" t="n">
        <v>-28.57</v>
      </c>
      <c r="AB100" s="34" t="n">
        <v>-36.17</v>
      </c>
      <c r="AC100" s="34" t="n">
        <v>-10.6</v>
      </c>
      <c r="AD100" s="26" t="inlineStr">
        <is>
          <t>HSTECH (Hang Seng TECH ETF)</t>
        </is>
      </c>
      <c r="AE100" s="34" t="n">
        <v>-85.45999999999999</v>
      </c>
      <c r="AF100" s="28" t="n">
        <v>947.3</v>
      </c>
      <c r="AG100" s="28" t="n">
        <v>-700.3</v>
      </c>
      <c r="AH100" s="26" t="inlineStr">
        <is>
          <t>N</t>
        </is>
      </c>
      <c r="AI100" s="38">
        <f>IF('BBG Verify'!O100="","not filed — run on terminal",'BBG Verify'!O100)</f>
        <v/>
      </c>
      <c r="AJ100" s="35" t="n">
        <v>15.8</v>
      </c>
      <c r="AK100" s="26" t="inlineStr">
        <is>
          <t>N</t>
        </is>
      </c>
      <c r="AL100" s="36">
        <f>IF('BBG Verify'!K100="","not filed — run on terminal",'BBG Verify'!K100)</f>
        <v/>
      </c>
      <c r="AM100" s="26" t="inlineStr">
        <is>
          <t>N/A</t>
        </is>
      </c>
      <c r="AN100" s="26" t="inlineStr">
        <is>
          <t>N/A</t>
        </is>
      </c>
      <c r="AO100" s="26" t="inlineStr">
        <is>
          <t>N/A</t>
        </is>
      </c>
      <c r="AP100" s="26" t="n"/>
      <c r="AQ100" s="26" t="inlineStr">
        <is>
          <t>中國國際金融香港證券有限公司; 瑞銀證券香港有限公司; 華興資本證券(香港)有限公司</t>
        </is>
      </c>
      <c r="AR100" s="26" t="inlineStr">
        <is>
          <t>中國國際金融香港證券有限公司; 華興資本證券(香港)有限公司; 艾德證券期貨有限公司; 富途證券國際（香港）有限公司; 工銀國際證券有限公司; 利弗莫爾證券有限公司</t>
        </is>
      </c>
      <c r="AS100" s="26" t="inlineStr">
        <is>
          <t>中國國際金融香港證券有限公司; 華興資本證券(香港)有限公司; 艾德證券期貨有限公司; 富途證券國際（香港）有限公司; 工銀國際證券有限公司; 利弗莫爾證券有限公司; 陸國際（香港）有限公司; 山證國際證券有限公司; 老虎證券（香港）環球有限公司; UBS AG 香港分行</t>
        </is>
      </c>
      <c r="AT100" s="37">
        <f>HYPERLINK("https://www1.hkexnews.hk/listedco/listconews/sehk/2022/0117/2022011700007.pdf","prospectus")</f>
        <v/>
      </c>
      <c r="AU100" s="37">
        <f>HYPERLINK("https://www1.hkexnews.hk/listedco/listconews/sehk/2022/0126/2022012600012.htm","allotment")</f>
        <v/>
      </c>
      <c r="AV100" s="26" t="n"/>
      <c r="AW100" s="26" t="inlineStr">
        <is>
          <t>P/E: n/m — loss-making at IPO (use P/S) · greenshoe: no over-allotment option in the offer structure · price range: fixed-price offering (no indicative range) · A/H: no A-share listing · sponsor: English name not in the filing text; AAStocks 保薦人 shown</t>
        </is>
      </c>
    </row>
    <row r="101">
      <c r="A101" s="25" t="inlineStr">
        <is>
          <t>9878</t>
        </is>
      </c>
      <c r="B101" s="26" t="inlineStr">
        <is>
          <t>HUITONGDA NET</t>
        </is>
      </c>
      <c r="C101" s="26" t="inlineStr">
        <is>
          <t>匯通達網絡</t>
        </is>
      </c>
      <c r="D101" s="26" t="inlineStr">
        <is>
          <t>Tech/AI</t>
        </is>
      </c>
      <c r="E101" s="26" t="inlineStr">
        <is>
          <t>Internet platform / e-commerce</t>
        </is>
      </c>
      <c r="F101" s="26" t="inlineStr">
        <is>
          <t>Standard</t>
        </is>
      </c>
      <c r="G101" s="27" t="n">
        <v>44610</v>
      </c>
      <c r="H101" s="28" t="n">
        <v>2219.1</v>
      </c>
      <c r="I101" s="26" t="inlineStr">
        <is>
          <t>gross (price x shares)</t>
        </is>
      </c>
      <c r="J101" s="29" t="n">
        <v>43</v>
      </c>
      <c r="K101" s="29" t="n">
        <v>48</v>
      </c>
      <c r="L101" s="29" t="n">
        <v>43</v>
      </c>
      <c r="M101" s="26" t="inlineStr">
        <is>
          <t>N</t>
        </is>
      </c>
      <c r="N101" s="30" t="n">
        <v>89.59999999999999</v>
      </c>
      <c r="O101" s="28" t="n">
        <v>21337.5</v>
      </c>
      <c r="P101" s="26" t="inlineStr">
        <is>
          <t>derived:deal size / offer % of enlarged capital</t>
        </is>
      </c>
      <c r="Q101" s="31" t="n">
        <v>1.67</v>
      </c>
      <c r="R101" s="32" t="n">
        <v>2.0497</v>
      </c>
      <c r="S101" s="33" t="n">
        <v>23</v>
      </c>
      <c r="T101" s="26" t="inlineStr">
        <is>
          <t>Golden Feather Corporation; 景林資產管理香港有限公司; 海瀾集團; SensePower Management Limited; 創維海外投資控股有限公司; Windfall T&amp;L SPC</t>
        </is>
      </c>
      <c r="U101" s="30" t="n">
        <v>10.4</v>
      </c>
      <c r="V101" s="26" t="inlineStr">
        <is>
          <t>partial</t>
        </is>
      </c>
      <c r="W101" s="34" t="n">
        <v>4.88</v>
      </c>
      <c r="X101" s="34" t="n">
        <v>0</v>
      </c>
      <c r="Y101" s="34" t="n">
        <v>-8.49</v>
      </c>
      <c r="Z101" s="34" t="n">
        <v>3.02</v>
      </c>
      <c r="AA101" s="34" t="n">
        <v>-12.75</v>
      </c>
      <c r="AB101" s="34" t="n">
        <v>13.55</v>
      </c>
      <c r="AC101" s="34" t="n">
        <v>-22.04</v>
      </c>
      <c r="AD101" s="26" t="inlineStr">
        <is>
          <t>HSTECH (Hang Seng TECH ETF)</t>
        </is>
      </c>
      <c r="AE101" s="34" t="n">
        <v>-78.88</v>
      </c>
      <c r="AF101" s="28" t="n">
        <v>54592</v>
      </c>
      <c r="AG101" s="28" t="n">
        <v>-308</v>
      </c>
      <c r="AH101" s="26" t="inlineStr">
        <is>
          <t>N</t>
        </is>
      </c>
      <c r="AI101" s="38">
        <f>IF('BBG Verify'!O101="","not filed — run on terminal",'BBG Verify'!O101)</f>
        <v/>
      </c>
      <c r="AJ101" s="35" t="n">
        <v>0.4</v>
      </c>
      <c r="AK101" s="26" t="inlineStr">
        <is>
          <t>N</t>
        </is>
      </c>
      <c r="AL101" s="36">
        <f>IF('BBG Verify'!K101="","not filed — run on terminal",'BBG Verify'!K101)</f>
        <v/>
      </c>
      <c r="AM101" s="26" t="inlineStr">
        <is>
          <t>N/A</t>
        </is>
      </c>
      <c r="AN101" s="26" t="inlineStr">
        <is>
          <t>N/A</t>
        </is>
      </c>
      <c r="AO101" s="26" t="inlineStr">
        <is>
          <t>N/A</t>
        </is>
      </c>
      <c r="AP101" s="26" t="inlineStr">
        <is>
          <t>China International Capital Corporation Hong Kong Securities Limited; Citigroup Global Markets Asia Limited; China Renaissance Securities (Hong Kong) Limited</t>
        </is>
      </c>
      <c r="AQ101" s="26" t="inlineStr">
        <is>
          <t>中國國際金融香港證券有限公司; 華興資本證券(香港)有限公司; 花旗環球金融亞洲有限公司</t>
        </is>
      </c>
      <c r="AR101" s="26"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Central, Hong Kong Citigroup Global Markets Limited; (Hong Kong) Limited; BOCOM International Securities Limited; BOCI Asia Limited; CCB International Capital Limited; ABCI CAPITAL LIMITED</t>
        </is>
      </c>
      <c r="AS101" s="26" t="inlineStr">
        <is>
          <t>農銀國際證券有限公司; Beta International Securities Limited; 中銀國際亞洲有限公司; 建銀國際金融有限公司; 花旗環球金融亞洲有限公司; 中國國際金融香港證券有限公司; 招銀國際融資有限公司; 華興資本證券(香港)有限公司; 富途證券國際（香港）有限公司; 聯合證券有限公司; 海通國際證券有限公司; 香港上海匯豐銀行有限公司; 浦銀國際融資有限公司</t>
        </is>
      </c>
      <c r="AT101" s="37">
        <f>HYPERLINK("https://www1.hkexnews.hk/listedco/listconews/sehk/2022/0131/2022013100005.pdf","prospectus")</f>
        <v/>
      </c>
      <c r="AU101" s="37">
        <f>HYPERLINK("https://www1.hkexnews.hk/listedco/listconews/sehk/2022/0217/2022021700014.htm","allotment")</f>
        <v/>
      </c>
      <c r="AV101" s="37">
        <f>HYPERLINK("https://www1.hkexnews.hk/listedco/listconews/sehk/2022/0313/2022031300003.pdf","stabilisation")</f>
        <v/>
      </c>
      <c r="AW101" s="26" t="inlineStr">
        <is>
          <t>P/E: n/m — loss-making at IPO (use P/S) · A/H: no A-share listing · cornerstone: AAStocks institutional table includes non-cornerstone orders (superset) — cornerstone % is from the prospectus</t>
        </is>
      </c>
    </row>
    <row r="102">
      <c r="A102" s="25" t="inlineStr">
        <is>
          <t>1406</t>
        </is>
      </c>
      <c r="B102" s="26" t="inlineStr">
        <is>
          <t>CLARITY MEDICAL</t>
        </is>
      </c>
      <c r="C102" s="26" t="inlineStr">
        <is>
          <t>清晰醫療</t>
        </is>
      </c>
      <c r="D102" s="26" t="inlineStr">
        <is>
          <t>Healthcare</t>
        </is>
      </c>
      <c r="E102" s="26" t="inlineStr">
        <is>
          <t>Hospitals / clinics</t>
        </is>
      </c>
      <c r="F102" s="26" t="inlineStr">
        <is>
          <t>Standard</t>
        </is>
      </c>
      <c r="G102" s="27" t="n">
        <v>44610</v>
      </c>
      <c r="H102" s="28" t="n">
        <v>217.6</v>
      </c>
      <c r="I102" s="26" t="inlineStr">
        <is>
          <t>gross (price x shares)</t>
        </is>
      </c>
      <c r="J102" s="29" t="n"/>
      <c r="K102" s="29" t="n">
        <v>3</v>
      </c>
      <c r="L102" s="29" t="n">
        <v>1.6</v>
      </c>
      <c r="M102" s="26" t="inlineStr">
        <is>
          <t>N</t>
        </is>
      </c>
      <c r="N102" s="30" t="n">
        <v>53.3</v>
      </c>
      <c r="O102" s="28" t="n">
        <v>1173.3</v>
      </c>
      <c r="P102" s="26" t="inlineStr">
        <is>
          <t>aastocks:上市市值 at the struck price</t>
        </is>
      </c>
      <c r="Q102" s="31" t="n">
        <v>6.17</v>
      </c>
      <c r="R102" s="39">
        <f>IF('BBG Verify'!E102="","not filed — run on terminal",'BBG Verify'!E102)</f>
        <v/>
      </c>
      <c r="S102" s="33" t="n">
        <v>0</v>
      </c>
      <c r="T102" s="26" t="n"/>
      <c r="U102" s="30" t="n">
        <v>5.63</v>
      </c>
      <c r="V102" s="26" t="inlineStr">
        <is>
          <t>lapsed</t>
        </is>
      </c>
      <c r="W102" s="34" t="n">
        <v>-3.75</v>
      </c>
      <c r="X102" s="34" t="n">
        <v>-10</v>
      </c>
      <c r="Y102" s="34" t="n">
        <v>-15</v>
      </c>
      <c r="Z102" s="34" t="n">
        <v>-27.5</v>
      </c>
      <c r="AA102" s="34" t="n">
        <v>-11.69</v>
      </c>
      <c r="AB102" s="34" t="n">
        <v>-11.11</v>
      </c>
      <c r="AC102" s="34" t="n">
        <v>-3.89</v>
      </c>
      <c r="AD102" s="26" t="inlineStr">
        <is>
          <t>China Biotech ETF (HS biotech proxy)</t>
        </is>
      </c>
      <c r="AE102" s="34" t="n">
        <v>-77.81</v>
      </c>
      <c r="AF102" s="28" t="n">
        <v>222.4</v>
      </c>
      <c r="AG102" s="28" t="n">
        <v>30</v>
      </c>
      <c r="AH102" s="26" t="inlineStr">
        <is>
          <t>Y</t>
        </is>
      </c>
      <c r="AI102" s="35" t="n">
        <v>39.1</v>
      </c>
      <c r="AJ102" s="35" t="n">
        <v>5.3</v>
      </c>
      <c r="AK102" s="26" t="inlineStr">
        <is>
          <t>N</t>
        </is>
      </c>
      <c r="AL102" s="36">
        <f>IF('BBG Verify'!K102="","not filed — run on terminal",'BBG Verify'!K102)</f>
        <v/>
      </c>
      <c r="AM102" s="26" t="inlineStr">
        <is>
          <t>N/A</t>
        </is>
      </c>
      <c r="AN102" s="26" t="inlineStr">
        <is>
          <t>N/A</t>
        </is>
      </c>
      <c r="AO102" s="26" t="inlineStr">
        <is>
          <t>N/A</t>
        </is>
      </c>
      <c r="AP102" s="26" t="inlineStr">
        <is>
          <t>China Everbright Capital Limited; China Eve rbright Securities (HK) Limited; Zhongtai International Securities Limited</t>
        </is>
      </c>
      <c r="AQ102" s="26" t="inlineStr">
        <is>
          <t>中國光大融資有限公司</t>
        </is>
      </c>
      <c r="AR102" s="26"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AS102" s="26" t="inlineStr">
        <is>
          <t>農銀國際證券有限公司; 源盛證券有限公司; Beta International Securities Limited; 中國光大證券(香港)有限公司; 民銀證券有限公司; 招銀國際金融有限公司; 川文證券有限公司; 第一上海證券有限公司; 富途證券國際（香港）有限公司; 國泰君安證券(香港)有限公司; 申萬宏源證券（香港）有限公司; 華盛資本証券有限公司; 中泰國際證券有限公司</t>
        </is>
      </c>
      <c r="AT102" s="37">
        <f>HYPERLINK("https://www1.hkexnews.hk/listedco/listconews/sehk/2022/0131/2022013100022.pdf","prospectus")</f>
        <v/>
      </c>
      <c r="AU102" s="37">
        <f>HYPERLINK("https://www1.hkexnews.hk/listedco/listconews/sehk/2022/0217/2022021700028.htm","allotment")</f>
        <v/>
      </c>
      <c r="AV102" s="37">
        <f>HYPERLINK("https://www1.hkexnews.hk/listedco/listconews/sehk/2022/0314/2022031400039.pdf","stabilisation")</f>
        <v/>
      </c>
      <c r="AW102" s="26" t="inlineStr">
        <is>
          <t>intl sub: subscription level not stated in the filing · A/H: no A-share listing · market cap: estimate from deal size / offer % of enlarged capital disagreed with the published listing cap — published figure adopted</t>
        </is>
      </c>
    </row>
    <row r="103">
      <c r="A103" s="25" t="inlineStr">
        <is>
          <t>2157</t>
        </is>
      </c>
      <c r="B103" s="26" t="inlineStr">
        <is>
          <t>LEPU BIO-B</t>
        </is>
      </c>
      <c r="C103" s="26" t="inlineStr">
        <is>
          <t>樂普生物</t>
        </is>
      </c>
      <c r="D103" s="26" t="inlineStr">
        <is>
          <t>Healthcare</t>
        </is>
      </c>
      <c r="E103" s="26" t="inlineStr">
        <is>
          <t>Biotech pre-revenue (18A)</t>
        </is>
      </c>
      <c r="F103" s="26" t="inlineStr">
        <is>
          <t>18A</t>
        </is>
      </c>
      <c r="G103" s="27" t="n">
        <v>44615</v>
      </c>
      <c r="H103" s="28" t="n">
        <v>36.2</v>
      </c>
      <c r="I103" s="26" t="inlineStr">
        <is>
          <t>gross (stated)</t>
        </is>
      </c>
      <c r="J103" s="29" t="n">
        <v>6.87</v>
      </c>
      <c r="K103" s="29" t="n">
        <v>7.38</v>
      </c>
      <c r="L103" s="29" t="n">
        <v>7.13</v>
      </c>
      <c r="M103" s="26" t="inlineStr">
        <is>
          <t>N</t>
        </is>
      </c>
      <c r="N103" s="30" t="n">
        <v>96.59999999999999</v>
      </c>
      <c r="O103" s="28" t="n">
        <v>11394</v>
      </c>
      <c r="P103" s="26" t="inlineStr">
        <is>
          <t>prospectus:stated market capitalisation</t>
        </is>
      </c>
      <c r="Q103" s="31" t="n">
        <v>5.65</v>
      </c>
      <c r="R103" s="32" t="n">
        <v>1.53</v>
      </c>
      <c r="S103" s="33" t="n">
        <v>10</v>
      </c>
      <c r="T103" s="26" t="inlineStr">
        <is>
          <t>King Star; 維梧資本</t>
        </is>
      </c>
      <c r="U103" s="30" t="n">
        <v>8.699999999999999</v>
      </c>
      <c r="V103" s="26" t="inlineStr">
        <is>
          <t>partial</t>
        </is>
      </c>
      <c r="W103" s="34" t="n">
        <v>0.14</v>
      </c>
      <c r="X103" s="34" t="n">
        <v>0</v>
      </c>
      <c r="Y103" s="34" t="n">
        <v>-7.43</v>
      </c>
      <c r="Z103" s="34" t="n">
        <v>-8.699999999999999</v>
      </c>
      <c r="AA103" s="34" t="n">
        <v>-7.56</v>
      </c>
      <c r="AB103" s="34" t="n">
        <v>-11.67</v>
      </c>
      <c r="AC103" s="34" t="n">
        <v>4.24</v>
      </c>
      <c r="AD103" s="26" t="inlineStr">
        <is>
          <t>China Biotech ETF (HS biotech proxy)</t>
        </is>
      </c>
      <c r="AE103" s="34" t="n">
        <v>-40.53</v>
      </c>
      <c r="AF103" s="28" t="n">
        <v>149</v>
      </c>
      <c r="AG103" s="28" t="n">
        <v>-497.4</v>
      </c>
      <c r="AH103" s="26" t="inlineStr">
        <is>
          <t>N</t>
        </is>
      </c>
      <c r="AI103" s="38">
        <f>IF('BBG Verify'!O103="","not filed — run on terminal",'BBG Verify'!O103)</f>
        <v/>
      </c>
      <c r="AJ103" s="35" t="n">
        <v>76.5</v>
      </c>
      <c r="AK103" s="26" t="inlineStr">
        <is>
          <t>N</t>
        </is>
      </c>
      <c r="AL103" s="36">
        <f>IF('BBG Verify'!K103="","not filed — run on terminal",'BBG Verify'!K103)</f>
        <v/>
      </c>
      <c r="AM103" s="26" t="inlineStr">
        <is>
          <t>N/A</t>
        </is>
      </c>
      <c r="AN103" s="26" t="inlineStr">
        <is>
          <t>N/A</t>
        </is>
      </c>
      <c r="AO103" s="26" t="inlineStr">
        <is>
          <t>N/A</t>
        </is>
      </c>
      <c r="AP103" s="26" t="inlineStr">
        <is>
          <t>China International Capital Corporation Hong Kong Securities Limited; Morgan Stanley Asia Limited</t>
        </is>
      </c>
      <c r="AQ103" s="26" t="inlineStr">
        <is>
          <t>中國國際金融香港證券有限公司; 摩根士丹利亞洲有限公司</t>
        </is>
      </c>
      <c r="AR103" s="26" t="inlineStr">
        <is>
          <t>China International Capital Corporation Hong Kong Securities Limited; Morgan Stanley Asia Limited; DIRECTORS AND PARTIES INVOLVED IN THE GLOBAL OFFERING – 162 – Morgan Stanley Asia Limited; Morgan Stanley &amp; Co. International plc; Company Limited; Huatai Financial Holdings (Hong Kong) Limited; China Galaxy International Securities (Hong Kong) Co., Limited; Valuable Capital Limited</t>
        </is>
      </c>
      <c r="AS103" s="26" t="inlineStr">
        <is>
          <t>中國銀河國際證券(香港)有限公司; 中國國際金融香港證券有限公司; 華泰金融控股(香港)有限公司; 海通國際證券有限公司; 摩根士丹利亞洲有限公司; 老虎證券（香港）環球有限公司; 華盛資本証券有限公司</t>
        </is>
      </c>
      <c r="AT103" s="37">
        <f>HYPERLINK("https://www1.hkexnews.hk/listedco/listconews/sehk/2022/0210/2022021000013.pdf","prospectus")</f>
        <v/>
      </c>
      <c r="AU103" s="37">
        <f>HYPERLINK("https://www1.hkexnews.hk/listedco/listconews/sehk/2022/0222/2022022200012.htm","allotment")</f>
        <v/>
      </c>
      <c r="AV103" s="37">
        <f>HYPERLINK("https://www1.hkexnews.hk/listedco/listconews/sehk/2022/0317/2022031702152.pdf","stabilisation")</f>
        <v/>
      </c>
      <c r="AW103" s="26" t="inlineStr">
        <is>
          <t>P/E: n/m — loss-making at IPO (use P/S) · A/H: no A-share listing · cornerstone: AAStocks institutional table includes non-cornerstone orders (superset) — cornerstone % is from the prospectus</t>
        </is>
      </c>
    </row>
    <row r="104">
      <c r="A104" s="25" t="inlineStr">
        <is>
          <t>6639</t>
        </is>
      </c>
      <c r="B104" s="26" t="inlineStr">
        <is>
          <t>ARRAIL GROUP</t>
        </is>
      </c>
      <c r="C104" s="26" t="inlineStr">
        <is>
          <t>瑞爾集團</t>
        </is>
      </c>
      <c r="D104" s="26" t="inlineStr">
        <is>
          <t>Healthcare</t>
        </is>
      </c>
      <c r="E104" s="26" t="inlineStr">
        <is>
          <t>Hospitals / clinics</t>
        </is>
      </c>
      <c r="F104" s="26" t="inlineStr">
        <is>
          <t>Standard</t>
        </is>
      </c>
      <c r="G104" s="27" t="n">
        <v>44642</v>
      </c>
      <c r="H104" s="28" t="n">
        <v>680.2</v>
      </c>
      <c r="I104" s="26" t="inlineStr">
        <is>
          <t>gross (price x shares)</t>
        </is>
      </c>
      <c r="J104" s="29" t="n"/>
      <c r="K104" s="29" t="n">
        <v>14.62</v>
      </c>
      <c r="L104" s="29" t="n">
        <v>14.62</v>
      </c>
      <c r="M104" s="26" t="inlineStr">
        <is>
          <t>Y</t>
        </is>
      </c>
      <c r="N104" s="30" t="n">
        <v>100</v>
      </c>
      <c r="O104" s="28" t="n">
        <v>7474.7</v>
      </c>
      <c r="P104" s="26" t="inlineStr">
        <is>
          <t>derived:deal size / offer % of enlarged capital</t>
        </is>
      </c>
      <c r="Q104" s="31" t="n">
        <v>1.74</v>
      </c>
      <c r="R104" s="32" t="n">
        <v>1.62</v>
      </c>
      <c r="S104" s="33" t="n">
        <v>31.9</v>
      </c>
      <c r="T104" s="26" t="inlineStr">
        <is>
          <t>Abax Asian Structured Private Credit Fund III, LP; Harvest International Premium Value (Secondary Market) Fund SPC; Hudson Bay Master Fund Ltd; OrbiMed Genesis Master Fund, L.P; 高鵬（香港）有限公司</t>
        </is>
      </c>
      <c r="U104" s="30" t="n">
        <v>10.92</v>
      </c>
      <c r="V104" s="26" t="inlineStr">
        <is>
          <t>lapsed</t>
        </is>
      </c>
      <c r="W104" s="34" t="n">
        <v>-5.61</v>
      </c>
      <c r="X104" s="34" t="n">
        <v>-1.5</v>
      </c>
      <c r="Y104" s="34" t="n">
        <v>-20.52</v>
      </c>
      <c r="Z104" s="34" t="n">
        <v>-19.56</v>
      </c>
      <c r="AA104" s="34" t="n">
        <v>-15.8</v>
      </c>
      <c r="AB104" s="34" t="n">
        <v>-5.59</v>
      </c>
      <c r="AC104" s="34" t="n">
        <v>-14.93</v>
      </c>
      <c r="AD104" s="26" t="inlineStr">
        <is>
          <t>China Biotech ETF (HS biotech proxy)</t>
        </is>
      </c>
      <c r="AE104" s="34" t="n">
        <v>-87.48</v>
      </c>
      <c r="AF104" s="28" t="n">
        <v>1666.6</v>
      </c>
      <c r="AG104" s="28" t="n">
        <v>-657.5</v>
      </c>
      <c r="AH104" s="26" t="inlineStr">
        <is>
          <t>N</t>
        </is>
      </c>
      <c r="AI104" s="38">
        <f>IF('BBG Verify'!O104="","not filed — run on terminal",'BBG Verify'!O104)</f>
        <v/>
      </c>
      <c r="AJ104" s="35" t="n">
        <v>4.5</v>
      </c>
      <c r="AK104" s="26" t="inlineStr">
        <is>
          <t>N</t>
        </is>
      </c>
      <c r="AL104" s="36">
        <f>IF('BBG Verify'!K104="","not filed — run on terminal",'BBG Verify'!K104)</f>
        <v/>
      </c>
      <c r="AM104" s="26" t="inlineStr">
        <is>
          <t>N/A</t>
        </is>
      </c>
      <c r="AN104" s="26" t="inlineStr">
        <is>
          <t>N/A</t>
        </is>
      </c>
      <c r="AO104" s="26" t="inlineStr">
        <is>
          <t>N/A</t>
        </is>
      </c>
      <c r="AP104" s="26" t="inlineStr">
        <is>
          <t>Morgan Stanley Asia Limited; UBS Securities Hong Kong Limited</t>
        </is>
      </c>
      <c r="AQ104" s="26" t="inlineStr">
        <is>
          <t>摩根士丹利亞洲有限公司; 瑞銀證券香港有限公司</t>
        </is>
      </c>
      <c r="AR104" s="26" t="inlineStr">
        <is>
          <t>Morgan Stanley Asia Limited; UBS AG Hong Kong Branch; Central, Hong Kong China International Capital Corporation Hong Kong Securities Limited; Haitong International Securities Company Limited</t>
        </is>
      </c>
      <c r="AS104" s="26" t="inlineStr">
        <is>
          <t>中國國際金融香港證券有限公司; 招銀國際融資有限公司; 富途證券國際（香港）有限公司; 海通國際證券有限公司; 香港上海匯豐銀行有限公司; 摩根士丹利亞洲有限公司; UBS AG 香港分行</t>
        </is>
      </c>
      <c r="AT104" s="37">
        <f>HYPERLINK("https://www1.hkexnews.hk/listedco/listconews/sehk/2022/0309/2022030900091.pdf","prospectus")</f>
        <v/>
      </c>
      <c r="AU104" s="37">
        <f>HYPERLINK("https://www1.hkexnews.hk/listedco/listconews/sehk/2022/0321/2022032100094.htm","allotment")</f>
        <v/>
      </c>
      <c r="AV104" s="37">
        <f>HYPERLINK("https://www1.hkexnews.hk/listedco/listconews/sehk/2022/0413/2022041301532.pdf","stabilisation")</f>
        <v/>
      </c>
      <c r="AW104" s="26" t="inlineStr">
        <is>
          <t>P/E: n/m — loss-making at IPO (use P/S) · A/H: no A-share listing · cornerstone: AAStocks institutional table includes non-cornerstone orders (superset) — cornerstone % is from the prospectus</t>
        </is>
      </c>
    </row>
    <row r="105">
      <c r="A105" s="25" t="inlineStr">
        <is>
          <t>9638</t>
        </is>
      </c>
      <c r="B105" s="26" t="inlineStr">
        <is>
          <t>FERRETTI</t>
        </is>
      </c>
      <c r="C105" s="26" t="inlineStr">
        <is>
          <t>法拉帝</t>
        </is>
      </c>
      <c r="D105" s="26" t="inlineStr">
        <is>
          <t>Consumer</t>
        </is>
      </c>
      <c r="E105" s="26" t="inlineStr">
        <is>
          <t>Apparel / luxury</t>
        </is>
      </c>
      <c r="F105" s="26" t="inlineStr">
        <is>
          <t>Standard</t>
        </is>
      </c>
      <c r="G105" s="27" t="n">
        <v>44651</v>
      </c>
      <c r="H105" s="28" t="n">
        <v>1912.3</v>
      </c>
      <c r="I105" s="26" t="inlineStr">
        <is>
          <t>gross (price x shares)</t>
        </is>
      </c>
      <c r="J105" s="29" t="n">
        <v>21.82</v>
      </c>
      <c r="K105" s="29" t="n">
        <v>28.24</v>
      </c>
      <c r="L105" s="29" t="n">
        <v>22.88</v>
      </c>
      <c r="M105" s="26" t="inlineStr">
        <is>
          <t>N</t>
        </is>
      </c>
      <c r="N105" s="30" t="n">
        <v>81</v>
      </c>
      <c r="O105" s="28" t="n">
        <v>9146.299999999999</v>
      </c>
      <c r="P105" s="26" t="inlineStr">
        <is>
          <t>aastocks:上市市值 at the struck price</t>
        </is>
      </c>
      <c r="Q105" s="31" t="n">
        <v>1.07</v>
      </c>
      <c r="R105" s="32" t="n">
        <v>2.06</v>
      </c>
      <c r="S105" s="33" t="n">
        <v>53.02</v>
      </c>
      <c r="T105" s="26" t="inlineStr">
        <is>
          <t>海南金融控股股份有限公司; 海南自由貿易港建設投資基金有限公司; 青島海發控股發展有限公司; 三亞發展控股有限公司; 陽光人壽保險股份有限公司</t>
        </is>
      </c>
      <c r="U105" s="30" t="n">
        <v>15</v>
      </c>
      <c r="V105" s="26" t="inlineStr">
        <is>
          <t>partial</t>
        </is>
      </c>
      <c r="W105" s="34" t="n">
        <v>-0.13</v>
      </c>
      <c r="X105" s="34" t="n">
        <v>-0.13</v>
      </c>
      <c r="Y105" s="34" t="n">
        <v>9.27</v>
      </c>
      <c r="Z105" s="34" t="n">
        <v>-13.11</v>
      </c>
      <c r="AA105" s="34" t="n">
        <v>9.41</v>
      </c>
      <c r="AB105" s="34" t="n">
        <v>16.35</v>
      </c>
      <c r="AC105" s="34" t="n">
        <v>-7.08</v>
      </c>
      <c r="AD105" s="26" t="inlineStr">
        <is>
          <t>Hang Seng Commerce &amp; Industry sub-index</t>
        </is>
      </c>
      <c r="AE105" s="34" t="n">
        <v>57.34</v>
      </c>
      <c r="AF105" s="28" t="n"/>
      <c r="AG105" s="28" t="n"/>
      <c r="AH105" s="26" t="n"/>
      <c r="AI105" s="38">
        <f>IF('BBG Verify'!O105="","not filed — run on terminal",'BBG Verify'!O105)</f>
        <v/>
      </c>
      <c r="AJ105" s="35" t="n"/>
      <c r="AK105" s="26" t="inlineStr">
        <is>
          <t>N</t>
        </is>
      </c>
      <c r="AL105" s="36">
        <f>IF('BBG Verify'!K105="","not filed — run on terminal",'BBG Verify'!K105)</f>
        <v/>
      </c>
      <c r="AM105" s="26" t="inlineStr">
        <is>
          <t>N/A</t>
        </is>
      </c>
      <c r="AN105" s="26" t="inlineStr">
        <is>
          <t>N/A</t>
        </is>
      </c>
      <c r="AO105" s="26" t="inlineStr">
        <is>
          <t>N/A</t>
        </is>
      </c>
      <c r="AP105" s="26" t="inlineStr">
        <is>
          <t>China International Capital Corporation Hong Kong Securities Limited</t>
        </is>
      </c>
      <c r="AQ105" s="26" t="inlineStr">
        <is>
          <t>中國國際金融香港證券有限公司</t>
        </is>
      </c>
      <c r="AR105" s="26" t="inlineStr">
        <is>
          <t>China International Capital Corporation Hong Kong Securities Limited; BNP Paribas Securities (Asia) Limited; Zhongtai International Securities Limited</t>
        </is>
      </c>
      <c r="AS105" s="26" t="inlineStr">
        <is>
          <t>法國巴黎證券（亞洲）有限公司; 中國國際金融香港證券有限公司; 中泰國際證券有限公司</t>
        </is>
      </c>
      <c r="AT105" s="37">
        <f>HYPERLINK("https://www1.hkexnews.hk/listedco/listconews/sehk/2022/0322/2022032200013.pdf","prospectus")</f>
        <v/>
      </c>
      <c r="AU105" s="37">
        <f>HYPERLINK("https://www1.hkexnews.hk/listedco/listconews/sehk/2022/0330/2022033000050.htm","allotment")</f>
        <v/>
      </c>
      <c r="AV105" s="37">
        <f>HYPERLINK("https://www1.hkexnews.hk/listedco/listconews/sehk/2022/0424/2022042400017.pdf","stabilisation")</f>
        <v/>
      </c>
      <c r="AW105" s="26" t="inlineStr">
        <is>
          <t>P/E: net income not stated in extractable form · A/H: no A-share listing</t>
        </is>
      </c>
    </row>
    <row r="106">
      <c r="A106" s="25" t="inlineStr">
        <is>
          <t>2179</t>
        </is>
      </c>
      <c r="B106" s="26" t="inlineStr">
        <is>
          <t>RECBIO-B</t>
        </is>
      </c>
      <c r="C106" s="26" t="inlineStr">
        <is>
          <t>瑞科生物－Ｂ</t>
        </is>
      </c>
      <c r="D106" s="26" t="inlineStr">
        <is>
          <t>Healthcare</t>
        </is>
      </c>
      <c r="E106" s="26" t="inlineStr">
        <is>
          <t>Biotech pre-revenue (18A)</t>
        </is>
      </c>
      <c r="F106" s="26" t="inlineStr">
        <is>
          <t>18A</t>
        </is>
      </c>
      <c r="G106" s="27" t="n">
        <v>44651</v>
      </c>
      <c r="H106" s="28" t="n">
        <v>32.5</v>
      </c>
      <c r="I106" s="26" t="inlineStr">
        <is>
          <t>gross (stated)</t>
        </is>
      </c>
      <c r="J106" s="29" t="n"/>
      <c r="K106" s="29" t="n">
        <v>24.8</v>
      </c>
      <c r="L106" s="29" t="n">
        <v>24.8</v>
      </c>
      <c r="M106" s="26" t="inlineStr">
        <is>
          <t>Y</t>
        </is>
      </c>
      <c r="N106" s="30" t="n">
        <v>100</v>
      </c>
      <c r="O106" s="28" t="n">
        <v>442.8</v>
      </c>
      <c r="P106" s="26" t="inlineStr">
        <is>
          <t>derived:deal size / offer % of enlarged capital</t>
        </is>
      </c>
      <c r="Q106" s="31" t="n">
        <v>10.65</v>
      </c>
      <c r="R106" s="32" t="n">
        <v>1.39</v>
      </c>
      <c r="S106" s="33" t="n">
        <v>18.62</v>
      </c>
      <c r="T106" s="26" t="inlineStr">
        <is>
          <t>Harvest High Yield SP; SCC Growth VI Holdco C (HK) Limited; SCHP Master Fund; 揚子江（香港）有限公司</t>
        </is>
      </c>
      <c r="U106" s="30" t="n">
        <v>6.44</v>
      </c>
      <c r="V106" s="26" t="inlineStr">
        <is>
          <t>partial</t>
        </is>
      </c>
      <c r="W106" s="34" t="n">
        <v>1.81</v>
      </c>
      <c r="X106" s="34" t="n">
        <v>10.08</v>
      </c>
      <c r="Y106" s="34" t="n">
        <v>0.2</v>
      </c>
      <c r="Z106" s="34" t="n">
        <v>-8.67</v>
      </c>
      <c r="AA106" s="34" t="n">
        <v>-1.58</v>
      </c>
      <c r="AB106" s="34" t="n">
        <v>16.05</v>
      </c>
      <c r="AC106" s="34" t="n">
        <v>-15.85</v>
      </c>
      <c r="AD106" s="26" t="inlineStr">
        <is>
          <t>China Biotech ETF (HS biotech proxy)</t>
        </is>
      </c>
      <c r="AE106" s="34" t="n">
        <v>-79.42</v>
      </c>
      <c r="AF106" s="28" t="n"/>
      <c r="AG106" s="28" t="n">
        <v>-79.7</v>
      </c>
      <c r="AH106" s="26" t="inlineStr">
        <is>
          <t>N</t>
        </is>
      </c>
      <c r="AI106" s="38">
        <f>IF('BBG Verify'!O106="","not filed — run on terminal",'BBG Verify'!O106)</f>
        <v/>
      </c>
      <c r="AJ106" s="35" t="n"/>
      <c r="AK106" s="26" t="inlineStr">
        <is>
          <t>N</t>
        </is>
      </c>
      <c r="AL106" s="36">
        <f>IF('BBG Verify'!K106="","not filed — run on terminal",'BBG Verify'!K106)</f>
        <v/>
      </c>
      <c r="AM106" s="26" t="inlineStr">
        <is>
          <t>N/A</t>
        </is>
      </c>
      <c r="AN106" s="26" t="inlineStr">
        <is>
          <t>N/A</t>
        </is>
      </c>
      <c r="AO106" s="26" t="inlineStr">
        <is>
          <t>N/A</t>
        </is>
      </c>
      <c r="AP106" s="26" t="inlineStr">
        <is>
          <t>Morgan Stanley Asia Limited; CMB International Capital Limited; CLSA Capital Markets Limited; Morgan Stanley &amp; Co. International plc; London E14 4QA United Kingdom CMB International Capital Limited; CLSA Limited</t>
        </is>
      </c>
      <c r="AQ106" s="26" t="inlineStr">
        <is>
          <t>摩根士丹利亞洲有限公司; 中信里昂證券資本市場有限公司; 招銀國際金融有限公司</t>
        </is>
      </c>
      <c r="AR106" s="26" t="inlineStr">
        <is>
          <t>Morgan Stanley Asia Limited; CMB International Capital Limited; CLSA Limited; Managers Morgan Stanley Asia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AS106" s="26" t="inlineStr">
        <is>
          <t>興證國際融資有限公司; 中信里昂證券有限公司; 招銀國際融資有限公司; 安信國際證券(香港)有限公司; 廣發證券（香港）經紀有限公司; 海通國際證券有限公司; 利弗莫爾證券有限公司; 摩根士丹利亞洲有限公司; 華盛資本証券有限公司</t>
        </is>
      </c>
      <c r="AT106" s="37">
        <f>HYPERLINK("https://www1.hkexnews.hk/listedco/listconews/sehk/2022/0321/2022032100025.pdf","prospectus")</f>
        <v/>
      </c>
      <c r="AU106" s="37">
        <f>HYPERLINK("https://www1.hkexnews.hk/listedco/listconews/sehk/2022/0330/2022033000086.htm","allotment")</f>
        <v/>
      </c>
      <c r="AV106" s="37">
        <f>HYPERLINK("https://www1.hkexnews.hk/listedco/listconews/sehk/2022/0424/2022042400203.pdf","stabilisation")</f>
        <v/>
      </c>
      <c r="AW106" s="26" t="inlineStr">
        <is>
          <t>P/E: n/m — loss-making at IPO (use P/S) · A/H: no A-share listing · cornerstone: AAStocks institutional table includes non-cornerstone orders (superset) — cornerstone % is from the prospectus</t>
        </is>
      </c>
    </row>
    <row r="107">
      <c r="A107" s="25" t="inlineStr">
        <is>
          <t>2370</t>
        </is>
      </c>
      <c r="B107" s="26" t="inlineStr">
        <is>
          <t>REDCO HEALTHY</t>
        </is>
      </c>
      <c r="C107" s="26" t="inlineStr">
        <is>
          <t>力高健康生活</t>
        </is>
      </c>
      <c r="D107" s="26" t="inlineStr">
        <is>
          <t>Real Estate</t>
        </is>
      </c>
      <c r="E107" s="26" t="inlineStr">
        <is>
          <t>Property management</t>
        </is>
      </c>
      <c r="F107" s="26" t="inlineStr">
        <is>
          <t>Standard</t>
        </is>
      </c>
      <c r="G107" s="27" t="n">
        <v>44651</v>
      </c>
      <c r="H107" s="28" t="n">
        <v>205</v>
      </c>
      <c r="I107" s="26" t="inlineStr">
        <is>
          <t>gross (price x shares)</t>
        </is>
      </c>
      <c r="J107" s="29" t="n">
        <v>4.1</v>
      </c>
      <c r="K107" s="29" t="n">
        <v>5.1</v>
      </c>
      <c r="L107" s="29" t="n">
        <v>4.1</v>
      </c>
      <c r="M107" s="26" t="inlineStr">
        <is>
          <t>N</t>
        </is>
      </c>
      <c r="N107" s="30" t="n">
        <v>80.40000000000001</v>
      </c>
      <c r="O107" s="28" t="n">
        <v>980.8</v>
      </c>
      <c r="P107" s="26" t="inlineStr">
        <is>
          <t>aastocks:上市市值 at the struck price</t>
        </is>
      </c>
      <c r="Q107" s="31" t="n">
        <v>1.99</v>
      </c>
      <c r="R107" s="32" t="n">
        <v>1.14</v>
      </c>
      <c r="S107" s="33" t="n">
        <v>0</v>
      </c>
      <c r="T107" s="26" t="n"/>
      <c r="U107" s="30" t="n">
        <v>15</v>
      </c>
      <c r="V107" s="26" t="inlineStr">
        <is>
          <t>lapsed (no over-allocation)</t>
        </is>
      </c>
      <c r="W107" s="34" t="n">
        <v>26.34</v>
      </c>
      <c r="X107" s="34" t="n">
        <v>101.22</v>
      </c>
      <c r="Y107" s="34" t="n">
        <v>103.66</v>
      </c>
      <c r="Z107" s="34" t="n">
        <v>168.29</v>
      </c>
      <c r="AA107" s="34" t="n">
        <v>61.2</v>
      </c>
      <c r="AB107" s="34" t="n">
        <v>106.03</v>
      </c>
      <c r="AC107" s="34" t="n">
        <v>-2.37</v>
      </c>
      <c r="AD107" s="26" t="inlineStr">
        <is>
          <t>Hang Seng Properties sub-index</t>
        </is>
      </c>
      <c r="AE107" s="34" t="n">
        <v>-71.09999999999999</v>
      </c>
      <c r="AF107" s="28" t="n">
        <v>243.8</v>
      </c>
      <c r="AG107" s="28" t="n">
        <v>32.8</v>
      </c>
      <c r="AH107" s="26" t="inlineStr">
        <is>
          <t>Y</t>
        </is>
      </c>
      <c r="AI107" s="35" t="n">
        <v>29.9</v>
      </c>
      <c r="AJ107" s="35" t="n">
        <v>4</v>
      </c>
      <c r="AK107" s="26" t="inlineStr">
        <is>
          <t>N</t>
        </is>
      </c>
      <c r="AL107" s="36">
        <f>IF('BBG Verify'!K107="","not filed — run on terminal",'BBG Verify'!K107)</f>
        <v/>
      </c>
      <c r="AM107" s="26" t="inlineStr">
        <is>
          <t>N/A</t>
        </is>
      </c>
      <c r="AN107" s="26" t="inlineStr">
        <is>
          <t>N/A</t>
        </is>
      </c>
      <c r="AO107" s="26" t="inlineStr">
        <is>
          <t>N/A</t>
        </is>
      </c>
      <c r="AP107" s="26" t="inlineStr">
        <is>
          <t>ABCI Capital Limited</t>
        </is>
      </c>
      <c r="AQ107" s="26" t="inlineStr">
        <is>
          <t>農銀國際融資有限公司</t>
        </is>
      </c>
      <c r="AR107" s="26" t="inlineStr">
        <is>
          <t>ABCI Capital Limited; Valuable Capital Limited; Guotai Junan Securities (Hong Kong) Limited; CCB International Capital Limited; Zhongtai International Securities Limited</t>
        </is>
      </c>
      <c r="AS107" s="26" t="inlineStr">
        <is>
          <t>農銀國際證券有限公司; 建銀國際金融有限公司; 國泰君安證券(香港)有限公司; 擎天證券有限公司; 華盛資本証券有限公司; 禹洲金融控股（香港）有限公司; 浙商國際金融控股有限公司; 中泰國際證券有限公司</t>
        </is>
      </c>
      <c r="AT107" s="37">
        <f>HYPERLINK("https://www1.hkexnews.hk/listedco/listconews/sehk/2022/0322/2022032200231.pdf","prospectus")</f>
        <v/>
      </c>
      <c r="AU107" s="37">
        <f>HYPERLINK("https://www1.hkexnews.hk/listedco/listconews/sehk/2022/0330/2022033000152.htm","allotment")</f>
        <v/>
      </c>
      <c r="AV107" s="37">
        <f>HYPERLINK("https://www1.hkexnews.hk/listedco/listconews/sehk/2022/0425/2022042500019.pdf","stabilisation")</f>
        <v/>
      </c>
      <c r="AW107" s="26" t="inlineStr">
        <is>
          <t>A/H: no A-share listing</t>
        </is>
      </c>
    </row>
    <row r="108">
      <c r="A108" s="25" t="inlineStr">
        <is>
          <t>2390</t>
        </is>
      </c>
      <c r="B108" s="26" t="inlineStr">
        <is>
          <t>ZHIHU-W</t>
        </is>
      </c>
      <c r="C108" s="26" t="inlineStr">
        <is>
          <t>知乎－Ｗ</t>
        </is>
      </c>
      <c r="D108" s="26" t="inlineStr">
        <is>
          <t>Tech/AI</t>
        </is>
      </c>
      <c r="E108" s="26" t="inlineStr">
        <is>
          <t>Internet platform / e-commerce</t>
        </is>
      </c>
      <c r="F108" s="26" t="inlineStr">
        <is>
          <t>WVR</t>
        </is>
      </c>
      <c r="G108" s="27" t="n">
        <v>44673</v>
      </c>
      <c r="H108" s="28" t="n">
        <v>833.6</v>
      </c>
      <c r="I108" s="26" t="inlineStr">
        <is>
          <t>gross (price x shares)</t>
        </is>
      </c>
      <c r="J108" s="29" t="n"/>
      <c r="K108" s="29" t="n">
        <v>32.06</v>
      </c>
      <c r="L108" s="29" t="n">
        <v>32.06</v>
      </c>
      <c r="M108" s="26" t="inlineStr">
        <is>
          <t>Y</t>
        </is>
      </c>
      <c r="N108" s="30" t="n">
        <v>100</v>
      </c>
      <c r="O108" s="28" t="n">
        <v>16410</v>
      </c>
      <c r="P108" s="26" t="inlineStr">
        <is>
          <t>prospectus:stated market capitalisation</t>
        </is>
      </c>
      <c r="Q108" s="31" t="n">
        <v>15</v>
      </c>
      <c r="R108" s="32" t="n">
        <v>4.37</v>
      </c>
      <c r="S108" s="33" t="n"/>
      <c r="T108" s="26" t="n"/>
      <c r="U108" s="30" t="n">
        <v>8.199999999999999</v>
      </c>
      <c r="V108" s="26" t="inlineStr">
        <is>
          <t>lapsed</t>
        </is>
      </c>
      <c r="W108" s="34" t="n">
        <v>-23.58</v>
      </c>
      <c r="X108" s="34" t="n">
        <v>-15.78</v>
      </c>
      <c r="Y108" s="34" t="n">
        <v>-36.21</v>
      </c>
      <c r="Z108" s="34" t="n">
        <v>-32.94</v>
      </c>
      <c r="AA108" s="34" t="n">
        <v>-16.53</v>
      </c>
      <c r="AB108" s="34" t="n">
        <v>-37.89</v>
      </c>
      <c r="AC108" s="34" t="n">
        <v>1.68</v>
      </c>
      <c r="AD108" s="26" t="inlineStr">
        <is>
          <t>HSTECH (Hang Seng TECH ETF)</t>
        </is>
      </c>
      <c r="AE108" s="34" t="n">
        <v>-74.23999999999999</v>
      </c>
      <c r="AF108" s="28" t="n">
        <v>3255.3</v>
      </c>
      <c r="AG108" s="28" t="n">
        <v>-569.3</v>
      </c>
      <c r="AH108" s="26" t="inlineStr">
        <is>
          <t>N</t>
        </is>
      </c>
      <c r="AI108" s="38">
        <f>IF('BBG Verify'!O108="","not filed — run on terminal",'BBG Verify'!O108)</f>
        <v/>
      </c>
      <c r="AJ108" s="35" t="n">
        <v>5</v>
      </c>
      <c r="AK108" s="26" t="inlineStr">
        <is>
          <t>N</t>
        </is>
      </c>
      <c r="AL108" s="36">
        <f>IF('BBG Verify'!K108="","not filed — run on terminal",'BBG Verify'!K108)</f>
        <v/>
      </c>
      <c r="AM108" s="26" t="inlineStr">
        <is>
          <t>N/A</t>
        </is>
      </c>
      <c r="AN108" s="26" t="inlineStr">
        <is>
          <t>N/A</t>
        </is>
      </c>
      <c r="AO108" s="26" t="inlineStr">
        <is>
          <t>N/A</t>
        </is>
      </c>
      <c r="AP108" s="26" t="inlineStr">
        <is>
          <t>Credit Suisse (Hong Kong) Limited; J.P. Morgan Securities (Far East) Limited; China International Capital Corporation Hong Kong Securities Limited; CMB International Capital Limited</t>
        </is>
      </c>
      <c r="AQ108" s="26" t="inlineStr">
        <is>
          <t>中國國際金融香港證券有限公司; J.P. Morgan Securities (Far East) Limited; 招銀國際融資有限公司; 瑞士信貸（香港）有限公司</t>
        </is>
      </c>
      <c r="AR108" s="26" t="inlineStr">
        <is>
          <t>Credit Suisse (Hong Kong) Limited; J.P. Morgan Securities (Asia Pacific) Limited; China International Capital Corporation Hong Kong Securities Limited</t>
        </is>
      </c>
      <c r="AS108" s="26" t="inlineStr">
        <is>
          <t>建銀國際金融有限公司; 中國國際金融香港證券有限公司; 鉅誠證券有限公司; 招銀國際金融有限公司; 瑞士信貸（香港）有限公司; 海通國際證券有限公司; J.P. Morgan Securities (Asia Pacific) Limited</t>
        </is>
      </c>
      <c r="AT108" s="37">
        <f>HYPERLINK("https://www1.hkexnews.hk/listedco/listconews/sehk/2022/0411/2022041100022.htm","prospectus")</f>
        <v/>
      </c>
      <c r="AU108" s="37">
        <f>HYPERLINK("https://www1.hkexnews.hk/listedco/listconews/sehk/2022/0421/2022042100020.htm","allotment")</f>
        <v/>
      </c>
      <c r="AV108" s="37">
        <f>HYPERLINK("https://www1.hkexnews.hk/listedco/listconews/sehk/2022/0515/2022051500043.pdf","stabilisation")</f>
        <v/>
      </c>
      <c r="AW108" s="26" t="inlineStr">
        <is>
          <t>P/E: n/m — loss-making at IPO (use P/S) · price range: fixed-price offering (no indicative range) · A/H: no A-share listing</t>
        </is>
      </c>
    </row>
    <row r="109">
      <c r="A109" s="25" t="inlineStr">
        <is>
          <t>2352</t>
        </is>
      </c>
      <c r="B109" s="26" t="inlineStr">
        <is>
          <t>DOWELL SERVICE</t>
        </is>
      </c>
      <c r="C109" s="26" t="inlineStr">
        <is>
          <t>東原仁知服務</t>
        </is>
      </c>
      <c r="D109" s="26" t="inlineStr">
        <is>
          <t>Real Estate</t>
        </is>
      </c>
      <c r="E109" s="26" t="inlineStr">
        <is>
          <t>Property management</t>
        </is>
      </c>
      <c r="F109" s="26" t="inlineStr">
        <is>
          <t>Standard</t>
        </is>
      </c>
      <c r="G109" s="27" t="n">
        <v>44680</v>
      </c>
      <c r="H109" s="28" t="n">
        <v>198.3</v>
      </c>
      <c r="I109" s="26" t="inlineStr">
        <is>
          <t>gross (price x shares)</t>
        </is>
      </c>
      <c r="J109" s="29" t="n">
        <v>11.9</v>
      </c>
      <c r="K109" s="29" t="n">
        <v>15.4</v>
      </c>
      <c r="L109" s="29" t="n">
        <v>11.9</v>
      </c>
      <c r="M109" s="26" t="inlineStr">
        <is>
          <t>N</t>
        </is>
      </c>
      <c r="N109" s="30" t="n">
        <v>77.3</v>
      </c>
      <c r="O109" s="28" t="n">
        <v>793.2</v>
      </c>
      <c r="P109" s="26" t="inlineStr">
        <is>
          <t>derived:deal size / offer % of enlarged capital</t>
        </is>
      </c>
      <c r="Q109" s="31" t="n">
        <v>4.35</v>
      </c>
      <c r="R109" s="32" t="n">
        <v>1.56</v>
      </c>
      <c r="S109" s="33" t="n">
        <v>0</v>
      </c>
      <c r="T109" s="26" t="n"/>
      <c r="U109" s="30" t="n">
        <v>7.48</v>
      </c>
      <c r="V109" s="26" t="inlineStr">
        <is>
          <t>partial</t>
        </is>
      </c>
      <c r="W109" s="34" t="n">
        <v>0</v>
      </c>
      <c r="X109" s="34" t="n">
        <v>-4.2</v>
      </c>
      <c r="Y109" s="34" t="n">
        <v>-0</v>
      </c>
      <c r="Z109" s="34" t="n">
        <v>-18.49</v>
      </c>
      <c r="AA109" s="34" t="n">
        <v>0</v>
      </c>
      <c r="AB109" s="34" t="n">
        <v>-0.61</v>
      </c>
      <c r="AC109" s="34" t="n">
        <v>0.61</v>
      </c>
      <c r="AD109" s="26" t="inlineStr">
        <is>
          <t>Hang Seng Properties sub-index</t>
        </is>
      </c>
      <c r="AE109" s="34" t="n">
        <v>-71.43000000000001</v>
      </c>
      <c r="AF109" s="28" t="n">
        <v>1312.8</v>
      </c>
      <c r="AG109" s="28" t="n">
        <v>143.4</v>
      </c>
      <c r="AH109" s="26" t="inlineStr">
        <is>
          <t>Y</t>
        </is>
      </c>
      <c r="AI109" s="35" t="n">
        <v>5.5</v>
      </c>
      <c r="AJ109" s="35" t="n">
        <v>0.6</v>
      </c>
      <c r="AK109" s="26" t="inlineStr">
        <is>
          <t>N</t>
        </is>
      </c>
      <c r="AL109" s="36">
        <f>IF('BBG Verify'!K109="","not filed — run on terminal",'BBG Verify'!K109)</f>
        <v/>
      </c>
      <c r="AM109" s="26" t="inlineStr">
        <is>
          <t>N/A</t>
        </is>
      </c>
      <c r="AN109" s="26" t="inlineStr">
        <is>
          <t>N/A</t>
        </is>
      </c>
      <c r="AO109" s="26" t="inlineStr">
        <is>
          <t>N/A</t>
        </is>
      </c>
      <c r="AP109" s="26" t="inlineStr">
        <is>
          <t>Guotai Junan Capital Limited</t>
        </is>
      </c>
      <c r="AQ109" s="26" t="inlineStr">
        <is>
          <t>國泰君安融資有限公司</t>
        </is>
      </c>
      <c r="AR109" s="26"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AS109" s="26" t="inlineStr">
        <is>
          <t>農銀國際證券有限公司; Beta International Securities Limited; 中國光大證券(香港)有限公司; 中信里昂證券有限公司; 民銀證券有限公司; 富強證券有限公司; 富途證券國際（香港）有限公司; 國泰君安證券(香港)有限公司; 國信證券(香港)融資有限公司; 工銀國際證券有限公司; 領智證券有限公司; 浙商國際金融控股有限公司</t>
        </is>
      </c>
      <c r="AT109" s="37">
        <f>HYPERLINK("https://www1.hkexnews.hk/listedco/listconews/sehk/2022/0419/2022041900041.pdf","prospectus")</f>
        <v/>
      </c>
      <c r="AU109" s="37">
        <f>HYPERLINK("https://www1.hkexnews.hk/listedco/listconews/sehk/2022/0428/2022042800071.htm","allotment")</f>
        <v/>
      </c>
      <c r="AV109" s="37">
        <f>HYPERLINK("https://www1.hkexnews.hk/listedco/listconews/sehk/2022/0523/2022052300039.pdf","stabilisation")</f>
        <v/>
      </c>
      <c r="AW109" s="26" t="inlineStr">
        <is>
          <t>A/H: no A-share listing</t>
        </is>
      </c>
    </row>
    <row r="110">
      <c r="A110" s="25" t="inlineStr">
        <is>
          <t>2325</t>
        </is>
      </c>
      <c r="B110" s="26" t="inlineStr">
        <is>
          <t>YUNKANG GROUP</t>
        </is>
      </c>
      <c r="C110" s="26" t="inlineStr">
        <is>
          <t>雲康集團</t>
        </is>
      </c>
      <c r="D110" s="26" t="inlineStr">
        <is>
          <t>Healthcare</t>
        </is>
      </c>
      <c r="E110" s="26" t="inlineStr">
        <is>
          <t>CXO / pharma services</t>
        </is>
      </c>
      <c r="F110" s="26" t="inlineStr">
        <is>
          <t>Standard</t>
        </is>
      </c>
      <c r="G110" s="27" t="n">
        <v>44699</v>
      </c>
      <c r="H110" s="28" t="n">
        <v>1090.3</v>
      </c>
      <c r="I110" s="26" t="inlineStr">
        <is>
          <t>gross (price x shares)</t>
        </is>
      </c>
      <c r="J110" s="29" t="n"/>
      <c r="K110" s="29" t="n">
        <v>7.89</v>
      </c>
      <c r="L110" s="29" t="n">
        <v>7.89</v>
      </c>
      <c r="M110" s="26" t="inlineStr">
        <is>
          <t>Y</t>
        </is>
      </c>
      <c r="N110" s="30" t="n">
        <v>100</v>
      </c>
      <c r="O110" s="28" t="n">
        <v>4343.8</v>
      </c>
      <c r="P110" s="26" t="inlineStr">
        <is>
          <t>derived:deal size / offer % of enlarged capital</t>
        </is>
      </c>
      <c r="Q110" s="31" t="n">
        <v>1.35</v>
      </c>
      <c r="R110" s="32" t="n">
        <v>1.39</v>
      </c>
      <c r="S110" s="33" t="n">
        <v>30.2</v>
      </c>
      <c r="T110" s="26" t="inlineStr">
        <is>
          <t>Harvest International Premium Value (Secondary Market) Fund SPC; 亞輝龍（香港）有限公司</t>
        </is>
      </c>
      <c r="U110" s="30" t="n">
        <v>6.17</v>
      </c>
      <c r="V110" s="26" t="inlineStr">
        <is>
          <t>partial</t>
        </is>
      </c>
      <c r="W110" s="34" t="n">
        <v>7.73</v>
      </c>
      <c r="X110" s="34" t="n">
        <v>15.34</v>
      </c>
      <c r="Y110" s="34" t="n">
        <v>94.42</v>
      </c>
      <c r="Z110" s="34" t="n">
        <v>129.4</v>
      </c>
      <c r="AA110" s="34" t="n">
        <v>80.47</v>
      </c>
      <c r="AB110" s="34" t="n">
        <v>88.43000000000001</v>
      </c>
      <c r="AC110" s="34" t="n">
        <v>5.99</v>
      </c>
      <c r="AD110" s="26" t="inlineStr">
        <is>
          <t>China Biotech ETF (HS biotech proxy)</t>
        </is>
      </c>
      <c r="AE110" s="34" t="n">
        <v>-91.76000000000001</v>
      </c>
      <c r="AF110" s="28" t="n">
        <v>1320.4</v>
      </c>
      <c r="AG110" s="28" t="n">
        <v>286.2</v>
      </c>
      <c r="AH110" s="26" t="inlineStr">
        <is>
          <t>Y</t>
        </is>
      </c>
      <c r="AI110" s="35" t="n">
        <v>15.2</v>
      </c>
      <c r="AJ110" s="35" t="n">
        <v>3.3</v>
      </c>
      <c r="AK110" s="26" t="inlineStr">
        <is>
          <t>N</t>
        </is>
      </c>
      <c r="AL110" s="36">
        <f>IF('BBG Verify'!K110="","not filed — run on terminal",'BBG Verify'!K110)</f>
        <v/>
      </c>
      <c r="AM110" s="26" t="inlineStr">
        <is>
          <t>N/A</t>
        </is>
      </c>
      <c r="AN110" s="26" t="inlineStr">
        <is>
          <t>N/A</t>
        </is>
      </c>
      <c r="AO110" s="26" t="inlineStr">
        <is>
          <t>N/A</t>
        </is>
      </c>
      <c r="AP110" s="26" t="inlineStr">
        <is>
          <t>CMB International Capital Limited; SPDB International Capital Limited</t>
        </is>
      </c>
      <c r="AQ110" s="26" t="inlineStr">
        <is>
          <t>招銀國際融資有限公司; 浦銀國際融資有限公司</t>
        </is>
      </c>
      <c r="AR110" s="26" t="inlineStr">
        <is>
          <t>CMB International Capital Limited; SPDB International Capital Limited; China Merchants Securities (HK) Co., Limited; CCB International Capital Limited; CRIC Securities Company Limited; Futu Securities International (Hong Kong) Limited</t>
        </is>
      </c>
      <c r="AS110" s="26" t="inlineStr">
        <is>
          <t>博威環球證券有限公司; 建銀國際金融有限公司; 招銀國際融資有限公司; 招商證券(香港)有限公司; 克而瑞證券有限公司; 富途證券國際（香港）有限公司; 利弗莫爾證券有限公司; 浦銀國際融資有限公司</t>
        </is>
      </c>
      <c r="AT110" s="37">
        <f>HYPERLINK("https://www1.hkexnews.hk/listedco/listconews/sehk/2022/0505/2022050500011.pdf","prospectus")</f>
        <v/>
      </c>
      <c r="AU110" s="37">
        <f>HYPERLINK("https://www1.hkexnews.hk/listedco/listconews/sehk/2022/0517/2022051700032.htm","allotment")</f>
        <v/>
      </c>
      <c r="AV110" s="37">
        <f>HYPERLINK("https://www1.hkexnews.hk/listedco/listconews/sehk/2022/0610/2022061001076.pdf","stabilisation")</f>
        <v/>
      </c>
      <c r="AW110" s="26" t="inlineStr">
        <is>
          <t>A/H: no A-share listing</t>
        </is>
      </c>
    </row>
    <row r="111">
      <c r="A111" s="25" t="inlineStr">
        <is>
          <t>2347</t>
        </is>
      </c>
      <c r="B111" s="26" t="inlineStr">
        <is>
          <t>YOHO GROUP</t>
        </is>
      </c>
      <c r="C111" s="26" t="inlineStr">
        <is>
          <t>友和集團</t>
        </is>
      </c>
      <c r="D111" s="26" t="inlineStr">
        <is>
          <t>Consumer</t>
        </is>
      </c>
      <c r="E111" s="26" t="inlineStr">
        <is>
          <t>Retail / distribution</t>
        </is>
      </c>
      <c r="F111" s="26" t="inlineStr">
        <is>
          <t>Standard</t>
        </is>
      </c>
      <c r="G111" s="27" t="n">
        <v>44722</v>
      </c>
      <c r="H111" s="28" t="n">
        <v>115.5</v>
      </c>
      <c r="I111" s="26" t="inlineStr">
        <is>
          <t>gross (price x shares)</t>
        </is>
      </c>
      <c r="J111" s="29" t="n"/>
      <c r="K111" s="29" t="n">
        <v>2.1</v>
      </c>
      <c r="L111" s="29" t="n">
        <v>2.1</v>
      </c>
      <c r="M111" s="26" t="inlineStr">
        <is>
          <t>Y</t>
        </is>
      </c>
      <c r="N111" s="30" t="n">
        <v>100</v>
      </c>
      <c r="O111" s="28" t="n">
        <v>1175</v>
      </c>
      <c r="P111" s="26" t="inlineStr">
        <is>
          <t>aastocks:上市市值 at the struck price</t>
        </is>
      </c>
      <c r="Q111" s="31" t="n">
        <v>8.369999999999999</v>
      </c>
      <c r="R111" s="32" t="n">
        <v>1.23</v>
      </c>
      <c r="S111" s="33" t="n">
        <v>0</v>
      </c>
      <c r="T111" s="26" t="n"/>
      <c r="U111" s="30" t="n">
        <v>15</v>
      </c>
      <c r="V111" s="26" t="inlineStr">
        <is>
          <t>lapsed</t>
        </is>
      </c>
      <c r="W111" s="34" t="n">
        <v>0</v>
      </c>
      <c r="X111" s="34" t="n">
        <v>-6.19</v>
      </c>
      <c r="Y111" s="34" t="n">
        <v>-28.1</v>
      </c>
      <c r="Z111" s="34" t="n">
        <v>-35.24</v>
      </c>
      <c r="AA111" s="34" t="n">
        <v>-28.1</v>
      </c>
      <c r="AB111" s="34" t="n">
        <v>-21.83</v>
      </c>
      <c r="AC111" s="34" t="n">
        <v>-6.27</v>
      </c>
      <c r="AD111" s="26" t="inlineStr">
        <is>
          <t>Hang Seng Commerce &amp; Industry sub-index</t>
        </is>
      </c>
      <c r="AE111" s="34" t="n">
        <v>-66.43000000000001</v>
      </c>
      <c r="AF111" s="28" t="n">
        <v>523</v>
      </c>
      <c r="AG111" s="28" t="n">
        <v>33.7</v>
      </c>
      <c r="AH111" s="26" t="inlineStr">
        <is>
          <t>Y</t>
        </is>
      </c>
      <c r="AI111" s="35" t="n">
        <v>34.9</v>
      </c>
      <c r="AJ111" s="35" t="n">
        <v>2.2</v>
      </c>
      <c r="AK111" s="26" t="inlineStr">
        <is>
          <t>N</t>
        </is>
      </c>
      <c r="AL111" s="36">
        <f>IF('BBG Verify'!K111="","not filed — run on terminal",'BBG Verify'!K111)</f>
        <v/>
      </c>
      <c r="AM111" s="26" t="inlineStr">
        <is>
          <t>N/A</t>
        </is>
      </c>
      <c r="AN111" s="26" t="inlineStr">
        <is>
          <t>N/A</t>
        </is>
      </c>
      <c r="AO111" s="26" t="inlineStr">
        <is>
          <t>N/A</t>
        </is>
      </c>
      <c r="AP111" s="26" t="inlineStr">
        <is>
          <t>CMBC International Capital Limited; Financial Adviser Note Wings Securities Limited</t>
        </is>
      </c>
      <c r="AQ111" s="26" t="inlineStr">
        <is>
          <t>民銀資本有限公司</t>
        </is>
      </c>
      <c r="AR111" s="26"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AS111" s="26" t="inlineStr">
        <is>
          <t>中國光大證券(香港)有限公司; 中國通海證券有限公司; 信達國際融資有限公司; 民銀證券有限公司; 中天證券有限公司; 長雄證券有限公司; 艾德證券期貨有限公司; 富德金融有限公司; 富途證券國際（香港）有限公司; 海通國際證券有限公司; 利弗莫爾證券有限公司; 軟庫中華金融服務有限公司; 華盛資本証券有限公司; 越秀證券有限公司; 中泰國際證券有限公司</t>
        </is>
      </c>
      <c r="AT111" s="37">
        <f>HYPERLINK("https://www1.hkexnews.hk/listedco/listconews/sehk/2022/0526/2022052600069.pdf","prospectus")</f>
        <v/>
      </c>
      <c r="AU111" s="37">
        <f>HYPERLINK("https://www1.hkexnews.hk/listedco/listconews/sehk/2022/0609/2022060900032.htm","allotment")</f>
        <v/>
      </c>
      <c r="AV111" s="37">
        <f>HYPERLINK("https://www1.hkexnews.hk/listedco/listconews/sehk/2022/0630/2022063000818.pdf","stabilisation")</f>
        <v/>
      </c>
      <c r="AW111" s="26" t="inlineStr">
        <is>
          <t>price range: fixed-price offering (no indicative range) · A/H: no A-share listing · market cap: estimate from deal size / offer % of enlarged capital disagreed with the published listing cap — published figure adopted</t>
        </is>
      </c>
    </row>
    <row r="112">
      <c r="A112" s="25" t="inlineStr">
        <is>
          <t>6667</t>
        </is>
      </c>
      <c r="B112" s="26" t="inlineStr">
        <is>
          <t>MEGA GENOMICS</t>
        </is>
      </c>
      <c r="C112" s="26" t="inlineStr">
        <is>
          <t>美因基因</t>
        </is>
      </c>
      <c r="D112" s="26" t="inlineStr">
        <is>
          <t>Healthcare</t>
        </is>
      </c>
      <c r="E112" s="26" t="inlineStr">
        <is>
          <t>CXO / pharma services</t>
        </is>
      </c>
      <c r="F112" s="26" t="inlineStr">
        <is>
          <t>Standard</t>
        </is>
      </c>
      <c r="G112" s="27" t="n">
        <v>44734</v>
      </c>
      <c r="H112" s="28" t="n">
        <v>215.3</v>
      </c>
      <c r="I112" s="26" t="inlineStr">
        <is>
          <t>gross (price x shares)</t>
        </is>
      </c>
      <c r="J112" s="29" t="n"/>
      <c r="K112" s="29" t="n">
        <v>22</v>
      </c>
      <c r="L112" s="29" t="n">
        <v>18</v>
      </c>
      <c r="M112" s="26" t="inlineStr">
        <is>
          <t>N</t>
        </is>
      </c>
      <c r="N112" s="30" t="n">
        <v>81.8</v>
      </c>
      <c r="O112" s="28" t="n">
        <v>4306</v>
      </c>
      <c r="P112" s="26" t="inlineStr">
        <is>
          <t>derived:deal size / offer % of enlarged capital</t>
        </is>
      </c>
      <c r="Q112" s="31" t="n">
        <v>9.619999999999999</v>
      </c>
      <c r="R112" s="32" t="n">
        <v>2.05</v>
      </c>
      <c r="S112" s="33" t="n">
        <v>27.01</v>
      </c>
      <c r="T112" s="26" t="inlineStr">
        <is>
          <t>邁克生物股份有限公司; 南昌金融控股有限公司; 南昌工控園區股權投資合夥企業(有限合夥)</t>
        </is>
      </c>
      <c r="U112" s="30" t="n">
        <v>15</v>
      </c>
      <c r="V112" s="26" t="inlineStr">
        <is>
          <t>lapsed</t>
        </is>
      </c>
      <c r="W112" s="34" t="n">
        <v>0</v>
      </c>
      <c r="X112" s="34" t="n">
        <v>-1.11</v>
      </c>
      <c r="Y112" s="34" t="n">
        <v>-1.22</v>
      </c>
      <c r="Z112" s="34" t="n">
        <v>-24.22</v>
      </c>
      <c r="AA112" s="34" t="n">
        <v>-1.22</v>
      </c>
      <c r="AB112" s="34" t="n">
        <v>-6.85</v>
      </c>
      <c r="AC112" s="34" t="n">
        <v>5.63</v>
      </c>
      <c r="AD112" s="26" t="inlineStr">
        <is>
          <t>China Biotech ETF (HS biotech proxy)</t>
        </is>
      </c>
      <c r="AE112" s="34" t="n">
        <v>-60.94</v>
      </c>
      <c r="AF112" s="28" t="n">
        <v>260.9</v>
      </c>
      <c r="AG112" s="28" t="n">
        <v>86.90000000000001</v>
      </c>
      <c r="AH112" s="26" t="inlineStr">
        <is>
          <t>Y</t>
        </is>
      </c>
      <c r="AI112" s="35" t="n">
        <v>49.6</v>
      </c>
      <c r="AJ112" s="35" t="n">
        <v>16.5</v>
      </c>
      <c r="AK112" s="26" t="inlineStr">
        <is>
          <t>N</t>
        </is>
      </c>
      <c r="AL112" s="36">
        <f>IF('BBG Verify'!K112="","not filed — run on terminal",'BBG Verify'!K112)</f>
        <v/>
      </c>
      <c r="AM112" s="26" t="inlineStr">
        <is>
          <t>N/A</t>
        </is>
      </c>
      <c r="AN112" s="26" t="inlineStr">
        <is>
          <t>N/A</t>
        </is>
      </c>
      <c r="AO112" s="26" t="inlineStr">
        <is>
          <t>N/A</t>
        </is>
      </c>
      <c r="AP112" s="26" t="inlineStr">
        <is>
          <t>China Securities (International) Corporate Finance Company Limited</t>
        </is>
      </c>
      <c r="AQ112" s="26" t="inlineStr">
        <is>
          <t>中信建投(國際)融資有限公司</t>
        </is>
      </c>
      <c r="AR112" s="26" t="inlineStr">
        <is>
          <t>China Securities (International) Corporate Finance Company Limited; Central, Hong Kong China Merchants Securities (HK) Co., Limited</t>
        </is>
      </c>
      <c r="AS112" s="26" t="inlineStr">
        <is>
          <t>招商證券(香港)有限公司; 中信建投(國際)融資有限公司; 富途證券國際（香港）有限公司; 國泰君安證券(香港)有限公司; 利弗莫爾證券有限公司; 老虎證券（香港）環球有限公司; 中泰國際證券有限公司</t>
        </is>
      </c>
      <c r="AT112" s="37">
        <f>HYPERLINK("https://www1.hkexnews.hk/listedco/listconews/sehk/2022/0610/2022061000015.pdf","prospectus")</f>
        <v/>
      </c>
      <c r="AU112" s="37">
        <f>HYPERLINK("https://www1.hkexnews.hk/listedco/listconews/sehk/2022/0621/2022062100030.htm","allotment")</f>
        <v/>
      </c>
      <c r="AV112" s="37">
        <f>HYPERLINK("https://www1.hkexnews.hk/listedco/listconews/sehk/2022/0715/2022071501424.pdf","stabilisation")</f>
        <v/>
      </c>
      <c r="AW112" s="26" t="inlineStr">
        <is>
          <t>A/H: no A-share listing · cornerstone: AAStocks institutional table includes non-cornerstone orders (superset) — cornerstone % is from the prospectus</t>
        </is>
      </c>
    </row>
    <row r="113">
      <c r="A113" s="25" t="inlineStr">
        <is>
          <t>2246</t>
        </is>
      </c>
      <c r="B113" s="26" t="inlineStr">
        <is>
          <t>GOGOX</t>
        </is>
      </c>
      <c r="C113" s="26" t="inlineStr">
        <is>
          <t>快狗打車</t>
        </is>
      </c>
      <c r="D113" s="26" t="inlineStr">
        <is>
          <t>Industrials</t>
        </is>
      </c>
      <c r="E113" s="26" t="inlineStr">
        <is>
          <t>Logistics</t>
        </is>
      </c>
      <c r="F113" s="26" t="inlineStr">
        <is>
          <t>Standard</t>
        </is>
      </c>
      <c r="G113" s="27" t="n">
        <v>44736</v>
      </c>
      <c r="H113" s="28" t="n">
        <v>670.8</v>
      </c>
      <c r="I113" s="26" t="inlineStr">
        <is>
          <t>gross (price x shares)</t>
        </is>
      </c>
      <c r="J113" s="29" t="n"/>
      <c r="K113" s="29" t="n">
        <v>21.5</v>
      </c>
      <c r="L113" s="29" t="n">
        <v>21.5</v>
      </c>
      <c r="M113" s="26" t="inlineStr">
        <is>
          <t>Y</t>
        </is>
      </c>
      <c r="N113" s="30" t="n">
        <v>100</v>
      </c>
      <c r="O113" s="28" t="n">
        <v>13152.9</v>
      </c>
      <c r="P113" s="26" t="inlineStr">
        <is>
          <t>derived:deal size / offer % of enlarged capital</t>
        </is>
      </c>
      <c r="Q113" s="31" t="n">
        <v>4.05</v>
      </c>
      <c r="R113" s="32" t="n">
        <v>1.4</v>
      </c>
      <c r="S113" s="33" t="n">
        <v>10</v>
      </c>
      <c r="T113" s="26" t="inlineStr">
        <is>
          <t>奇瑞商用車(安徽)有限公司; 廣發全球資本有限公司</t>
        </is>
      </c>
      <c r="U113" s="30" t="n">
        <v>19.11</v>
      </c>
      <c r="V113" s="26" t="inlineStr">
        <is>
          <t>lapsed</t>
        </is>
      </c>
      <c r="W113" s="34" t="n">
        <v>-22.23</v>
      </c>
      <c r="X113" s="34" t="n">
        <v>-47.91</v>
      </c>
      <c r="Y113" s="34" t="n">
        <v>-68.33</v>
      </c>
      <c r="Z113" s="34" t="n">
        <v>-76.73999999999999</v>
      </c>
      <c r="AA113" s="34" t="n">
        <v>-59.28</v>
      </c>
      <c r="AB113" s="34" t="n">
        <v>-67.92</v>
      </c>
      <c r="AC113" s="34" t="n">
        <v>-0.41</v>
      </c>
      <c r="AD113" s="26" t="inlineStr">
        <is>
          <t>Hang Seng Commerce &amp; Industry sub-index</t>
        </is>
      </c>
      <c r="AE113" s="34" t="n">
        <v>-93.91</v>
      </c>
      <c r="AF113" s="28" t="n">
        <v>583.4</v>
      </c>
      <c r="AG113" s="28" t="n">
        <v>-960.1</v>
      </c>
      <c r="AH113" s="26" t="inlineStr">
        <is>
          <t>N</t>
        </is>
      </c>
      <c r="AI113" s="38">
        <f>IF('BBG Verify'!O113="","not filed — run on terminal",'BBG Verify'!O113)</f>
        <v/>
      </c>
      <c r="AJ113" s="35" t="n">
        <v>22.5</v>
      </c>
      <c r="AK113" s="26" t="inlineStr">
        <is>
          <t>N</t>
        </is>
      </c>
      <c r="AL113" s="36">
        <f>IF('BBG Verify'!K113="","not filed — run on terminal",'BBG Verify'!K113)</f>
        <v/>
      </c>
      <c r="AM113" s="26" t="inlineStr">
        <is>
          <t>N/A</t>
        </is>
      </c>
      <c r="AN113" s="26" t="inlineStr">
        <is>
          <t>N/A</t>
        </is>
      </c>
      <c r="AO113" s="26" t="inlineStr">
        <is>
          <t>N/A</t>
        </is>
      </c>
      <c r="AP113" s="26" t="inlineStr">
        <is>
          <t>UBS Securities Hong Kong Limited; China International Capital Corporation Hong Kong Securities Limited; BOCOM International (Asia) Limited; ABCI Capital Limited</t>
        </is>
      </c>
      <c r="AQ113" s="26" t="inlineStr">
        <is>
          <t>中國國際金融香港證券有限公司; 瑞銀證券香港有限公司; 交銀國際（亞洲）有限公司; 農銀國際融資有限公司</t>
        </is>
      </c>
      <c r="AR113" s="26"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AS113" s="26" t="inlineStr">
        <is>
          <t>農銀國際證券有限公司; Beta International Securities Limited; 光銀國際資本有限公司; 中國國際金融香港證券有限公司; 艾德證券期貨有限公司; 復星恒利證券有限公司; 富途證券國際（香港）有限公司; 利弗莫爾證券有限公司; 老虎證券（香港）環球有限公司; UBS AG 香港分行; 中泰國際證券有限公司</t>
        </is>
      </c>
      <c r="AT113" s="37">
        <f>HYPERLINK("https://www1.hkexnews.hk/listedco/listconews/sehk/2022/0614/2022061400009.pdf","prospectus")</f>
        <v/>
      </c>
      <c r="AU113" s="37">
        <f>HYPERLINK("https://www1.hkexnews.hk/listedco/listconews/sehk/2022/0623/2022062300034.htm","allotment")</f>
        <v/>
      </c>
      <c r="AV113" s="37">
        <f>HYPERLINK("https://www1.hkexnews.hk/listedco/listconews/sehk/2022/0718/2022071800093.pdf","stabilisation")</f>
        <v/>
      </c>
      <c r="AW113" s="26" t="inlineStr">
        <is>
          <t>P/E: n/m — loss-making at IPO (use P/S) · A/H: no A-share listing · cornerstone: AAStocks institutional table includes non-cornerstone orders (superset) — cornerstone % is from the prospectus</t>
        </is>
      </c>
    </row>
    <row r="114">
      <c r="A114" s="25" t="inlineStr">
        <is>
          <t>2167</t>
        </is>
      </c>
      <c r="B114" s="26" t="inlineStr">
        <is>
          <t>TI CLOUD</t>
        </is>
      </c>
      <c r="C114" s="26" t="inlineStr">
        <is>
          <t>天潤雲</t>
        </is>
      </c>
      <c r="D114" s="26" t="inlineStr">
        <is>
          <t>Tech/AI</t>
        </is>
      </c>
      <c r="E114" s="26" t="inlineStr">
        <is>
          <t>SaaS / enterprise software</t>
        </is>
      </c>
      <c r="F114" s="26" t="inlineStr">
        <is>
          <t>Standard</t>
        </is>
      </c>
      <c r="G114" s="27" t="n">
        <v>44742</v>
      </c>
      <c r="H114" s="28" t="n">
        <v>255.7</v>
      </c>
      <c r="I114" s="26" t="inlineStr">
        <is>
          <t>net proceeds</t>
        </is>
      </c>
      <c r="J114" s="29" t="n">
        <v>12.85</v>
      </c>
      <c r="K114" s="29" t="n">
        <v>13.85</v>
      </c>
      <c r="L114" s="29" t="n">
        <v>12.85</v>
      </c>
      <c r="M114" s="26" t="inlineStr">
        <is>
          <t>N</t>
        </is>
      </c>
      <c r="N114" s="30" t="n">
        <v>92.8</v>
      </c>
      <c r="O114" s="28" t="n">
        <v>2397.3</v>
      </c>
      <c r="P114" s="26" t="inlineStr">
        <is>
          <t>aastocks:上市市值 at the struck price</t>
        </is>
      </c>
      <c r="Q114" s="31" t="n">
        <v>1.17</v>
      </c>
      <c r="R114" s="32" t="n">
        <v>1.27</v>
      </c>
      <c r="S114" s="33" t="n">
        <v>23.4</v>
      </c>
      <c r="T114" s="26" t="inlineStr">
        <is>
          <t>Agora, Inc; Platinum Investment Management Limited</t>
        </is>
      </c>
      <c r="U114" s="30" t="n">
        <v>8.09</v>
      </c>
      <c r="V114" s="26" t="inlineStr">
        <is>
          <t>partial</t>
        </is>
      </c>
      <c r="W114" s="34" t="n">
        <v>-0.08</v>
      </c>
      <c r="X114" s="34" t="n">
        <v>2.72</v>
      </c>
      <c r="Y114" s="34" t="n">
        <v>-19.07</v>
      </c>
      <c r="Z114" s="34" t="n">
        <v>-22.26</v>
      </c>
      <c r="AA114" s="34" t="n">
        <v>-19.01</v>
      </c>
      <c r="AB114" s="34" t="n">
        <v>-6.78</v>
      </c>
      <c r="AC114" s="34" t="n">
        <v>-12.29</v>
      </c>
      <c r="AD114" s="26" t="inlineStr">
        <is>
          <t>HSTECH (Hang Seng TECH ETF)</t>
        </is>
      </c>
      <c r="AE114" s="34" t="n">
        <v>-68.09</v>
      </c>
      <c r="AF114" s="28" t="n">
        <v>442.1</v>
      </c>
      <c r="AG114" s="28" t="n">
        <v>19.6</v>
      </c>
      <c r="AH114" s="26" t="inlineStr">
        <is>
          <t>Y</t>
        </is>
      </c>
      <c r="AI114" s="35" t="n">
        <v>122.3</v>
      </c>
      <c r="AJ114" s="35" t="n">
        <v>5.4</v>
      </c>
      <c r="AK114" s="26" t="inlineStr">
        <is>
          <t>N</t>
        </is>
      </c>
      <c r="AL114" s="36">
        <f>IF('BBG Verify'!K114="","not filed — run on terminal",'BBG Verify'!K114)</f>
        <v/>
      </c>
      <c r="AM114" s="26" t="inlineStr">
        <is>
          <t>N/A</t>
        </is>
      </c>
      <c r="AN114" s="26" t="inlineStr">
        <is>
          <t>N/A</t>
        </is>
      </c>
      <c r="AO114" s="26" t="inlineStr">
        <is>
          <t>N/A</t>
        </is>
      </c>
      <c r="AP114" s="26" t="inlineStr">
        <is>
          <t>China International Capital Corporation Hong Kong Securities Limited</t>
        </is>
      </c>
      <c r="AQ114" s="26" t="inlineStr">
        <is>
          <t>中國國際金融香港證券有限公司</t>
        </is>
      </c>
      <c r="AR114" s="26" t="inlineStr">
        <is>
          <t>China International Capital Corporation Hong Kong Securities Limited; Macquarie Capital Limited; CMB International Capital Limited; DIRECTORS AND PARTIES INVOLVED IN THE GLOBAL OFFERING –1 1 5– BOCI Asia Limited; Shenwan Hongyuan Securities (H.K.) Limited; Tiger Brokers (HK) Global Limited; Futu Securities International (Hong Kong) Limited</t>
        </is>
      </c>
      <c r="AS114" s="26" t="inlineStr">
        <is>
          <t>中銀國際亞洲有限公司; 中國國際金融香港證券有限公司; 招銀國際融資有限公司; 富途證券國際（香港）有限公司; 利弗莫爾證券有限公司; 麥格理資本股份有限公司; 元庫證券有限公司; 申萬宏源證券（香港）有限公司; 老虎證券（香港）環球有限公司</t>
        </is>
      </c>
      <c r="AT114" s="37">
        <f>HYPERLINK("https://www1.hkexnews.hk/listedco/listconews/sehk/2022/0621/2022062100009.pdf","prospectus")</f>
        <v/>
      </c>
      <c r="AU114" s="37">
        <f>HYPERLINK("https://www1.hkexnews.hk/listedco/listconews/sehk/2022/0629/2022062900092.htm","allotment")</f>
        <v/>
      </c>
      <c r="AV114" s="37">
        <f>HYPERLINK("https://www1.hkexnews.hk/listedco/listconews/sehk/2022/0724/2022072400037.pdf","stabilisation")</f>
        <v/>
      </c>
      <c r="AW114" s="26"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15">
      <c r="A115" s="25" t="inlineStr">
        <is>
          <t>2372</t>
        </is>
      </c>
      <c r="B115" s="26" t="inlineStr">
        <is>
          <t>WEILI HOLDINGS</t>
        </is>
      </c>
      <c r="C115" s="26" t="inlineStr">
        <is>
          <t>偉立控股</t>
        </is>
      </c>
      <c r="D115" s="26" t="inlineStr">
        <is>
          <t>Materials/Energy</t>
        </is>
      </c>
      <c r="E115" s="26" t="inlineStr">
        <is>
          <t>Chemicals</t>
        </is>
      </c>
      <c r="F115" s="26" t="inlineStr">
        <is>
          <t>Standard</t>
        </is>
      </c>
      <c r="G115" s="27" t="n">
        <v>44742</v>
      </c>
      <c r="H115" s="28" t="n">
        <v>126</v>
      </c>
      <c r="I115" s="26" t="inlineStr">
        <is>
          <t>gross (price x shares)</t>
        </is>
      </c>
      <c r="J115" s="29" t="n">
        <v>0.63</v>
      </c>
      <c r="K115" s="29" t="n">
        <v>0.67</v>
      </c>
      <c r="L115" s="29" t="n">
        <v>0.63</v>
      </c>
      <c r="M115" s="26" t="inlineStr">
        <is>
          <t>N</t>
        </is>
      </c>
      <c r="N115" s="30" t="n">
        <v>94</v>
      </c>
      <c r="O115" s="28" t="n">
        <v>534.1</v>
      </c>
      <c r="P115" s="26" t="inlineStr">
        <is>
          <t>aastocks:上市市值 at the struck price</t>
        </is>
      </c>
      <c r="Q115" s="31" t="n">
        <v>11.37</v>
      </c>
      <c r="R115" s="32" t="n">
        <v>1.29</v>
      </c>
      <c r="S115" s="33" t="n">
        <v>0</v>
      </c>
      <c r="T115" s="26" t="n"/>
      <c r="U115" s="30" t="n">
        <v>15</v>
      </c>
      <c r="V115" s="26" t="inlineStr">
        <is>
          <t>lapsed (no over-allocation)</t>
        </is>
      </c>
      <c r="W115" s="34" t="n">
        <v>0</v>
      </c>
      <c r="X115" s="34" t="n">
        <v>4.76</v>
      </c>
      <c r="Y115" s="34" t="n">
        <v>-30.16</v>
      </c>
      <c r="Z115" s="34" t="n">
        <v>-30.16</v>
      </c>
      <c r="AA115" s="34" t="n">
        <v>-30.16</v>
      </c>
      <c r="AB115" s="34" t="n">
        <v>-30.85</v>
      </c>
      <c r="AC115" s="34" t="n">
        <v>0.6899999999999999</v>
      </c>
      <c r="AD115" s="26" t="inlineStr">
        <is>
          <t>Hang Seng Utilities sub-index</t>
        </is>
      </c>
      <c r="AE115" s="34" t="n">
        <v>61.11</v>
      </c>
      <c r="AF115" s="28" t="n">
        <v>407.3</v>
      </c>
      <c r="AG115" s="28" t="n">
        <v>39.3</v>
      </c>
      <c r="AH115" s="26" t="inlineStr">
        <is>
          <t>Y</t>
        </is>
      </c>
      <c r="AI115" s="35" t="n">
        <v>13.6</v>
      </c>
      <c r="AJ115" s="35" t="n">
        <v>1.3</v>
      </c>
      <c r="AK115" s="26" t="inlineStr">
        <is>
          <t>N</t>
        </is>
      </c>
      <c r="AL115" s="36">
        <f>IF('BBG Verify'!K115="","not filed — run on terminal",'BBG Verify'!K115)</f>
        <v/>
      </c>
      <c r="AM115" s="26" t="inlineStr">
        <is>
          <t>N/A</t>
        </is>
      </c>
      <c r="AN115" s="26" t="inlineStr">
        <is>
          <t>N/A</t>
        </is>
      </c>
      <c r="AO115" s="26" t="inlineStr">
        <is>
          <t>N/A</t>
        </is>
      </c>
      <c r="AP115" s="26" t="n"/>
      <c r="AQ115" s="26" t="inlineStr">
        <is>
          <t>均富融資有限公司</t>
        </is>
      </c>
      <c r="AR115" s="26" t="inlineStr">
        <is>
          <t>Managers First Shanghai Securities Limited; CRIC Securities Company Limited; Zhongtai International Securities Limited</t>
        </is>
      </c>
      <c r="AS115" s="26" t="inlineStr">
        <is>
          <t>中國銀河國際證券(香港)有限公司; 信達國際融資有限公司; 克而瑞證券有限公司; 第一上海證券有限公司; 匯富金融服務有限公司; 利弗莫爾證券有限公司; 華盛資本証券有限公司; 中泰國際證券有限公司</t>
        </is>
      </c>
      <c r="AT115" s="37">
        <f>HYPERLINK("https://www1.hkexnews.hk/listedco/listconews/sehk/2022/0617/2022061700066.htm","prospectus")</f>
        <v/>
      </c>
      <c r="AU115" s="37">
        <f>HYPERLINK("https://www1.hkexnews.hk/listedco/listconews/sehk/2022/0629/2022062900108.htm","allotment")</f>
        <v/>
      </c>
      <c r="AV115" s="37">
        <f>HYPERLINK("https://www1.hkexnews.hk/listedco/listconews/sehk/2022/0722/2022072201214.pdf","stabilisation")</f>
        <v/>
      </c>
      <c r="AW115" s="26" t="inlineStr">
        <is>
          <t>A/H: no A-share listing · sponsor: English name not in the filing text; AAStocks 保薦人 shown</t>
        </is>
      </c>
    </row>
    <row r="116">
      <c r="A116" s="25" t="inlineStr">
        <is>
          <t>2391</t>
        </is>
      </c>
      <c r="B116" s="26" t="inlineStr">
        <is>
          <t>TUYA-W</t>
        </is>
      </c>
      <c r="C116" s="26" t="inlineStr">
        <is>
          <t>塗鴉智能－Ｗ</t>
        </is>
      </c>
      <c r="D116" s="26" t="inlineStr">
        <is>
          <t>Tech/AI</t>
        </is>
      </c>
      <c r="E116" s="26" t="inlineStr">
        <is>
          <t>SaaS / enterprise software</t>
        </is>
      </c>
      <c r="F116" s="26" t="inlineStr">
        <is>
          <t>WVR</t>
        </is>
      </c>
      <c r="G116" s="27" t="n">
        <v>44747</v>
      </c>
      <c r="H116" s="28" t="n">
        <v>140.9</v>
      </c>
      <c r="I116" s="26" t="inlineStr">
        <is>
          <t>gross (price x shares)</t>
        </is>
      </c>
      <c r="J116" s="29" t="n"/>
      <c r="K116" s="29" t="n">
        <v>22.8</v>
      </c>
      <c r="L116" s="29" t="n">
        <v>19.3</v>
      </c>
      <c r="M116" s="26" t="inlineStr">
        <is>
          <t>N</t>
        </is>
      </c>
      <c r="N116" s="30" t="n">
        <v>84.59999999999999</v>
      </c>
      <c r="O116" s="28" t="n">
        <v>13190.9</v>
      </c>
      <c r="P116" s="26" t="inlineStr">
        <is>
          <t>prospectus:stated market capitalisation</t>
        </is>
      </c>
      <c r="Q116" s="31" t="n">
        <v>9.949999999999999</v>
      </c>
      <c r="R116" s="32" t="n">
        <v>1.3</v>
      </c>
      <c r="S116" s="33" t="n"/>
      <c r="T116" s="26" t="n"/>
      <c r="U116" s="30" t="n">
        <v>10.33</v>
      </c>
      <c r="V116" s="26" t="inlineStr">
        <is>
          <t>lapsed</t>
        </is>
      </c>
      <c r="W116" s="34" t="n">
        <v>0</v>
      </c>
      <c r="X116" s="34" t="n">
        <v>-2.07</v>
      </c>
      <c r="Y116" s="34" t="n">
        <v>-30.05</v>
      </c>
      <c r="Z116" s="34" t="n">
        <v>-60.62</v>
      </c>
      <c r="AA116" s="34" t="n">
        <v>-30.05</v>
      </c>
      <c r="AB116" s="34" t="n">
        <v>-16.97</v>
      </c>
      <c r="AC116" s="34" t="n">
        <v>-13.08</v>
      </c>
      <c r="AD116" s="26" t="inlineStr">
        <is>
          <t>HSTECH (Hang Seng TECH ETF)</t>
        </is>
      </c>
      <c r="AE116" s="34" t="n">
        <v>-28.96</v>
      </c>
      <c r="AF116" s="28" t="n">
        <v>2356.2</v>
      </c>
      <c r="AG116" s="28" t="n">
        <v>-1368.3</v>
      </c>
      <c r="AH116" s="26" t="inlineStr">
        <is>
          <t>N</t>
        </is>
      </c>
      <c r="AI116" s="38">
        <f>IF('BBG Verify'!O116="","not filed — run on terminal",'BBG Verify'!O116)</f>
        <v/>
      </c>
      <c r="AJ116" s="35" t="n">
        <v>5.6</v>
      </c>
      <c r="AK116" s="26" t="inlineStr">
        <is>
          <t>N</t>
        </is>
      </c>
      <c r="AL116" s="36">
        <f>IF('BBG Verify'!K116="","not filed — run on terminal",'BBG Verify'!K116)</f>
        <v/>
      </c>
      <c r="AM116" s="26" t="inlineStr">
        <is>
          <t>N/A</t>
        </is>
      </c>
      <c r="AN116" s="26" t="inlineStr">
        <is>
          <t>N/A</t>
        </is>
      </c>
      <c r="AO116" s="26" t="inlineStr">
        <is>
          <t>N/A</t>
        </is>
      </c>
      <c r="AP116" s="26" t="inlineStr">
        <is>
          <t>China International Capital Corporation Hong Kong Securities Limited; Merrill Lynch (Asia Pacific) Limited; Morgan Stanley Asia Limited</t>
        </is>
      </c>
      <c r="AQ116" s="26" t="inlineStr">
        <is>
          <t>中國國際金融香港證券有限公司; 摩根士丹利亞洲有限公司; 美林(亞太)有限公司</t>
        </is>
      </c>
      <c r="AR116" s="26" t="inlineStr">
        <is>
          <t>China International Capital Corporation Hong Kong Securities Limited; Morgan Stanley Asia Limited; Merrill Lynch (Asia Pacific) Limited; Managers China International Capital Corporation Hong Kong Securities Limited; CMB International Capital Limited; Tiger Brokers (HK) Global Limited</t>
        </is>
      </c>
      <c r="AS116" s="26" t="inlineStr">
        <is>
          <t>中國國際金融香港證券有限公司; 招銀國際金融有限公司; 美林(亞太)有限公司; 摩根士丹利亞洲有限公司; 老虎證券（香港）環球有限公司</t>
        </is>
      </c>
      <c r="AT116" s="37">
        <f>HYPERLINK("https://www1.hkexnews.hk/listedco/listconews/sehk/2022/0622/2022062200189.pdf","prospectus")</f>
        <v/>
      </c>
      <c r="AU116" s="37">
        <f>HYPERLINK("https://www1.hkexnews.hk/listedco/listconews/sehk/2022/0704/2022070400032.htm","allotment")</f>
        <v/>
      </c>
      <c r="AV116" s="37">
        <f>HYPERLINK("https://www1.hkexnews.hk/listedco/listconews/sehk/2022/0727/2022072701192.pdf","stabilisation")</f>
        <v/>
      </c>
      <c r="AW116" s="26" t="inlineStr">
        <is>
          <t>P/E: n/m — loss-making at IPO (use P/S) · A/H: no A-share listing</t>
        </is>
      </c>
    </row>
    <row r="117">
      <c r="A117" s="25" t="inlineStr">
        <is>
          <t>9955</t>
        </is>
      </c>
      <c r="B117" s="26" t="inlineStr">
        <is>
          <t>CLOUDR</t>
        </is>
      </c>
      <c r="C117" s="26" t="inlineStr">
        <is>
          <t>智雲健康</t>
        </is>
      </c>
      <c r="D117" s="26" t="inlineStr">
        <is>
          <t>Healthcare</t>
        </is>
      </c>
      <c r="E117" s="26" t="inlineStr">
        <is>
          <t>Digital health</t>
        </is>
      </c>
      <c r="F117" s="26" t="inlineStr">
        <is>
          <t>Standard</t>
        </is>
      </c>
      <c r="G117" s="27" t="n">
        <v>44748</v>
      </c>
      <c r="H117" s="28" t="n">
        <v>83.40000000000001</v>
      </c>
      <c r="I117" s="26" t="inlineStr">
        <is>
          <t>net proceeds</t>
        </is>
      </c>
      <c r="J117" s="29" t="n"/>
      <c r="K117" s="29" t="n">
        <v>30.5</v>
      </c>
      <c r="L117" s="29" t="n">
        <v>30.5</v>
      </c>
      <c r="M117" s="26" t="inlineStr">
        <is>
          <t>Y</t>
        </is>
      </c>
      <c r="N117" s="30" t="n">
        <v>100</v>
      </c>
      <c r="O117" s="41">
        <f>IF('BBG Verify'!M117="","not filed — run on terminal",'BBG Verify'!M117)</f>
        <v/>
      </c>
      <c r="P117" s="26" t="n"/>
      <c r="Q117" s="31" t="n">
        <v>7.89</v>
      </c>
      <c r="R117" s="32" t="n">
        <v>2.15</v>
      </c>
      <c r="S117" s="33" t="n">
        <v>60.96</v>
      </c>
      <c r="T117" s="26" t="inlineStr">
        <is>
          <t>Harvest International Premium Value (Secondary Market)Fund SPC; Sanofi Foreign Participations B.V; Tasly International Capital Limited; 揚子江(香港)有限公司</t>
        </is>
      </c>
      <c r="U117" s="30" t="n">
        <v>15.23</v>
      </c>
      <c r="V117" s="26" t="inlineStr">
        <is>
          <t>lapsed</t>
        </is>
      </c>
      <c r="W117" s="34" t="n">
        <v>-7.54</v>
      </c>
      <c r="X117" s="34" t="n">
        <v>-9.84</v>
      </c>
      <c r="Y117" s="34" t="n">
        <v>-33.77</v>
      </c>
      <c r="Z117" s="34" t="n">
        <v>-54.43</v>
      </c>
      <c r="AA117" s="34" t="n">
        <v>-28.37</v>
      </c>
      <c r="AB117" s="34" t="n">
        <v>-20.96</v>
      </c>
      <c r="AC117" s="34" t="n">
        <v>-12.81</v>
      </c>
      <c r="AD117" s="26" t="inlineStr">
        <is>
          <t>China Biotech ETF (HS biotech proxy)</t>
        </is>
      </c>
      <c r="AE117" s="34" t="n">
        <v>-98.28</v>
      </c>
      <c r="AF117" s="28" t="n">
        <v>1932.4</v>
      </c>
      <c r="AG117" s="28" t="n">
        <v>-3186.6</v>
      </c>
      <c r="AH117" s="26" t="inlineStr">
        <is>
          <t>N</t>
        </is>
      </c>
      <c r="AI117" s="38">
        <f>IF('BBG Verify'!O117="","not filed — run on terminal",'BBG Verify'!O117)</f>
        <v/>
      </c>
      <c r="AJ117" s="35" t="n"/>
      <c r="AK117" s="26" t="inlineStr">
        <is>
          <t>N</t>
        </is>
      </c>
      <c r="AL117" s="36">
        <f>IF('BBG Verify'!K117="","not filed — run on terminal",'BBG Verify'!K117)</f>
        <v/>
      </c>
      <c r="AM117" s="26" t="inlineStr">
        <is>
          <t>N/A</t>
        </is>
      </c>
      <c r="AN117" s="26" t="inlineStr">
        <is>
          <t>N/A</t>
        </is>
      </c>
      <c r="AO117" s="26" t="inlineStr">
        <is>
          <t>N/A</t>
        </is>
      </c>
      <c r="AP117" s="26" t="inlineStr">
        <is>
          <t>Morgan Stanley Asia Limited; J.P. Morgan Securities (Far East) Limited; J.P. Morgan Securities (Asia Pacific) Limited; China International Capital Corporation Hong Kong Securities Limited</t>
        </is>
      </c>
      <c r="AQ117" s="26" t="inlineStr">
        <is>
          <t>摩根士丹利亞洲有限公司; J.P. Morgan Securities (Far East) Limited</t>
        </is>
      </c>
      <c r="AR117" s="26" t="inlineStr">
        <is>
          <t>Morgan Stanley Asia Limited; J.P. Morgan Securities (Asia Pacific) Limited; China International Capital Corporation Hong Kong Securities Limited; CMB International Capital Limited; Managers Morgan Stanley Asia Limited; J.P. Morgan Securities plc; Hong Kong Securities Limited; Valuable Capital Limited</t>
        </is>
      </c>
      <c r="AS117" s="26" t="inlineStr">
        <is>
          <t>中國國際金融香港證券有限公司; 招銀國際融資有限公司; J.P. Morgan Securities (Asia Pacific) Limited; 摩根士丹利亞洲有限公司; 華盛資本証券有限公司</t>
        </is>
      </c>
      <c r="AT117" s="37">
        <f>HYPERLINK("https://www1.hkexnews.hk/listedco/listconews/sehk/2022/0623/2022062300064.htm","prospectus")</f>
        <v/>
      </c>
      <c r="AU117" s="37">
        <f>HYPERLINK("https://www1.hkexnews.hk/listedco/listconews/sehk/2022/0705/2022070500012.htm","allotment")</f>
        <v/>
      </c>
      <c r="AV117" s="37">
        <f>HYPERLINK("https://www1.hkexnews.hk/listedco/listconews/sehk/2022/0728/2022072801570.pdf","stabilisation")</f>
        <v/>
      </c>
      <c r="AW117" s="26" t="inlineStr">
        <is>
          <t>P/E: n/m — loss-making at IPO (use P/S) · price range: fixed-price offering (no indicative range) · A/H: no A-share listing · cornerstone: AAStocks institutional table includes non-cornerstone orders (superset) — cornerstone % is from the prospectus</t>
        </is>
      </c>
    </row>
    <row r="118">
      <c r="A118" s="25" t="inlineStr">
        <is>
          <t>2376</t>
        </is>
      </c>
      <c r="B118" s="26" t="inlineStr">
        <is>
          <t>LUSHANGSERVICES</t>
        </is>
      </c>
      <c r="C118" s="26" t="inlineStr">
        <is>
          <t>魯商服務</t>
        </is>
      </c>
      <c r="D118" s="26" t="inlineStr">
        <is>
          <t>Real Estate</t>
        </is>
      </c>
      <c r="E118" s="26" t="inlineStr">
        <is>
          <t>Property management</t>
        </is>
      </c>
      <c r="F118" s="26" t="inlineStr">
        <is>
          <t>Standard</t>
        </is>
      </c>
      <c r="G118" s="27" t="n">
        <v>44750</v>
      </c>
      <c r="H118" s="28" t="n">
        <v>28.6</v>
      </c>
      <c r="I118" s="26" t="inlineStr">
        <is>
          <t>net proceeds</t>
        </is>
      </c>
      <c r="J118" s="29" t="n"/>
      <c r="K118" s="29" t="n">
        <v>7.92</v>
      </c>
      <c r="L118" s="29" t="n">
        <v>5.92</v>
      </c>
      <c r="M118" s="26" t="inlineStr">
        <is>
          <t>N</t>
        </is>
      </c>
      <c r="N118" s="30" t="n">
        <v>74.7</v>
      </c>
      <c r="O118" s="28" t="n">
        <v>967.9</v>
      </c>
      <c r="P118" s="26" t="inlineStr">
        <is>
          <t>aastocks:上市市值 at the struck price</t>
        </is>
      </c>
      <c r="Q118" s="31" t="n">
        <v>7.39</v>
      </c>
      <c r="R118" s="32" t="n">
        <v>1.2</v>
      </c>
      <c r="S118" s="33" t="n">
        <v>0</v>
      </c>
      <c r="T118" s="26" t="n"/>
      <c r="U118" s="30" t="n">
        <v>15</v>
      </c>
      <c r="V118" s="26" t="inlineStr">
        <is>
          <t>lapsed</t>
        </is>
      </c>
      <c r="W118" s="34" t="n">
        <v>-25.17</v>
      </c>
      <c r="X118" s="34" t="n">
        <v>-39.19</v>
      </c>
      <c r="Y118" s="34" t="n">
        <v>-57.43</v>
      </c>
      <c r="Z118" s="34" t="n">
        <v>-60.3</v>
      </c>
      <c r="AA118" s="34" t="n">
        <v>-43.11</v>
      </c>
      <c r="AB118" s="34" t="n">
        <v>-46.54</v>
      </c>
      <c r="AC118" s="34" t="n">
        <v>-10.89</v>
      </c>
      <c r="AD118" s="26" t="inlineStr">
        <is>
          <t>Hang Seng Properties sub-index</t>
        </is>
      </c>
      <c r="AE118" s="34" t="n">
        <v>-63.18</v>
      </c>
      <c r="AF118" s="28" t="n">
        <v>641.1</v>
      </c>
      <c r="AG118" s="28" t="n">
        <v>84.7</v>
      </c>
      <c r="AH118" s="26" t="inlineStr">
        <is>
          <t>Y</t>
        </is>
      </c>
      <c r="AI118" s="35" t="n">
        <v>11.4</v>
      </c>
      <c r="AJ118" s="35" t="n">
        <v>1.5</v>
      </c>
      <c r="AK118" s="26" t="inlineStr">
        <is>
          <t>N</t>
        </is>
      </c>
      <c r="AL118" s="36">
        <f>IF('BBG Verify'!K118="","not filed — run on terminal",'BBG Verify'!K118)</f>
        <v/>
      </c>
      <c r="AM118" s="26" t="inlineStr">
        <is>
          <t>N/A</t>
        </is>
      </c>
      <c r="AN118" s="26" t="inlineStr">
        <is>
          <t>N/A</t>
        </is>
      </c>
      <c r="AO118" s="26" t="inlineStr">
        <is>
          <t>N/A</t>
        </is>
      </c>
      <c r="AP118" s="26" t="inlineStr">
        <is>
          <t>ABCI Capital Limited</t>
        </is>
      </c>
      <c r="AQ118" s="26" t="inlineStr">
        <is>
          <t>農銀國際融資有限公司</t>
        </is>
      </c>
      <c r="AR118" s="26" t="inlineStr">
        <is>
          <t>ABCI Capital Limited; Zhongtai International Securities Limited; China International Capital Corporation Hong Kong Securities Limited; Central, Hong Kong GF Securities (Hong Kong) Brokerage Limited; Wanchai, Hong Kong Guotai Junan Securities (Hong Kong) Limited; CMBC Securities Company Limited; Yue Xiu Securities Company Limited; Wanchai, Hong Kong China Chengtong (Hong Kong) Asset Management Company Limited; Wan Chai, Hong Kong Fortune (HK) Securities Limited; Eddid Securities and Futures Limited</t>
        </is>
      </c>
      <c r="AS118" s="26" t="inlineStr">
        <is>
          <t>農銀國際證券有限公司; 中國誠通（香港）資產管理有限公司; 中國光大證券(香港)有限公司; 中國國際金融香港證券有限公司; 民銀證券有限公司; 艾德證券期貨有限公司; 富強證券有限公司; 廣發證券（香港）經紀有限公司; 國泰君安證券(香港)有限公司; 利弗莫爾證券有限公司; 華盛資本証券有限公司; 越秀證券有限公司; 中泰國際證券有限公司</t>
        </is>
      </c>
      <c r="AT118" s="37">
        <f>HYPERLINK("https://www1.hkexnews.hk/listedco/listconews/sehk/2022/0627/2022062700017.pdf","prospectus")</f>
        <v/>
      </c>
      <c r="AU118" s="37">
        <f>HYPERLINK("https://www1.hkexnews.hk/listedco/listconews/sehk/2022/0707/2022070700020.htm","allotment")</f>
        <v/>
      </c>
      <c r="AV118" s="37">
        <f>HYPERLINK("https://www1.hkexnews.hk/listedco/listconews/sehk/2022/0801/2022080101943.pdf","stabilisation")</f>
        <v/>
      </c>
      <c r="AW118" s="26" t="inlineStr">
        <is>
          <t>A/H: no A-share listing</t>
        </is>
      </c>
    </row>
    <row r="119">
      <c r="A119" s="25" t="inlineStr">
        <is>
          <t>2392</t>
        </is>
      </c>
      <c r="B119" s="26" t="inlineStr">
        <is>
          <t>XUANWU CLOUD</t>
        </is>
      </c>
      <c r="C119" s="26" t="inlineStr">
        <is>
          <t>玄武雲</t>
        </is>
      </c>
      <c r="D119" s="26" t="inlineStr">
        <is>
          <t>Tech/AI</t>
        </is>
      </c>
      <c r="E119" s="26" t="inlineStr">
        <is>
          <t>SaaS / enterprise software</t>
        </is>
      </c>
      <c r="F119" s="26" t="inlineStr">
        <is>
          <t>Standard</t>
        </is>
      </c>
      <c r="G119" s="27" t="n">
        <v>44750</v>
      </c>
      <c r="H119" s="28" t="n">
        <v>214.6</v>
      </c>
      <c r="I119" s="26" t="inlineStr">
        <is>
          <t>gross (price x shares)</t>
        </is>
      </c>
      <c r="J119" s="29" t="n">
        <v>4.93</v>
      </c>
      <c r="K119" s="29" t="n">
        <v>6.91</v>
      </c>
      <c r="L119" s="29" t="n">
        <v>6.24</v>
      </c>
      <c r="M119" s="26" t="inlineStr">
        <is>
          <t>N</t>
        </is>
      </c>
      <c r="N119" s="30" t="n">
        <v>90.3</v>
      </c>
      <c r="O119" s="28" t="n">
        <v>3764.2</v>
      </c>
      <c r="P119" s="26" t="inlineStr">
        <is>
          <t>aastocks:上市市值 at the struck price</t>
        </is>
      </c>
      <c r="Q119" s="31" t="n">
        <v>42.13</v>
      </c>
      <c r="R119" s="32" t="n">
        <v>2.09</v>
      </c>
      <c r="S119" s="33" t="n">
        <v>27.2</v>
      </c>
      <c r="T119" s="26" t="inlineStr">
        <is>
          <t>Colorful Cloud</t>
        </is>
      </c>
      <c r="U119" s="30" t="n">
        <v>5.62</v>
      </c>
      <c r="V119" s="26" t="inlineStr">
        <is>
          <t>lapsed</t>
        </is>
      </c>
      <c r="W119" s="34" t="n">
        <v>0.64</v>
      </c>
      <c r="X119" s="34" t="n">
        <v>-7.05</v>
      </c>
      <c r="Y119" s="34" t="n">
        <v>4.17</v>
      </c>
      <c r="Z119" s="34" t="n">
        <v>-3.21</v>
      </c>
      <c r="AA119" s="34" t="n">
        <v>3.51</v>
      </c>
      <c r="AB119" s="34" t="n">
        <v>12.94</v>
      </c>
      <c r="AC119" s="34" t="n">
        <v>-8.77</v>
      </c>
      <c r="AD119" s="26" t="inlineStr">
        <is>
          <t>HSTECH (Hang Seng TECH ETF)</t>
        </is>
      </c>
      <c r="AE119" s="34" t="n">
        <v>-83.81</v>
      </c>
      <c r="AF119" s="28" t="n">
        <v>876.4</v>
      </c>
      <c r="AG119" s="28" t="n">
        <v>32.2</v>
      </c>
      <c r="AH119" s="26" t="inlineStr">
        <is>
          <t>Y</t>
        </is>
      </c>
      <c r="AI119" s="35" t="n">
        <v>116.9</v>
      </c>
      <c r="AJ119" s="35" t="n">
        <v>4.3</v>
      </c>
      <c r="AK119" s="26" t="inlineStr">
        <is>
          <t>N</t>
        </is>
      </c>
      <c r="AL119" s="36">
        <f>IF('BBG Verify'!K119="","not filed — run on terminal",'BBG Verify'!K119)</f>
        <v/>
      </c>
      <c r="AM119" s="26" t="inlineStr">
        <is>
          <t>N/A</t>
        </is>
      </c>
      <c r="AN119" s="26" t="inlineStr">
        <is>
          <t>N/A</t>
        </is>
      </c>
      <c r="AO119" s="26" t="inlineStr">
        <is>
          <t>N/A</t>
        </is>
      </c>
      <c r="AP119" s="26" t="inlineStr">
        <is>
          <t>CMB International Capital Limited</t>
        </is>
      </c>
      <c r="AQ119" s="26" t="inlineStr">
        <is>
          <t>招銀國際金融有限公司</t>
        </is>
      </c>
      <c r="AR119" s="26" t="inlineStr">
        <is>
          <t>CMB International Capital Limited; Huatai Financial Holdings (Hong Kong) Limited; CLSA Limited; Guotai Junan Securities (Hong Kong) Limited; Citrus Securities Limited</t>
        </is>
      </c>
      <c r="AS119" s="26" t="inlineStr">
        <is>
          <t>鉅誠證券有限公司; 中信里昂證券有限公司; 招銀國際融資有限公司; 國泰君安證券(香港)有限公司; 華泰金融控股(香港)有限公司; 利弗莫爾證券有限公司</t>
        </is>
      </c>
      <c r="AT119" s="37">
        <f>HYPERLINK("https://www1.hkexnews.hk/listedco/listconews/sehk/2022/0624/2022062400033.pdf","prospectus")</f>
        <v/>
      </c>
      <c r="AU119" s="37">
        <f>HYPERLINK("https://www1.hkexnews.hk/listedco/listconews/sehk/2022/0707/2022070700032.htm","allotment")</f>
        <v/>
      </c>
      <c r="AV119" s="37">
        <f>HYPERLINK("https://www1.hkexnews.hk/listedco/listconews/sehk/2022/0731/2022073100021.pdf","stabilisation")</f>
        <v/>
      </c>
      <c r="AW119" s="26" t="inlineStr">
        <is>
          <t>A/H: no A-share listing · market cap: estimate from stated market capitalisation disagreed with the published listing cap — published figure adopted</t>
        </is>
      </c>
    </row>
    <row r="120">
      <c r="A120" s="25" t="inlineStr">
        <is>
          <t>2297</t>
        </is>
      </c>
      <c r="B120" s="26" t="inlineStr">
        <is>
          <t>RAINMED-B</t>
        </is>
      </c>
      <c r="C120" s="26" t="inlineStr">
        <is>
          <t>潤邁德－Ｂ</t>
        </is>
      </c>
      <c r="D120" s="26" t="inlineStr">
        <is>
          <t>Healthcare</t>
        </is>
      </c>
      <c r="E120" s="26" t="inlineStr">
        <is>
          <t>Medical devices</t>
        </is>
      </c>
      <c r="F120" s="26" t="inlineStr">
        <is>
          <t>18A</t>
        </is>
      </c>
      <c r="G120" s="27" t="n">
        <v>44750</v>
      </c>
      <c r="H120" s="28" t="n">
        <v>145.7</v>
      </c>
      <c r="I120" s="26" t="inlineStr">
        <is>
          <t>gross (price x shares)</t>
        </is>
      </c>
      <c r="J120" s="29" t="n"/>
      <c r="K120" s="29" t="n">
        <v>6.24</v>
      </c>
      <c r="L120" s="29" t="n">
        <v>6.24</v>
      </c>
      <c r="M120" s="26" t="inlineStr">
        <is>
          <t>Y</t>
        </is>
      </c>
      <c r="N120" s="30" t="n">
        <v>100</v>
      </c>
      <c r="O120" s="28" t="n">
        <v>7287.1</v>
      </c>
      <c r="P120" s="26" t="inlineStr">
        <is>
          <t>aastocks:上市市值 at the struck price</t>
        </is>
      </c>
      <c r="Q120" s="31" t="n">
        <v>6.35</v>
      </c>
      <c r="R120" s="32" t="n">
        <v>1.34</v>
      </c>
      <c r="S120" s="33" t="n">
        <v>0</v>
      </c>
      <c r="T120" s="26" t="n"/>
      <c r="U120" s="30" t="n">
        <v>18.4</v>
      </c>
      <c r="V120" s="26" t="inlineStr">
        <is>
          <t>partial</t>
        </is>
      </c>
      <c r="W120" s="34" t="n">
        <v>-15.38</v>
      </c>
      <c r="X120" s="34" t="n">
        <v>-18.11</v>
      </c>
      <c r="Y120" s="34" t="n">
        <v>-33.49</v>
      </c>
      <c r="Z120" s="34" t="n">
        <v>-52.88</v>
      </c>
      <c r="AA120" s="34" t="n">
        <v>-21.4</v>
      </c>
      <c r="AB120" s="34" t="n">
        <v>-25.89</v>
      </c>
      <c r="AC120" s="34" t="n">
        <v>-7.6</v>
      </c>
      <c r="AD120" s="26" t="inlineStr">
        <is>
          <t>China Biotech ETF (HS biotech proxy)</t>
        </is>
      </c>
      <c r="AE120" s="34" t="n">
        <v>-96.95999999999999</v>
      </c>
      <c r="AF120" s="28" t="n">
        <v>89.3</v>
      </c>
      <c r="AG120" s="28" t="n">
        <v>-697</v>
      </c>
      <c r="AH120" s="26" t="inlineStr">
        <is>
          <t>N</t>
        </is>
      </c>
      <c r="AI120" s="38">
        <f>IF('BBG Verify'!O120="","not filed — run on terminal",'BBG Verify'!O120)</f>
        <v/>
      </c>
      <c r="AJ120" s="35" t="n">
        <v>81.59999999999999</v>
      </c>
      <c r="AK120" s="26" t="inlineStr">
        <is>
          <t>N</t>
        </is>
      </c>
      <c r="AL120" s="36">
        <f>IF('BBG Verify'!K120="","not filed — run on terminal",'BBG Verify'!K120)</f>
        <v/>
      </c>
      <c r="AM120" s="26" t="inlineStr">
        <is>
          <t>N/A</t>
        </is>
      </c>
      <c r="AN120" s="26" t="inlineStr">
        <is>
          <t>N/A</t>
        </is>
      </c>
      <c r="AO120" s="26" t="inlineStr">
        <is>
          <t>N/A</t>
        </is>
      </c>
      <c r="AP120" s="26" t="inlineStr">
        <is>
          <t>Huatai Financial Holdings (Hong Kong) Limited</t>
        </is>
      </c>
      <c r="AQ120" s="26" t="inlineStr">
        <is>
          <t>華泰金融控股(香港)有限公司</t>
        </is>
      </c>
      <c r="AR120" s="26" t="inlineStr">
        <is>
          <t>Huatai Financial Holdings (Hong Kong) Limited; Zhongtai International Securities Limited; BOCOM International Securities Limited; Eddid Securities and Futures Limited</t>
        </is>
      </c>
      <c r="AS120" s="26" t="inlineStr">
        <is>
          <t>Beta International Securities Limited; 艾德證券期貨有限公司; 華泰金融控股(香港)有限公司; 利弗莫爾證券有限公司; 中泰國際證券有限公司</t>
        </is>
      </c>
      <c r="AT120" s="37">
        <f>HYPERLINK("https://www1.hkexnews.hk/listedco/listconews/sehk/2022/0627/2022062700021.pdf","prospectus")</f>
        <v/>
      </c>
      <c r="AU120" s="37">
        <f>HYPERLINK("https://www1.hkexnews.hk/listedco/listconews/sehk/2022/0707/2022070700056.htm","allotment")</f>
        <v/>
      </c>
      <c r="AV120" s="37">
        <f>HYPERLINK("https://www1.hkexnews.hk/listedco/listconews/sehk/2022/0801/2022080100005.pdf","stabilisation")</f>
        <v/>
      </c>
      <c r="AW120" s="26" t="inlineStr">
        <is>
          <t>P/E: n/m — loss-making at IPO (use P/S) · A/H: no A-share listing · market cap: estimate from stated market capitalisation disagreed with the published listing cap — published figure adopted</t>
        </is>
      </c>
    </row>
    <row r="121">
      <c r="A121" s="25" t="inlineStr">
        <is>
          <t>2361</t>
        </is>
      </c>
      <c r="B121" s="26" t="inlineStr">
        <is>
          <t>SINOHEALTH HLDG</t>
        </is>
      </c>
      <c r="C121" s="26" t="inlineStr">
        <is>
          <t>中康科技控股</t>
        </is>
      </c>
      <c r="D121" s="26" t="inlineStr">
        <is>
          <t>Healthcare</t>
        </is>
      </c>
      <c r="E121" s="26" t="inlineStr">
        <is>
          <t>Digital health</t>
        </is>
      </c>
      <c r="F121" s="26" t="inlineStr">
        <is>
          <t>Standard</t>
        </is>
      </c>
      <c r="G121" s="27" t="n">
        <v>44754</v>
      </c>
      <c r="H121" s="28" t="n">
        <v>402</v>
      </c>
      <c r="I121" s="26" t="inlineStr">
        <is>
          <t>gross (price x shares)</t>
        </is>
      </c>
      <c r="J121" s="29" t="n">
        <v>4.83</v>
      </c>
      <c r="K121" s="29" t="n">
        <v>5.36</v>
      </c>
      <c r="L121" s="29" t="n">
        <v>5.36</v>
      </c>
      <c r="M121" s="26" t="inlineStr">
        <is>
          <t>Y</t>
        </is>
      </c>
      <c r="N121" s="30" t="n">
        <v>100</v>
      </c>
      <c r="O121" s="28" t="n">
        <v>2782.9</v>
      </c>
      <c r="P121" s="26" t="inlineStr">
        <is>
          <t>aastocks:上市市值 at the struck price</t>
        </is>
      </c>
      <c r="Q121" s="31" t="n">
        <v>2.21</v>
      </c>
      <c r="R121" s="32" t="n">
        <v>1.36</v>
      </c>
      <c r="S121" s="33" t="n">
        <v>13.8</v>
      </c>
      <c r="T121" s="26" t="inlineStr">
        <is>
          <t>百洋健康有限公司; 康石壹號有限合夥; Luns Family Holdings Limited</t>
        </is>
      </c>
      <c r="U121" s="30" t="n">
        <v>16.6667</v>
      </c>
      <c r="V121" s="26" t="inlineStr">
        <is>
          <t>partial</t>
        </is>
      </c>
      <c r="W121" s="34" t="n">
        <v>0</v>
      </c>
      <c r="X121" s="34" t="n">
        <v>11.94</v>
      </c>
      <c r="Y121" s="34" t="n">
        <v>-1.49</v>
      </c>
      <c r="Z121" s="34" t="n">
        <v>-38.06</v>
      </c>
      <c r="AA121" s="34" t="n">
        <v>-1.49</v>
      </c>
      <c r="AB121" s="34" t="n">
        <v>7.56</v>
      </c>
      <c r="AC121" s="34" t="n">
        <v>-9.050000000000001</v>
      </c>
      <c r="AD121" s="26" t="inlineStr">
        <is>
          <t>China Biotech ETF (HS biotech proxy)</t>
        </is>
      </c>
      <c r="AE121" s="34" t="n">
        <v>-6.72</v>
      </c>
      <c r="AF121" s="28" t="n">
        <v>356.6</v>
      </c>
      <c r="AG121" s="28" t="n">
        <v>79.2</v>
      </c>
      <c r="AH121" s="26" t="inlineStr">
        <is>
          <t>Y</t>
        </is>
      </c>
      <c r="AI121" s="35" t="n">
        <v>35.1</v>
      </c>
      <c r="AJ121" s="35" t="n">
        <v>7.8</v>
      </c>
      <c r="AK121" s="26" t="inlineStr">
        <is>
          <t>N</t>
        </is>
      </c>
      <c r="AL121" s="36">
        <f>IF('BBG Verify'!K121="","not filed — run on terminal",'BBG Verify'!K121)</f>
        <v/>
      </c>
      <c r="AM121" s="26" t="inlineStr">
        <is>
          <t>N/A</t>
        </is>
      </c>
      <c r="AN121" s="26" t="inlineStr">
        <is>
          <t>N/A</t>
        </is>
      </c>
      <c r="AO121" s="26" t="inlineStr">
        <is>
          <t>N/A</t>
        </is>
      </c>
      <c r="AP121" s="26" t="inlineStr">
        <is>
          <t>and Sole Representative BNP Paribas Securities (Asia) Limited</t>
        </is>
      </c>
      <c r="AQ121" s="26" t="inlineStr">
        <is>
          <t>法國巴黎證券（亞洲）有限公司</t>
        </is>
      </c>
      <c r="AR121" s="26" t="inlineStr">
        <is>
          <t>BNP Paribas Securities (Asia) Limited; CCB International Capital Limited; Orient Securities (Hong Kong) Limited</t>
        </is>
      </c>
      <c r="AS121" s="26" t="inlineStr">
        <is>
          <t>法國巴黎證券（亞洲）有限公司; 建銀國際金融有限公司; 艾德證券期貨有限公司; 復星恒利證券有限公司; 富途證券國際（香港）有限公司; 國泰君安證券(香港)有限公司; 海通國際證券有限公司; 創陞證券有限公司; 利弗莫爾證券有限公司; 東方證券(香港)有限公司; 大華繼顯(香港)有限公司; 中泰國際證券有限公司</t>
        </is>
      </c>
      <c r="AT121" s="37">
        <f>HYPERLINK("https://www1.hkexnews.hk/listedco/listconews/sehk/2022/0628/2022062800038.pdf","prospectus")</f>
        <v/>
      </c>
      <c r="AU121" s="37">
        <f>HYPERLINK("https://www1.hkexnews.hk/listedco/listconews/sehk/2022/0711/2022071100010.htm","allotment")</f>
        <v/>
      </c>
      <c r="AV121" s="37">
        <f>HYPERLINK("https://www1.hkexnews.hk/listedco/listconews/sehk/2022/0804/2022080401926.pdf","stabilisation")</f>
        <v/>
      </c>
      <c r="AW121" s="26" t="inlineStr">
        <is>
          <t>price range: fixed-price offering (no indicative range) · A/H: no A-share listing</t>
        </is>
      </c>
    </row>
    <row r="122">
      <c r="A122" s="25" t="inlineStr">
        <is>
          <t>2385</t>
        </is>
      </c>
      <c r="B122" s="26" t="inlineStr">
        <is>
          <t>READBOY</t>
        </is>
      </c>
      <c r="C122" s="26" t="inlineStr">
        <is>
          <t>讀書郎</t>
        </is>
      </c>
      <c r="D122" s="26" t="inlineStr">
        <is>
          <t>Tech/AI</t>
        </is>
      </c>
      <c r="E122" s="26" t="inlineStr">
        <is>
          <t>Smart hardware / consumer electronics</t>
        </is>
      </c>
      <c r="F122" s="26" t="inlineStr">
        <is>
          <t>Standard</t>
        </is>
      </c>
      <c r="G122" s="27" t="n">
        <v>44754</v>
      </c>
      <c r="H122" s="28" t="n">
        <v>395.2</v>
      </c>
      <c r="I122" s="26" t="inlineStr">
        <is>
          <t>gross (price x shares)</t>
        </is>
      </c>
      <c r="J122" s="29" t="n"/>
      <c r="K122" s="29" t="n">
        <v>10</v>
      </c>
      <c r="L122" s="29" t="n">
        <v>7.6</v>
      </c>
      <c r="M122" s="26" t="inlineStr">
        <is>
          <t>N</t>
        </is>
      </c>
      <c r="N122" s="30" t="n">
        <v>76</v>
      </c>
      <c r="O122" s="28" t="n">
        <v>3317.2</v>
      </c>
      <c r="P122" s="26" t="inlineStr">
        <is>
          <t>aastocks:上市市值 at the struck price</t>
        </is>
      </c>
      <c r="Q122" s="31" t="n">
        <v>1.73</v>
      </c>
      <c r="R122" s="32" t="n">
        <v>1.62</v>
      </c>
      <c r="S122" s="33" t="n">
        <v>54.22</v>
      </c>
      <c r="T122" s="26" t="inlineStr">
        <is>
          <t>Azure Telecommunication; Tower Lead</t>
        </is>
      </c>
      <c r="U122" s="30" t="n">
        <v>15</v>
      </c>
      <c r="V122" s="26" t="inlineStr">
        <is>
          <t>lapsed</t>
        </is>
      </c>
      <c r="W122" s="34" t="n">
        <v>-5.26</v>
      </c>
      <c r="X122" s="34" t="n">
        <v>-3.03</v>
      </c>
      <c r="Y122" s="34" t="n">
        <v>-7.89</v>
      </c>
      <c r="Z122" s="34" t="n">
        <v>-6.32</v>
      </c>
      <c r="AA122" s="34" t="n">
        <v>-2.78</v>
      </c>
      <c r="AB122" s="34" t="n">
        <v>1.14</v>
      </c>
      <c r="AC122" s="34" t="n">
        <v>-9.029999999999999</v>
      </c>
      <c r="AD122" s="26" t="inlineStr">
        <is>
          <t>HSTECH (Hang Seng TECH ETF)</t>
        </is>
      </c>
      <c r="AE122" s="34" t="n">
        <v>-23.75</v>
      </c>
      <c r="AF122" s="28" t="n">
        <v>894.5</v>
      </c>
      <c r="AG122" s="28" t="n">
        <v>90.40000000000001</v>
      </c>
      <c r="AH122" s="26" t="inlineStr">
        <is>
          <t>Y</t>
        </is>
      </c>
      <c r="AI122" s="35" t="n">
        <v>36.7</v>
      </c>
      <c r="AJ122" s="35" t="n">
        <v>3.7</v>
      </c>
      <c r="AK122" s="26" t="inlineStr">
        <is>
          <t>N</t>
        </is>
      </c>
      <c r="AL122" s="36">
        <f>IF('BBG Verify'!K122="","not filed — run on terminal",'BBG Verify'!K122)</f>
        <v/>
      </c>
      <c r="AM122" s="26" t="inlineStr">
        <is>
          <t>N/A</t>
        </is>
      </c>
      <c r="AN122" s="26" t="inlineStr">
        <is>
          <t>N/A</t>
        </is>
      </c>
      <c r="AO122" s="26" t="inlineStr">
        <is>
          <t>N/A</t>
        </is>
      </c>
      <c r="AP122" s="26" t="inlineStr">
        <is>
          <t>China Securities (International) Corporate Finance Company Limited; Macquarie Capital Limited</t>
        </is>
      </c>
      <c r="AQ122" s="26" t="inlineStr">
        <is>
          <t>中信建投(國際)融資有限公司; 麥格理資本股份有限公司</t>
        </is>
      </c>
      <c r="AR122" s="26" t="inlineStr">
        <is>
          <t>China Securities (International) Corporate Finance Company Limited; Macquarie Capital Limited</t>
        </is>
      </c>
      <c r="AS122" s="26" t="inlineStr">
        <is>
          <t>Beta International Securities Limited; 招商證券(香港)有限公司; 中信建投(國際)融資有限公司; 艾德證券期貨有限公司; 富途證券國際（香港）有限公司; 國泰君安證券(香港)有限公司; 海通國際證券有限公司; 利弗莫爾證券有限公司; 麥格理資本股份有限公司; 老虎證券（香港）環球有限公司</t>
        </is>
      </c>
      <c r="AT122" s="37">
        <f>HYPERLINK("https://www1.hkexnews.hk/listedco/listconews/sehk/2022/0629/2022062900037.pdf","prospectus")</f>
        <v/>
      </c>
      <c r="AU122" s="37">
        <f>HYPERLINK("https://www1.hkexnews.hk/listedco/listconews/sehk/2022/0711/2022071100024.htm","allotment")</f>
        <v/>
      </c>
      <c r="AV122" s="37">
        <f>HYPERLINK("https://www1.hkexnews.hk/listedco/listconews/sehk/2022/0804/2022080401924.pdf","stabilisation")</f>
        <v/>
      </c>
      <c r="AW122" s="26" t="inlineStr">
        <is>
          <t>A/H: no A-share listing · market cap: estimate from deal size / offer % of enlarged capital disagreed with the published listing cap — published figure adopted</t>
        </is>
      </c>
    </row>
    <row r="123">
      <c r="A123" s="25" t="inlineStr">
        <is>
          <t>9896</t>
        </is>
      </c>
      <c r="B123" s="26" t="inlineStr">
        <is>
          <t>MNSO</t>
        </is>
      </c>
      <c r="C123" s="26" t="inlineStr">
        <is>
          <t>名創優品</t>
        </is>
      </c>
      <c r="D123" s="26" t="inlineStr">
        <is>
          <t>Consumer</t>
        </is>
      </c>
      <c r="E123" s="26" t="inlineStr">
        <is>
          <t>Retail / distribution</t>
        </is>
      </c>
      <c r="F123" s="26" t="inlineStr">
        <is>
          <t>Standard</t>
        </is>
      </c>
      <c r="G123" s="27" t="n">
        <v>44755</v>
      </c>
      <c r="H123" s="28" t="n">
        <v>475.7</v>
      </c>
      <c r="I123" s="26" t="inlineStr">
        <is>
          <t>net proceeds</t>
        </is>
      </c>
      <c r="J123" s="29" t="n"/>
      <c r="K123" s="29" t="n">
        <v>13.8</v>
      </c>
      <c r="L123" s="29" t="n">
        <v>13.8</v>
      </c>
      <c r="M123" s="26" t="inlineStr">
        <is>
          <t>Y</t>
        </is>
      </c>
      <c r="N123" s="30" t="n">
        <v>100</v>
      </c>
      <c r="O123" s="28" t="n">
        <v>12856.8</v>
      </c>
      <c r="P123" s="26" t="inlineStr">
        <is>
          <t>derived:deal size / offer % of enlarged capital</t>
        </is>
      </c>
      <c r="Q123" s="31" t="n">
        <v>1.4</v>
      </c>
      <c r="R123" s="32" t="n">
        <v>4.84</v>
      </c>
      <c r="S123" s="33" t="n"/>
      <c r="T123" s="26" t="n"/>
      <c r="U123" s="30" t="n">
        <v>5</v>
      </c>
      <c r="V123" s="26" t="inlineStr">
        <is>
          <t>partial</t>
        </is>
      </c>
      <c r="W123" s="34" t="n">
        <v>-3.04</v>
      </c>
      <c r="X123" s="34" t="n">
        <v>3.77</v>
      </c>
      <c r="Y123" s="34" t="n">
        <v>-12.9</v>
      </c>
      <c r="Z123" s="34" t="n">
        <v>-26.23</v>
      </c>
      <c r="AA123" s="34" t="n">
        <v>-10.17</v>
      </c>
      <c r="AB123" s="34" t="n">
        <v>-9.449999999999999</v>
      </c>
      <c r="AC123" s="34" t="n">
        <v>-3.45</v>
      </c>
      <c r="AD123" s="26" t="inlineStr">
        <is>
          <t>Hang Seng Commerce &amp; Industry sub-index</t>
        </is>
      </c>
      <c r="AE123" s="34" t="n">
        <v>52.03</v>
      </c>
      <c r="AF123" s="28" t="n">
        <v>11094.2</v>
      </c>
      <c r="AG123" s="28" t="n">
        <v>702</v>
      </c>
      <c r="AH123" s="26" t="inlineStr">
        <is>
          <t>Y</t>
        </is>
      </c>
      <c r="AI123" s="35" t="n">
        <v>18.3</v>
      </c>
      <c r="AJ123" s="35" t="n">
        <v>1.2</v>
      </c>
      <c r="AK123" s="26" t="inlineStr">
        <is>
          <t>N</t>
        </is>
      </c>
      <c r="AL123" s="36">
        <f>IF('BBG Verify'!K123="","not filed — run on terminal",'BBG Verify'!K123)</f>
        <v/>
      </c>
      <c r="AM123" s="26" t="inlineStr">
        <is>
          <t>N/A</t>
        </is>
      </c>
      <c r="AN123" s="26" t="inlineStr">
        <is>
          <t>N/A</t>
        </is>
      </c>
      <c r="AO123" s="26" t="inlineStr">
        <is>
          <t>N/A</t>
        </is>
      </c>
      <c r="AP123" s="26" t="inlineStr">
        <is>
          <t>Merrill Lynch (Asia Pacific) Limited; Haitong International Capital Limited; UBS Securities Hong Kong Limited</t>
        </is>
      </c>
      <c r="AQ123" s="26" t="inlineStr">
        <is>
          <t>海通國際資本有限公司; 瑞銀證券香港有限公司; 美林(亞太)有限公司</t>
        </is>
      </c>
      <c r="AR123" s="26" t="inlineStr">
        <is>
          <t>Merrill Lynch (Asia Pacific) Limited; Haitong International Securities Company Limited; UBS AG Hong Kong Branch; Managers Merrill Lynch (Asia Pacific) Limited; UBS Securities LLC</t>
        </is>
      </c>
      <c r="AS123" s="26" t="inlineStr">
        <is>
          <t>富途證券國際（香港）有限公司; 廣發證券（香港）經紀有限公司; 海通國際證券有限公司; 美林(亞太)有限公司; UBS AG 香港分行</t>
        </is>
      </c>
      <c r="AT123" s="37">
        <f>HYPERLINK("https://www1.hkexnews.hk/listedco/listconews/sehk/2022/0630/2022063000250.htm","prospectus")</f>
        <v/>
      </c>
      <c r="AU123" s="37">
        <f>HYPERLINK("https://www1.hkexnews.hk/listedco/listconews/sehk/2022/0712/2022071200016.htm","allotment")</f>
        <v/>
      </c>
      <c r="AV123" s="37">
        <f>HYPERLINK("https://www1.hkexnews.hk/listedco/listconews/sehk/2022/0805/2022080501253.pdf","stabilisation")</f>
        <v/>
      </c>
      <c r="AW123" s="26" t="inlineStr">
        <is>
          <t>price range: fixed-price offering (no indicative range) · A/H: no A-share listing</t>
        </is>
      </c>
    </row>
    <row r="124">
      <c r="A124" s="25" t="inlineStr">
        <is>
          <t>6661</t>
        </is>
      </c>
      <c r="B124" s="26" t="inlineStr">
        <is>
          <t>HUZHOU GAS</t>
        </is>
      </c>
      <c r="C124" s="26" t="inlineStr">
        <is>
          <t>湖州燃氣</t>
        </is>
      </c>
      <c r="D124" s="26" t="inlineStr">
        <is>
          <t>Materials/Energy</t>
        </is>
      </c>
      <c r="E124" s="26" t="inlineStr">
        <is>
          <t>Oil &amp; gas / utilities</t>
        </is>
      </c>
      <c r="F124" s="26" t="inlineStr">
        <is>
          <t>Standard</t>
        </is>
      </c>
      <c r="G124" s="27" t="n">
        <v>44755</v>
      </c>
      <c r="H124" s="28" t="n">
        <v>44</v>
      </c>
      <c r="I124" s="26" t="inlineStr">
        <is>
          <t>net proceeds</t>
        </is>
      </c>
      <c r="J124" s="29" t="n"/>
      <c r="K124" s="29" t="n">
        <v>6.08</v>
      </c>
      <c r="L124" s="29" t="n">
        <v>6.08</v>
      </c>
      <c r="M124" s="26" t="inlineStr">
        <is>
          <t>Y</t>
        </is>
      </c>
      <c r="N124" s="30" t="n">
        <v>100</v>
      </c>
      <c r="O124" s="28" t="n">
        <v>158.8</v>
      </c>
      <c r="P124" s="26" t="inlineStr">
        <is>
          <t>derived:deal size / offer % of enlarged capital</t>
        </is>
      </c>
      <c r="Q124" s="31" t="n">
        <v>8.08</v>
      </c>
      <c r="R124" s="32" t="n">
        <v>1.18</v>
      </c>
      <c r="S124" s="33" t="n">
        <v>18.9</v>
      </c>
      <c r="T124" s="26" t="inlineStr">
        <is>
          <t>湖州市二輕資產經營有限公司; 浙江彩旭股權投資有限公司; 浙江捷寧股權投資有限公司; 浙江麗宸股權投資有限公司</t>
        </is>
      </c>
      <c r="U124" s="30" t="n">
        <v>14.6</v>
      </c>
      <c r="V124" s="26" t="inlineStr">
        <is>
          <t>partial</t>
        </is>
      </c>
      <c r="W124" s="34" t="n">
        <v>-7.89</v>
      </c>
      <c r="X124" s="34" t="n">
        <v>-1.32</v>
      </c>
      <c r="Y124" s="34" t="n">
        <v>-9.539999999999999</v>
      </c>
      <c r="Z124" s="34" t="n">
        <v>-5.43</v>
      </c>
      <c r="AA124" s="34" t="n">
        <v>-1.79</v>
      </c>
      <c r="AB124" s="34" t="n">
        <v>-8.720000000000001</v>
      </c>
      <c r="AC124" s="34" t="n">
        <v>-0.82</v>
      </c>
      <c r="AD124" s="26" t="inlineStr">
        <is>
          <t>Hang Seng Utilities sub-index</t>
        </is>
      </c>
      <c r="AE124" s="34" t="n">
        <v>-18.67</v>
      </c>
      <c r="AF124" s="28" t="n">
        <v>2044.6</v>
      </c>
      <c r="AG124" s="28" t="n">
        <v>183.4</v>
      </c>
      <c r="AH124" s="26" t="inlineStr">
        <is>
          <t>Y</t>
        </is>
      </c>
      <c r="AI124" s="35" t="n">
        <v>0.9</v>
      </c>
      <c r="AJ124" s="35" t="n">
        <v>0.1</v>
      </c>
      <c r="AK124" s="26" t="inlineStr">
        <is>
          <t>N</t>
        </is>
      </c>
      <c r="AL124" s="36">
        <f>IF('BBG Verify'!K124="","not filed — run on terminal",'BBG Verify'!K124)</f>
        <v/>
      </c>
      <c r="AM124" s="26" t="inlineStr">
        <is>
          <t>N/A</t>
        </is>
      </c>
      <c r="AN124" s="26" t="inlineStr">
        <is>
          <t>N/A</t>
        </is>
      </c>
      <c r="AO124" s="26" t="inlineStr">
        <is>
          <t>N/A</t>
        </is>
      </c>
      <c r="AP124" s="26" t="inlineStr">
        <is>
          <t>BOCOM International (Asia) Limited</t>
        </is>
      </c>
      <c r="AQ124" s="26" t="inlineStr">
        <is>
          <t>交銀國際（亞洲）有限公司</t>
        </is>
      </c>
      <c r="AR124" s="26" t="inlineStr">
        <is>
          <t>Managers CEB International Capital Corporation Limited; China Everbright Securities (HK) Limited; Wanchai, Hong Kong China Industrial Securities International Capital Limited; Sheung Wan, Hong Kong China Tonghai Securities Limited; CMBC Securities Company Limited; Central, Hong Kong Guotai Junan Securities (Hong Kong) Limited; Zhongtai International Securities Limited</t>
        </is>
      </c>
      <c r="AS124" s="26" t="inlineStr">
        <is>
          <t>Beta International Securities Limited; 光銀國際資本有限公司; 中國光大證券(香港)有限公司; 中國通海證券有限公司; 興證國際融資有限公司; 民銀證券有限公司; 安信國際證券(香港)有限公司; 艾德證券期貨有限公司; 國泰君安證券(香港)有限公司; 利弗莫爾證券有限公司; 邁時資本有限公司; 眾和證券有限公司; 中泰國際證券有限公司</t>
        </is>
      </c>
      <c r="AT124" s="37">
        <f>HYPERLINK("https://www1.hkexnews.hk/listedco/listconews/sehk/2022/0629/2022062900043.pdf","prospectus")</f>
        <v/>
      </c>
      <c r="AU124" s="37">
        <f>HYPERLINK("https://www1.hkexnews.hk/listedco/listconews/sehk/2022/0712/2022071200042.htm","allotment")</f>
        <v/>
      </c>
      <c r="AV124" s="37">
        <f>HYPERLINK("https://www1.hkexnews.hk/listedco/listconews/sehk/2022/0805/2022080501239.pdf","stabilisation")</f>
        <v/>
      </c>
      <c r="AW124" s="26" t="inlineStr">
        <is>
          <t>A/H: no A-share listing · cornerstone: AAStocks institutional table includes non-cornerstone orders (superset) — cornerstone % is from the prospectus</t>
        </is>
      </c>
    </row>
    <row r="125">
      <c r="A125" s="25" t="inlineStr">
        <is>
          <t>6686</t>
        </is>
      </c>
      <c r="B125" s="26" t="inlineStr">
        <is>
          <t>NOAH HOLDINGS-S</t>
        </is>
      </c>
      <c r="C125" s="26" t="inlineStr">
        <is>
          <t>諾亞控股</t>
        </is>
      </c>
      <c r="D125" s="26" t="inlineStr">
        <is>
          <t>Financials</t>
        </is>
      </c>
      <c r="E125" s="26" t="inlineStr">
        <is>
          <t>Brokers / asset management</t>
        </is>
      </c>
      <c r="F125" s="26" t="inlineStr">
        <is>
          <t>Secondary</t>
        </is>
      </c>
      <c r="G125" s="27" t="n">
        <v>44755</v>
      </c>
      <c r="H125" s="28" t="n">
        <v>321.2</v>
      </c>
      <c r="I125" s="26" t="inlineStr">
        <is>
          <t>gross (price x shares)</t>
        </is>
      </c>
      <c r="J125" s="29" t="n"/>
      <c r="K125" s="29" t="n">
        <v>307</v>
      </c>
      <c r="L125" s="29" t="n">
        <v>292</v>
      </c>
      <c r="M125" s="26" t="inlineStr">
        <is>
          <t>N</t>
        </is>
      </c>
      <c r="N125" s="30" t="n">
        <v>95.09999999999999</v>
      </c>
      <c r="O125" s="28" t="n">
        <v>9575.1</v>
      </c>
      <c r="P125" s="26" t="inlineStr">
        <is>
          <t>prospectus:stated market capitalisation</t>
        </is>
      </c>
      <c r="Q125" s="31" t="n">
        <v>3.26</v>
      </c>
      <c r="R125" s="32" t="n">
        <v>5.9</v>
      </c>
      <c r="S125" s="33" t="n">
        <v>0</v>
      </c>
      <c r="T125" s="26" t="n"/>
      <c r="U125" s="30" t="n">
        <v>11.9</v>
      </c>
      <c r="V125" s="26" t="inlineStr">
        <is>
          <t>partial</t>
        </is>
      </c>
      <c r="W125" s="34" t="n">
        <v>-4.45</v>
      </c>
      <c r="X125" s="34" t="n">
        <v>-6.16</v>
      </c>
      <c r="Y125" s="34" t="n">
        <v>-10.62</v>
      </c>
      <c r="Z125" s="34" t="n">
        <v>-27.12</v>
      </c>
      <c r="AA125" s="34" t="n">
        <v>-6.46</v>
      </c>
      <c r="AB125" s="34" t="n">
        <v>-7.54</v>
      </c>
      <c r="AC125" s="34" t="n">
        <v>-3.08</v>
      </c>
      <c r="AD125" s="26" t="inlineStr">
        <is>
          <t>Hang Seng Finance sub-index</t>
        </is>
      </c>
      <c r="AE125" s="34" t="n">
        <v>-95.06999999999999</v>
      </c>
      <c r="AF125" s="28" t="n">
        <v>4759.3</v>
      </c>
      <c r="AG125" s="28" t="n">
        <v>1.9</v>
      </c>
      <c r="AH125" s="26" t="inlineStr">
        <is>
          <t>Y</t>
        </is>
      </c>
      <c r="AI125" s="35" t="n">
        <v>5039.5</v>
      </c>
      <c r="AJ125" s="35" t="n">
        <v>2</v>
      </c>
      <c r="AK125" s="26" t="inlineStr">
        <is>
          <t>N</t>
        </is>
      </c>
      <c r="AL125" s="36">
        <f>IF('BBG Verify'!K125="","not filed — run on terminal",'BBG Verify'!K125)</f>
        <v/>
      </c>
      <c r="AM125" s="26" t="inlineStr">
        <is>
          <t>N/A</t>
        </is>
      </c>
      <c r="AN125" s="26" t="inlineStr">
        <is>
          <t>N/A</t>
        </is>
      </c>
      <c r="AO125" s="26" t="inlineStr">
        <is>
          <t>N/A</t>
        </is>
      </c>
      <c r="AP125" s="26" t="inlineStr">
        <is>
          <t>and Sole Representative Goldman Sachs (Asia) L.L.C</t>
        </is>
      </c>
      <c r="AQ125" s="26" t="inlineStr">
        <is>
          <t>高盛(亞洲)有限責任公司</t>
        </is>
      </c>
      <c r="AR125" s="26" t="inlineStr">
        <is>
          <t>Manager Futu Securities International (Hong Kong) Limited</t>
        </is>
      </c>
      <c r="AS125" s="26" t="inlineStr">
        <is>
          <t>中銀國際亞洲有限公司; 星展亞洲融資有限公司; 富途證券國際（香港）有限公司; 高盛(亞洲)有限責任公司</t>
        </is>
      </c>
      <c r="AT125" s="37">
        <f>HYPERLINK("https://www1.hkexnews.hk/listedco/listconews/sehk/2022/0629/2022062902037.pdf","prospectus")</f>
        <v/>
      </c>
      <c r="AU125" s="37">
        <f>HYPERLINK("https://www1.hkexnews.hk/listedco/listconews/sehk/2022/0712/2022071200028.htm","allotment")</f>
        <v/>
      </c>
      <c r="AV125" s="37">
        <f>HYPERLINK("https://www1.hkexnews.hk/listedco/listconews/sehk/2022/0805/2022080501393.pdf","stabilisation")</f>
        <v/>
      </c>
      <c r="AW125" s="26" t="inlineStr">
        <is>
          <t>A/H: no A-share listing</t>
        </is>
      </c>
    </row>
    <row r="126">
      <c r="A126" s="25" t="inlineStr">
        <is>
          <t>9696</t>
        </is>
      </c>
      <c r="B126" s="26" t="inlineStr">
        <is>
          <t>TIANQI LITHIUM</t>
        </is>
      </c>
      <c r="C126" s="26" t="inlineStr">
        <is>
          <t>天齊鋰業</t>
        </is>
      </c>
      <c r="D126" s="26" t="inlineStr">
        <is>
          <t>Materials/Energy</t>
        </is>
      </c>
      <c r="E126" s="26" t="inlineStr">
        <is>
          <t>Mining / metals</t>
        </is>
      </c>
      <c r="F126" s="26" t="inlineStr">
        <is>
          <t>Standard</t>
        </is>
      </c>
      <c r="G126" s="27" t="n">
        <v>44755</v>
      </c>
      <c r="H126" s="28" t="n">
        <v>13458</v>
      </c>
      <c r="I126" s="26" t="inlineStr">
        <is>
          <t>gross (price x shares)</t>
        </is>
      </c>
      <c r="J126" s="29" t="n">
        <v>69</v>
      </c>
      <c r="K126" s="29" t="n">
        <v>82</v>
      </c>
      <c r="L126" s="29" t="n">
        <v>82</v>
      </c>
      <c r="M126" s="26" t="inlineStr">
        <is>
          <t>Y</t>
        </is>
      </c>
      <c r="N126" s="30" t="n">
        <v>100</v>
      </c>
      <c r="O126" s="28" t="n">
        <v>119097.3</v>
      </c>
      <c r="P126" s="26" t="inlineStr">
        <is>
          <t>derived:deal size / offer % of enlarged capital</t>
        </is>
      </c>
      <c r="Q126" s="31" t="n">
        <v>9.300000000000001</v>
      </c>
      <c r="R126" s="32" t="n">
        <v>5.2</v>
      </c>
      <c r="S126" s="33" t="n">
        <v>43.3</v>
      </c>
      <c r="T126" s="26" t="inlineStr">
        <is>
          <t>中創新航科技股份有限公司; 中國太保投資管理（香港）有限公司; 金山（香港）國際礦業有限公司; LG Chem, Ltd; 太平洋資產管理有限責任公司; 深圳市德方納米科技股份有限公司; 四川能投（香港）控股有限公司</t>
        </is>
      </c>
      <c r="U126" s="30" t="n">
        <v>15</v>
      </c>
      <c r="V126" s="26" t="inlineStr">
        <is>
          <t>lapsed</t>
        </is>
      </c>
      <c r="W126" s="34" t="n">
        <v>0</v>
      </c>
      <c r="X126" s="34" t="n">
        <v>-3.84</v>
      </c>
      <c r="Y126" s="34" t="n">
        <v>4.33</v>
      </c>
      <c r="Z126" s="34" t="n">
        <v>-21.22</v>
      </c>
      <c r="AA126" s="34" t="n">
        <v>4.33</v>
      </c>
      <c r="AB126" s="34" t="n">
        <v>5.15</v>
      </c>
      <c r="AC126" s="34" t="n">
        <v>-0.82</v>
      </c>
      <c r="AD126" s="26" t="inlineStr">
        <is>
          <t>Hang Seng Utilities sub-index</t>
        </is>
      </c>
      <c r="AE126" s="34" t="n">
        <v>-57.2</v>
      </c>
      <c r="AF126" s="28" t="n">
        <v>8.4</v>
      </c>
      <c r="AG126" s="28" t="n">
        <v>5258.7</v>
      </c>
      <c r="AH126" s="26" t="inlineStr">
        <is>
          <t>Y</t>
        </is>
      </c>
      <c r="AI126" s="35" t="n">
        <v>22.6</v>
      </c>
      <c r="AJ126" s="35" t="n">
        <v>14178.2</v>
      </c>
      <c r="AK126" s="26" t="inlineStr">
        <is>
          <t>Y</t>
        </is>
      </c>
      <c r="AL126" s="26" t="inlineStr">
        <is>
          <t>002466.SZ</t>
        </is>
      </c>
      <c r="AM126" s="34" t="n">
        <v>-45.09</v>
      </c>
      <c r="AN126" s="29" t="n">
        <v>149.3266</v>
      </c>
      <c r="AO126" s="42" t="n">
        <v>-0.3708</v>
      </c>
      <c r="AP126" s="26" t="inlineStr">
        <is>
          <t>Morgan Stanley Asia Limited; China International Capital Corporation Hong Kong Securities Limited; CMB International Capital Limited</t>
        </is>
      </c>
      <c r="AQ126" s="26" t="inlineStr">
        <is>
          <t>中國國際金融香港證券有限公司; 摩根士丹利亞洲有限公司; 招銀國際金融有限公司</t>
        </is>
      </c>
      <c r="AR126" s="26" t="inlineStr">
        <is>
          <t>Morgan Stanley Asia Limited; CMB International Capital Limited; BNP Paribas Securities (Asia) Limited; Credit Suisse (Hong Kong) Limited; Manager Morgan Stanley Asia Limited; China International Capital Corporation Hong Kong Securities Limited; Banco BTG Pactual S.A. – Cayman Branch; Futu Securities International (Hong Kong) Limited; Huatai Financial Holdings (Hong Kong) Limited</t>
        </is>
      </c>
      <c r="AS126" s="26" t="inlineStr">
        <is>
          <t>法國巴黎證券（亞洲）有限公司; 中國銀河國際證券(香港)有限公司; 中國國際金融香港證券有限公司; 招銀國際金融有限公司; 瑞士信貸（香港）有限公司; 富途證券國際（香港）有限公司; 華泰金融控股(香港)有限公司; 摩根士丹利亞洲有限公司</t>
        </is>
      </c>
      <c r="AT126" s="37">
        <f>HYPERLINK("https://www1.hkexnews.hk/listedco/listconews/sehk/2022/0630/2022063000146.htm","prospectus")</f>
        <v/>
      </c>
      <c r="AU126" s="37">
        <f>HYPERLINK("https://www1.hkexnews.hk/listedco/listconews/sehk/2022/0712/2022071200062.htm","allotment")</f>
        <v/>
      </c>
      <c r="AV126" s="37">
        <f>HYPERLINK("https://www1.hkexnews.hk/listedco/listconews/sehk/2022/0805/2022080501243.pdf","stabilisation")</f>
        <v/>
      </c>
      <c r="AW126" s="26" t="inlineStr">
        <is>
          <t>A/H: Jul 2022, ~US$1.7bn — largest HK IPO of 2022 at pricing</t>
        </is>
      </c>
    </row>
    <row r="127">
      <c r="A127" s="25" t="inlineStr">
        <is>
          <t>2418</t>
        </is>
      </c>
      <c r="B127" s="26" t="inlineStr">
        <is>
          <t>DEEWIN</t>
        </is>
      </c>
      <c r="C127" s="26" t="inlineStr">
        <is>
          <t>德銀天下</t>
        </is>
      </c>
      <c r="D127" s="26" t="inlineStr">
        <is>
          <t>Industrials</t>
        </is>
      </c>
      <c r="E127" s="26" t="inlineStr">
        <is>
          <t>Logistics</t>
        </is>
      </c>
      <c r="F127" s="26" t="inlineStr">
        <is>
          <t>Standard</t>
        </is>
      </c>
      <c r="G127" s="27" t="n">
        <v>44757</v>
      </c>
      <c r="H127" s="28" t="n">
        <v>977.4</v>
      </c>
      <c r="I127" s="26" t="inlineStr">
        <is>
          <t>gross (price x shares)</t>
        </is>
      </c>
      <c r="J127" s="29" t="n">
        <v>1.78</v>
      </c>
      <c r="K127" s="29" t="n">
        <v>2.13</v>
      </c>
      <c r="L127" s="29" t="n">
        <v>1.8</v>
      </c>
      <c r="M127" s="26" t="inlineStr">
        <is>
          <t>N</t>
        </is>
      </c>
      <c r="N127" s="30" t="n">
        <v>84.5</v>
      </c>
      <c r="O127" s="28" t="n">
        <v>3909.6</v>
      </c>
      <c r="P127" s="26" t="inlineStr">
        <is>
          <t>derived:deal size / offer % of enlarged capital</t>
        </is>
      </c>
      <c r="Q127" s="31" t="n">
        <v>0.42</v>
      </c>
      <c r="R127" s="32" t="n">
        <v>1.41</v>
      </c>
      <c r="S127" s="33" t="n">
        <v>21.12</v>
      </c>
      <c r="T127" s="26" t="inlineStr">
        <is>
          <t>陝西泰德汽車空調有限公司; 銳明電子有限公司; 西安遠大電子設備有限公司</t>
        </is>
      </c>
      <c r="U127" s="30" t="n">
        <v>5.28</v>
      </c>
      <c r="V127" s="26" t="inlineStr">
        <is>
          <t>partial</t>
        </is>
      </c>
      <c r="W127" s="34" t="n">
        <v>0</v>
      </c>
      <c r="X127" s="34" t="n">
        <v>-8.890000000000001</v>
      </c>
      <c r="Y127" s="34" t="n">
        <v>-31.67</v>
      </c>
      <c r="Z127" s="34" t="n">
        <v>-46.11</v>
      </c>
      <c r="AA127" s="34" t="n">
        <v>-31.67</v>
      </c>
      <c r="AB127" s="34" t="n">
        <v>-27.28</v>
      </c>
      <c r="AC127" s="34" t="n">
        <v>-4.39</v>
      </c>
      <c r="AD127" s="26" t="inlineStr">
        <is>
          <t>Hang Seng Commerce &amp; Industry sub-index</t>
        </is>
      </c>
      <c r="AE127" s="34" t="n">
        <v>50</v>
      </c>
      <c r="AF127" s="28" t="n">
        <v>3439.5</v>
      </c>
      <c r="AG127" s="28" t="n">
        <v>405.6</v>
      </c>
      <c r="AH127" s="26" t="inlineStr">
        <is>
          <t>Y</t>
        </is>
      </c>
      <c r="AI127" s="35" t="n">
        <v>9.6</v>
      </c>
      <c r="AJ127" s="35" t="n">
        <v>1.1</v>
      </c>
      <c r="AK127" s="26" t="inlineStr">
        <is>
          <t>N</t>
        </is>
      </c>
      <c r="AL127" s="36">
        <f>IF('BBG Verify'!K127="","not filed — run on terminal",'BBG Verify'!K127)</f>
        <v/>
      </c>
      <c r="AM127" s="26" t="inlineStr">
        <is>
          <t>N/A</t>
        </is>
      </c>
      <c r="AN127" s="26" t="inlineStr">
        <is>
          <t>N/A</t>
        </is>
      </c>
      <c r="AO127" s="26" t="inlineStr">
        <is>
          <t>N/A</t>
        </is>
      </c>
      <c r="AP127" s="26" t="n"/>
      <c r="AQ127" s="26" t="inlineStr">
        <is>
          <t>中信建投(國際)融資有限公司</t>
        </is>
      </c>
      <c r="AR127" s="26"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AS127" s="26" t="inlineStr">
        <is>
          <t>中銀國際亞洲有限公司; 光銀國際資本有限公司; 中信建投(國際)融資有限公司; 艾德證券期貨有限公司; 富途證券國際（香港）有限公司; 國泰君安證券(香港)有限公司; 華泰金融控股(香港)有限公司; 利弗莫爾證券有限公司; 老虎證券（香港）環球有限公司; 中泰國際證券有限公司</t>
        </is>
      </c>
      <c r="AT127" s="37">
        <f>HYPERLINK("https://www1.hkexnews.hk/listedco/listconews/sehk/2022/0630/2022063000037.pdf","prospectus")</f>
        <v/>
      </c>
      <c r="AU127" s="37">
        <f>HYPERLINK("https://www1.hkexnews.hk/listedco/listconews/sehk/2022/0714/2022071400006.htm","allotment")</f>
        <v/>
      </c>
      <c r="AV127" s="37">
        <f>HYPERLINK("https://www1.hkexnews.hk/listedco/listconews/sehk/2022/0808/2022080800065.pdf","stabilisation")</f>
        <v/>
      </c>
      <c r="AW127" s="26" t="inlineStr">
        <is>
          <t>A/H: no A-share listing · sponsor: English name not in the filing text; AAStocks 保薦人 shown</t>
        </is>
      </c>
    </row>
    <row r="128">
      <c r="A128" s="25" t="inlineStr">
        <is>
          <t>1204</t>
        </is>
      </c>
      <c r="B128" s="26" t="inlineStr">
        <is>
          <t>BOARDWARE INTEL</t>
        </is>
      </c>
      <c r="C128" s="26" t="inlineStr">
        <is>
          <t>博維智慧</t>
        </is>
      </c>
      <c r="D128" s="26" t="inlineStr">
        <is>
          <t>Tech/AI</t>
        </is>
      </c>
      <c r="E128" s="26" t="inlineStr">
        <is>
          <t>SaaS / enterprise software</t>
        </is>
      </c>
      <c r="F128" s="26" t="inlineStr">
        <is>
          <t>Standard</t>
        </is>
      </c>
      <c r="G128" s="27" t="n">
        <v>44757</v>
      </c>
      <c r="H128" s="28" t="n">
        <v>135</v>
      </c>
      <c r="I128" s="26" t="inlineStr">
        <is>
          <t>gross (price x shares)</t>
        </is>
      </c>
      <c r="J128" s="29" t="n">
        <v>1.08</v>
      </c>
      <c r="K128" s="29" t="n">
        <v>1.26</v>
      </c>
      <c r="L128" s="29" t="n">
        <v>1.08</v>
      </c>
      <c r="M128" s="26" t="inlineStr">
        <is>
          <t>N</t>
        </is>
      </c>
      <c r="N128" s="30" t="n">
        <v>85.7</v>
      </c>
      <c r="O128" s="28" t="n">
        <v>600</v>
      </c>
      <c r="P128" s="26" t="inlineStr">
        <is>
          <t>derived:deal size / offer % of enlarged capital</t>
        </is>
      </c>
      <c r="Q128" s="31" t="n">
        <v>10.69</v>
      </c>
      <c r="R128" s="32" t="n">
        <v>1.03</v>
      </c>
      <c r="S128" s="40" t="n">
        <v>71.59999999999999</v>
      </c>
      <c r="T128" s="26" t="inlineStr">
        <is>
          <t>Kallo; Mr. Ung Choi Kun; Mr. Chao and Tai Wah</t>
        </is>
      </c>
      <c r="U128" s="30" t="n">
        <v>15</v>
      </c>
      <c r="V128" s="26" t="inlineStr">
        <is>
          <t>lapsed (no over-allocation)</t>
        </is>
      </c>
      <c r="W128" s="34" t="n">
        <v>12.96</v>
      </c>
      <c r="X128" s="34" t="n">
        <v>12.96</v>
      </c>
      <c r="Y128" s="34" t="n">
        <v>10.19</v>
      </c>
      <c r="Z128" s="34" t="n">
        <v>-3.7</v>
      </c>
      <c r="AA128" s="34" t="n">
        <v>-2.45</v>
      </c>
      <c r="AB128" s="34" t="n">
        <v>15.77</v>
      </c>
      <c r="AC128" s="34" t="n">
        <v>-5.58</v>
      </c>
      <c r="AD128" s="26" t="inlineStr">
        <is>
          <t>HSTECH (Hang Seng TECH ETF)</t>
        </is>
      </c>
      <c r="AE128" s="34" t="n">
        <v>71.3</v>
      </c>
      <c r="AF128" s="28" t="n">
        <v>534.3</v>
      </c>
      <c r="AG128" s="28" t="n">
        <v>24</v>
      </c>
      <c r="AH128" s="26" t="inlineStr">
        <is>
          <t>Y</t>
        </is>
      </c>
      <c r="AI128" s="35" t="n">
        <v>25</v>
      </c>
      <c r="AJ128" s="35" t="n">
        <v>1.1</v>
      </c>
      <c r="AK128" s="26" t="inlineStr">
        <is>
          <t>N</t>
        </is>
      </c>
      <c r="AL128" s="36">
        <f>IF('BBG Verify'!K128="","not filed — run on terminal",'BBG Verify'!K128)</f>
        <v/>
      </c>
      <c r="AM128" s="26" t="inlineStr">
        <is>
          <t>N/A</t>
        </is>
      </c>
      <c r="AN128" s="26" t="inlineStr">
        <is>
          <t>N/A</t>
        </is>
      </c>
      <c r="AO128" s="26" t="inlineStr">
        <is>
          <t>N/A</t>
        </is>
      </c>
      <c r="AP128" s="26" t="inlineStr">
        <is>
          <t>China Tonghai Capital Limited</t>
        </is>
      </c>
      <c r="AQ128" s="26" t="inlineStr">
        <is>
          <t>中國通海企業融資有限公司</t>
        </is>
      </c>
      <c r="AR128" s="26" t="inlineStr">
        <is>
          <t>China Tonghai Securities Limited; Blackwell Global Securities Limited; Wanchai, Hong Kong BOCOM International Securities Limited; CCB International Capital Limited; Central, Hong Kong China Galaxy International Securities (Hong Kong) Co., Limited; CMBC Securities Company Limited; Central, Hong Kong Eddid Securities and Futures Limited; Central, Hong Kong Fortune (HK) Securities Limited; Innovax Securities Limited; Wan Chai, Hong Kong Zhongtai International Securities Limited</t>
        </is>
      </c>
      <c r="AS128" s="26" t="inlineStr">
        <is>
          <t>Beta International Securities Limited; 博威環球證券有限公司; 建銀國際金融有限公司; 中國銀河國際證券(香港)有限公司; 中國通海證券有限公司; 民銀證券有限公司; 艾德證券期貨有限公司; 富強證券有限公司; 國泰君安證券(香港)有限公司; 創陞證券有限公司; 友信證券有限公司; 中泰國際證券有限公司</t>
        </is>
      </c>
      <c r="AT128" s="37">
        <f>HYPERLINK("https://www1.hkexnews.hk/listedco/listconews/sehk/2022/0629/2022062900148.htm","prospectus")</f>
        <v/>
      </c>
      <c r="AU128" s="37">
        <f>HYPERLINK("https://www1.hkexnews.hk/listedco/listconews/sehk/2022/0714/2022071400026.htm","allotment")</f>
        <v/>
      </c>
      <c r="AV128" s="37">
        <f>HYPERLINK("https://www1.hkexnews.hk/listedco/listconews/sehk/2022/0805/2022080500015.pdf","stabilisation")</f>
        <v/>
      </c>
      <c r="AW128" s="26" t="inlineStr">
        <is>
          <t>A/H: no A-share listing · cornerstone: AAStocks institutional total HK$30m = 22% of deal vs 72% parsed</t>
        </is>
      </c>
    </row>
    <row r="129">
      <c r="A129" s="25" t="inlineStr">
        <is>
          <t>2172</t>
        </is>
      </c>
      <c r="B129" s="26" t="inlineStr">
        <is>
          <t>MICROPORT NEURO</t>
        </is>
      </c>
      <c r="C129" s="26" t="inlineStr">
        <is>
          <t>微創腦科學</t>
        </is>
      </c>
      <c r="D129" s="26" t="inlineStr">
        <is>
          <t>Healthcare</t>
        </is>
      </c>
      <c r="E129" s="26" t="inlineStr">
        <is>
          <t>Medical devices</t>
        </is>
      </c>
      <c r="F129" s="26" t="inlineStr">
        <is>
          <t>Standard</t>
        </is>
      </c>
      <c r="G129" s="27" t="n">
        <v>44757</v>
      </c>
      <c r="H129" s="28" t="n">
        <v>337.6</v>
      </c>
      <c r="I129" s="26" t="inlineStr">
        <is>
          <t>gross (price x shares)</t>
        </is>
      </c>
      <c r="J129" s="29" t="n"/>
      <c r="K129" s="29" t="n">
        <v>24.64</v>
      </c>
      <c r="L129" s="29" t="n">
        <v>24.64</v>
      </c>
      <c r="M129" s="26" t="inlineStr">
        <is>
          <t>Y</t>
        </is>
      </c>
      <c r="N129" s="30" t="n">
        <v>100</v>
      </c>
      <c r="O129" s="41">
        <f>IF('BBG Verify'!M129="","not filed — run on terminal",'BBG Verify'!M129)</f>
        <v/>
      </c>
      <c r="P129" s="26" t="n"/>
      <c r="Q129" s="31" t="n">
        <v>45.27</v>
      </c>
      <c r="R129" s="39">
        <f>IF('BBG Verify'!E129="","not filed — run on terminal",'BBG Verify'!E129)</f>
        <v/>
      </c>
      <c r="S129" s="33" t="n">
        <v>61.9</v>
      </c>
      <c r="T129" s="26" t="inlineStr">
        <is>
          <t>Harvest; 新華網股份有限公司</t>
        </is>
      </c>
      <c r="U129" s="30" t="n">
        <v>10.97</v>
      </c>
      <c r="V129" s="26" t="inlineStr">
        <is>
          <t>lapsed</t>
        </is>
      </c>
      <c r="W129" s="34" t="n">
        <v>-0.16</v>
      </c>
      <c r="X129" s="34" t="n">
        <v>-0.37</v>
      </c>
      <c r="Y129" s="34" t="n">
        <v>-0.97</v>
      </c>
      <c r="Z129" s="34" t="n">
        <v>-0.37</v>
      </c>
      <c r="AA129" s="34" t="n">
        <v>-0.8100000000000001</v>
      </c>
      <c r="AB129" s="34" t="n">
        <v>5.44</v>
      </c>
      <c r="AC129" s="34" t="n">
        <v>-6.41</v>
      </c>
      <c r="AD129" s="26" t="inlineStr">
        <is>
          <t>China Biotech ETF (HS biotech proxy)</t>
        </is>
      </c>
      <c r="AE129" s="34" t="n">
        <v>-64.27</v>
      </c>
      <c r="AF129" s="28" t="n">
        <v>421.1</v>
      </c>
      <c r="AG129" s="28" t="n">
        <v>26.6</v>
      </c>
      <c r="AH129" s="26" t="inlineStr">
        <is>
          <t>Y</t>
        </is>
      </c>
      <c r="AI129" s="38">
        <f>IF('BBG Verify'!O129="","not filed — run on terminal",'BBG Verify'!O129)</f>
        <v/>
      </c>
      <c r="AJ129" s="35" t="n"/>
      <c r="AK129" s="26" t="inlineStr">
        <is>
          <t>N</t>
        </is>
      </c>
      <c r="AL129" s="36">
        <f>IF('BBG Verify'!K129="","not filed — run on terminal",'BBG Verify'!K129)</f>
        <v/>
      </c>
      <c r="AM129" s="26" t="inlineStr">
        <is>
          <t>N/A</t>
        </is>
      </c>
      <c r="AN129" s="26" t="inlineStr">
        <is>
          <t>N/A</t>
        </is>
      </c>
      <c r="AO129" s="26" t="inlineStr">
        <is>
          <t>N/A</t>
        </is>
      </c>
      <c r="AP129" s="26" t="inlineStr">
        <is>
          <t>J.P. Morgan Securities (Far East) Limited; China International Capital Corporation Hong Kong Securities Limited</t>
        </is>
      </c>
      <c r="AQ129" s="26" t="inlineStr">
        <is>
          <t>中國國際金融香港證券有限公司; J.P. Morgan Securities (Far East) Limited</t>
        </is>
      </c>
      <c r="AR129" s="26" t="inlineStr">
        <is>
          <t>J.P. Morgan Securities (Asia Pacific) Limited; China International Capital Corporation Hong Kong Securities Limited; J.P. Morgan Securities plc; Futu Securities International (Hong Kong) Limited; Livermore Holdings Limited</t>
        </is>
      </c>
      <c r="AS129" s="26" t="inlineStr">
        <is>
          <t>中國國際金融香港證券有限公司; 富途證券國際（香港）有限公司; J.P. Morgan Securities (Asia Pacific) Limited; 利弗莫爾證券有限公司</t>
        </is>
      </c>
      <c r="AT129" s="37">
        <f>HYPERLINK("https://www1.hkexnews.hk/listedco/listconews/sehk/2022/0629/2022062900318.htm","prospectus")</f>
        <v/>
      </c>
      <c r="AU129" s="37">
        <f>HYPERLINK("https://www1.hkexnews.hk/listedco/listconews/sehk/2022/0714/2022071400060.htm","allotment")</f>
        <v/>
      </c>
      <c r="AV129" s="37">
        <f>HYPERLINK("https://www1.hkexnews.hk/listedco/listconews/sehk/2022/0807/2022080700009.pdf","stabilisation")</f>
        <v/>
      </c>
      <c r="AW129" s="26" t="inlineStr">
        <is>
          <t>intl sub: subscription level not stated in the filing · P/E: market cap not derivable (no share count disclosed) · price range: fixed-price offering (no indicative range) · A/H: no A-share listing</t>
        </is>
      </c>
    </row>
    <row r="130">
      <c r="A130" s="25" t="inlineStr">
        <is>
          <t>2237</t>
        </is>
      </c>
      <c r="B130" s="26" t="inlineStr">
        <is>
          <t>CHINA GRAPHITE</t>
        </is>
      </c>
      <c r="C130" s="26" t="inlineStr">
        <is>
          <t>中國石墨</t>
        </is>
      </c>
      <c r="D130" s="26" t="inlineStr">
        <is>
          <t>Materials/Energy</t>
        </is>
      </c>
      <c r="E130" s="26" t="inlineStr">
        <is>
          <t>Mining / metals</t>
        </is>
      </c>
      <c r="F130" s="26" t="inlineStr">
        <is>
          <t>Standard</t>
        </is>
      </c>
      <c r="G130" s="27" t="n">
        <v>44758</v>
      </c>
      <c r="H130" s="28" t="n">
        <v>130</v>
      </c>
      <c r="I130" s="26" t="inlineStr">
        <is>
          <t>gross (price x shares)</t>
        </is>
      </c>
      <c r="J130" s="29" t="n"/>
      <c r="K130" s="29" t="n">
        <v>0.375</v>
      </c>
      <c r="L130" s="29" t="n">
        <v>0.325</v>
      </c>
      <c r="M130" s="26" t="inlineStr">
        <is>
          <t>N</t>
        </is>
      </c>
      <c r="N130" s="30" t="n">
        <v>86.7</v>
      </c>
      <c r="O130" s="28" t="n">
        <v>520</v>
      </c>
      <c r="P130" s="26" t="inlineStr">
        <is>
          <t>derived:deal size / offer % of enlarged capital</t>
        </is>
      </c>
      <c r="Q130" s="31" t="n">
        <v>50</v>
      </c>
      <c r="R130" s="32" t="n">
        <v>6</v>
      </c>
      <c r="S130" s="33" t="n"/>
      <c r="T130" s="26" t="n"/>
      <c r="U130" s="30" t="n">
        <v>15</v>
      </c>
      <c r="V130" s="26" t="inlineStr">
        <is>
          <t>lapsed (no over-allocation)</t>
        </is>
      </c>
      <c r="W130" s="34" t="n">
        <v>143.08</v>
      </c>
      <c r="X130" s="34" t="n">
        <v>56.92</v>
      </c>
      <c r="Y130" s="34" t="n">
        <v>176.92</v>
      </c>
      <c r="Z130" s="34" t="n">
        <v>183.08</v>
      </c>
      <c r="AA130" s="34" t="n">
        <v>13.92</v>
      </c>
      <c r="AB130" s="34" t="n">
        <v>175.1</v>
      </c>
      <c r="AC130" s="34" t="n">
        <v>1.82</v>
      </c>
      <c r="AD130" s="26" t="inlineStr">
        <is>
          <t>Hang Seng Utilities sub-index</t>
        </is>
      </c>
      <c r="AE130" s="34" t="n">
        <v>-32.31</v>
      </c>
      <c r="AF130" s="28" t="n">
        <v>218.2</v>
      </c>
      <c r="AG130" s="28" t="n">
        <v>58.7</v>
      </c>
      <c r="AH130" s="26" t="inlineStr">
        <is>
          <t>Y</t>
        </is>
      </c>
      <c r="AI130" s="35" t="n">
        <v>8.9</v>
      </c>
      <c r="AJ130" s="35" t="n">
        <v>2.4</v>
      </c>
      <c r="AK130" s="26" t="inlineStr">
        <is>
          <t>N</t>
        </is>
      </c>
      <c r="AL130" s="36">
        <f>IF('BBG Verify'!K130="","not filed — run on terminal",'BBG Verify'!K130)</f>
        <v/>
      </c>
      <c r="AM130" s="26" t="inlineStr">
        <is>
          <t>N/A</t>
        </is>
      </c>
      <c r="AN130" s="26" t="inlineStr">
        <is>
          <t>N/A</t>
        </is>
      </c>
      <c r="AO130" s="26" t="inlineStr">
        <is>
          <t>N/A</t>
        </is>
      </c>
      <c r="AP130" s="26" t="inlineStr">
        <is>
          <t>Lego Corporate Finance Limited</t>
        </is>
      </c>
      <c r="AQ130" s="26" t="inlineStr">
        <is>
          <t>力高企業融資有限公司</t>
        </is>
      </c>
      <c r="AR130" s="26" t="inlineStr">
        <is>
          <t>China Galaxy Internati onal Securities (Hong Kong) Co., Limited; China Tonghai Securities Limited; Guotai Junan Securities (Hong Kong) Limited</t>
        </is>
      </c>
      <c r="AS130" s="26" t="inlineStr">
        <is>
          <t>首盛資本集團有限公司; 萬海證券有限公司; 建銀國際金融有限公司; 中國銀河國際證券(香港)有限公司; 中國通海證券有限公司; 順安證券資產管理有限公司; 山高國際證券有限公司; 千里碩證券有限公司; 艾德證券期貨有限公司; 金鷹證券有限公司; 國泰君安證券(香港)有限公司; 力高證券有限公司; 矩陣證券有限公司</t>
        </is>
      </c>
      <c r="AT130" s="37">
        <f>HYPERLINK("https://www1.hkexnews.hk/listedco/listconews/sehk/2022/0630/2022063000021.pdf","prospectus")</f>
        <v/>
      </c>
      <c r="AU130" s="37">
        <f>HYPERLINK("https://www1.hkexnews.hk/listedco/listconews/sehk/2022/0715/2022071500016.htm","allotment")</f>
        <v/>
      </c>
      <c r="AV130" s="37">
        <f>HYPERLINK("https://www1.hkexnews.hk/listedco/listconews/sehk/2022/0808/2022080800011.pdf","stabilisation")</f>
        <v/>
      </c>
      <c r="AW130" s="26" t="inlineStr">
        <is>
          <t>A/H: no A-share listing</t>
        </is>
      </c>
    </row>
    <row r="131">
      <c r="A131" s="25" t="inlineStr">
        <is>
          <t>9857</t>
        </is>
      </c>
      <c r="B131" s="26" t="inlineStr">
        <is>
          <t>LINMON MEDIA</t>
        </is>
      </c>
      <c r="C131" s="26" t="inlineStr">
        <is>
          <t>檸萌影視</t>
        </is>
      </c>
      <c r="D131" s="26" t="inlineStr">
        <is>
          <t>TMT-other</t>
        </is>
      </c>
      <c r="E131" s="26" t="inlineStr">
        <is>
          <t>Media / advertising</t>
        </is>
      </c>
      <c r="F131" s="26" t="inlineStr">
        <is>
          <t>Standard</t>
        </is>
      </c>
      <c r="G131" s="27" t="n">
        <v>44783</v>
      </c>
      <c r="H131" s="28" t="n">
        <v>420.1</v>
      </c>
      <c r="I131" s="26" t="inlineStr">
        <is>
          <t>gross (price x shares)</t>
        </is>
      </c>
      <c r="J131" s="29" t="n">
        <v>27.75</v>
      </c>
      <c r="K131" s="29" t="n">
        <v>33.3</v>
      </c>
      <c r="L131" s="29" t="n">
        <v>27.75</v>
      </c>
      <c r="M131" s="26" t="inlineStr">
        <is>
          <t>N</t>
        </is>
      </c>
      <c r="N131" s="30" t="n">
        <v>83.3</v>
      </c>
      <c r="O131" s="28" t="n">
        <v>10002.7</v>
      </c>
      <c r="P131" s="26" t="inlineStr">
        <is>
          <t>prospectus:stated market capitalisation</t>
        </is>
      </c>
      <c r="Q131" s="31" t="n">
        <v>0.8100000000000001</v>
      </c>
      <c r="R131" s="32" t="n">
        <v>1.38</v>
      </c>
      <c r="S131" s="33" t="n">
        <v>16.23</v>
      </c>
      <c r="T131" s="26" t="inlineStr">
        <is>
          <t>Harvest Great Bay Investment SP; 海瀾集團有限公司</t>
        </is>
      </c>
      <c r="U131" s="30" t="n">
        <v>20</v>
      </c>
      <c r="V131" s="26" t="inlineStr">
        <is>
          <t>lapsed</t>
        </is>
      </c>
      <c r="W131" s="34" t="n">
        <v>-2.7</v>
      </c>
      <c r="X131" s="34" t="n">
        <v>0</v>
      </c>
      <c r="Y131" s="34" t="n">
        <v>-3.42</v>
      </c>
      <c r="Z131" s="34" t="n">
        <v>-12.43</v>
      </c>
      <c r="AA131" s="34" t="n">
        <v>-0.74</v>
      </c>
      <c r="AB131" s="34" t="n">
        <v>2.32</v>
      </c>
      <c r="AC131" s="34" t="n">
        <v>-5.74</v>
      </c>
      <c r="AD131" s="26" t="inlineStr">
        <is>
          <t>Hang Seng Index</t>
        </is>
      </c>
      <c r="AE131" s="34" t="n">
        <v>-90.27</v>
      </c>
      <c r="AF131" s="28" t="n">
        <v>1373.9</v>
      </c>
      <c r="AG131" s="28" t="n">
        <v>67</v>
      </c>
      <c r="AH131" s="26" t="inlineStr">
        <is>
          <t>Y</t>
        </is>
      </c>
      <c r="AI131" s="35" t="n">
        <v>149.3</v>
      </c>
      <c r="AJ131" s="35" t="n">
        <v>7.3</v>
      </c>
      <c r="AK131" s="26" t="inlineStr">
        <is>
          <t>N</t>
        </is>
      </c>
      <c r="AL131" s="36">
        <f>IF('BBG Verify'!K131="","not filed — run on terminal",'BBG Verify'!K131)</f>
        <v/>
      </c>
      <c r="AM131" s="26" t="inlineStr">
        <is>
          <t>N/A</t>
        </is>
      </c>
      <c r="AN131" s="26" t="inlineStr">
        <is>
          <t>N/A</t>
        </is>
      </c>
      <c r="AO131" s="26" t="inlineStr">
        <is>
          <t>N/A</t>
        </is>
      </c>
      <c r="AP131" s="26" t="inlineStr">
        <is>
          <t>Morgan Stanley Asia Limited; China International Capital Corporation Hong Kong Securities Limited</t>
        </is>
      </c>
      <c r="AQ131" s="26" t="inlineStr">
        <is>
          <t>中國國際金融香港證券有限公司; 摩根士丹利亞洲有限公司</t>
        </is>
      </c>
      <c r="AR131" s="26" t="inlineStr">
        <is>
          <t>Morgan Stanley Asia Limited; China International Capital Corporation Hong Kong Securities Limited; CMB International Capital Limited; Futu Securities International (Hong Kong) Limited</t>
        </is>
      </c>
      <c r="AS131" s="26" t="inlineStr">
        <is>
          <t>中國國際金融香港證券有限公司; 招銀國際融資有限公司; 富途證券國際（香港）有限公司; 利弗莫爾證券有限公司; 摩根士丹利亞洲有限公司</t>
        </is>
      </c>
      <c r="AT131" s="37">
        <f>HYPERLINK("https://www1.hkexnews.hk/listedco/listconews/sehk/2022/0729/2022072900015.pdf","prospectus")</f>
        <v/>
      </c>
      <c r="AU131" s="37">
        <f>HYPERLINK("https://www1.hkexnews.hk/listedco/listconews/sehk/2022/0809/2022080900036.htm","allotment")</f>
        <v/>
      </c>
      <c r="AV131" s="37">
        <f>HYPERLINK("https://www1.hkexnews.hk/listedco/listconews/sehk/2022/0902/2022090202423.pdf","stabilisation")</f>
        <v/>
      </c>
      <c r="AW131" s="26" t="inlineStr">
        <is>
          <t>A/H: no A-share listing · cornerstone: AAStocks institutional table includes non-cornerstone orders (superset) — cornerstone % is from the prospectus</t>
        </is>
      </c>
    </row>
    <row r="132">
      <c r="A132" s="25" t="inlineStr">
        <is>
          <t>2321</t>
        </is>
      </c>
      <c r="B132" s="26" t="inlineStr">
        <is>
          <t>SWANGCHAICHUAN</t>
        </is>
      </c>
      <c r="C132" s="26" t="inlineStr">
        <is>
          <t>雙財莊</t>
        </is>
      </c>
      <c r="D132" s="26" t="inlineStr">
        <is>
          <t>Materials/Energy</t>
        </is>
      </c>
      <c r="E132" s="26" t="inlineStr">
        <is>
          <t>Oil &amp; gas / utilities</t>
        </is>
      </c>
      <c r="F132" s="26" t="inlineStr">
        <is>
          <t>Standard</t>
        </is>
      </c>
      <c r="G132" s="27" t="n">
        <v>44792</v>
      </c>
      <c r="H132" s="28" t="n">
        <v>135</v>
      </c>
      <c r="I132" s="26" t="inlineStr">
        <is>
          <t>gross (price x shares)</t>
        </is>
      </c>
      <c r="J132" s="29" t="n">
        <v>0.52</v>
      </c>
      <c r="K132" s="29" t="n">
        <v>0.5600000000000001</v>
      </c>
      <c r="L132" s="29" t="n">
        <v>0.5600000000000001</v>
      </c>
      <c r="M132" s="26" t="inlineStr">
        <is>
          <t>Y</t>
        </is>
      </c>
      <c r="N132" s="30" t="n">
        <v>100</v>
      </c>
      <c r="O132" s="28" t="n">
        <v>487.4</v>
      </c>
      <c r="P132" s="26" t="inlineStr">
        <is>
          <t>derived:deal size / offer % of enlarged capital</t>
        </is>
      </c>
      <c r="Q132" s="31" t="n">
        <v>19.2</v>
      </c>
      <c r="R132" s="32" t="n">
        <v>2.1</v>
      </c>
      <c r="S132" s="33" t="n">
        <v>38.4</v>
      </c>
      <c r="T132" s="26" t="inlineStr">
        <is>
          <t>拿督Sri Ng Chong Keong; 拿督Sri Pek Kok Sam; Huihuang Resources Limited; Tee Kian Heng先生</t>
        </is>
      </c>
      <c r="U132" s="30" t="n">
        <v>15</v>
      </c>
      <c r="V132" s="26" t="inlineStr">
        <is>
          <t>full</t>
        </is>
      </c>
      <c r="W132" s="34" t="n">
        <v>41.07</v>
      </c>
      <c r="X132" s="34" t="n">
        <v>62.5</v>
      </c>
      <c r="Y132" s="34" t="n">
        <v>96.43000000000001</v>
      </c>
      <c r="Z132" s="34" t="n">
        <v>258.93</v>
      </c>
      <c r="AA132" s="34" t="n">
        <v>39.24</v>
      </c>
      <c r="AB132" s="34" t="n">
        <v>104.9</v>
      </c>
      <c r="AC132" s="34" t="n">
        <v>-8.470000000000001</v>
      </c>
      <c r="AD132" s="26" t="inlineStr">
        <is>
          <t>Hang Seng Utilities sub-index</t>
        </is>
      </c>
      <c r="AE132" s="34" t="n">
        <v>-9.82</v>
      </c>
      <c r="AF132" s="28" t="n">
        <v>668.7</v>
      </c>
      <c r="AG132" s="28" t="n">
        <v>23.6</v>
      </c>
      <c r="AH132" s="26" t="inlineStr">
        <is>
          <t>Y</t>
        </is>
      </c>
      <c r="AI132" s="35" t="n">
        <v>20.7</v>
      </c>
      <c r="AJ132" s="35" t="n">
        <v>0.7</v>
      </c>
      <c r="AK132" s="26" t="inlineStr">
        <is>
          <t>N</t>
        </is>
      </c>
      <c r="AL132" s="36">
        <f>IF('BBG Verify'!K132="","not filed — run on terminal",'BBG Verify'!K132)</f>
        <v/>
      </c>
      <c r="AM132" s="26" t="inlineStr">
        <is>
          <t>N/A</t>
        </is>
      </c>
      <c r="AN132" s="26" t="inlineStr">
        <is>
          <t>N/A</t>
        </is>
      </c>
      <c r="AO132" s="26" t="inlineStr">
        <is>
          <t>N/A</t>
        </is>
      </c>
      <c r="AP132" s="26" t="inlineStr">
        <is>
          <t>Sunny Fortune Capital Limited</t>
        </is>
      </c>
      <c r="AQ132" s="26" t="inlineStr">
        <is>
          <t>日進資本有限公司</t>
        </is>
      </c>
      <c r="AR132" s="26" t="inlineStr">
        <is>
          <t>Sunny Fortune Capital Limited; Elstone Securities Limited; BOCOM International Securities Limited; Central, Hong Kong China Galaxy International Securities (Hong Kong) Co., Limited; CMBC Securities Company Limited; Central, Hong Kong Haitong International Securities Company Limited; Phillip Securities (Hong Kong) Limited</t>
        </is>
      </c>
      <c r="AS132" s="26" t="inlineStr">
        <is>
          <t>Beta International Securities Limited; 中國銀河國際證券(香港)有限公司; 民銀證券有限公司; 千里碩證券有限公司; 海通國際證券有限公司; 輝立証券（香港）有限公司; 日進資本有限公司</t>
        </is>
      </c>
      <c r="AT132" s="37">
        <f>HYPERLINK("https://www1.hkexnews.hk/listedco/listconews/sehk/2022/0808/2022080800013.pdf","prospectus")</f>
        <v/>
      </c>
      <c r="AU132" s="37">
        <f>HYPERLINK("https://www1.hkexnews.hk/listedco/listconews/sehk/2022/0818/2022081800018.htm","allotment")</f>
        <v/>
      </c>
      <c r="AV132" s="37">
        <f>HYPERLINK("https://www1.hkexnews.hk/listedco/listconews/sehk/2022/0913/2022091300161.pdf","stabilisation")</f>
        <v/>
      </c>
      <c r="AW132" s="26" t="inlineStr">
        <is>
          <t>A/H: no A-share listing</t>
        </is>
      </c>
    </row>
    <row r="133">
      <c r="A133" s="25" t="inlineStr">
        <is>
          <t>2152</t>
        </is>
      </c>
      <c r="B133" s="26" t="inlineStr">
        <is>
          <t>SUXIN SERVICES</t>
        </is>
      </c>
      <c r="C133" s="26" t="inlineStr">
        <is>
          <t>蘇新服務</t>
        </is>
      </c>
      <c r="D133" s="26" t="inlineStr">
        <is>
          <t>Real Estate</t>
        </is>
      </c>
      <c r="E133" s="26" t="inlineStr">
        <is>
          <t>Property management</t>
        </is>
      </c>
      <c r="F133" s="26" t="inlineStr">
        <is>
          <t>Standard</t>
        </is>
      </c>
      <c r="G133" s="27" t="n">
        <v>44797</v>
      </c>
      <c r="H133" s="28" t="n">
        <v>215</v>
      </c>
      <c r="I133" s="26" t="inlineStr">
        <is>
          <t>gross (price x shares)</t>
        </is>
      </c>
      <c r="J133" s="29" t="n">
        <v>8.6</v>
      </c>
      <c r="K133" s="29" t="n">
        <v>9.6</v>
      </c>
      <c r="L133" s="29" t="n">
        <v>8.6</v>
      </c>
      <c r="M133" s="26" t="inlineStr">
        <is>
          <t>N</t>
        </is>
      </c>
      <c r="N133" s="30" t="n">
        <v>89.59999999999999</v>
      </c>
      <c r="O133" s="28" t="n">
        <v>959.6</v>
      </c>
      <c r="P133" s="26" t="inlineStr">
        <is>
          <t>aastocks:上市市值 at the struck price</t>
        </is>
      </c>
      <c r="Q133" s="31" t="n">
        <v>0.71</v>
      </c>
      <c r="R133" s="32" t="n">
        <v>1.2</v>
      </c>
      <c r="S133" s="33" t="n">
        <v>7.1</v>
      </c>
      <c r="T133" s="26" t="inlineStr">
        <is>
          <t>集友國際資本有限公司; 蘇州廣林建設有限責任公司; 蘇州阡陌鄉建旅遊發展有限公司</t>
        </is>
      </c>
      <c r="U133" s="30" t="n">
        <v>17.55</v>
      </c>
      <c r="V133" s="26" t="inlineStr">
        <is>
          <t>partial</t>
        </is>
      </c>
      <c r="W133" s="34" t="n">
        <v>-0.12</v>
      </c>
      <c r="X133" s="34" t="n">
        <v>-0.12</v>
      </c>
      <c r="Y133" s="34" t="n">
        <v>-27.33</v>
      </c>
      <c r="Z133" s="34" t="n">
        <v>-29.07</v>
      </c>
      <c r="AA133" s="34" t="n">
        <v>-27.24</v>
      </c>
      <c r="AB133" s="34" t="n">
        <v>-26.23</v>
      </c>
      <c r="AC133" s="34" t="n">
        <v>-1.1</v>
      </c>
      <c r="AD133" s="26" t="inlineStr">
        <is>
          <t>Hang Seng Properties sub-index</t>
        </is>
      </c>
      <c r="AE133" s="34" t="n">
        <v>-44.3</v>
      </c>
      <c r="AF133" s="28" t="n">
        <v>508.2</v>
      </c>
      <c r="AG133" s="28" t="n">
        <v>62.2</v>
      </c>
      <c r="AH133" s="26" t="inlineStr">
        <is>
          <t>Y</t>
        </is>
      </c>
      <c r="AI133" s="35" t="n">
        <v>15.4</v>
      </c>
      <c r="AJ133" s="35" t="n">
        <v>1.9</v>
      </c>
      <c r="AK133" s="26" t="inlineStr">
        <is>
          <t>N</t>
        </is>
      </c>
      <c r="AL133" s="36">
        <f>IF('BBG Verify'!K133="","not filed — run on terminal",'BBG Verify'!K133)</f>
        <v/>
      </c>
      <c r="AM133" s="26" t="inlineStr">
        <is>
          <t>N/A</t>
        </is>
      </c>
      <c r="AN133" s="26" t="inlineStr">
        <is>
          <t>N/A</t>
        </is>
      </c>
      <c r="AO133" s="26" t="inlineStr">
        <is>
          <t>N/A</t>
        </is>
      </c>
      <c r="AP133" s="26" t="inlineStr">
        <is>
          <t>BOCOM International (Asia) Limited; Central, Hong Kong Sole Representative BOCOM International Securities Limited</t>
        </is>
      </c>
      <c r="AQ133" s="26" t="inlineStr">
        <is>
          <t>交銀國際（亞洲）有限公司</t>
        </is>
      </c>
      <c r="AR133" s="26" t="inlineStr">
        <is>
          <t>Haitong International Securities Company Limited; China Everbright Securities (HK) Limited; Wanchai, Hong Kong CEB International Capital Corporation Limited; Central, Hong Kong CMBC Securities Company Limited; Central, Hong Kong Essence International Securities (Hong Kong) Limited; Central, Hong Kong ABCI Capital Limited</t>
        </is>
      </c>
      <c r="AS133" s="26" t="inlineStr">
        <is>
          <t>農銀國際證券有限公司; Beta International Securities Limited; 光銀國際資本有限公司; 中國光大證券(香港)有限公司; 民銀證券有限公司; 安信國際證券(香港)有限公司; 艾德證券期貨有限公司; 海通國際證券有限公司; 邁時資本有限公司; 申萬宏源證券（香港）有限公司; 佳富達證券有限公司; 中泰國際證券有限公司</t>
        </is>
      </c>
      <c r="AT133" s="37">
        <f>HYPERLINK("https://www1.hkexnews.hk/listedco/listconews/sehk/2022/0811/2022081100025.pdf","prospectus")</f>
        <v/>
      </c>
      <c r="AU133" s="37">
        <f>HYPERLINK("https://www1.hkexnews.hk/listedco/listconews/sehk/2022/0823/2022082300018.htm","allotment")</f>
        <v/>
      </c>
      <c r="AV133" s="37">
        <f>HYPERLINK("https://www1.hkexnews.hk/listedco/listconews/sehk/2022/0915/2022091501585.pdf","stabilisation")</f>
        <v/>
      </c>
      <c r="AW133" s="26" t="inlineStr">
        <is>
          <t>A/H: no A-share listing · market cap: estimate from deal size / offer % of enlarged capital disagreed with the published listing cap — published figure adopted</t>
        </is>
      </c>
    </row>
    <row r="134">
      <c r="A134" s="25" t="inlineStr">
        <is>
          <t>1880</t>
        </is>
      </c>
      <c r="B134" s="26" t="inlineStr">
        <is>
          <t>CTG DUTY-FREE</t>
        </is>
      </c>
      <c r="C134" s="26" t="inlineStr">
        <is>
          <t>中國中免</t>
        </is>
      </c>
      <c r="D134" s="26" t="inlineStr">
        <is>
          <t>Consumer</t>
        </is>
      </c>
      <c r="E134" s="26" t="inlineStr">
        <is>
          <t>Retail / distribution</t>
        </is>
      </c>
      <c r="F134" s="26" t="inlineStr">
        <is>
          <t>Standard</t>
        </is>
      </c>
      <c r="G134" s="27" t="n">
        <v>44798</v>
      </c>
      <c r="H134" s="28" t="n">
        <v>16236.4</v>
      </c>
      <c r="I134" s="26" t="inlineStr">
        <is>
          <t>gross (price x shares)</t>
        </is>
      </c>
      <c r="J134" s="29" t="n"/>
      <c r="K134" s="29" t="n">
        <v>158</v>
      </c>
      <c r="L134" s="29" t="n">
        <v>158</v>
      </c>
      <c r="M134" s="26" t="inlineStr">
        <is>
          <t>Y</t>
        </is>
      </c>
      <c r="N134" s="30" t="n">
        <v>100</v>
      </c>
      <c r="O134" s="28" t="n">
        <v>319638.8</v>
      </c>
      <c r="P134" s="26" t="inlineStr">
        <is>
          <t>aastocks:上市市值 at the struck price</t>
        </is>
      </c>
      <c r="Q134" s="31" t="n">
        <v>1.06</v>
      </c>
      <c r="R134" s="32" t="n">
        <v>4.7</v>
      </c>
      <c r="S134" s="33" t="n">
        <v>39.3</v>
      </c>
      <c r="T134" s="26" t="inlineStr">
        <is>
          <t>AMOREPACIFIC集團; 中國國有企業混合所有制改革基金有限公司; 中國國有企業結構調整基金股份有限公司; 中遠海運（香港）有限公司; 海南自由貿易港建設投資基金有限公司; 瀘州老窖股份有限公司; 融實國際控股有限公司; 上海機場投資有限公司; Oaktree 基金</t>
        </is>
      </c>
      <c r="U134" s="30" t="n"/>
      <c r="V134" s="26" t="n"/>
      <c r="W134" s="34" t="n">
        <v>0</v>
      </c>
      <c r="X134" s="34" t="n">
        <v>8.23</v>
      </c>
      <c r="Y134" s="34" t="n">
        <v>17.09</v>
      </c>
      <c r="Z134" s="34" t="n">
        <v>9.300000000000001</v>
      </c>
      <c r="AA134" s="34" t="n">
        <v>17.09</v>
      </c>
      <c r="AB134" s="34" t="n">
        <v>24.76</v>
      </c>
      <c r="AC134" s="34" t="n">
        <v>-7.67</v>
      </c>
      <c r="AD134" s="26" t="inlineStr">
        <is>
          <t>Hang Seng Commerce &amp; Industry sub-index</t>
        </is>
      </c>
      <c r="AE134" s="34" t="n">
        <v>-69.08</v>
      </c>
      <c r="AF134" s="28" t="n">
        <v>74443.10000000001</v>
      </c>
      <c r="AG134" s="28" t="n">
        <v>10699.2</v>
      </c>
      <c r="AH134" s="26" t="inlineStr">
        <is>
          <t>Y</t>
        </is>
      </c>
      <c r="AI134" s="35" t="n">
        <v>29.9</v>
      </c>
      <c r="AJ134" s="35" t="n">
        <v>4.3</v>
      </c>
      <c r="AK134" s="26" t="inlineStr">
        <is>
          <t>Y</t>
        </is>
      </c>
      <c r="AL134" s="26" t="inlineStr">
        <is>
          <t>601888.SS</t>
        </is>
      </c>
      <c r="AM134" s="34" t="n">
        <v>-27.5</v>
      </c>
      <c r="AN134" s="29" t="n">
        <v>217.934</v>
      </c>
      <c r="AO134" s="42" t="n">
        <v>-0.21</v>
      </c>
      <c r="AP134" s="26" t="inlineStr">
        <is>
          <t>CICC; UBS</t>
        </is>
      </c>
      <c r="AQ134" s="26" t="inlineStr">
        <is>
          <t>中國國際金融香港證券有限公司; 瑞銀證券香港有限公司</t>
        </is>
      </c>
      <c r="AR134" s="26" t="inlineStr">
        <is>
          <t>農銀國際證券有限公司; Beta International Securities Limited; 中銀國際亞洲有限公司; 建銀國際金融有限公司; 中國銀河國際證券(香港)有限公司; 中國國際金融香港證券有限公司</t>
        </is>
      </c>
      <c r="AS134" s="26" t="inlineStr">
        <is>
          <t>農銀國際證券有限公司; Beta International Securities Limited; 中銀國際亞洲有限公司; 建銀國際金融有限公司; 中國銀河國際證券(香港)有限公司; 中國國際金融香港證券有限公司; 中信里昂證券有限公司; 招銀國際融資有限公司; 中信建投(國際)融資有限公司; 星展亞洲融資有限公司; 國泰君安證券(香港)有限公司; 海通國際證券有限公司; 工銀國際證券有限公司; 東吳證券國際經紀有限公司; UBS AG 香港分行</t>
        </is>
      </c>
      <c r="AT134" s="37">
        <f>HYPERLINK("https://www1.hkexnews.hk/listedco/listconews/sehk/2022/0815/2022081500013.pdf","prospectus")</f>
        <v/>
      </c>
      <c r="AU134" s="37">
        <f>HYPERLINK("https://www1.hkexnews.hk/listedco/listconews/sehk/2022/0824/2022082400024.htm","allotment")</f>
        <v/>
      </c>
      <c r="AV134" s="26" t="n"/>
      <c r="AW134" s="26" t="inlineStr">
        <is>
          <t>greenshoe: no over-allotment option in the offer structure · price range: fixed-price offering (no indicative range) · A/H: Aug 2022, ~US$2.1bn H offering</t>
        </is>
      </c>
    </row>
    <row r="135">
      <c r="A135" s="25" t="inlineStr">
        <is>
          <t>2315</t>
        </is>
      </c>
      <c r="B135" s="26" t="inlineStr">
        <is>
          <t>BIOCYTOGEN-B</t>
        </is>
      </c>
      <c r="C135" s="26" t="inlineStr">
        <is>
          <t>百奧賽圖－Ｂ</t>
        </is>
      </c>
      <c r="D135" s="26" t="inlineStr">
        <is>
          <t>Healthcare</t>
        </is>
      </c>
      <c r="E135" s="26" t="inlineStr">
        <is>
          <t>Biotech pre-revenue (18A)</t>
        </is>
      </c>
      <c r="F135" s="26" t="inlineStr">
        <is>
          <t>18A</t>
        </is>
      </c>
      <c r="G135" s="27" t="n">
        <v>44805</v>
      </c>
      <c r="H135" s="28" t="n">
        <v>16.9</v>
      </c>
      <c r="I135" s="26" t="inlineStr">
        <is>
          <t>gross (stated)</t>
        </is>
      </c>
      <c r="J135" s="29" t="n"/>
      <c r="K135" s="29" t="n">
        <v>25.22</v>
      </c>
      <c r="L135" s="29" t="n">
        <v>25.22</v>
      </c>
      <c r="M135" s="26" t="inlineStr">
        <is>
          <t>Y</t>
        </is>
      </c>
      <c r="N135" s="30" t="n">
        <v>100</v>
      </c>
      <c r="O135" s="28" t="n">
        <v>10004.5</v>
      </c>
      <c r="P135" s="26" t="inlineStr">
        <is>
          <t>prospectus:stated market capitalisation</t>
        </is>
      </c>
      <c r="Q135" s="31" t="n">
        <v>5.93</v>
      </c>
      <c r="R135" s="32" t="n">
        <v>1.6</v>
      </c>
      <c r="S135" s="33" t="n">
        <v>71.14</v>
      </c>
      <c r="T135" s="26" t="inlineStr">
        <is>
          <t>北京興星股權投資合夥企業（有限合夥）; QuantumPharm Inc; 榮昌生物製藥（煙台）股份有限公司; 三金國際股份有限公司; 維科（香港）經貿有限公司</t>
        </is>
      </c>
      <c r="U135" s="30" t="n">
        <v>14.1</v>
      </c>
      <c r="V135" s="26" t="inlineStr">
        <is>
          <t>partial</t>
        </is>
      </c>
      <c r="W135" s="34" t="n">
        <v>3.09</v>
      </c>
      <c r="X135" s="34" t="n">
        <v>0.71</v>
      </c>
      <c r="Y135" s="34" t="n">
        <v>5.47</v>
      </c>
      <c r="Z135" s="34" t="n">
        <v>3.09</v>
      </c>
      <c r="AA135" s="34" t="n">
        <v>2.31</v>
      </c>
      <c r="AB135" s="34" t="n">
        <v>19.05</v>
      </c>
      <c r="AC135" s="34" t="n">
        <v>-13.58</v>
      </c>
      <c r="AD135" s="26" t="inlineStr">
        <is>
          <t>China Biotech ETF (HS biotech proxy)</t>
        </is>
      </c>
      <c r="AE135" s="34" t="n">
        <v>150.59</v>
      </c>
      <c r="AF135" s="28" t="n">
        <v>390</v>
      </c>
      <c r="AG135" s="28" t="n">
        <v>-600.1</v>
      </c>
      <c r="AH135" s="26" t="inlineStr">
        <is>
          <t>N</t>
        </is>
      </c>
      <c r="AI135" s="38">
        <f>IF('BBG Verify'!O135="","not filed — run on terminal",'BBG Verify'!O135)</f>
        <v/>
      </c>
      <c r="AJ135" s="35" t="n">
        <v>25.7</v>
      </c>
      <c r="AK135" s="26" t="inlineStr">
        <is>
          <t>Y</t>
        </is>
      </c>
      <c r="AL135" s="26" t="inlineStr">
        <is>
          <t>688796.SS</t>
        </is>
      </c>
      <c r="AM135" s="34" t="n"/>
      <c r="AN135" s="29" t="n"/>
      <c r="AO135" s="42" t="n">
        <v>-0.6004</v>
      </c>
      <c r="AP135" s="26" t="inlineStr">
        <is>
          <t>Goldman Sachs (Asia) L.L.C; China International Capital Corporation Hong Kong Securities Limited</t>
        </is>
      </c>
      <c r="AQ135" s="26" t="inlineStr">
        <is>
          <t>中國國際金融香港證券有限公司; 高盛(亞洲)有限責任公司</t>
        </is>
      </c>
      <c r="AR135" s="26" t="inlineStr">
        <is>
          <t>Goldman Sachs (Asia) L.L.C; Securities Limited; CMB International Capital Limited; CLSA Limited; China International Capital Corporation Hong Kong Securities Limited; Futu Securities International (Hong Kong) Limited; Valuable Capital Limited; Haitong International Securities Company Limited</t>
        </is>
      </c>
      <c r="AS135" s="26" t="inlineStr">
        <is>
          <t>Beta International Securities Limited; 中國國際金融香港證券有限公司; 中信里昂證券有限公司; 招銀國際融資有限公司; 富途證券國際（香港）有限公司; 高盛(亞洲)有限責任公司; 海通國際證券有限公司; 華盛資本証券有限公司</t>
        </is>
      </c>
      <c r="AT135" s="37">
        <f>HYPERLINK("https://www1.hkexnews.hk/listedco/listconews/sehk/2022/0819/2022081900021.pdf","prospectus")</f>
        <v/>
      </c>
      <c r="AU135" s="37">
        <f>HYPERLINK("https://www1.hkexnews.hk/listedco/listconews/sehk/2022/0831/2022083100060.htm","allotment")</f>
        <v/>
      </c>
      <c r="AV135" s="37">
        <f>HYPERLINK("https://www1.hkexnews.hk/listedco/listconews/sehk/2022/0923/2022092301878.pdf","stabilisation")</f>
        <v/>
      </c>
      <c r="AW135" s="26" t="inlineStr">
        <is>
          <t>P/E: n/m — loss-making at IPO (use P/S) · A/H: A-share history unavailable before the listing date · cornerstone: AAStocks institutional table includes non-cornerstone orders (superset) — cornerstone % is from the prospectus</t>
        </is>
      </c>
    </row>
    <row r="136">
      <c r="A136" s="25" t="inlineStr">
        <is>
          <t>9886</t>
        </is>
      </c>
      <c r="B136" s="26" t="inlineStr">
        <is>
          <t>DINGDANG HEALTH</t>
        </is>
      </c>
      <c r="C136" s="26" t="inlineStr">
        <is>
          <t>叮噹健康</t>
        </is>
      </c>
      <c r="D136" s="26" t="inlineStr">
        <is>
          <t>Healthcare</t>
        </is>
      </c>
      <c r="E136" s="26" t="inlineStr">
        <is>
          <t>Digital health</t>
        </is>
      </c>
      <c r="F136" s="26" t="inlineStr">
        <is>
          <t>Standard</t>
        </is>
      </c>
      <c r="G136" s="27" t="n">
        <v>44818</v>
      </c>
      <c r="H136" s="28" t="n">
        <v>402.4</v>
      </c>
      <c r="I136" s="26" t="inlineStr">
        <is>
          <t>gross (price x shares)</t>
        </is>
      </c>
      <c r="J136" s="29" t="n"/>
      <c r="K136" s="29" t="n">
        <v>12</v>
      </c>
      <c r="L136" s="29" t="n">
        <v>12</v>
      </c>
      <c r="M136" s="26" t="inlineStr">
        <is>
          <t>Y</t>
        </is>
      </c>
      <c r="N136" s="30" t="n">
        <v>100</v>
      </c>
      <c r="O136" s="28" t="n">
        <v>16096</v>
      </c>
      <c r="P136" s="26" t="inlineStr">
        <is>
          <t>derived:deal size / offer % of enlarged capital</t>
        </is>
      </c>
      <c r="Q136" s="31" t="n">
        <v>7.2</v>
      </c>
      <c r="R136" s="32" t="n">
        <v>1.7</v>
      </c>
      <c r="S136" s="33" t="n">
        <v>74.09</v>
      </c>
      <c r="T136" s="26" t="inlineStr">
        <is>
          <t>Harvest International Premium Value (Secondary Market) Fund; Jumpcan International Co., Ltd; 陽光人壽保險股份有限公司</t>
        </is>
      </c>
      <c r="U136" s="30" t="n">
        <v>10</v>
      </c>
      <c r="V136" s="26" t="inlineStr">
        <is>
          <t>lapsed</t>
        </is>
      </c>
      <c r="W136" s="34" t="n">
        <v>0</v>
      </c>
      <c r="X136" s="34" t="n">
        <v>0.33</v>
      </c>
      <c r="Y136" s="34" t="n">
        <v>-1</v>
      </c>
      <c r="Z136" s="34" t="n">
        <v>0</v>
      </c>
      <c r="AA136" s="34" t="n">
        <v>-1</v>
      </c>
      <c r="AB136" s="34" t="n">
        <v>3.13</v>
      </c>
      <c r="AC136" s="34" t="n">
        <v>-4.13</v>
      </c>
      <c r="AD136" s="26" t="inlineStr">
        <is>
          <t>China Biotech ETF (HS biotech proxy)</t>
        </is>
      </c>
      <c r="AE136" s="34" t="n">
        <v>-93.12</v>
      </c>
      <c r="AF136" s="28" t="n">
        <v>2451.4</v>
      </c>
      <c r="AG136" s="28" t="n">
        <v>-1735.8</v>
      </c>
      <c r="AH136" s="26" t="inlineStr">
        <is>
          <t>N</t>
        </is>
      </c>
      <c r="AI136" s="38">
        <f>IF('BBG Verify'!O136="","not filed — run on terminal",'BBG Verify'!O136)</f>
        <v/>
      </c>
      <c r="AJ136" s="35" t="n">
        <v>6.6</v>
      </c>
      <c r="AK136" s="26" t="inlineStr">
        <is>
          <t>N</t>
        </is>
      </c>
      <c r="AL136" s="36">
        <f>IF('BBG Verify'!K136="","not filed — run on terminal",'BBG Verify'!K136)</f>
        <v/>
      </c>
      <c r="AM136" s="26" t="inlineStr">
        <is>
          <t>N/A</t>
        </is>
      </c>
      <c r="AN136" s="26" t="inlineStr">
        <is>
          <t>N/A</t>
        </is>
      </c>
      <c r="AO136" s="26" t="inlineStr">
        <is>
          <t>N/A</t>
        </is>
      </c>
      <c r="AP136" s="26" t="inlineStr">
        <is>
          <t>CMB International Capital Limited</t>
        </is>
      </c>
      <c r="AQ136" s="26" t="inlineStr">
        <is>
          <t>中國國際金融香港證券有限公司; 招銀國際金融有限公司</t>
        </is>
      </c>
      <c r="AR136" s="26" t="inlineStr">
        <is>
          <t>CMB International Capital Limited; China International Capital Corporation Hong Kong Securities Limited; Futu Securities International (Hong Kong) Limited</t>
        </is>
      </c>
      <c r="AS136" s="26" t="inlineStr">
        <is>
          <t>中國國際金融香港證券有限公司; 招銀國際金融有限公司; 富途證券國際（香港）有限公司; 元庫證券有限公司</t>
        </is>
      </c>
      <c r="AT136" s="37">
        <f>HYPERLINK("https://www1.hkexnews.hk/listedco/listconews/sehk/2022/0901/2022090100013.pdf","prospectus")</f>
        <v/>
      </c>
      <c r="AU136" s="37">
        <f>HYPERLINK("https://www1.hkexnews.hk/listedco/listconews/sehk/2022/0913/2022091300006.htm","allotment")</f>
        <v/>
      </c>
      <c r="AV136" s="37">
        <f>HYPERLINK("https://www1.hkexnews.hk/listedco/listconews/sehk/2022/1006/2022100601196.pdf","stabilisation")</f>
        <v/>
      </c>
      <c r="AW136" s="26" t="inlineStr">
        <is>
          <t>P/E: n/m — loss-making at IPO (use P/S) · A/H: no A-share listing</t>
        </is>
      </c>
    </row>
    <row r="137">
      <c r="A137" s="25" t="inlineStr">
        <is>
          <t>2350</t>
        </is>
      </c>
      <c r="B137" s="26" t="inlineStr">
        <is>
          <t>MTT GROUP</t>
        </is>
      </c>
      <c r="C137" s="26" t="inlineStr">
        <is>
          <t>數科集團</t>
        </is>
      </c>
      <c r="D137" s="26" t="inlineStr">
        <is>
          <t>Industrials</t>
        </is>
      </c>
      <c r="E137" s="26" t="inlineStr">
        <is>
          <t>Construction / engineering</t>
        </is>
      </c>
      <c r="F137" s="26" t="inlineStr">
        <is>
          <t>Standard</t>
        </is>
      </c>
      <c r="G137" s="27" t="n">
        <v>44828</v>
      </c>
      <c r="H137" s="28" t="n">
        <v>132.8</v>
      </c>
      <c r="I137" s="26" t="inlineStr">
        <is>
          <t>gross (price x shares)</t>
        </is>
      </c>
      <c r="J137" s="29" t="n">
        <v>0.8</v>
      </c>
      <c r="K137" s="29" t="n">
        <v>0.86</v>
      </c>
      <c r="L137" s="29" t="n">
        <v>0.85</v>
      </c>
      <c r="M137" s="26" t="inlineStr">
        <is>
          <t>N</t>
        </is>
      </c>
      <c r="N137" s="30" t="n">
        <v>98.8</v>
      </c>
      <c r="O137" s="28" t="n">
        <v>531.2</v>
      </c>
      <c r="P137" s="26" t="inlineStr">
        <is>
          <t>derived:deal size / offer % of enlarged capital</t>
        </is>
      </c>
      <c r="Q137" s="31" t="n">
        <v>151.3</v>
      </c>
      <c r="R137" s="32" t="n">
        <v>1.1</v>
      </c>
      <c r="S137" s="40" t="n">
        <v>99.8</v>
      </c>
      <c r="T137" s="26" t="inlineStr">
        <is>
          <t>亞洲聯網集團管理有限公司; EC InfoTech Limited; 鄭穩偉先生; 洪光椅先生</t>
        </is>
      </c>
      <c r="U137" s="30" t="n">
        <v>15</v>
      </c>
      <c r="V137" s="26" t="inlineStr">
        <is>
          <t>lapsed (no over-allocation)</t>
        </is>
      </c>
      <c r="W137" s="34" t="n">
        <v>-27.06</v>
      </c>
      <c r="X137" s="34" t="n">
        <v>-34.12</v>
      </c>
      <c r="Y137" s="34" t="n">
        <v>-41.18</v>
      </c>
      <c r="Z137" s="34" t="n">
        <v>-54.12</v>
      </c>
      <c r="AA137" s="34" t="n">
        <v>-19.36</v>
      </c>
      <c r="AB137" s="34" t="n">
        <v>-25.58</v>
      </c>
      <c r="AC137" s="34" t="n">
        <v>-15.6</v>
      </c>
      <c r="AD137" s="26" t="inlineStr">
        <is>
          <t>Hang Seng Commerce &amp; Industry sub-index</t>
        </is>
      </c>
      <c r="AE137" s="34" t="n">
        <v>-19.41</v>
      </c>
      <c r="AF137" s="28" t="n">
        <v>631.5</v>
      </c>
      <c r="AG137" s="28" t="n">
        <v>47.3</v>
      </c>
      <c r="AH137" s="26" t="inlineStr">
        <is>
          <t>Y</t>
        </is>
      </c>
      <c r="AI137" s="35" t="n">
        <v>11.2</v>
      </c>
      <c r="AJ137" s="35" t="n">
        <v>0.8</v>
      </c>
      <c r="AK137" s="26" t="inlineStr">
        <is>
          <t>N</t>
        </is>
      </c>
      <c r="AL137" s="36">
        <f>IF('BBG Verify'!K137="","not filed — run on terminal",'BBG Verify'!K137)</f>
        <v/>
      </c>
      <c r="AM137" s="26" t="inlineStr">
        <is>
          <t>N/A</t>
        </is>
      </c>
      <c r="AN137" s="26" t="inlineStr">
        <is>
          <t>N/A</t>
        </is>
      </c>
      <c r="AO137" s="26" t="inlineStr">
        <is>
          <t>N/A</t>
        </is>
      </c>
      <c r="AP137" s="26" t="inlineStr">
        <is>
          <t>Innovax Capital Limited</t>
        </is>
      </c>
      <c r="AQ137" s="26" t="inlineStr">
        <is>
          <t>創陞融資有限公司</t>
        </is>
      </c>
      <c r="AR137" s="26" t="inlineStr">
        <is>
          <t>and Innovax Securities Limited</t>
        </is>
      </c>
      <c r="AS137" s="26" t="inlineStr">
        <is>
          <t>勤豐證券有限公司; 平證證券（香港）有限公司; 創陞證券有限公司; 佳富達證券有限公司</t>
        </is>
      </c>
      <c r="AT137" s="37">
        <f>HYPERLINK("https://www1.hkexnews.hk/listedco/listconews/sehk/2022/0913/2022091300024.htm","prospectus")</f>
        <v/>
      </c>
      <c r="AU137" s="37">
        <f>HYPERLINK("https://www1.hkexnews.hk/listedco/listconews/sehk/2022/0923/2022092300212.htm","allotment")</f>
        <v/>
      </c>
      <c r="AV137" s="37">
        <f>HYPERLINK("https://www1.hkexnews.hk/listedco/listconews/sehk/2022/1017/2022101700385.pdf","stabilisation")</f>
        <v/>
      </c>
      <c r="AW137" s="26" t="inlineStr">
        <is>
          <t>A/H: no A-share listing · cornerstone: AAStocks institutional total HK$33m = 25% of deal vs 100% parsed</t>
        </is>
      </c>
    </row>
    <row r="138">
      <c r="A138" s="25" t="inlineStr">
        <is>
          <t>9863</t>
        </is>
      </c>
      <c r="B138" s="26" t="inlineStr">
        <is>
          <t>LEAPMOTOR</t>
        </is>
      </c>
      <c r="C138" s="26" t="inlineStr">
        <is>
          <t>零跑汽車</t>
        </is>
      </c>
      <c r="D138" s="26" t="inlineStr">
        <is>
          <t>Consumer</t>
        </is>
      </c>
      <c r="E138" s="26" t="inlineStr">
        <is>
          <t>Autos (NEV OEM)</t>
        </is>
      </c>
      <c r="F138" s="26" t="inlineStr">
        <is>
          <t>Standard</t>
        </is>
      </c>
      <c r="G138" s="27" t="n">
        <v>44833</v>
      </c>
      <c r="H138" s="28" t="n">
        <v>6279.3</v>
      </c>
      <c r="I138" s="26" t="inlineStr">
        <is>
          <t>gross (price x shares)</t>
        </is>
      </c>
      <c r="J138" s="29" t="n">
        <v>48</v>
      </c>
      <c r="K138" s="29" t="n">
        <v>62</v>
      </c>
      <c r="L138" s="29" t="n">
        <v>48</v>
      </c>
      <c r="M138" s="26" t="inlineStr">
        <is>
          <t>N</t>
        </is>
      </c>
      <c r="N138" s="30" t="n">
        <v>77.40000000000001</v>
      </c>
      <c r="O138" s="28" t="n">
        <v>55081.6</v>
      </c>
      <c r="P138" s="26" t="inlineStr">
        <is>
          <t>derived:deal size / offer % of enlarged capital</t>
        </is>
      </c>
      <c r="Q138" s="31" t="n">
        <v>0.16</v>
      </c>
      <c r="R138" s="32" t="n">
        <v>2.33</v>
      </c>
      <c r="S138" s="33" t="n">
        <v>29.6</v>
      </c>
      <c r="T138" s="26" t="inlineStr">
        <is>
          <t>廣發基金管理有限公司; 金華市產業基金有限公司; 金華市金開產業引領投資合夥企業（有限合夥）; 國泰東方國際集團有限公司; 浙江省產業基金</t>
        </is>
      </c>
      <c r="U138" s="30" t="n">
        <v>14.6</v>
      </c>
      <c r="V138" s="26" t="inlineStr">
        <is>
          <t>lapsed</t>
        </is>
      </c>
      <c r="W138" s="34" t="n">
        <v>-33.54</v>
      </c>
      <c r="X138" s="34" t="n">
        <v>-48.33</v>
      </c>
      <c r="Y138" s="34" t="n">
        <v>-62.21</v>
      </c>
      <c r="Z138" s="34" t="n">
        <v>-37.08</v>
      </c>
      <c r="AA138" s="34" t="n">
        <v>-43.14</v>
      </c>
      <c r="AB138" s="34" t="n">
        <v>-44.05</v>
      </c>
      <c r="AC138" s="34" t="n">
        <v>-18.16</v>
      </c>
      <c r="AD138" s="26" t="inlineStr">
        <is>
          <t>Hang Seng Commerce &amp; Industry sub-index</t>
        </is>
      </c>
      <c r="AE138" s="34" t="n">
        <v>-13.42</v>
      </c>
      <c r="AF138" s="28" t="n">
        <v>694.4</v>
      </c>
      <c r="AG138" s="28" t="n">
        <v>-3130.4</v>
      </c>
      <c r="AH138" s="26" t="inlineStr">
        <is>
          <t>N</t>
        </is>
      </c>
      <c r="AI138" s="38">
        <f>IF('BBG Verify'!O138="","not filed — run on terminal",'BBG Verify'!O138)</f>
        <v/>
      </c>
      <c r="AJ138" s="35" t="n">
        <v>79.3</v>
      </c>
      <c r="AK138" s="26" t="inlineStr">
        <is>
          <t>N</t>
        </is>
      </c>
      <c r="AL138" s="36">
        <f>IF('BBG Verify'!K138="","not filed — run on terminal",'BBG Verify'!K138)</f>
        <v/>
      </c>
      <c r="AM138" s="26" t="inlineStr">
        <is>
          <t>N/A</t>
        </is>
      </c>
      <c r="AN138" s="26" t="inlineStr">
        <is>
          <t>N/A</t>
        </is>
      </c>
      <c r="AO138" s="26" t="inlineStr">
        <is>
          <t>N/A</t>
        </is>
      </c>
      <c r="AP138" s="26" t="inlineStr">
        <is>
          <t>J.P . Morgan Securities (Far East) Limited; China International Capital Corporation Hong Kong Securities Limited; Citigroup Global Markets Asia Limited; CCB International Capital Limited</t>
        </is>
      </c>
      <c r="AQ138" s="26" t="inlineStr">
        <is>
          <t>中國國際金融香港證券有限公司; 建銀國際金融有限公司; J.P. Morgan Securities (Far East) Limited; 花旗環球金融亞洲有限公司</t>
        </is>
      </c>
      <c r="AR138" s="26"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Securities Limited; Citigroup Global Markets Limited; London E14 5LB United Kingdom CCB International Capital Limited; Huatai Financial Holdings (Hong Kong) Limited; ABCI Capital Limited; Futu Securities International (Hong Kong) Limited</t>
        </is>
      </c>
      <c r="AS138" s="26" t="inlineStr">
        <is>
          <t>農銀國際證券有限公司; 建銀國際金融有限公司; 花旗環球金融亞洲有限公司; 中國國際金融香港證券有限公司; 中信里昂證券有限公司; 中信建投(國際)融資有限公司; 富途證券國際（香港）有限公司; 華泰金融控股(香港)有限公司; J.P. Morgan Securities (Asia Pacific) Limited; 老虎證券（香港）環球有限公司</t>
        </is>
      </c>
      <c r="AT138" s="37">
        <f>HYPERLINK("https://www1.hkexnews.hk/listedco/listconews/sehk/2022/0920/2022092000023.pdf","prospectus")</f>
        <v/>
      </c>
      <c r="AU138" s="37">
        <f>HYPERLINK("https://www1.hkexnews.hk/listedco/listconews/sehk/2022/0928/2022092800020.htm","allotment")</f>
        <v/>
      </c>
      <c r="AV138" s="37">
        <f>HYPERLINK("https://www1.hkexnews.hk/listedco/listconews/sehk/2022/1023/2022102300019.pdf","stabilisation")</f>
        <v/>
      </c>
      <c r="AW138" s="26" t="inlineStr">
        <is>
          <t>P/E: n/m — loss-making at IPO (use P/S) · A/H: no A-share listing</t>
        </is>
      </c>
    </row>
    <row r="139">
      <c r="A139" s="25" t="inlineStr">
        <is>
          <t>2602</t>
        </is>
      </c>
      <c r="B139" s="26" t="inlineStr">
        <is>
          <t>ONEWO</t>
        </is>
      </c>
      <c r="C139" s="26" t="inlineStr">
        <is>
          <t>萬物雲</t>
        </is>
      </c>
      <c r="D139" s="26" t="inlineStr">
        <is>
          <t>Real Estate</t>
        </is>
      </c>
      <c r="E139" s="26" t="inlineStr">
        <is>
          <t>Property management</t>
        </is>
      </c>
      <c r="F139" s="26" t="inlineStr">
        <is>
          <t>Standard</t>
        </is>
      </c>
      <c r="G139" s="27" t="n">
        <v>44833</v>
      </c>
      <c r="H139" s="28" t="n">
        <v>5759.8</v>
      </c>
      <c r="I139" s="26" t="inlineStr">
        <is>
          <t>gross (price x shares)</t>
        </is>
      </c>
      <c r="J139" s="29" t="n"/>
      <c r="K139" s="29" t="n">
        <v>52.7</v>
      </c>
      <c r="L139" s="29" t="n">
        <v>49.35</v>
      </c>
      <c r="M139" s="26" t="inlineStr">
        <is>
          <t>N</t>
        </is>
      </c>
      <c r="N139" s="30" t="n">
        <v>93.59999999999999</v>
      </c>
      <c r="O139" s="28" t="n">
        <v>61685.8</v>
      </c>
      <c r="P139" s="26" t="inlineStr">
        <is>
          <t>aastocks:上市市值 at the struck price</t>
        </is>
      </c>
      <c r="Q139" s="31" t="n">
        <v>0.82</v>
      </c>
      <c r="R139" s="39">
        <f>IF('BBG Verify'!E139="","not filed — run on terminal",'BBG Verify'!E139)</f>
        <v/>
      </c>
      <c r="S139" s="33" t="n">
        <v>37.56</v>
      </c>
      <c r="T139" s="26" t="inlineStr">
        <is>
          <t>Athos Asia Event Driven Master Fund; Cephei QFII China Total Return Fund Ltd; 中國誠通投資有限公司; HHLR Fund, L.P.及YHG Investment, L.P; 中國國有企業混合所有制改革基金有限公司; UBS Asset Management (Singapore) Ltd</t>
        </is>
      </c>
      <c r="U139" s="30" t="n">
        <v>10</v>
      </c>
      <c r="V139" s="26" t="inlineStr">
        <is>
          <t>partial</t>
        </is>
      </c>
      <c r="W139" s="34" t="n">
        <v>-6.79</v>
      </c>
      <c r="X139" s="34" t="n">
        <v>-11.65</v>
      </c>
      <c r="Y139" s="34" t="n">
        <v>-39.72</v>
      </c>
      <c r="Z139" s="34" t="n">
        <v>-0.61</v>
      </c>
      <c r="AA139" s="34" t="n">
        <v>-35.33</v>
      </c>
      <c r="AB139" s="34" t="n">
        <v>-20.53</v>
      </c>
      <c r="AC139" s="34" t="n">
        <v>-19.19</v>
      </c>
      <c r="AD139" s="26" t="inlineStr">
        <is>
          <t>Hang Seng Properties sub-index</t>
        </is>
      </c>
      <c r="AE139" s="34" t="n">
        <v>-63.2</v>
      </c>
      <c r="AF139" s="28" t="n">
        <v>26075</v>
      </c>
      <c r="AG139" s="28" t="n">
        <v>1885.7</v>
      </c>
      <c r="AH139" s="26" t="inlineStr">
        <is>
          <t>Y</t>
        </is>
      </c>
      <c r="AI139" s="35" t="n">
        <v>32.7</v>
      </c>
      <c r="AJ139" s="35" t="n">
        <v>2.4</v>
      </c>
      <c r="AK139" s="26" t="inlineStr">
        <is>
          <t>N</t>
        </is>
      </c>
      <c r="AL139" s="36">
        <f>IF('BBG Verify'!K139="","not filed — run on terminal",'BBG Verify'!K139)</f>
        <v/>
      </c>
      <c r="AM139" s="26" t="inlineStr">
        <is>
          <t>N/A</t>
        </is>
      </c>
      <c r="AN139" s="26" t="inlineStr">
        <is>
          <t>N/A</t>
        </is>
      </c>
      <c r="AO139" s="26" t="inlineStr">
        <is>
          <t>N/A</t>
        </is>
      </c>
      <c r="AP139" s="26" t="inlineStr">
        <is>
          <t>CLSA Capital Markets Limited; Citigroup Global Markets Asia Limited; Goldman Sachs (Asia) L.L.C; CLSA Limited</t>
        </is>
      </c>
      <c r="AQ139" s="26" t="inlineStr">
        <is>
          <t>高盛(亞洲)有限責任公司; 中信里昂證券資本市場有限公司; 花旗環球金融亞洲有限公司</t>
        </is>
      </c>
      <c r="AR139" s="26" t="inlineStr">
        <is>
          <t>CLSA Limited; Citigroup Global Markets Asia Limited; Goldman Sachs (Asia) L.L.C; CMB International Capital Limited; ICBC International Capital Limited; Managers CLSA Limited; Citigroup Global Markets Limited; Canary Wharf London E14 5LB United Kingdom Goldman Sachs (Asia) L.L.C; ICBC International Securities Limited</t>
        </is>
      </c>
      <c r="AS139" s="26" t="inlineStr">
        <is>
          <t>農銀國際證券有限公司; 中銀國際亞洲有限公司; 建銀國際金融有限公司; 花旗環球金融亞洲有限公司; 中信里昂證券有限公司; 招銀國際融資有限公司; 高盛(亞洲)有限責任公司; 國信證券(香港)融資有限公司; 工銀國際證券有限公司</t>
        </is>
      </c>
      <c r="AT139" s="37">
        <f>HYPERLINK("https://www1.hkexnews.hk/listedco/listconews/sehk/2022/0919/2022091900009.pdf","prospectus")</f>
        <v/>
      </c>
      <c r="AU139" s="37">
        <f>HYPERLINK("https://www1.hkexnews.hk/listedco/listconews/sehk/2022/0928/2022092800042.htm","allotment")</f>
        <v/>
      </c>
      <c r="AV139" s="37">
        <f>HYPERLINK("https://www1.hkexnews.hk/listedco/listconews/sehk/2022/1023/2022102300033.pdf","stabilisation")</f>
        <v/>
      </c>
      <c r="AW139" s="26" t="inlineStr">
        <is>
          <t>intl sub: subscription level not stated in the filing · A/H: no A-share listing · market cap: estimate from stated market capitalisation disagreed with the published listing cap — published figure adopted</t>
        </is>
      </c>
    </row>
    <row r="140">
      <c r="A140" s="25" t="inlineStr">
        <is>
          <t>6660</t>
        </is>
      </c>
      <c r="B140" s="26" t="inlineStr">
        <is>
          <t>AIM VACCINE</t>
        </is>
      </c>
      <c r="C140" s="26" t="inlineStr">
        <is>
          <t>艾美疫苗</t>
        </is>
      </c>
      <c r="D140" s="26" t="inlineStr">
        <is>
          <t>Healthcare</t>
        </is>
      </c>
      <c r="E140" s="26" t="inlineStr">
        <is>
          <t>Biopharma commercial</t>
        </is>
      </c>
      <c r="F140" s="26" t="inlineStr">
        <is>
          <t>Standard</t>
        </is>
      </c>
      <c r="G140" s="27" t="n">
        <v>44840</v>
      </c>
      <c r="H140" s="28" t="n">
        <v>157</v>
      </c>
      <c r="I140" s="26" t="inlineStr">
        <is>
          <t>gross (price x shares)</t>
        </is>
      </c>
      <c r="J140" s="29" t="n"/>
      <c r="K140" s="29" t="n">
        <v>16.16</v>
      </c>
      <c r="L140" s="29" t="n">
        <v>16.16</v>
      </c>
      <c r="M140" s="26" t="inlineStr">
        <is>
          <t>Y</t>
        </is>
      </c>
      <c r="N140" s="30" t="n">
        <v>100</v>
      </c>
      <c r="O140" s="28" t="n">
        <v>19549</v>
      </c>
      <c r="P140" s="26" t="inlineStr">
        <is>
          <t>prospectus:stated market capitalisation</t>
        </is>
      </c>
      <c r="Q140" s="43">
        <f>IF('BBG Verify'!C140="","not filed — run on terminal",'BBG Verify'!C140)</f>
        <v/>
      </c>
      <c r="R140" s="32" t="n">
        <v>3.27</v>
      </c>
      <c r="S140" s="33" t="n">
        <v>0</v>
      </c>
      <c r="T140" s="26" t="n"/>
      <c r="U140" s="30" t="n">
        <v>20</v>
      </c>
      <c r="V140" s="26" t="inlineStr">
        <is>
          <t>partial</t>
        </is>
      </c>
      <c r="W140" s="34" t="n">
        <v>3.09</v>
      </c>
      <c r="X140" s="34" t="n">
        <v>3.71</v>
      </c>
      <c r="Y140" s="34" t="n">
        <v>77.59999999999999</v>
      </c>
      <c r="Z140" s="34" t="n">
        <v>54.7</v>
      </c>
      <c r="AA140" s="34" t="n">
        <v>72.28</v>
      </c>
      <c r="AB140" s="34" t="n">
        <v>65.25</v>
      </c>
      <c r="AC140" s="34" t="n">
        <v>12.35</v>
      </c>
      <c r="AD140" s="26" t="inlineStr">
        <is>
          <t>China Biotech ETF (HS biotech proxy)</t>
        </is>
      </c>
      <c r="AE140" s="34" t="n">
        <v>-90.44</v>
      </c>
      <c r="AF140" s="28" t="n">
        <v>1727.1</v>
      </c>
      <c r="AG140" s="28" t="n">
        <v>-667.4</v>
      </c>
      <c r="AH140" s="26" t="inlineStr">
        <is>
          <t>N</t>
        </is>
      </c>
      <c r="AI140" s="38">
        <f>IF('BBG Verify'!O140="","not filed — run on terminal",'BBG Verify'!O140)</f>
        <v/>
      </c>
      <c r="AJ140" s="35" t="n">
        <v>11.3</v>
      </c>
      <c r="AK140" s="26" t="inlineStr">
        <is>
          <t>N</t>
        </is>
      </c>
      <c r="AL140" s="36">
        <f>IF('BBG Verify'!K140="","not filed — run on terminal",'BBG Verify'!K140)</f>
        <v/>
      </c>
      <c r="AM140" s="26" t="inlineStr">
        <is>
          <t>N/A</t>
        </is>
      </c>
      <c r="AN140" s="26" t="inlineStr">
        <is>
          <t>N/A</t>
        </is>
      </c>
      <c r="AO140" s="26" t="inlineStr">
        <is>
          <t>N/A</t>
        </is>
      </c>
      <c r="AP140" s="26" t="inlineStr">
        <is>
          <t>Coordinators Goldman Sachs (Asia) L.L.C; China International Capital Corporation Hong Kong Securities Limited; China Securities (International) Corporate Finance Company Limited; Central, Hong Kong Macquarie Capital Limited</t>
        </is>
      </c>
      <c r="AQ140" s="26" t="inlineStr">
        <is>
          <t>中國國際金融香港證券有限公司; 高盛(亞洲)有限責任公司; 中信建投(國際)融資有限公司; 麥格理資本股份有限公司</t>
        </is>
      </c>
      <c r="AR140" s="26" t="inlineStr">
        <is>
          <t>Goldman Sachs (Asia) L.L.C; China International Capital Corporation Hong Kong Securities Limited; China Securities (International) Corporate Finance Company Limited; Central, Hong Kong Macquarie Capital Limited; Central, Hong Kong ICBC International Capital Limited; CMB International Capital Limited; Central, Hong Kong Futu Securities International (Hong Kong) Limited; Tiger Brokers (HK) Global Limited</t>
        </is>
      </c>
      <c r="AS140" s="26" t="inlineStr">
        <is>
          <t>中銀國際亞洲有限公司; 中國國際金融香港證券有限公司; 招銀國際融資有限公司; 中信建投(國際)融資有限公司; 富途證券國際（香港）有限公司; 高盛(亞洲)有限責任公司; 工銀國際證券有限公司; 利弗莫爾證券有限公司; 麥格理資本股份有限公司; 老虎證券（香港）環球有限公司</t>
        </is>
      </c>
      <c r="AT140" s="37">
        <f>HYPERLINK("https://www1.hkexnews.hk/listedco/listconews/sehk/2022/0923/2022092300031.pdf","prospectus")</f>
        <v/>
      </c>
      <c r="AU140" s="37">
        <f>HYPERLINK("https://www1.hkexnews.hk/listedco/listconews/sehk/2022/1005/2022100500006.htm","allotment")</f>
        <v/>
      </c>
      <c r="AV140" s="37">
        <f>HYPERLINK("https://www1.hkexnews.hk/listedco/listconews/sehk/2022/1028/2022102802169.pdf","stabilisation")</f>
        <v/>
      </c>
      <c r="AW140" s="26" t="inlineStr">
        <is>
          <t>P/E: n/m — loss-making at IPO (use P/S) · A/H: no A-share listing</t>
        </is>
      </c>
    </row>
    <row r="141">
      <c r="A141" s="25" t="inlineStr">
        <is>
          <t>3931</t>
        </is>
      </c>
      <c r="B141" s="26" t="inlineStr">
        <is>
          <t>CALB</t>
        </is>
      </c>
      <c r="C141" s="26" t="inlineStr">
        <is>
          <t>中創新航</t>
        </is>
      </c>
      <c r="D141" s="26" t="inlineStr">
        <is>
          <t>Industrials</t>
        </is>
      </c>
      <c r="E141" s="26" t="inlineStr">
        <is>
          <t>Batteries / energy storage</t>
        </is>
      </c>
      <c r="F141" s="26" t="inlineStr">
        <is>
          <t>Standard</t>
        </is>
      </c>
      <c r="G141" s="27" t="n">
        <v>44840</v>
      </c>
      <c r="H141" s="28" t="n">
        <v>9863.9</v>
      </c>
      <c r="I141" s="26" t="inlineStr">
        <is>
          <t>net proceeds</t>
        </is>
      </c>
      <c r="J141" s="29" t="n">
        <v>38</v>
      </c>
      <c r="K141" s="29" t="n">
        <v>51</v>
      </c>
      <c r="L141" s="29" t="n">
        <v>38</v>
      </c>
      <c r="M141" s="26" t="inlineStr">
        <is>
          <t>N</t>
        </is>
      </c>
      <c r="N141" s="30" t="n">
        <v>74.5</v>
      </c>
      <c r="O141" s="28" t="n">
        <v>67347.5</v>
      </c>
      <c r="P141" s="26" t="inlineStr">
        <is>
          <t>prospectus:stated market capitalisation</t>
        </is>
      </c>
      <c r="Q141" s="31" t="n">
        <v>0.21</v>
      </c>
      <c r="R141" s="32" t="n">
        <v>2.11</v>
      </c>
      <c r="S141" s="40" t="n">
        <v>93.40000000000001</v>
      </c>
      <c r="T141" s="26" t="inlineStr">
        <is>
          <t>常州精測新能源技術有限公司; 中偉(香港)新材料科技貿易有限公司; 大族激光科技股份有限公司; 合肥北城建設投資(集團)有限公司; 江門新能源; 江蘇普正精密科技有限公司; 天齊鋰業香港有限公司; 西藏諾德科技有限公司; TMA國際私人有限公司; 維沃移動通信有限公司; 宏盛國際資源有限公司; 興發香港進出口有限公司; 小鵬汽車有限公司; 振石集團(香港)和石複合材料有限公司</t>
        </is>
      </c>
      <c r="U141" s="30" t="n">
        <v>14.32</v>
      </c>
      <c r="V141" s="26" t="inlineStr">
        <is>
          <t>lapsed</t>
        </is>
      </c>
      <c r="W141" s="34" t="n">
        <v>0</v>
      </c>
      <c r="X141" s="34" t="n">
        <v>-2.63</v>
      </c>
      <c r="Y141" s="34" t="n">
        <v>-37.76</v>
      </c>
      <c r="Z141" s="34" t="n">
        <v>-45.79</v>
      </c>
      <c r="AA141" s="34" t="n">
        <v>-37.76</v>
      </c>
      <c r="AB141" s="34" t="n">
        <v>-26.11</v>
      </c>
      <c r="AC141" s="34" t="n">
        <v>-11.65</v>
      </c>
      <c r="AD141" s="26" t="inlineStr">
        <is>
          <t>Hang Seng Commerce &amp; Industry sub-index</t>
        </is>
      </c>
      <c r="AE141" s="34" t="n">
        <v>-45.21</v>
      </c>
      <c r="AF141" s="28" t="n">
        <v>7498.8</v>
      </c>
      <c r="AG141" s="28" t="n">
        <v>122.7</v>
      </c>
      <c r="AH141" s="26" t="inlineStr">
        <is>
          <t>Y</t>
        </is>
      </c>
      <c r="AI141" s="35" t="n">
        <v>548.9</v>
      </c>
      <c r="AJ141" s="35" t="n">
        <v>9</v>
      </c>
      <c r="AK141" s="26" t="inlineStr">
        <is>
          <t>N</t>
        </is>
      </c>
      <c r="AL141" s="36">
        <f>IF('BBG Verify'!K141="","not filed — run on terminal",'BBG Verify'!K141)</f>
        <v/>
      </c>
      <c r="AM141" s="26" t="inlineStr">
        <is>
          <t>N/A</t>
        </is>
      </c>
      <c r="AN141" s="26" t="inlineStr">
        <is>
          <t>N/A</t>
        </is>
      </c>
      <c r="AO141" s="26" t="inlineStr">
        <is>
          <t>N/A</t>
        </is>
      </c>
      <c r="AP141" s="26" t="inlineStr">
        <is>
          <t>and Sponsor – OC Huatai Financial Holdings (Hong Kong) Limited</t>
        </is>
      </c>
      <c r="AQ141" s="26" t="inlineStr">
        <is>
          <t>華泰金融控股(香港)有限公司</t>
        </is>
      </c>
      <c r="AR141" s="26" t="inlineStr">
        <is>
          <t>Huatai Financial Holdings (Hong Kong) Limited; J.P. Morgan Securities (Asia Pacific) Limited; Citigroup Global Markets Asia Limited</t>
        </is>
      </c>
      <c r="AS141" s="26" t="inlineStr">
        <is>
          <t>花旗環球金融亞洲有限公司; 瑞士信貸（香港）有限公司; 富途證券國際（香港）有限公司; 華泰金融控股(香港)有限公司; J.P. Morgan Securities (Asia Pacific) Limited</t>
        </is>
      </c>
      <c r="AT141" s="37">
        <f>HYPERLINK("https://www1.hkexnews.hk/listedco/listconews/sehk/2022/0923/2022092300035.pdf","prospectus")</f>
        <v/>
      </c>
      <c r="AU141" s="37">
        <f>HYPERLINK("https://www1.hkexnews.hk/listedco/listconews/sehk/2022/1005/2022100500028.htm","allotment")</f>
        <v/>
      </c>
      <c r="AV141" s="37">
        <f>HYPERLINK("https://www1.hkexnews.hk/listedco/listconews/sehk/2022/1028/2022102801659.pdf","stabilisation")</f>
        <v/>
      </c>
      <c r="AW141" s="26" t="inlineStr">
        <is>
          <t>A/H: no A-share listing · cornerstone: AAStocks institutional total HK$5,737m = 58% of deal vs 93% parsed</t>
        </is>
      </c>
    </row>
    <row r="142">
      <c r="A142" s="25" t="inlineStr">
        <is>
          <t>9877</t>
        </is>
      </c>
      <c r="B142" s="26" t="inlineStr">
        <is>
          <t>JENSCARE-B</t>
        </is>
      </c>
      <c r="C142" s="26" t="inlineStr">
        <is>
          <t>健世科技－Ｂ</t>
        </is>
      </c>
      <c r="D142" s="26" t="inlineStr">
        <is>
          <t>Healthcare</t>
        </is>
      </c>
      <c r="E142" s="26" t="inlineStr">
        <is>
          <t>Medical devices</t>
        </is>
      </c>
      <c r="F142" s="26" t="inlineStr">
        <is>
          <t>18A</t>
        </is>
      </c>
      <c r="G142" s="27" t="n">
        <v>44842</v>
      </c>
      <c r="H142" s="28" t="n">
        <v>11.2</v>
      </c>
      <c r="I142" s="26" t="inlineStr">
        <is>
          <t>gross (stated)</t>
        </is>
      </c>
      <c r="J142" s="29" t="n"/>
      <c r="K142" s="29" t="n">
        <v>28.8</v>
      </c>
      <c r="L142" s="29" t="n">
        <v>27.8</v>
      </c>
      <c r="M142" s="26" t="inlineStr">
        <is>
          <t>N</t>
        </is>
      </c>
      <c r="N142" s="30" t="n">
        <v>96.5</v>
      </c>
      <c r="O142" s="28" t="n">
        <v>11138.4</v>
      </c>
      <c r="P142" s="26" t="inlineStr">
        <is>
          <t>prospectus:stated market capitalisation</t>
        </is>
      </c>
      <c r="Q142" s="31" t="n">
        <v>1.52</v>
      </c>
      <c r="R142" s="32" t="n">
        <v>1.19</v>
      </c>
      <c r="S142" s="33" t="n">
        <v>77.7</v>
      </c>
      <c r="T142" s="26" t="inlineStr">
        <is>
          <t>先健科技公司</t>
        </is>
      </c>
      <c r="U142" s="30" t="n">
        <v>17.32</v>
      </c>
      <c r="V142" s="26" t="inlineStr">
        <is>
          <t>lapsed</t>
        </is>
      </c>
      <c r="W142" s="34" t="n">
        <v>1.62</v>
      </c>
      <c r="X142" s="34" t="n">
        <v>0.54</v>
      </c>
      <c r="Y142" s="34" t="n">
        <v>11.51</v>
      </c>
      <c r="Z142" s="34" t="n">
        <v>28.42</v>
      </c>
      <c r="AA142" s="34" t="n">
        <v>9.73</v>
      </c>
      <c r="AB142" s="34" t="n">
        <v>-4.32</v>
      </c>
      <c r="AC142" s="34" t="n">
        <v>15.83</v>
      </c>
      <c r="AD142" s="26" t="inlineStr">
        <is>
          <t>China Biotech ETF (HS biotech proxy)</t>
        </is>
      </c>
      <c r="AE142" s="34" t="n">
        <v>-73.06</v>
      </c>
      <c r="AF142" s="28" t="n">
        <v>172.8</v>
      </c>
      <c r="AG142" s="28" t="n">
        <v>59.7</v>
      </c>
      <c r="AH142" s="26" t="inlineStr">
        <is>
          <t>Y</t>
        </is>
      </c>
      <c r="AI142" s="35" t="n">
        <v>186.6</v>
      </c>
      <c r="AJ142" s="35" t="n">
        <v>64.5</v>
      </c>
      <c r="AK142" s="26" t="inlineStr">
        <is>
          <t>N</t>
        </is>
      </c>
      <c r="AL142" s="36">
        <f>IF('BBG Verify'!K142="","not filed — run on terminal",'BBG Verify'!K142)</f>
        <v/>
      </c>
      <c r="AM142" s="26" t="inlineStr">
        <is>
          <t>N/A</t>
        </is>
      </c>
      <c r="AN142" s="26" t="inlineStr">
        <is>
          <t>N/A</t>
        </is>
      </c>
      <c r="AO142" s="26" t="inlineStr">
        <is>
          <t>N/A</t>
        </is>
      </c>
      <c r="AP142" s="26" t="inlineStr">
        <is>
          <t>China International Capital Corporation Hong Kong Securities Limited; Citigroup Global Markets Asia Limited</t>
        </is>
      </c>
      <c r="AQ142" s="26" t="inlineStr">
        <is>
          <t>中國國際金融香港證券有限公司; 花旗環球金融亞洲有限公司</t>
        </is>
      </c>
      <c r="AR142" s="26" t="inlineStr">
        <is>
          <t>China International Capital Corporation Hong Kong Securities Limited; Citigroup Global Markets Asia Limited; Huatai Financial Holdings (Hong Kong) Limited; ABCI Capital Limited; Citigroup Global Markets Limited; – 115 – Huatai Financial Holdings (Hong Kong) Limited; BOCOM International Securities Limited; Futu Securities International (Hong Kong) Limited; Tiger Brokers (HK) Global Limited</t>
        </is>
      </c>
      <c r="AS142" s="26" t="inlineStr">
        <is>
          <t>農銀國際融資有限公司; Beta International Securities Limited; 花旗環球金融亞洲有限公司; 中國國際金融香港證券有限公司; 富途證券國際（香港）有限公司; 華泰金融控股(香港)有限公司; 元庫證券有限公司; 老虎證券（香港）環球有限公司</t>
        </is>
      </c>
      <c r="AT142" s="37">
        <f>HYPERLINK("https://www1.hkexnews.hk/listedco/listconews/sehk/2022/0923/2022092300017.pdf","prospectus")</f>
        <v/>
      </c>
      <c r="AU142" s="37">
        <f>HYPERLINK("https://www1.hkexnews.hk/listedco/listconews/sehk/2022/1007/2022100700012.htm","allotment")</f>
        <v/>
      </c>
      <c r="AV142" s="37">
        <f>HYPERLINK("https://www1.hkexnews.hk/listedco/listconews/sehk/2022/1031/2022103100005.pdf","stabilisation")</f>
        <v/>
      </c>
      <c r="AW142" s="26" t="inlineStr">
        <is>
          <t>A/H: no A-share listing · cornerstone: AAStocks institutional table includes non-cornerstone orders (superset) — cornerstone % is from the prospectus</t>
        </is>
      </c>
    </row>
    <row r="143">
      <c r="A143" s="25" t="inlineStr">
        <is>
          <t>1489</t>
        </is>
      </c>
      <c r="B143" s="26" t="inlineStr">
        <is>
          <t>GC CONSTRUCTION</t>
        </is>
      </c>
      <c r="C143" s="26" t="inlineStr">
        <is>
          <t>GC CONSTRUCTION</t>
        </is>
      </c>
      <c r="D143" s="26" t="inlineStr">
        <is>
          <t>Industrials</t>
        </is>
      </c>
      <c r="E143" s="26" t="inlineStr">
        <is>
          <t>Construction / engineering</t>
        </is>
      </c>
      <c r="F143" s="26" t="inlineStr">
        <is>
          <t>Standard</t>
        </is>
      </c>
      <c r="G143" s="27" t="n">
        <v>44842</v>
      </c>
      <c r="H143" s="28" t="n">
        <v>125</v>
      </c>
      <c r="I143" s="26" t="inlineStr">
        <is>
          <t>gross (price x shares)</t>
        </is>
      </c>
      <c r="J143" s="29" t="n">
        <v>0.5</v>
      </c>
      <c r="K143" s="29" t="n">
        <v>0.54</v>
      </c>
      <c r="L143" s="29" t="n">
        <v>0.5</v>
      </c>
      <c r="M143" s="26" t="inlineStr">
        <is>
          <t>N</t>
        </is>
      </c>
      <c r="N143" s="30" t="n">
        <v>92.59999999999999</v>
      </c>
      <c r="O143" s="28" t="n">
        <v>537</v>
      </c>
      <c r="P143" s="26" t="inlineStr">
        <is>
          <t>aastocks:上市市值 at the struck price</t>
        </is>
      </c>
      <c r="Q143" s="31" t="n">
        <v>7.58</v>
      </c>
      <c r="R143" s="32" t="n">
        <v>1.04</v>
      </c>
      <c r="S143" s="33" t="n">
        <v>10</v>
      </c>
      <c r="T143" s="26" t="inlineStr">
        <is>
          <t>Infinitus Wealth Limited</t>
        </is>
      </c>
      <c r="U143" s="30" t="n">
        <v>15</v>
      </c>
      <c r="V143" s="26" t="n"/>
      <c r="W143" s="34" t="n">
        <v>10</v>
      </c>
      <c r="X143" s="34" t="n">
        <v>2</v>
      </c>
      <c r="Y143" s="34" t="n">
        <v>8</v>
      </c>
      <c r="Z143" s="34" t="n">
        <v>0</v>
      </c>
      <c r="AA143" s="34" t="n">
        <v>-1.82</v>
      </c>
      <c r="AB143" s="34" t="n">
        <v>16.15</v>
      </c>
      <c r="AC143" s="34" t="n">
        <v>-8.15</v>
      </c>
      <c r="AD143" s="26" t="inlineStr">
        <is>
          <t>Hang Seng Commerce &amp; Industry sub-index</t>
        </is>
      </c>
      <c r="AE143" s="34" t="n">
        <v>102</v>
      </c>
      <c r="AF143" s="28" t="n">
        <v>440.4</v>
      </c>
      <c r="AG143" s="28" t="n">
        <v>46</v>
      </c>
      <c r="AH143" s="26" t="inlineStr">
        <is>
          <t>Y</t>
        </is>
      </c>
      <c r="AI143" s="35" t="n">
        <v>11.7</v>
      </c>
      <c r="AJ143" s="35" t="n">
        <v>1.2</v>
      </c>
      <c r="AK143" s="26" t="inlineStr">
        <is>
          <t>N</t>
        </is>
      </c>
      <c r="AL143" s="36">
        <f>IF('BBG Verify'!K143="","not filed — run on terminal",'BBG Verify'!K143)</f>
        <v/>
      </c>
      <c r="AM143" s="26" t="inlineStr">
        <is>
          <t>N/A</t>
        </is>
      </c>
      <c r="AN143" s="26" t="inlineStr">
        <is>
          <t>N/A</t>
        </is>
      </c>
      <c r="AO143" s="26" t="inlineStr">
        <is>
          <t>N/A</t>
        </is>
      </c>
      <c r="AP143" s="26" t="n"/>
      <c r="AQ143" s="26" t="inlineStr">
        <is>
          <t>均富融資有限公司</t>
        </is>
      </c>
      <c r="AR143" s="26" t="inlineStr">
        <is>
          <t>Joint Lead Manager China Tonghai Securities Limited; Manager Realord Asia Pacific Securities Limited</t>
        </is>
      </c>
      <c r="AS143" s="26" t="inlineStr">
        <is>
          <t>中國通海證券有限公司; 山高國際證券有限公司; 致富證券有限公司; 偉祿亞太證券有限公司; 佳富達證券有限公司</t>
        </is>
      </c>
      <c r="AT143" s="37">
        <f>HYPERLINK("https://www1.hkexnews.hk/listedco/listconews/sehk/2022/0923/2022092300044.htm","prospectus")</f>
        <v/>
      </c>
      <c r="AU143" s="37">
        <f>HYPERLINK("https://www1.hkexnews.hk/listedco/listconews/sehk/2022/1007/2022100700042.htm","allotment")</f>
        <v/>
      </c>
      <c r="AV143" s="26" t="n"/>
      <c r="AW143" s="26" t="inlineStr">
        <is>
          <t>greenshoe: end-of-stabilisation notice not located · A/H: no A-share listing · sponsor: English name not in the filing text; AAStocks 保薦人 shown</t>
        </is>
      </c>
    </row>
    <row r="144">
      <c r="A144" s="25" t="inlineStr">
        <is>
          <t>2422</t>
        </is>
      </c>
      <c r="B144" s="26" t="inlineStr">
        <is>
          <t>REGO INTERACT</t>
        </is>
      </c>
      <c r="C144" s="26" t="inlineStr">
        <is>
          <t>潤歌互動</t>
        </is>
      </c>
      <c r="D144" s="26" t="inlineStr">
        <is>
          <t>TMT-other</t>
        </is>
      </c>
      <c r="E144" s="26" t="inlineStr">
        <is>
          <t>Media / advertising</t>
        </is>
      </c>
      <c r="F144" s="26" t="inlineStr">
        <is>
          <t>Standard</t>
        </is>
      </c>
      <c r="G144" s="27" t="n">
        <v>44849</v>
      </c>
      <c r="H144" s="28" t="n">
        <v>160</v>
      </c>
      <c r="I144" s="26" t="inlineStr">
        <is>
          <t>gross (price x shares)</t>
        </is>
      </c>
      <c r="J144" s="29" t="n">
        <v>0.64</v>
      </c>
      <c r="K144" s="29" t="n">
        <v>0.8</v>
      </c>
      <c r="L144" s="29" t="n">
        <v>0.64</v>
      </c>
      <c r="M144" s="26" t="inlineStr">
        <is>
          <t>N</t>
        </is>
      </c>
      <c r="N144" s="30" t="n">
        <v>80</v>
      </c>
      <c r="O144" s="28" t="n">
        <v>577.4</v>
      </c>
      <c r="P144" s="26" t="inlineStr">
        <is>
          <t>derived:deal size / offer % of enlarged capital</t>
        </is>
      </c>
      <c r="Q144" s="31" t="n">
        <v>14.1</v>
      </c>
      <c r="R144" s="32" t="n">
        <v>1.37</v>
      </c>
      <c r="S144" s="33" t="n">
        <v>9.4</v>
      </c>
      <c r="T144" s="26" t="inlineStr">
        <is>
          <t>Fighton Asia Master Fund Limited</t>
        </is>
      </c>
      <c r="U144" s="30" t="n">
        <v>10</v>
      </c>
      <c r="V144" s="26" t="inlineStr">
        <is>
          <t>lapsed (no over-allocation)</t>
        </is>
      </c>
      <c r="W144" s="34" t="n">
        <v>76.69</v>
      </c>
      <c r="X144" s="34" t="n">
        <v>166.99</v>
      </c>
      <c r="Y144" s="34" t="n">
        <v>246.82</v>
      </c>
      <c r="Z144" s="34" t="n">
        <v>221.96</v>
      </c>
      <c r="AA144" s="34" t="n">
        <v>96.29000000000001</v>
      </c>
      <c r="AB144" s="34" t="n">
        <v>236.24</v>
      </c>
      <c r="AC144" s="34" t="n">
        <v>10.58</v>
      </c>
      <c r="AD144" s="26" t="inlineStr">
        <is>
          <t>Hang Seng Index</t>
        </is>
      </c>
      <c r="AE144" s="34" t="n">
        <v>328.91</v>
      </c>
      <c r="AF144" s="28" t="n">
        <v>241.5</v>
      </c>
      <c r="AG144" s="28" t="n">
        <v>55</v>
      </c>
      <c r="AH144" s="26" t="inlineStr">
        <is>
          <t>Y</t>
        </is>
      </c>
      <c r="AI144" s="35" t="n">
        <v>10.5</v>
      </c>
      <c r="AJ144" s="35" t="n">
        <v>2.4</v>
      </c>
      <c r="AK144" s="26" t="inlineStr">
        <is>
          <t>N</t>
        </is>
      </c>
      <c r="AL144" s="36">
        <f>IF('BBG Verify'!K144="","not filed — run on terminal",'BBG Verify'!K144)</f>
        <v/>
      </c>
      <c r="AM144" s="26" t="inlineStr">
        <is>
          <t>N/A</t>
        </is>
      </c>
      <c r="AN144" s="26" t="inlineStr">
        <is>
          <t>N/A</t>
        </is>
      </c>
      <c r="AO144" s="26" t="inlineStr">
        <is>
          <t>N/A</t>
        </is>
      </c>
      <c r="AP144" s="26" t="inlineStr">
        <is>
          <t>CMBC International Capital Limited</t>
        </is>
      </c>
      <c r="AQ144" s="26" t="inlineStr">
        <is>
          <t>民銀資本有限公司</t>
        </is>
      </c>
      <c r="AR144" s="26"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AS144" s="26" t="inlineStr">
        <is>
          <t>農銀國際融資有限公司; 農銀國際證券有限公司; 阿爾法國際證券（香港）有限公司; Beta International Securities Limited; 博威環球證券有限公司; 建銀國際金融有限公司; 中國光大證券(香港)有限公司; 中國銀河國際證券(香港)有限公司; 興證國際融資有限公司; 民銀證券有限公司; 國泰君安證券(香港)有限公司; 利弗莫爾證券有限公司; 軟庫中華金融服務有限公司; 申萬宏源證券（香港）有限公司; 西牛證券有限公司; 浙商國際金融控股有限公司; 中泰國際證券有限公司</t>
        </is>
      </c>
      <c r="AT144" s="37">
        <f>HYPERLINK("https://www1.hkexnews.hk/listedco/listconews/sehk/2022/0930/2022093000075.pdf","prospectus")</f>
        <v/>
      </c>
      <c r="AU144" s="37">
        <f>HYPERLINK("https://www1.hkexnews.hk/listedco/listconews/sehk/2022/1014/2022101400042.htm","allotment")</f>
        <v/>
      </c>
      <c r="AV144" s="37">
        <f>HYPERLINK("https://www1.hkexnews.hk/listedco/listconews/sehk/2022/1106/2022110600015.pdf","stabilisation")</f>
        <v/>
      </c>
      <c r="AW144" s="26" t="inlineStr">
        <is>
          <t>A/H: no A-share listing</t>
        </is>
      </c>
    </row>
    <row r="145">
      <c r="A145" s="25" t="inlineStr">
        <is>
          <t>6610</t>
        </is>
      </c>
      <c r="B145" s="26" t="inlineStr">
        <is>
          <t>FLOWING CLOUD</t>
        </is>
      </c>
      <c r="C145" s="26" t="inlineStr">
        <is>
          <t>飛天雲動</t>
        </is>
      </c>
      <c r="D145" s="26" t="inlineStr">
        <is>
          <t>TMT-other</t>
        </is>
      </c>
      <c r="E145" s="26" t="inlineStr">
        <is>
          <t>Media / advertising</t>
        </is>
      </c>
      <c r="F145" s="26" t="inlineStr">
        <is>
          <t>Standard</t>
        </is>
      </c>
      <c r="G145" s="27" t="n">
        <v>44852</v>
      </c>
      <c r="H145" s="28" t="n">
        <v>600</v>
      </c>
      <c r="I145" s="26" t="inlineStr">
        <is>
          <t>gross (price x shares)</t>
        </is>
      </c>
      <c r="J145" s="29" t="n"/>
      <c r="K145" s="29" t="n">
        <v>2.88</v>
      </c>
      <c r="L145" s="29" t="n">
        <v>2.21</v>
      </c>
      <c r="M145" s="26" t="inlineStr">
        <is>
          <t>N</t>
        </is>
      </c>
      <c r="N145" s="30" t="n">
        <v>76.7</v>
      </c>
      <c r="O145" s="28" t="n">
        <v>4930.7</v>
      </c>
      <c r="P145" s="26" t="inlineStr">
        <is>
          <t>aastocks:上市市值 at the struck price</t>
        </is>
      </c>
      <c r="Q145" s="31" t="n">
        <v>1.05</v>
      </c>
      <c r="R145" s="32" t="n">
        <v>1.07</v>
      </c>
      <c r="S145" s="33" t="n">
        <v>14.7</v>
      </c>
      <c r="T145" s="26" t="inlineStr">
        <is>
          <t>安吉國融建設有限公司; 安吉七彩靈峰鄉村旅游投資有限公司; SensePower Management Limited; 捷利交易寶金融科技有限公司; 浙江天子湖實業投資有限公司</t>
        </is>
      </c>
      <c r="U145" s="30" t="n">
        <v>16.87</v>
      </c>
      <c r="V145" s="26" t="inlineStr">
        <is>
          <t>lapsed</t>
        </is>
      </c>
      <c r="W145" s="34" t="n">
        <v>-4.07</v>
      </c>
      <c r="X145" s="34" t="n">
        <v>3.62</v>
      </c>
      <c r="Y145" s="34" t="n">
        <v>47.96</v>
      </c>
      <c r="Z145" s="34" t="n">
        <v>89.59</v>
      </c>
      <c r="AA145" s="34" t="n">
        <v>54.24</v>
      </c>
      <c r="AB145" s="34" t="n">
        <v>38.07</v>
      </c>
      <c r="AC145" s="34" t="n">
        <v>9.890000000000001</v>
      </c>
      <c r="AD145" s="26" t="inlineStr">
        <is>
          <t>Hang Seng Index</t>
        </is>
      </c>
      <c r="AE145" s="34" t="n">
        <v>-65.16</v>
      </c>
      <c r="AF145" s="28" t="n">
        <v>654.8</v>
      </c>
      <c r="AG145" s="28" t="n">
        <v>78.90000000000001</v>
      </c>
      <c r="AH145" s="26" t="inlineStr">
        <is>
          <t>Y</t>
        </is>
      </c>
      <c r="AI145" s="35" t="n">
        <v>62.5</v>
      </c>
      <c r="AJ145" s="35" t="n">
        <v>7.5</v>
      </c>
      <c r="AK145" s="26" t="inlineStr">
        <is>
          <t>N</t>
        </is>
      </c>
      <c r="AL145" s="36">
        <f>IF('BBG Verify'!K145="","not filed — run on terminal",'BBG Verify'!K145)</f>
        <v/>
      </c>
      <c r="AM145" s="26" t="inlineStr">
        <is>
          <t>N/A</t>
        </is>
      </c>
      <c r="AN145" s="26" t="inlineStr">
        <is>
          <t>N/A</t>
        </is>
      </c>
      <c r="AO145" s="26" t="inlineStr">
        <is>
          <t>N/A</t>
        </is>
      </c>
      <c r="AP145" s="26" t="inlineStr">
        <is>
          <t>Shenwan Hongyuan Capital (H.K.) Limited</t>
        </is>
      </c>
      <c r="AQ145" s="26" t="inlineStr">
        <is>
          <t>申萬宏源融資（香港）有限公司</t>
        </is>
      </c>
      <c r="AR145" s="26" t="inlineStr">
        <is>
          <t>Shenwan Hongyuan Securities (H.K.) Limited; CLSA Limited; CMB International Capital Limited; DBS Asia Capital Limited; DIRECTORS AND PARTIES INVOLVED IN THE GLOBAL OFFERING –1 1 5– CLSA Limited; Huatai Financial Holdings (Hong Kong) Limited; ABCI Capital Limited; Citrus Securities Limited; Zhongtai International Securities Limited; China Everbright Securities (HK) Limited; West Bull Securities Limited; China Galaxy International Securities (Hong Kong) Co., Limited</t>
        </is>
      </c>
      <c r="AS145" s="26" t="inlineStr">
        <is>
          <t>農銀國際證券有限公司; 中國光大證券(香港)有限公司; 中國銀河國際證券(香港)有限公司; 鉅誠證券有限公司; 中信里昂證券有限公司; 招銀國際融資有限公司; 星展亞洲融資有限公司; 龍石資本管理有限公司; 富途證券國際（香港）有限公司; 華泰金融控股(香港)有限公司; 利弗莫爾證券有限公司; 輝立証券（香港）有限公司; 申萬宏源證券（香港）有限公司; 老虎證券（香港）環球有限公司; 華盛資本証券有限公司; 西牛證券有限公司; 浙商國際金融控股有限公司; 中泰國際證券有限公司</t>
        </is>
      </c>
      <c r="AT145" s="37">
        <f>HYPERLINK("https://www1.hkexnews.hk/listedco/listconews/sehk/2022/0929/2022092900133.pdf","prospectus")</f>
        <v/>
      </c>
      <c r="AU145" s="37">
        <f>HYPERLINK("https://www1.hkexnews.hk/listedco/listconews/sehk/2022/1017/2022101700012.htm","allotment")</f>
        <v/>
      </c>
      <c r="AV145" s="37">
        <f>HYPERLINK("https://www1.hkexnews.hk/listedco/listconews/sehk/2022/1107/2022110700440.pdf","stabilisation")</f>
        <v/>
      </c>
      <c r="AW145" s="26" t="inlineStr">
        <is>
          <t>A/H: no A-share listing · market cap: estimate from deal size / offer % of enlarged capital disagreed with the published listing cap — published figure adopted</t>
        </is>
      </c>
    </row>
    <row r="146">
      <c r="A146" s="25" t="inlineStr">
        <is>
          <t>2367</t>
        </is>
      </c>
      <c r="B146" s="26" t="inlineStr">
        <is>
          <t>GIANT BIOGENE</t>
        </is>
      </c>
      <c r="C146" s="26" t="inlineStr">
        <is>
          <t>巨子生物</t>
        </is>
      </c>
      <c r="D146" s="26" t="inlineStr">
        <is>
          <t>Consumer</t>
        </is>
      </c>
      <c r="E146" s="26" t="inlineStr">
        <is>
          <t>Beauty / personal care</t>
        </is>
      </c>
      <c r="F146" s="26" t="inlineStr">
        <is>
          <t>Standard</t>
        </is>
      </c>
      <c r="G146" s="27" t="n">
        <v>44869</v>
      </c>
      <c r="H146" s="28" t="n">
        <v>549.4</v>
      </c>
      <c r="I146" s="26" t="inlineStr">
        <is>
          <t>gross (price x shares)</t>
        </is>
      </c>
      <c r="J146" s="29" t="n"/>
      <c r="K146" s="29" t="n">
        <v>27.7</v>
      </c>
      <c r="L146" s="29" t="n">
        <v>24.3</v>
      </c>
      <c r="M146" s="26" t="inlineStr">
        <is>
          <t>N</t>
        </is>
      </c>
      <c r="N146" s="30" t="n">
        <v>87.7</v>
      </c>
      <c r="O146" s="28" t="n">
        <v>24096</v>
      </c>
      <c r="P146" s="26" t="inlineStr">
        <is>
          <t>prospectus:stated market capitalisation</t>
        </is>
      </c>
      <c r="Q146" s="31" t="n">
        <v>2.08</v>
      </c>
      <c r="R146" s="32" t="n">
        <v>4.22</v>
      </c>
      <c r="S146" s="33" t="n">
        <v>0</v>
      </c>
      <c r="T146" s="26" t="n"/>
      <c r="U146" s="30" t="n">
        <v>10</v>
      </c>
      <c r="V146" s="26" t="inlineStr">
        <is>
          <t>full</t>
        </is>
      </c>
      <c r="W146" s="34" t="n">
        <v>9.880000000000001</v>
      </c>
      <c r="X146" s="34" t="n">
        <v>37.45</v>
      </c>
      <c r="Y146" s="34" t="n">
        <v>24.28</v>
      </c>
      <c r="Z146" s="34" t="n">
        <v>106.38</v>
      </c>
      <c r="AA146" s="34" t="n">
        <v>13.11</v>
      </c>
      <c r="AB146" s="34" t="n">
        <v>-4.9</v>
      </c>
      <c r="AC146" s="34" t="n">
        <v>29.18</v>
      </c>
      <c r="AD146" s="26" t="inlineStr">
        <is>
          <t>Hang Seng Commerce &amp; Industry sub-index</t>
        </is>
      </c>
      <c r="AE146" s="34" t="n">
        <v>15.64</v>
      </c>
      <c r="AF146" s="28" t="n">
        <v>1707.7</v>
      </c>
      <c r="AG146" s="28" t="n">
        <v>910.9</v>
      </c>
      <c r="AH146" s="26" t="inlineStr">
        <is>
          <t>Y</t>
        </is>
      </c>
      <c r="AI146" s="35" t="n">
        <v>26.5</v>
      </c>
      <c r="AJ146" s="35" t="n">
        <v>14.1</v>
      </c>
      <c r="AK146" s="26" t="inlineStr">
        <is>
          <t>N</t>
        </is>
      </c>
      <c r="AL146" s="36">
        <f>IF('BBG Verify'!K146="","not filed — run on terminal",'BBG Verify'!K146)</f>
        <v/>
      </c>
      <c r="AM146" s="26" t="inlineStr">
        <is>
          <t>N/A</t>
        </is>
      </c>
      <c r="AN146" s="26" t="inlineStr">
        <is>
          <t>N/A</t>
        </is>
      </c>
      <c r="AO146" s="26" t="inlineStr">
        <is>
          <t>N/A</t>
        </is>
      </c>
      <c r="AP146" s="26" t="n"/>
      <c r="AQ146" s="26" t="inlineStr">
        <is>
          <t>中國國際金融香港證券有限公司; 高盛(亞洲)有限責任公司</t>
        </is>
      </c>
      <c r="AR146" s="26" t="inlineStr">
        <is>
          <t>中國國際金融香港證券有限公司; 富途證券國際（香港）有限公司; 廣發證券（香港）經紀有限公司; 高盛(亞洲)有限責任公司; 華泰金融控股(香港)有限公司; 元庫證券有限公司</t>
        </is>
      </c>
      <c r="AS146" s="26" t="inlineStr">
        <is>
          <t>中國國際金融香港證券有限公司; 富途證券國際（香港）有限公司; 廣發證券（香港）經紀有限公司; 高盛(亞洲)有限責任公司; 華泰金融控股(香港)有限公司; 元庫證券有限公司</t>
        </is>
      </c>
      <c r="AT146" s="37">
        <f>HYPERLINK("https://www1.hkexnews.hk/listedco/listconews/sehk/2022/1025/2022102500007.pdf","prospectus")</f>
        <v/>
      </c>
      <c r="AU146" s="37">
        <f>HYPERLINK("https://www1.hkexnews.hk/listedco/listconews/sehk/2022/1103/2022110300024.htm","allotment")</f>
        <v/>
      </c>
      <c r="AV146" s="37">
        <f>HYPERLINK("https://www1.hkexnews.hk/listedco/listconews/sehk/2022/1127/2022112700063.pdf","stabilisation")</f>
        <v/>
      </c>
      <c r="AW146" s="26" t="inlineStr">
        <is>
          <t>A/H: no A-share listing · sponsor: English name not in the filing text; AAStocks 保薦人 shown</t>
        </is>
      </c>
    </row>
    <row r="147">
      <c r="A147" s="25" t="inlineStr">
        <is>
          <t>2291</t>
        </is>
      </c>
      <c r="B147" s="26" t="inlineStr">
        <is>
          <t>SCIENTECH</t>
        </is>
      </c>
      <c r="C147" s="26" t="inlineStr">
        <is>
          <t>心泰醫療</t>
        </is>
      </c>
      <c r="D147" s="26" t="inlineStr">
        <is>
          <t>Healthcare</t>
        </is>
      </c>
      <c r="E147" s="26" t="inlineStr">
        <is>
          <t>Medical devices</t>
        </is>
      </c>
      <c r="F147" s="26" t="inlineStr">
        <is>
          <t>Standard</t>
        </is>
      </c>
      <c r="G147" s="27" t="n">
        <v>44873</v>
      </c>
      <c r="H147" s="28" t="n">
        <v>654.6</v>
      </c>
      <c r="I147" s="26" t="inlineStr">
        <is>
          <t>gross (price x shares)</t>
        </is>
      </c>
      <c r="J147" s="29" t="n">
        <v>29.15</v>
      </c>
      <c r="K147" s="29" t="n">
        <v>31.45</v>
      </c>
      <c r="L147" s="29" t="n">
        <v>29.15</v>
      </c>
      <c r="M147" s="26" t="inlineStr">
        <is>
          <t>N</t>
        </is>
      </c>
      <c r="N147" s="30" t="n">
        <v>92.7</v>
      </c>
      <c r="O147" s="28" t="n">
        <v>10847</v>
      </c>
      <c r="P147" s="26" t="inlineStr">
        <is>
          <t>aastocks:上市市值 at the struck price</t>
        </is>
      </c>
      <c r="Q147" s="31" t="n">
        <v>2.11</v>
      </c>
      <c r="R147" s="32" t="n">
        <v>1.38</v>
      </c>
      <c r="S147" s="33" t="n">
        <v>10</v>
      </c>
      <c r="T147" s="26" t="inlineStr">
        <is>
          <t>Harvest International Premium Value (Secondary Market) Fund SPC; 九州通國際集團有限公司; 上海臨港經濟發展集團投資管理有限公司</t>
        </is>
      </c>
      <c r="U147" s="30" t="n">
        <v>8.52</v>
      </c>
      <c r="V147" s="26" t="inlineStr">
        <is>
          <t>lapsed</t>
        </is>
      </c>
      <c r="W147" s="34" t="n">
        <v>0</v>
      </c>
      <c r="X147" s="34" t="n">
        <v>-5.49</v>
      </c>
      <c r="Y147" s="34" t="n">
        <v>-0.17</v>
      </c>
      <c r="Z147" s="34" t="n">
        <v>-0.51</v>
      </c>
      <c r="AA147" s="34" t="n">
        <v>-0.17</v>
      </c>
      <c r="AB147" s="34" t="n">
        <v>3.51</v>
      </c>
      <c r="AC147" s="34" t="n">
        <v>-3.68</v>
      </c>
      <c r="AD147" s="26" t="inlineStr">
        <is>
          <t>China Biotech ETF (HS biotech proxy)</t>
        </is>
      </c>
      <c r="AE147" s="34" t="n">
        <v>-59.62</v>
      </c>
      <c r="AF147" s="28" t="n">
        <v>2.2</v>
      </c>
      <c r="AG147" s="28" t="n">
        <v>64.59999999999999</v>
      </c>
      <c r="AH147" s="26" t="inlineStr">
        <is>
          <t>Y</t>
        </is>
      </c>
      <c r="AI147" s="35" t="n">
        <v>167.9</v>
      </c>
      <c r="AJ147" s="35" t="n">
        <v>4930.5</v>
      </c>
      <c r="AK147" s="26" t="inlineStr">
        <is>
          <t>N</t>
        </is>
      </c>
      <c r="AL147" s="36">
        <f>IF('BBG Verify'!K147="","not filed — run on terminal",'BBG Verify'!K147)</f>
        <v/>
      </c>
      <c r="AM147" s="26" t="inlineStr">
        <is>
          <t>N/A</t>
        </is>
      </c>
      <c r="AN147" s="26" t="inlineStr">
        <is>
          <t>N/A</t>
        </is>
      </c>
      <c r="AO147" s="26" t="inlineStr">
        <is>
          <t>N/A</t>
        </is>
      </c>
      <c r="AP147" s="26" t="n"/>
      <c r="AQ147" s="26" t="inlineStr">
        <is>
          <t>中國國際金融香港證券有限公司</t>
        </is>
      </c>
      <c r="AR147" s="26" t="inlineStr">
        <is>
          <t>China International Capital Corporation Hong Kong Securities Limited; CLSA Limited; China Galaxy International Securities (Hong Kong) Co., Limited; Huatai Financial Holdings (Hong Kong) Limited; V aluable Capital Limited</t>
        </is>
      </c>
      <c r="AS147" s="26" t="inlineStr">
        <is>
          <t>中國銀河國際證券(香港)有限公司; 中國國際金融香港證券有限公司; 中信里昂證券有限公司; 華泰金融控股(香港)有限公司; 華盛資本証券有限公司</t>
        </is>
      </c>
      <c r="AT147" s="37">
        <f>HYPERLINK("https://www1.hkexnews.hk/listedco/listconews/sehk/2022/1027/2022102700013.pdf","prospectus")</f>
        <v/>
      </c>
      <c r="AU147" s="37">
        <f>HYPERLINK("https://www1.hkexnews.hk/listedco/listconews/sehk/2022/1107/2022110700010.htm","allotment")</f>
        <v/>
      </c>
      <c r="AV147" s="37">
        <f>HYPERLINK("https://www1.hkexnews.hk/listedco/listconews/sehk/2022/1201/2022120103355.pdf","stabilisation")</f>
        <v/>
      </c>
      <c r="AW147" s="26" t="inlineStr">
        <is>
          <t>A/H: no A-share listing · sponsor: English name not in the filing text; AAStocks 保薦人 shown · market cap: estimate from stated market capitalisation disagreed with the published listing cap — published figure adopted</t>
        </is>
      </c>
    </row>
    <row r="148">
      <c r="A148" s="25" t="inlineStr">
        <is>
          <t>6696</t>
        </is>
      </c>
      <c r="B148" s="26" t="inlineStr">
        <is>
          <t>MANY IDEA CLOUD</t>
        </is>
      </c>
      <c r="C148" s="26" t="inlineStr">
        <is>
          <t>多想雲</t>
        </is>
      </c>
      <c r="D148" s="26" t="inlineStr">
        <is>
          <t>TMT-other</t>
        </is>
      </c>
      <c r="E148" s="26" t="inlineStr">
        <is>
          <t>Media / advertising</t>
        </is>
      </c>
      <c r="F148" s="26" t="inlineStr">
        <is>
          <t>Standard</t>
        </is>
      </c>
      <c r="G148" s="27" t="n">
        <v>44874</v>
      </c>
      <c r="H148" s="28" t="n">
        <v>313.6</v>
      </c>
      <c r="I148" s="26" t="inlineStr">
        <is>
          <t>gross (price x shares)</t>
        </is>
      </c>
      <c r="J148" s="29" t="n">
        <v>1.88</v>
      </c>
      <c r="K148" s="29" t="n">
        <v>2.38</v>
      </c>
      <c r="L148" s="29" t="n">
        <v>1.96</v>
      </c>
      <c r="M148" s="26" t="inlineStr">
        <is>
          <t>N</t>
        </is>
      </c>
      <c r="N148" s="30" t="n">
        <v>82.40000000000001</v>
      </c>
      <c r="O148" s="28" t="n">
        <v>1704</v>
      </c>
      <c r="P148" s="26" t="inlineStr">
        <is>
          <t>aastocks:上市市值 at the struck price</t>
        </is>
      </c>
      <c r="Q148" s="31" t="n">
        <v>2.81</v>
      </c>
      <c r="R148" s="32" t="n">
        <v>1.01</v>
      </c>
      <c r="S148" s="33" t="n">
        <v>10</v>
      </c>
      <c r="T148" s="26" t="inlineStr">
        <is>
          <t>Lai Shixian</t>
        </is>
      </c>
      <c r="U148" s="30" t="n">
        <v>15</v>
      </c>
      <c r="V148" s="26" t="inlineStr">
        <is>
          <t>lapsed (no over-allocation)</t>
        </is>
      </c>
      <c r="W148" s="34" t="n">
        <v>-9.890000000000001</v>
      </c>
      <c r="X148" s="34" t="n">
        <v>-25.66</v>
      </c>
      <c r="Y148" s="34" t="n">
        <v>-68.45999999999999</v>
      </c>
      <c r="Z148" s="34" t="n">
        <v>-74.31999999999999</v>
      </c>
      <c r="AA148" s="34" t="n">
        <v>-65</v>
      </c>
      <c r="AB148" s="34" t="n">
        <v>-85.93000000000001</v>
      </c>
      <c r="AC148" s="34" t="n">
        <v>17.47</v>
      </c>
      <c r="AD148" s="26" t="inlineStr">
        <is>
          <t>Hang Seng Index</t>
        </is>
      </c>
      <c r="AE148" s="34" t="n">
        <v>50</v>
      </c>
      <c r="AF148" s="28" t="n">
        <v>388.6</v>
      </c>
      <c r="AG148" s="28" t="n">
        <v>71.2</v>
      </c>
      <c r="AH148" s="26" t="inlineStr">
        <is>
          <t>Y</t>
        </is>
      </c>
      <c r="AI148" s="35" t="n">
        <v>23.9</v>
      </c>
      <c r="AJ148" s="35" t="n">
        <v>4.4</v>
      </c>
      <c r="AK148" s="26" t="inlineStr">
        <is>
          <t>N</t>
        </is>
      </c>
      <c r="AL148" s="36">
        <f>IF('BBG Verify'!K148="","not filed — run on terminal",'BBG Verify'!K148)</f>
        <v/>
      </c>
      <c r="AM148" s="26" t="inlineStr">
        <is>
          <t>N/A</t>
        </is>
      </c>
      <c r="AN148" s="26" t="inlineStr">
        <is>
          <t>N/A</t>
        </is>
      </c>
      <c r="AO148" s="26" t="inlineStr">
        <is>
          <t>N/A</t>
        </is>
      </c>
      <c r="AP148" s="26" t="inlineStr">
        <is>
          <t>Zhongtai International Capital Limited</t>
        </is>
      </c>
      <c r="AQ148" s="26" t="inlineStr">
        <is>
          <t>中泰國際融資有限公司</t>
        </is>
      </c>
      <c r="AR148" s="26"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AS148" s="26" t="inlineStr">
        <is>
          <t>Beta International Securities Limited; 興證國際融資有限公司; 中信里昂證券有限公司; 第一上海證券有限公司; 國泰君安證券(香港)有限公司; 金聯證券有限公司; 利弗莫爾證券有限公司; 邁時資本有限公司; 申萬宏源證券（香港）有限公司; 浦銀國際融資有限公司; 耀盛證券有限公司; 老虎證券（香港）環球有限公司; 華盛資本証券有限公司; 西牛證券有限公司; 浙商國際金融控股有限公司; 中泰國際證券有限公司; 中募金融資管有限公司</t>
        </is>
      </c>
      <c r="AT148" s="37">
        <f>HYPERLINK("https://www1.hkexnews.hk/listedco/listconews/sehk/2022/1028/2022102800015.pdf","prospectus")</f>
        <v/>
      </c>
      <c r="AU148" s="37">
        <f>HYPERLINK("https://www1.hkexnews.hk/listedco/listconews/sehk/2022/1108/2022110800012.htm","allotment")</f>
        <v/>
      </c>
      <c r="AV148" s="37">
        <f>HYPERLINK("https://www1.hkexnews.hk/listedco/listconews/sehk/2022/1202/2022120200787.pdf","stabilisation")</f>
        <v/>
      </c>
      <c r="AW148" s="26" t="inlineStr">
        <is>
          <t>A/H: no A-share listing</t>
        </is>
      </c>
    </row>
    <row r="149">
      <c r="A149" s="25" t="inlineStr">
        <is>
          <t>2420</t>
        </is>
      </c>
      <c r="B149" s="26" t="inlineStr">
        <is>
          <t>ZIBUYU</t>
        </is>
      </c>
      <c r="C149" s="26" t="inlineStr">
        <is>
          <t>子不語</t>
        </is>
      </c>
      <c r="D149" s="26" t="inlineStr">
        <is>
          <t>Tech/AI</t>
        </is>
      </c>
      <c r="E149" s="26" t="inlineStr">
        <is>
          <t>Internet platform / e-commerce</t>
        </is>
      </c>
      <c r="F149" s="26" t="inlineStr">
        <is>
          <t>Standard</t>
        </is>
      </c>
      <c r="G149" s="27" t="n">
        <v>44876</v>
      </c>
      <c r="H149" s="28" t="n">
        <v>229.9</v>
      </c>
      <c r="I149" s="26" t="inlineStr">
        <is>
          <t>gross (price x shares)</t>
        </is>
      </c>
      <c r="J149" s="29" t="n">
        <v>7.86</v>
      </c>
      <c r="K149" s="29" t="n">
        <v>9.42</v>
      </c>
      <c r="L149" s="29" t="n">
        <v>7.86</v>
      </c>
      <c r="M149" s="26" t="inlineStr">
        <is>
          <t>N</t>
        </is>
      </c>
      <c r="N149" s="30" t="n">
        <v>83.40000000000001</v>
      </c>
      <c r="O149" s="28" t="n">
        <v>3930</v>
      </c>
      <c r="P149" s="26" t="inlineStr">
        <is>
          <t>prospectus:stated market capitalisation</t>
        </is>
      </c>
      <c r="Q149" s="31" t="n">
        <v>1.91</v>
      </c>
      <c r="R149" s="32" t="n">
        <v>1.56</v>
      </c>
      <c r="S149" s="33" t="n">
        <v>37.9</v>
      </c>
      <c r="T149" s="26" t="inlineStr">
        <is>
          <t>De Well Group Singapore Pte. Ltd; 廣發基金管理有限公司; 浙江伊芙麗實業有限公司</t>
        </is>
      </c>
      <c r="U149" s="30" t="n"/>
      <c r="V149" s="26" t="n"/>
      <c r="W149" s="34" t="n">
        <v>5.47</v>
      </c>
      <c r="X149" s="34" t="n">
        <v>-16.41</v>
      </c>
      <c r="Y149" s="34" t="n">
        <v>-20.87</v>
      </c>
      <c r="Z149" s="34" t="n">
        <v>-33.84</v>
      </c>
      <c r="AA149" s="34" t="n">
        <v>-24.97</v>
      </c>
      <c r="AB149" s="34" t="n">
        <v>-52.69</v>
      </c>
      <c r="AC149" s="34" t="n">
        <v>31.82</v>
      </c>
      <c r="AD149" s="26" t="inlineStr">
        <is>
          <t>HSTECH (Hang Seng TECH ETF)</t>
        </is>
      </c>
      <c r="AE149" s="34" t="n">
        <v>-51.78</v>
      </c>
      <c r="AF149" s="28" t="n">
        <v>-0</v>
      </c>
      <c r="AG149" s="28" t="n">
        <v>220.6</v>
      </c>
      <c r="AH149" s="26" t="inlineStr">
        <is>
          <t>Y</t>
        </is>
      </c>
      <c r="AI149" s="35" t="n">
        <v>17.8</v>
      </c>
      <c r="AJ149" s="35" t="n"/>
      <c r="AK149" s="26" t="inlineStr">
        <is>
          <t>N</t>
        </is>
      </c>
      <c r="AL149" s="36">
        <f>IF('BBG Verify'!K149="","not filed — run on terminal",'BBG Verify'!K149)</f>
        <v/>
      </c>
      <c r="AM149" s="26" t="inlineStr">
        <is>
          <t>N/A</t>
        </is>
      </c>
      <c r="AN149" s="26" t="inlineStr">
        <is>
          <t>N/A</t>
        </is>
      </c>
      <c r="AO149" s="26" t="inlineStr">
        <is>
          <t>N/A</t>
        </is>
      </c>
      <c r="AP149" s="26" t="inlineStr">
        <is>
          <t>and Sponsor-OC Huatai Financial Holdings (Hong Kong) Limited; ABCI Capital Limited</t>
        </is>
      </c>
      <c r="AQ149" s="26" t="inlineStr">
        <is>
          <t>華泰金融控股(香港)有限公司; 農銀國際融資有限公司</t>
        </is>
      </c>
      <c r="AR149" s="26" t="inlineStr">
        <is>
          <t>Huatai Financial Holdings (Hong Kong) Limited; ABCI Capital Limited; Shenwan Hongyuan Securities (H.K.) Limited; BOCOM International Securities Limited</t>
        </is>
      </c>
      <c r="AS149" s="26" t="inlineStr">
        <is>
          <t>農銀國際證券有限公司; Beta International Securities Limited; 富途證券國際（香港）有限公司; 國泰君安證券(香港)有限公司; 華泰金融控股(香港)有限公司; 申萬宏源證券（香港）有限公司; 勝利證券有限公司</t>
        </is>
      </c>
      <c r="AT149" s="37">
        <f>HYPERLINK("https://www1.hkexnews.hk/listedco/listconews/sehk/2022/1031/2022103100013.pdf","prospectus")</f>
        <v/>
      </c>
      <c r="AU149" s="37">
        <f>HYPERLINK("https://www1.hkexnews.hk/listedco/listconews/sehk/2022/1110/2022111000034.htm","allotment")</f>
        <v/>
      </c>
      <c r="AV149" s="26" t="n"/>
      <c r="AW149" s="26" t="inlineStr">
        <is>
          <t>greenshoe: no over-allotment option in the offer structure · A/H: no A-share listing · cornerstone: AAStocks institutional table includes non-cornerstone orders (superset) — cornerstone % is from the prospectus</t>
        </is>
      </c>
    </row>
    <row r="150">
      <c r="A150" s="25" t="inlineStr">
        <is>
          <t>1407</t>
        </is>
      </c>
      <c r="B150" s="26" t="inlineStr">
        <is>
          <t>JY GAS</t>
        </is>
      </c>
      <c r="C150" s="26" t="inlineStr">
        <is>
          <t>交運燃氣</t>
        </is>
      </c>
      <c r="D150" s="26" t="inlineStr">
        <is>
          <t>Materials/Energy</t>
        </is>
      </c>
      <c r="E150" s="26" t="inlineStr">
        <is>
          <t>Oil &amp; gas / utilities</t>
        </is>
      </c>
      <c r="F150" s="26" t="inlineStr">
        <is>
          <t>Standard</t>
        </is>
      </c>
      <c r="G150" s="27" t="n">
        <v>44881</v>
      </c>
      <c r="H150" s="28" t="n">
        <v>156.2</v>
      </c>
      <c r="I150" s="26" t="inlineStr">
        <is>
          <t>gross (price x shares)</t>
        </is>
      </c>
      <c r="J150" s="29" t="n">
        <v>1.42</v>
      </c>
      <c r="K150" s="29" t="n">
        <v>1.62</v>
      </c>
      <c r="L150" s="29" t="n">
        <v>1.42</v>
      </c>
      <c r="M150" s="26" t="inlineStr">
        <is>
          <t>N</t>
        </is>
      </c>
      <c r="N150" s="30" t="n">
        <v>87.7</v>
      </c>
      <c r="O150" s="28" t="n">
        <v>701.9</v>
      </c>
      <c r="P150" s="26" t="inlineStr">
        <is>
          <t>aastocks:上市市值 at the struck price</t>
        </is>
      </c>
      <c r="Q150" s="31" t="n">
        <v>7.15</v>
      </c>
      <c r="R150" s="32" t="n">
        <v>1.17</v>
      </c>
      <c r="S150" s="33" t="n">
        <v>0</v>
      </c>
      <c r="T150" s="26" t="n"/>
      <c r="U150" s="30" t="n">
        <v>10</v>
      </c>
      <c r="V150" s="26" t="inlineStr">
        <is>
          <t>lapsed (no over-allocation)</t>
        </is>
      </c>
      <c r="W150" s="34" t="n">
        <v>0</v>
      </c>
      <c r="X150" s="34" t="n">
        <v>-5.63</v>
      </c>
      <c r="Y150" s="34" t="n">
        <v>-25.35</v>
      </c>
      <c r="Z150" s="34" t="n">
        <v>-47.89</v>
      </c>
      <c r="AA150" s="34" t="n">
        <v>-25.35</v>
      </c>
      <c r="AB150" s="34" t="n">
        <v>-30.32</v>
      </c>
      <c r="AC150" s="34" t="n">
        <v>4.97</v>
      </c>
      <c r="AD150" s="26" t="inlineStr">
        <is>
          <t>Hang Seng Utilities sub-index</t>
        </is>
      </c>
      <c r="AE150" s="34" t="n">
        <v>-58.1</v>
      </c>
      <c r="AF150" s="28" t="n">
        <v>485</v>
      </c>
      <c r="AG150" s="28" t="n">
        <v>75.2</v>
      </c>
      <c r="AH150" s="26" t="inlineStr">
        <is>
          <t>Y</t>
        </is>
      </c>
      <c r="AI150" s="35" t="n">
        <v>9.300000000000001</v>
      </c>
      <c r="AJ150" s="35" t="n">
        <v>1.4</v>
      </c>
      <c r="AK150" s="26" t="inlineStr">
        <is>
          <t>N</t>
        </is>
      </c>
      <c r="AL150" s="36">
        <f>IF('BBG Verify'!K150="","not filed — run on terminal",'BBG Verify'!K150)</f>
        <v/>
      </c>
      <c r="AM150" s="26" t="inlineStr">
        <is>
          <t>N/A</t>
        </is>
      </c>
      <c r="AN150" s="26" t="inlineStr">
        <is>
          <t>N/A</t>
        </is>
      </c>
      <c r="AO150" s="26" t="inlineStr">
        <is>
          <t>N/A</t>
        </is>
      </c>
      <c r="AP150" s="26" t="inlineStr">
        <is>
          <t>China Industrial Securities International Capital Limited</t>
        </is>
      </c>
      <c r="AQ150" s="26" t="inlineStr">
        <is>
          <t>興證國際融資有限公司</t>
        </is>
      </c>
      <c r="AR150" s="26"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AS150" s="26" t="inlineStr">
        <is>
          <t>農銀國際證券有限公司; Beta International Securities Limited; 建銀國際金融有限公司; 光銀國際資本有限公司; 中國光大證券(香港)有限公司; 興證國際融資有限公司; 民銀證券有限公司; 工銀國際證券有限公司; 利弗莫爾證券有限公司; 邁時資本有限公司; 軟庫中華金融服務有限公司; 浦銀國際融資有限公司; 華盛資本証券有限公司; 中泰國際證券有限公司</t>
        </is>
      </c>
      <c r="AT150" s="37">
        <f>HYPERLINK("https://www1.hkexnews.hk/listedco/listconews/sehk/2022/1031/2022103100007.pdf","prospectus")</f>
        <v/>
      </c>
      <c r="AU150" s="37">
        <f>HYPERLINK("https://www1.hkexnews.hk/listedco/listconews/sehk/2022/1115/2022111500160.htm","allotment")</f>
        <v/>
      </c>
      <c r="AV150" s="37">
        <f>HYPERLINK("https://www1.hkexnews.hk/listedco/listconews/sehk/2022/1208/2022120800587.pdf","stabilisation")</f>
        <v/>
      </c>
      <c r="AW150" s="26" t="inlineStr">
        <is>
          <t>A/H: no A-share listing · market cap: estimate from deal size / offer % of enlarged capital disagreed with the published listing cap — published figure adopted</t>
        </is>
      </c>
    </row>
    <row r="151">
      <c r="A151" s="25" t="inlineStr">
        <is>
          <t>2436</t>
        </is>
      </c>
      <c r="B151" s="26" t="inlineStr">
        <is>
          <t>LX TECHNOLOGY</t>
        </is>
      </c>
      <c r="C151" s="26" t="inlineStr">
        <is>
          <t>凌雄科技</t>
        </is>
      </c>
      <c r="D151" s="26" t="inlineStr">
        <is>
          <t>Tech/AI</t>
        </is>
      </c>
      <c r="E151" s="26" t="inlineStr">
        <is>
          <t>SaaS / enterprise software</t>
        </is>
      </c>
      <c r="F151" s="26" t="inlineStr">
        <is>
          <t>Standard</t>
        </is>
      </c>
      <c r="G151" s="27" t="n">
        <v>44889</v>
      </c>
      <c r="H151" s="28" t="n">
        <v>404.8</v>
      </c>
      <c r="I151" s="26" t="inlineStr">
        <is>
          <t>gross (price x shares)</t>
        </is>
      </c>
      <c r="J151" s="29" t="n"/>
      <c r="K151" s="29" t="n">
        <v>8.74</v>
      </c>
      <c r="L151" s="29" t="n">
        <v>7.6</v>
      </c>
      <c r="M151" s="26" t="inlineStr">
        <is>
          <t>N</t>
        </is>
      </c>
      <c r="N151" s="30" t="n">
        <v>87</v>
      </c>
      <c r="O151" s="28" t="n">
        <v>2684.4</v>
      </c>
      <c r="P151" s="26" t="inlineStr">
        <is>
          <t>derived:deal size / offer % of enlarged capital</t>
        </is>
      </c>
      <c r="Q151" s="31" t="n">
        <v>6.16</v>
      </c>
      <c r="R151" s="32" t="n">
        <v>1.12</v>
      </c>
      <c r="S151" s="33" t="n">
        <v>0</v>
      </c>
      <c r="T151" s="26" t="n"/>
      <c r="U151" s="30" t="n">
        <v>5.06</v>
      </c>
      <c r="V151" s="26" t="n"/>
      <c r="W151" s="34" t="n">
        <v>2.63</v>
      </c>
      <c r="X151" s="34" t="n">
        <v>18.29</v>
      </c>
      <c r="Y151" s="34" t="n">
        <v>43.42</v>
      </c>
      <c r="Z151" s="34" t="n">
        <v>77.37</v>
      </c>
      <c r="AA151" s="34" t="n">
        <v>39.74</v>
      </c>
      <c r="AB151" s="34" t="n">
        <v>27.34</v>
      </c>
      <c r="AC151" s="34" t="n">
        <v>16.08</v>
      </c>
      <c r="AD151" s="26" t="inlineStr">
        <is>
          <t>HSTECH (Hang Seng TECH ETF)</t>
        </is>
      </c>
      <c r="AE151" s="34" t="n">
        <v>170.26</v>
      </c>
      <c r="AF151" s="28" t="n">
        <v>1463.4</v>
      </c>
      <c r="AG151" s="28" t="n">
        <v>-493.6</v>
      </c>
      <c r="AH151" s="26" t="inlineStr">
        <is>
          <t>N</t>
        </is>
      </c>
      <c r="AI151" s="38">
        <f>IF('BBG Verify'!O151="","not filed — run on terminal",'BBG Verify'!O151)</f>
        <v/>
      </c>
      <c r="AJ151" s="35" t="n">
        <v>1.8</v>
      </c>
      <c r="AK151" s="26" t="inlineStr">
        <is>
          <t>N</t>
        </is>
      </c>
      <c r="AL151" s="36">
        <f>IF('BBG Verify'!K151="","not filed — run on terminal",'BBG Verify'!K151)</f>
        <v/>
      </c>
      <c r="AM151" s="26" t="inlineStr">
        <is>
          <t>N/A</t>
        </is>
      </c>
      <c r="AN151" s="26" t="inlineStr">
        <is>
          <t>N/A</t>
        </is>
      </c>
      <c r="AO151" s="26" t="inlineStr">
        <is>
          <t>N/A</t>
        </is>
      </c>
      <c r="AP151" s="26" t="inlineStr">
        <is>
          <t>Haitong International Capital Limited</t>
        </is>
      </c>
      <c r="AQ151" s="26" t="inlineStr">
        <is>
          <t>海通國際資本有限公司</t>
        </is>
      </c>
      <c r="AR151" s="26" t="inlineStr">
        <is>
          <t>Haitong International Securities Company Limited; Futu Securities International (Hong Kong) Limited; Tiger Brokers (HK) Global Limited; Dragonstone Capital Management Limited</t>
        </is>
      </c>
      <c r="AS151" s="26" t="inlineStr">
        <is>
          <t>山高國際證券有限公司; 龍石資本管理有限公司; 富途證券國際（香港）有限公司; 海通國際證券有限公司; 邁時資本有限公司; 佳富達證券有限公司; 老虎證券（香港）環球有限公司</t>
        </is>
      </c>
      <c r="AT151" s="37">
        <f>HYPERLINK("https://www1.hkexnews.hk/listedco/listconews/sehk/2022/1114/2022111400005.pdf","prospectus")</f>
        <v/>
      </c>
      <c r="AU151" s="37">
        <f>HYPERLINK("https://www1.hkexnews.hk/listedco/listconews/sehk/2022/1123/2022112300038.htm","allotment")</f>
        <v/>
      </c>
      <c r="AV151" s="26" t="n"/>
      <c r="AW151" s="26" t="inlineStr">
        <is>
          <t>P/E: n/m — loss-making at IPO (use P/S) · greenshoe: end-of-stabilisation notice not located · A/H: no A-share listing</t>
        </is>
      </c>
    </row>
    <row r="152">
      <c r="A152" s="25" t="inlineStr">
        <is>
          <t>3660</t>
        </is>
      </c>
      <c r="B152" s="26" t="inlineStr">
        <is>
          <t>360 DIGITECH-S</t>
        </is>
      </c>
      <c r="C152" s="26" t="inlineStr">
        <is>
          <t>奇富科技－Ｓ</t>
        </is>
      </c>
      <c r="D152" s="26" t="inlineStr">
        <is>
          <t>Tech/AI</t>
        </is>
      </c>
      <c r="E152" s="26" t="inlineStr">
        <is>
          <t>Fintech platform</t>
        </is>
      </c>
      <c r="F152" s="26" t="inlineStr">
        <is>
          <t>Secondary</t>
        </is>
      </c>
      <c r="G152" s="27" t="n">
        <v>44894</v>
      </c>
      <c r="H152" s="28" t="n">
        <v>277.2</v>
      </c>
      <c r="I152" s="26" t="inlineStr">
        <is>
          <t>gross (price x shares)</t>
        </is>
      </c>
      <c r="J152" s="29" t="n"/>
      <c r="K152" s="29" t="n">
        <v>50.03</v>
      </c>
      <c r="L152" s="29" t="n">
        <v>50.03</v>
      </c>
      <c r="M152" s="26" t="inlineStr">
        <is>
          <t>Y</t>
        </is>
      </c>
      <c r="N152" s="30" t="n">
        <v>100</v>
      </c>
      <c r="O152" s="28" t="n">
        <v>28200</v>
      </c>
      <c r="P152" s="26" t="inlineStr">
        <is>
          <t>prospectus:stated market capitalisation</t>
        </is>
      </c>
      <c r="Q152" s="31" t="n">
        <v>2.46</v>
      </c>
      <c r="R152" s="32" t="n">
        <v>5.3</v>
      </c>
      <c r="S152" s="33" t="n"/>
      <c r="T152" s="26" t="n"/>
      <c r="U152" s="30" t="n">
        <v>10</v>
      </c>
      <c r="V152" s="26" t="n"/>
      <c r="W152" s="34" t="n">
        <v>3.44</v>
      </c>
      <c r="X152" s="34" t="n">
        <v>33.82</v>
      </c>
      <c r="Y152" s="34" t="n">
        <v>57.31</v>
      </c>
      <c r="Z152" s="34" t="n">
        <v>67.90000000000001</v>
      </c>
      <c r="AA152" s="34" t="n">
        <v>52.08</v>
      </c>
      <c r="AB152" s="34" t="n">
        <v>37.06</v>
      </c>
      <c r="AC152" s="34" t="n">
        <v>20.25</v>
      </c>
      <c r="AD152" s="26" t="inlineStr">
        <is>
          <t>HSTECH (Hang Seng TECH ETF)</t>
        </is>
      </c>
      <c r="AE152" s="34" t="n">
        <v>-5.06</v>
      </c>
      <c r="AF152" s="28" t="n">
        <v>2.2</v>
      </c>
      <c r="AG152" s="28" t="n">
        <v>6359.9</v>
      </c>
      <c r="AH152" s="26" t="inlineStr">
        <is>
          <t>Y</t>
        </is>
      </c>
      <c r="AI152" s="35" t="n">
        <v>4.4</v>
      </c>
      <c r="AJ152" s="35" t="n">
        <v>12818.2</v>
      </c>
      <c r="AK152" s="26" t="inlineStr">
        <is>
          <t>N</t>
        </is>
      </c>
      <c r="AL152" s="36">
        <f>IF('BBG Verify'!K152="","not filed — run on terminal",'BBG Verify'!K152)</f>
        <v/>
      </c>
      <c r="AM152" s="26" t="inlineStr">
        <is>
          <t>N/A</t>
        </is>
      </c>
      <c r="AN152" s="26" t="inlineStr">
        <is>
          <t>N/A</t>
        </is>
      </c>
      <c r="AO152" s="26" t="inlineStr">
        <is>
          <t>N/A</t>
        </is>
      </c>
      <c r="AP152" s="26" t="inlineStr">
        <is>
          <t>Citigroup Global Markets Asia Limited; China International Capital Corporation Hong Kong Securities Limited</t>
        </is>
      </c>
      <c r="AQ152" s="26" t="inlineStr">
        <is>
          <t>中國國際金融香港證券有限公司; 花旗環球金融亞洲有限公司</t>
        </is>
      </c>
      <c r="AR152" s="26" t="inlineStr">
        <is>
          <t>Citigroup Global Markets Asia Limited; China International Capital Corporation Hong Kong Securities Limited; Citigroup Global Markets Limited; – 198 – China International Capital Corporation Hong Kong Securities Limited; CCB International Capital Limited; Futu Securities International (Hong Kong) Limited; Tiger Brokers (HK) Global Limited</t>
        </is>
      </c>
      <c r="AS152" s="26" t="inlineStr">
        <is>
          <t>建銀國際金融有限公司; 花旗環球金融亞洲有限公司; 中國國際金融香港證券有限公司; 富途證券國際（香港）有限公司; 利弗莫爾證券有限公司; 老虎證券（香港）環球有限公司</t>
        </is>
      </c>
      <c r="AT152" s="37">
        <f>HYPERLINK("https://www1.hkexnews.hk/listedco/listconews/sehk/2022/1118/2022111800030.htm","prospectus")</f>
        <v/>
      </c>
      <c r="AU152" s="37">
        <f>HYPERLINK("https://www1.hkexnews.hk/listedco/listconews/sehk/2022/1128/2022112800016.htm","allotment")</f>
        <v/>
      </c>
      <c r="AV152" s="26" t="n"/>
      <c r="AW152" s="26" t="inlineStr">
        <is>
          <t>greenshoe: end-of-stabilisation notice not located · price range: fixed-price offering (no indicative range) · A/H: no A-share listing</t>
        </is>
      </c>
    </row>
    <row r="153">
      <c r="A153" s="25" t="inlineStr">
        <is>
          <t>2245</t>
        </is>
      </c>
      <c r="B153" s="26" t="inlineStr">
        <is>
          <t>LYGEND RESOURCE</t>
        </is>
      </c>
      <c r="C153" s="26" t="inlineStr">
        <is>
          <t>力勤資源</t>
        </is>
      </c>
      <c r="D153" s="26" t="inlineStr">
        <is>
          <t>Materials/Energy</t>
        </is>
      </c>
      <c r="E153" s="26" t="inlineStr">
        <is>
          <t>Mining / metals</t>
        </is>
      </c>
      <c r="F153" s="26" t="inlineStr">
        <is>
          <t>Standard</t>
        </is>
      </c>
      <c r="G153" s="27" t="n">
        <v>44896</v>
      </c>
      <c r="H153" s="28" t="n">
        <v>3674.3</v>
      </c>
      <c r="I153" s="26" t="inlineStr">
        <is>
          <t>gross (price x shares)</t>
        </is>
      </c>
      <c r="J153" s="29" t="n"/>
      <c r="K153" s="29" t="n">
        <v>19.96</v>
      </c>
      <c r="L153" s="29" t="n">
        <v>15.8</v>
      </c>
      <c r="M153" s="26" t="inlineStr">
        <is>
          <t>N</t>
        </is>
      </c>
      <c r="N153" s="30" t="n">
        <v>79.2</v>
      </c>
      <c r="O153" s="28" t="n">
        <v>27664.5</v>
      </c>
      <c r="P153" s="26" t="inlineStr">
        <is>
          <t>aastocks:上市市值 at the struck price</t>
        </is>
      </c>
      <c r="Q153" s="31" t="n">
        <v>1.47</v>
      </c>
      <c r="R153" s="32" t="n">
        <v>1.4</v>
      </c>
      <c r="S153" s="33" t="n">
        <v>10</v>
      </c>
      <c r="T153" s="26" t="inlineStr">
        <is>
          <t>混合所有制改革基金; 格林美香港國際物流有限公司; 香港邦普時代新能源有限公司; 湖北容百電池三角壹號股權投資基金合伙企業（有限合伙）; 寧波市鄞州區金融控股有限公司</t>
        </is>
      </c>
      <c r="U153" s="30" t="n">
        <v>15</v>
      </c>
      <c r="V153" s="26" t="inlineStr">
        <is>
          <t>partial</t>
        </is>
      </c>
      <c r="W153" s="34" t="n">
        <v>0</v>
      </c>
      <c r="X153" s="34" t="n">
        <v>-3.67</v>
      </c>
      <c r="Y153" s="34" t="n">
        <v>1.14</v>
      </c>
      <c r="Z153" s="34" t="n">
        <v>-19.37</v>
      </c>
      <c r="AA153" s="34" t="n">
        <v>1.14</v>
      </c>
      <c r="AB153" s="34" t="n">
        <v>-5.92</v>
      </c>
      <c r="AC153" s="34" t="n">
        <v>7.06</v>
      </c>
      <c r="AD153" s="26" t="inlineStr">
        <is>
          <t>Hang Seng Utilities sub-index</t>
        </is>
      </c>
      <c r="AE153" s="34" t="n">
        <v>3.54</v>
      </c>
      <c r="AF153" s="28" t="n">
        <v>13694.2</v>
      </c>
      <c r="AG153" s="28" t="n">
        <v>1386</v>
      </c>
      <c r="AH153" s="26" t="inlineStr">
        <is>
          <t>Y</t>
        </is>
      </c>
      <c r="AI153" s="35" t="n">
        <v>20</v>
      </c>
      <c r="AJ153" s="35" t="n">
        <v>2</v>
      </c>
      <c r="AK153" s="26" t="inlineStr">
        <is>
          <t>N</t>
        </is>
      </c>
      <c r="AL153" s="36">
        <f>IF('BBG Verify'!K153="","not filed — run on terminal",'BBG Verify'!K153)</f>
        <v/>
      </c>
      <c r="AM153" s="26" t="inlineStr">
        <is>
          <t>N/A</t>
        </is>
      </c>
      <c r="AN153" s="26" t="inlineStr">
        <is>
          <t>N/A</t>
        </is>
      </c>
      <c r="AO153" s="26" t="inlineStr">
        <is>
          <t>N/A</t>
        </is>
      </c>
      <c r="AP153" s="26" t="inlineStr">
        <is>
          <t>China International Capital Corporation Hong Kong Securities Limited; CMB International Capital Limited</t>
        </is>
      </c>
      <c r="AQ153" s="26" t="inlineStr">
        <is>
          <t>中國國際金融香港證券有限公司; 招銀國際融資有限公司</t>
        </is>
      </c>
      <c r="AR153" s="26" t="inlineStr">
        <is>
          <t>China International Capital Corporation Hong Kong Securities Limited; CMB International Capital Limited; Central, Hong Kong BOCI Asia Limited; Central, Hong Kong DBS Asia Capital Limited; ABCI Capital Limited; BNP Paribas Securities (Asia) Limited</t>
        </is>
      </c>
      <c r="AS153" s="26" t="inlineStr">
        <is>
          <t>農銀國際證券有限公司; 法國巴黎證券（亞洲）有限公司; 中銀國際亞洲有限公司; 中國國際金融香港證券有限公司; 招銀國際融資有限公司; 星展亞洲融資有限公司; 元庫證券有限公司</t>
        </is>
      </c>
      <c r="AT153" s="37">
        <f>HYPERLINK("https://www1.hkexnews.hk/listedco/listconews/sehk/2022/1121/2022112100023.htm","prospectus")</f>
        <v/>
      </c>
      <c r="AU153" s="37">
        <f>HYPERLINK("https://www1.hkexnews.hk/listedco/listconews/sehk/2022/1130/2022113000304.htm","allotment")</f>
        <v/>
      </c>
      <c r="AV153" s="37">
        <f>HYPERLINK("https://www1.hkexnews.hk/listedco/listconews/sehk/2022/1228/2022122801241.pdf","stabilisation")</f>
        <v/>
      </c>
      <c r="AW153" s="26" t="inlineStr">
        <is>
          <t>A/H: no A-share listing · market cap: estimate from stated market capitalisation disagreed with the published listing cap — published figure adopted · cornerstone: AAStocks institutional table includes non-cornerstone orders (superset) — cornerstone % is from the prospectus</t>
        </is>
      </c>
    </row>
    <row r="154">
      <c r="A154" s="25" t="inlineStr">
        <is>
          <t>6963</t>
        </is>
      </c>
      <c r="B154" s="26" t="inlineStr">
        <is>
          <t>SUNSHINE INS</t>
        </is>
      </c>
      <c r="C154" s="26" t="inlineStr">
        <is>
          <t>陽光保險</t>
        </is>
      </c>
      <c r="D154" s="26" t="inlineStr">
        <is>
          <t>Financials</t>
        </is>
      </c>
      <c r="E154" s="26" t="inlineStr">
        <is>
          <t>Insurance</t>
        </is>
      </c>
      <c r="F154" s="26" t="inlineStr">
        <is>
          <t>Standard</t>
        </is>
      </c>
      <c r="G154" s="27" t="n">
        <v>44904</v>
      </c>
      <c r="H154" s="28" t="n">
        <v>6705.4</v>
      </c>
      <c r="I154" s="26" t="inlineStr">
        <is>
          <t>gross (price x shares)</t>
        </is>
      </c>
      <c r="J154" s="29" t="n"/>
      <c r="K154" s="29" t="n">
        <v>6.45</v>
      </c>
      <c r="L154" s="29" t="n">
        <v>5.83</v>
      </c>
      <c r="M154" s="26" t="inlineStr">
        <is>
          <t>N</t>
        </is>
      </c>
      <c r="N154" s="30" t="n">
        <v>90.40000000000001</v>
      </c>
      <c r="O154" s="28" t="n">
        <v>59182.7</v>
      </c>
      <c r="P154" s="26" t="inlineStr">
        <is>
          <t>derived:deal size / offer % of enlarged capital</t>
        </is>
      </c>
      <c r="Q154" s="31" t="n">
        <v>0.13</v>
      </c>
      <c r="R154" s="32" t="n">
        <v>1.34</v>
      </c>
      <c r="S154" s="33" t="n">
        <v>15</v>
      </c>
      <c r="T154" s="26" t="n"/>
      <c r="U154" s="30" t="n">
        <v>10</v>
      </c>
      <c r="V154" s="26" t="inlineStr">
        <is>
          <t>lapsed</t>
        </is>
      </c>
      <c r="W154" s="34" t="n">
        <v>0</v>
      </c>
      <c r="X154" s="34" t="n">
        <v>-27.27</v>
      </c>
      <c r="Y154" s="34" t="n">
        <v>-12.86</v>
      </c>
      <c r="Z154" s="34" t="n">
        <v>-30.02</v>
      </c>
      <c r="AA154" s="34" t="n">
        <v>-12.86</v>
      </c>
      <c r="AB154" s="34" t="n">
        <v>-23.24</v>
      </c>
      <c r="AC154" s="34" t="n">
        <v>10.38</v>
      </c>
      <c r="AD154" s="26" t="inlineStr">
        <is>
          <t>Hang Seng Finance sub-index</t>
        </is>
      </c>
      <c r="AE154" s="34" t="n">
        <v>-42.11</v>
      </c>
      <c r="AF154" s="28" t="n">
        <v>108190.5</v>
      </c>
      <c r="AG154" s="28" t="n">
        <v>6471.3</v>
      </c>
      <c r="AH154" s="26" t="inlineStr">
        <is>
          <t>Y</t>
        </is>
      </c>
      <c r="AI154" s="35" t="n">
        <v>9.1</v>
      </c>
      <c r="AJ154" s="35" t="n">
        <v>0.5</v>
      </c>
      <c r="AK154" s="26" t="inlineStr">
        <is>
          <t>N</t>
        </is>
      </c>
      <c r="AL154" s="36">
        <f>IF('BBG Verify'!K154="","not filed — run on terminal",'BBG Verify'!K154)</f>
        <v/>
      </c>
      <c r="AM154" s="26" t="inlineStr">
        <is>
          <t>N/A</t>
        </is>
      </c>
      <c r="AN154" s="26" t="inlineStr">
        <is>
          <t>N/A</t>
        </is>
      </c>
      <c r="AO154" s="26" t="inlineStr">
        <is>
          <t>N/A</t>
        </is>
      </c>
      <c r="AP154" s="26" t="inlineStr">
        <is>
          <t>Huatai Financial Holdings (Hong Kong) Limited; China International Capital Corporation Hong Kong Securities Limited; UBS Securities Hong Kong Limited; CCB International Capital Limited</t>
        </is>
      </c>
      <c r="AQ154" s="26" t="inlineStr">
        <is>
          <t>中國國際金融香港證券有限公司; 建銀國際金融有限公司; 瑞銀證券香港有限公司; 華泰金融控股(香港)有限公司</t>
        </is>
      </c>
      <c r="AR154" s="26"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AS154" s="26" t="inlineStr">
        <is>
          <t>農銀國際證券有限公司; Beta International Securities Limited; 法國巴黎證券（亞洲）有限公司; 建銀國際金融有限公司; 中國國際金融香港證券有限公司; 招銀國際金融有限公司; 招商證券(香港)有限公司; 華泰金融控股(香港)有限公司; 工銀國際證券有限公司; 申萬宏源證券（香港）有限公司; 東吳證券國際經紀有限公司; UBS AG 香港分行</t>
        </is>
      </c>
      <c r="AT154" s="37">
        <f>HYPERLINK("https://www1.hkexnews.hk/listedco/listconews/sehk/2022/1130/2022113000027.pdf","prospectus")</f>
        <v/>
      </c>
      <c r="AU154" s="37">
        <f>HYPERLINK("https://www1.hkexnews.hk/listedco/listconews/sehk/2022/1208/2022120800048.htm","allotment")</f>
        <v/>
      </c>
      <c r="AV154" s="37">
        <f>HYPERLINK("https://www1.hkexnews.hk/listedco/listconews/sehk/2023/0105/2023010500005.pdf","stabilisation")</f>
        <v/>
      </c>
      <c r="AW154" s="26" t="inlineStr">
        <is>
          <t>A/H: no A-share listing</t>
        </is>
      </c>
    </row>
    <row r="155">
      <c r="A155" s="25" t="inlineStr">
        <is>
          <t>2407</t>
        </is>
      </c>
      <c r="B155" s="26" t="inlineStr">
        <is>
          <t>GAUSH MEDITECH</t>
        </is>
      </c>
      <c r="C155" s="26" t="inlineStr">
        <is>
          <t>高視醫療</t>
        </is>
      </c>
      <c r="D155" s="26" t="inlineStr">
        <is>
          <t>Healthcare</t>
        </is>
      </c>
      <c r="E155" s="26" t="inlineStr">
        <is>
          <t>Medical devices</t>
        </is>
      </c>
      <c r="F155" s="26" t="inlineStr">
        <is>
          <t>Standard</t>
        </is>
      </c>
      <c r="G155" s="27" t="n">
        <v>44905</v>
      </c>
      <c r="H155" s="28" t="n">
        <v>283.1</v>
      </c>
      <c r="I155" s="26" t="inlineStr">
        <is>
          <t>net proceeds</t>
        </is>
      </c>
      <c r="J155" s="29" t="n"/>
      <c r="K155" s="29" t="n">
        <v>51.4</v>
      </c>
      <c r="L155" s="29" t="n">
        <v>51.4</v>
      </c>
      <c r="M155" s="26" t="inlineStr">
        <is>
          <t>Y</t>
        </is>
      </c>
      <c r="N155" s="30" t="n">
        <v>100</v>
      </c>
      <c r="O155" s="28" t="n">
        <v>2822.5</v>
      </c>
      <c r="P155" s="26" t="inlineStr">
        <is>
          <t>derived:deal size / offer % of enlarged capital</t>
        </is>
      </c>
      <c r="Q155" s="31" t="n">
        <v>1.52</v>
      </c>
      <c r="R155" s="32" t="n">
        <v>1.04</v>
      </c>
      <c r="S155" s="33" t="n">
        <v>94.52</v>
      </c>
      <c r="T155" s="26" t="inlineStr">
        <is>
          <t>CL Kiwi Holding Ltd; 江蘇中德服貿產業投資基金（有限合夥）; 無錫高視創業投資合夥企業（有限合夥）; 無錫視高股權投資合夥企業（有限合夥）</t>
        </is>
      </c>
      <c r="U155" s="30" t="n">
        <v>8.83</v>
      </c>
      <c r="V155" s="26" t="inlineStr">
        <is>
          <t>partial</t>
        </is>
      </c>
      <c r="W155" s="34" t="n">
        <v>0</v>
      </c>
      <c r="X155" s="34" t="n">
        <v>0</v>
      </c>
      <c r="Y155" s="34" t="n">
        <v>-2.72</v>
      </c>
      <c r="Z155" s="34" t="n">
        <v>-4.28</v>
      </c>
      <c r="AA155" s="34" t="n">
        <v>-2.72</v>
      </c>
      <c r="AB155" s="34" t="n">
        <v>-13.03</v>
      </c>
      <c r="AC155" s="34" t="n">
        <v>10.31</v>
      </c>
      <c r="AD155" s="26" t="inlineStr">
        <is>
          <t>China Biotech ETF (HS biotech proxy)</t>
        </is>
      </c>
      <c r="AE155" s="34" t="n">
        <v>-91.01000000000001</v>
      </c>
      <c r="AF155" s="28" t="n">
        <v>1428</v>
      </c>
      <c r="AG155" s="28" t="n">
        <v>-151.8</v>
      </c>
      <c r="AH155" s="26" t="inlineStr">
        <is>
          <t>N</t>
        </is>
      </c>
      <c r="AI155" s="38">
        <f>IF('BBG Verify'!O155="","not filed — run on terminal",'BBG Verify'!O155)</f>
        <v/>
      </c>
      <c r="AJ155" s="35" t="n">
        <v>2</v>
      </c>
      <c r="AK155" s="26" t="inlineStr">
        <is>
          <t>N</t>
        </is>
      </c>
      <c r="AL155" s="36">
        <f>IF('BBG Verify'!K155="","not filed — run on terminal",'BBG Verify'!K155)</f>
        <v/>
      </c>
      <c r="AM155" s="26" t="inlineStr">
        <is>
          <t>N/A</t>
        </is>
      </c>
      <c r="AN155" s="26" t="inlineStr">
        <is>
          <t>N/A</t>
        </is>
      </c>
      <c r="AO155" s="26" t="inlineStr">
        <is>
          <t>N/A</t>
        </is>
      </c>
      <c r="AP155" s="26" t="inlineStr">
        <is>
          <t>Morgan Stanley Asia Limited; Haitong International Capital Limited</t>
        </is>
      </c>
      <c r="AQ155" s="26" t="inlineStr">
        <is>
          <t>摩根士丹利亞洲有限公司; 海通國際資本有限公司</t>
        </is>
      </c>
      <c r="AR155" s="26" t="inlineStr">
        <is>
          <t>Morgan Stanley Asia Limited; Haitong International Securities Company Limited</t>
        </is>
      </c>
      <c r="AS155" s="26" t="inlineStr">
        <is>
          <t>大和資本市場香港有限公司; 富途證券國際（香港）有限公司; 海通國際證券有限公司; 邁時資本有限公司; 摩根士丹利亞洲有限公司; 佳富達證券有限公司; 老虎證券（香港）環球有限公司</t>
        </is>
      </c>
      <c r="AT155" s="37">
        <f>HYPERLINK("https://www1.hkexnews.hk/listedco/listconews/sehk/2022/1130/2022113000167.pdf","prospectus")</f>
        <v/>
      </c>
      <c r="AU155" s="37">
        <f>HYPERLINK("https://www1.hkexnews.hk/listedco/listconews/sehk/2022/1209/2022120900012.htm","allotment")</f>
        <v/>
      </c>
      <c r="AV155" s="37">
        <f>HYPERLINK("https://www1.hkexnews.hk/listedco/listconews/sehk/2023/0104/2023010402177.pdf","stabilisation")</f>
        <v/>
      </c>
      <c r="AW155" s="26" t="inlineStr">
        <is>
          <t>P/E: n/m — loss-making at IPO (use P/S) · A/H: no A-share listing</t>
        </is>
      </c>
    </row>
    <row r="156">
      <c r="A156" s="25" t="inlineStr">
        <is>
          <t>2440</t>
        </is>
      </c>
      <c r="B156" s="26" t="inlineStr">
        <is>
          <t>HOWKINGTECH</t>
        </is>
      </c>
      <c r="C156" s="26" t="inlineStr">
        <is>
          <t>迷策略</t>
        </is>
      </c>
      <c r="D156" s="26" t="inlineStr">
        <is>
          <t>Tech/AI</t>
        </is>
      </c>
      <c r="E156" s="26" t="inlineStr">
        <is>
          <t>SaaS / enterprise software</t>
        </is>
      </c>
      <c r="F156" s="26" t="inlineStr">
        <is>
          <t>Standard</t>
        </is>
      </c>
      <c r="G156" s="27" t="n">
        <v>44905</v>
      </c>
      <c r="H156" s="28" t="n">
        <v>98.3</v>
      </c>
      <c r="I156" s="26" t="inlineStr">
        <is>
          <t>gross (price x shares)</t>
        </is>
      </c>
      <c r="J156" s="29" t="n">
        <v>2.73</v>
      </c>
      <c r="K156" s="29" t="n">
        <v>3.28</v>
      </c>
      <c r="L156" s="29" t="n">
        <v>2.73</v>
      </c>
      <c r="M156" s="26" t="inlineStr">
        <is>
          <t>N</t>
        </is>
      </c>
      <c r="N156" s="30" t="n">
        <v>83.2</v>
      </c>
      <c r="O156" s="28" t="n">
        <v>614.4</v>
      </c>
      <c r="P156" s="26" t="inlineStr">
        <is>
          <t>derived:deal size / offer % of enlarged capital</t>
        </is>
      </c>
      <c r="Q156" s="31" t="n">
        <v>96.73</v>
      </c>
      <c r="R156" s="32" t="n">
        <v>1.1</v>
      </c>
      <c r="S156" s="33" t="n">
        <v>40</v>
      </c>
      <c r="T156" s="26" t="inlineStr">
        <is>
          <t>安吉吉澤（有限合夥）; 安吉開澤（有限合夥）</t>
        </is>
      </c>
      <c r="U156" s="30" t="n">
        <v>9.333</v>
      </c>
      <c r="V156" s="26" t="n"/>
      <c r="W156" s="34" t="n">
        <v>-26.74</v>
      </c>
      <c r="X156" s="34" t="n">
        <v>-41.76</v>
      </c>
      <c r="Y156" s="34" t="n">
        <v>-47.25</v>
      </c>
      <c r="Z156" s="34" t="n">
        <v>-44.69</v>
      </c>
      <c r="AA156" s="34" t="n">
        <v>-28</v>
      </c>
      <c r="AB156" s="34" t="n">
        <v>-51.43</v>
      </c>
      <c r="AC156" s="34" t="n">
        <v>4.18</v>
      </c>
      <c r="AD156" s="26" t="inlineStr">
        <is>
          <t>HSTECH (Hang Seng TECH ETF)</t>
        </is>
      </c>
      <c r="AE156" s="34" t="n">
        <v>-67.03</v>
      </c>
      <c r="AF156" s="28" t="n">
        <v>208.5</v>
      </c>
      <c r="AG156" s="28" t="n">
        <v>37.8</v>
      </c>
      <c r="AH156" s="26" t="inlineStr">
        <is>
          <t>Y</t>
        </is>
      </c>
      <c r="AI156" s="35" t="n">
        <v>16.3</v>
      </c>
      <c r="AJ156" s="35" t="n">
        <v>2.9</v>
      </c>
      <c r="AK156" s="26" t="inlineStr">
        <is>
          <t>N</t>
        </is>
      </c>
      <c r="AL156" s="36">
        <f>IF('BBG Verify'!K156="","not filed — run on terminal",'BBG Verify'!K156)</f>
        <v/>
      </c>
      <c r="AM156" s="26" t="inlineStr">
        <is>
          <t>N/A</t>
        </is>
      </c>
      <c r="AN156" s="26" t="inlineStr">
        <is>
          <t>N/A</t>
        </is>
      </c>
      <c r="AO156" s="26" t="inlineStr">
        <is>
          <t>N/A</t>
        </is>
      </c>
      <c r="AP156" s="26" t="inlineStr">
        <is>
          <t>Ping An of China Capital (Hong Kong) Company Limited</t>
        </is>
      </c>
      <c r="AQ156" s="26" t="inlineStr">
        <is>
          <t>中國平安資本（香港）有限公司</t>
        </is>
      </c>
      <c r="AR156" s="26" t="inlineStr">
        <is>
          <t>China PA Securities (Hong Kong) Company Limited; Innovax Securities Limited; CMBC Securities Company Limited; Valuable Capital Limited</t>
        </is>
      </c>
      <c r="AS156" s="26" t="inlineStr">
        <is>
          <t>中州國際融資有限公司; 民銀證券有限公司; 平證證券（香港）有限公司; 創陞證券有限公司; 力高證券有限公司; 老虎證券（香港）環球有限公司; 華盛資本証券有限公司</t>
        </is>
      </c>
      <c r="AT156" s="37">
        <f>HYPERLINK("https://www1.hkexnews.hk/listedco/listconews/sehk/2022/1130/2022113000131.pdf","prospectus")</f>
        <v/>
      </c>
      <c r="AU156" s="37">
        <f>HYPERLINK("https://www1.hkexnews.hk/listedco/listconews/sehk/2022/1209/2022120900148.htm","allotment")</f>
        <v/>
      </c>
      <c r="AV156" s="26" t="n"/>
      <c r="AW156" s="26" t="inlineStr">
        <is>
          <t>greenshoe: end-of-stabilisation notice not located · A/H: no A-share listing · cornerstone: AAStocks institutional table includes non-cornerstone orders (superset) — cornerstone % is from the prospectus</t>
        </is>
      </c>
    </row>
    <row r="157">
      <c r="A157" s="25" t="inlineStr">
        <is>
          <t>1947</t>
        </is>
      </c>
      <c r="B157" s="26" t="inlineStr">
        <is>
          <t>MEIHAO GROUP</t>
        </is>
      </c>
      <c r="C157" s="26" t="inlineStr">
        <is>
          <t>美皓集團</t>
        </is>
      </c>
      <c r="D157" s="26" t="inlineStr">
        <is>
          <t>Healthcare</t>
        </is>
      </c>
      <c r="E157" s="26" t="inlineStr">
        <is>
          <t>Hospitals / clinics</t>
        </is>
      </c>
      <c r="F157" s="26" t="inlineStr">
        <is>
          <t>Standard</t>
        </is>
      </c>
      <c r="G157" s="27" t="n">
        <v>44909</v>
      </c>
      <c r="H157" s="28" t="n">
        <v>126</v>
      </c>
      <c r="I157" s="26" t="inlineStr">
        <is>
          <t>gross (price x shares)</t>
        </is>
      </c>
      <c r="J157" s="29" t="n"/>
      <c r="K157" s="29" t="n">
        <v>1</v>
      </c>
      <c r="L157" s="29" t="n">
        <v>0.84</v>
      </c>
      <c r="M157" s="26" t="inlineStr">
        <is>
          <t>N</t>
        </is>
      </c>
      <c r="N157" s="30" t="n">
        <v>84</v>
      </c>
      <c r="O157" s="28" t="n">
        <v>560</v>
      </c>
      <c r="P157" s="26" t="inlineStr">
        <is>
          <t>derived:deal size / offer % of enlarged capital</t>
        </is>
      </c>
      <c r="Q157" s="31" t="n">
        <v>41.31</v>
      </c>
      <c r="R157" s="32" t="n">
        <v>1.37</v>
      </c>
      <c r="S157" s="33" t="n">
        <v>0</v>
      </c>
      <c r="T157" s="26" t="n"/>
      <c r="U157" s="30" t="n">
        <v>10</v>
      </c>
      <c r="V157" s="26" t="inlineStr">
        <is>
          <t>lapsed (no over-allocation)</t>
        </is>
      </c>
      <c r="W157" s="34" t="n">
        <v>-14.29</v>
      </c>
      <c r="X157" s="34" t="n">
        <v>-39.29</v>
      </c>
      <c r="Y157" s="34" t="n">
        <v>-36.9</v>
      </c>
      <c r="Z157" s="34" t="n">
        <v>-40.48</v>
      </c>
      <c r="AA157" s="34" t="n">
        <v>-26.38</v>
      </c>
      <c r="AB157" s="34" t="n">
        <v>-46.59</v>
      </c>
      <c r="AC157" s="34" t="n">
        <v>9.69</v>
      </c>
      <c r="AD157" s="26" t="inlineStr">
        <is>
          <t>China Biotech ETF (HS biotech proxy)</t>
        </is>
      </c>
      <c r="AE157" s="34" t="n">
        <v>-34.52</v>
      </c>
      <c r="AF157" s="28" t="n">
        <v>115.8</v>
      </c>
      <c r="AG157" s="28" t="n">
        <v>35.4</v>
      </c>
      <c r="AH157" s="26" t="inlineStr">
        <is>
          <t>Y</t>
        </is>
      </c>
      <c r="AI157" s="35" t="n">
        <v>15.8</v>
      </c>
      <c r="AJ157" s="35" t="n">
        <v>4.8</v>
      </c>
      <c r="AK157" s="26" t="inlineStr">
        <is>
          <t>N</t>
        </is>
      </c>
      <c r="AL157" s="36">
        <f>IF('BBG Verify'!K157="","not filed — run on terminal",'BBG Verify'!K157)</f>
        <v/>
      </c>
      <c r="AM157" s="26" t="inlineStr">
        <is>
          <t>N/A</t>
        </is>
      </c>
      <c r="AN157" s="26" t="inlineStr">
        <is>
          <t>N/A</t>
        </is>
      </c>
      <c r="AO157" s="26" t="inlineStr">
        <is>
          <t>N/A</t>
        </is>
      </c>
      <c r="AP157" s="26" t="inlineStr">
        <is>
          <t>Innovax Capital Limited; Sinolink Securities (Hong Kong) Company Limited</t>
        </is>
      </c>
      <c r="AQ157" s="26" t="inlineStr">
        <is>
          <t>創陞融資有限公司; 國金證券（香港）有限公司</t>
        </is>
      </c>
      <c r="AR157" s="26" t="inlineStr">
        <is>
          <t>Innovax Securities Limited; DIRECTORS AND PARTIES INVOLVED IN THE GLOBAL OFFERING –8 7– WE Securities Limited; Managers Innovax Securities Limited; WE Securities Limited; Sinolink Securities (Hong Kong) Company Limited; Guotai Junan Securities (Hong Kong) Limited; CCB International Capital Limited; Central, Hong Kong CMBC Securities Company Limited; CSFG International Securities Limited; HGNH International Securities Co., Limited</t>
        </is>
      </c>
      <c r="AS157" s="26" t="inlineStr">
        <is>
          <t>建銀國際金融有限公司; 民銀證券有限公司; 山高國際證券有限公司; 國泰君安證券(香港)有限公司; 橫華國際證券有限公司; 創陞證券有限公司; 國金證券（香港）有限公司; 老虎證券（香港）環球有限公司; 溫商證券有限公司</t>
        </is>
      </c>
      <c r="AT157" s="37">
        <f>HYPERLINK("https://www1.hkexnews.hk/listedco/listconews/sehk/2022/1130/2022113000017.pdf","prospectus")</f>
        <v/>
      </c>
      <c r="AU157" s="37">
        <f>HYPERLINK("https://www1.hkexnews.hk/listedco/listconews/sehk/2022/1213/2022121300028.htm","allotment")</f>
        <v/>
      </c>
      <c r="AV157" s="37">
        <f>HYPERLINK("https://www1.hkexnews.hk/listedco/listconews/sehk/2023/0105/2023010501561.pdf","stabilisation")</f>
        <v/>
      </c>
      <c r="AW157" s="26" t="inlineStr">
        <is>
          <t>A/H: no A-share listing</t>
        </is>
      </c>
    </row>
    <row r="158">
      <c r="A158" s="25" t="inlineStr">
        <is>
          <t>1244</t>
        </is>
      </c>
      <c r="B158" s="26" t="inlineStr">
        <is>
          <t>3D MEDICINES-B</t>
        </is>
      </c>
      <c r="C158" s="26" t="inlineStr">
        <is>
          <t>思路迪醫藥股份</t>
        </is>
      </c>
      <c r="D158" s="26" t="inlineStr">
        <is>
          <t>Healthcare</t>
        </is>
      </c>
      <c r="E158" s="26" t="inlineStr">
        <is>
          <t>Biotech pre-revenue (18A)</t>
        </is>
      </c>
      <c r="F158" s="26" t="inlineStr">
        <is>
          <t>18A</t>
        </is>
      </c>
      <c r="G158" s="27" t="n">
        <v>44910</v>
      </c>
      <c r="H158" s="28" t="n">
        <v>251.1</v>
      </c>
      <c r="I158" s="26" t="inlineStr">
        <is>
          <t>net proceeds</t>
        </is>
      </c>
      <c r="J158" s="29" t="n">
        <v>22.96</v>
      </c>
      <c r="K158" s="29" t="n">
        <v>26.24</v>
      </c>
      <c r="L158" s="29" t="n">
        <v>24.98</v>
      </c>
      <c r="M158" s="26" t="inlineStr">
        <is>
          <t>N</t>
        </is>
      </c>
      <c r="N158" s="30" t="n">
        <v>95.2</v>
      </c>
      <c r="O158" s="28" t="n">
        <v>6678.6</v>
      </c>
      <c r="P158" s="26" t="inlineStr">
        <is>
          <t>aastocks:上市市值 at the struck price</t>
        </is>
      </c>
      <c r="Q158" s="31" t="n">
        <v>5.97</v>
      </c>
      <c r="R158" s="32" t="n">
        <v>1.26</v>
      </c>
      <c r="S158" s="33" t="n">
        <v>10</v>
      </c>
      <c r="T158" s="26" t="inlineStr">
        <is>
          <t>Harvest International Premium Value (Secondary Market) Fund SPC; Mobilewise Limited; TradArt Investment SP; 徐州經濟技術開發區(香港)投資有限公司</t>
        </is>
      </c>
      <c r="U158" s="30" t="n">
        <v>7.29</v>
      </c>
      <c r="V158" s="26" t="inlineStr">
        <is>
          <t>partial</t>
        </is>
      </c>
      <c r="W158" s="34" t="n">
        <v>25.9</v>
      </c>
      <c r="X158" s="34" t="n">
        <v>66.13</v>
      </c>
      <c r="Y158" s="34" t="n">
        <v>139.39</v>
      </c>
      <c r="Z158" s="34" t="n">
        <v>167.21</v>
      </c>
      <c r="AA158" s="34" t="n">
        <v>90.14</v>
      </c>
      <c r="AB158" s="34" t="n">
        <v>129.95</v>
      </c>
      <c r="AC158" s="34" t="n">
        <v>9.44</v>
      </c>
      <c r="AD158" s="26" t="inlineStr">
        <is>
          <t>China Biotech ETF (HS biotech proxy)</t>
        </is>
      </c>
      <c r="AE158" s="34" t="n">
        <v>-92.55</v>
      </c>
      <c r="AF158" s="28" t="n">
        <v>177.2</v>
      </c>
      <c r="AG158" s="28" t="n">
        <v>-1577.5</v>
      </c>
      <c r="AH158" s="26" t="inlineStr">
        <is>
          <t>N</t>
        </is>
      </c>
      <c r="AI158" s="38">
        <f>IF('BBG Verify'!O158="","not filed — run on terminal",'BBG Verify'!O158)</f>
        <v/>
      </c>
      <c r="AJ158" s="35" t="n">
        <v>37.7</v>
      </c>
      <c r="AK158" s="26" t="inlineStr">
        <is>
          <t>N</t>
        </is>
      </c>
      <c r="AL158" s="36">
        <f>IF('BBG Verify'!K158="","not filed — run on terminal",'BBG Verify'!K158)</f>
        <v/>
      </c>
      <c r="AM158" s="26" t="inlineStr">
        <is>
          <t>N/A</t>
        </is>
      </c>
      <c r="AN158" s="26" t="inlineStr">
        <is>
          <t>N/A</t>
        </is>
      </c>
      <c r="AO158" s="26" t="inlineStr">
        <is>
          <t>N/A</t>
        </is>
      </c>
      <c r="AP158" s="26" t="inlineStr">
        <is>
          <t>China International Capital Corporation Hong Kong Securities Limited; China Securities (International) Corporate Finance Company Limited</t>
        </is>
      </c>
      <c r="AQ158" s="26" t="inlineStr">
        <is>
          <t>中國國際金融香港證券有限公司; 中信建投(國際)融資有限公司</t>
        </is>
      </c>
      <c r="AR158" s="26"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DIRECTORS AND PARTIES INVOLVED IN THE GLOBAL OFFERING – 176 – ABCI Capital Limited; Tiger Brokers (HK) Global Limited</t>
        </is>
      </c>
      <c r="AS158" s="26" t="inlineStr">
        <is>
          <t>農銀國際證券有限公司; 建銀國際金融有限公司; 中國國際金融香港證券有限公司; 信銀（香港）資本有限公司; 山高國際證券有限公司; 中信建投(國際)融資有限公司; 富途證券國際（香港）有限公司; 華融國際證券有限公司; 力高證券有限公司; 利弗莫爾證券有限公司; 老虎證券（香港）環球有限公司; 華盛資本証券有限公司; 勝利證券有限公司</t>
        </is>
      </c>
      <c r="AT158" s="37">
        <f>HYPERLINK("https://www1.hkexnews.hk/listedco/listconews/sehk/2022/1129/2022112900013.pdf","prospectus")</f>
        <v/>
      </c>
      <c r="AU158" s="37">
        <f>HYPERLINK("https://www1.hkexnews.hk/listedco/listconews/sehk/2022/1214/2022121400036.htm","allotment")</f>
        <v/>
      </c>
      <c r="AV158" s="37">
        <f>HYPERLINK("https://www1.hkexnews.hk/listedco/listconews/sehk/2023/0109/2023010900027.pdf","stabilisation")</f>
        <v/>
      </c>
      <c r="AW158" s="26"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59">
      <c r="A159" s="25" t="inlineStr">
        <is>
          <t>9985</t>
        </is>
      </c>
      <c r="B159" s="26" t="inlineStr">
        <is>
          <t>WEILONG</t>
        </is>
      </c>
      <c r="C159" s="26" t="inlineStr">
        <is>
          <t>衛龍美味</t>
        </is>
      </c>
      <c r="D159" s="26" t="inlineStr">
        <is>
          <t>Consumer</t>
        </is>
      </c>
      <c r="E159" s="26" t="inlineStr">
        <is>
          <t>Beverages / packaged food</t>
        </is>
      </c>
      <c r="F159" s="26" t="inlineStr">
        <is>
          <t>Standard</t>
        </is>
      </c>
      <c r="G159" s="27" t="n">
        <v>44910</v>
      </c>
      <c r="H159" s="28" t="n">
        <v>1018</v>
      </c>
      <c r="I159" s="26" t="inlineStr">
        <is>
          <t>gross (price x shares)</t>
        </is>
      </c>
      <c r="J159" s="29" t="n">
        <v>10.4</v>
      </c>
      <c r="K159" s="29" t="n">
        <v>11.4</v>
      </c>
      <c r="L159" s="29" t="n">
        <v>10.56</v>
      </c>
      <c r="M159" s="26" t="inlineStr">
        <is>
          <t>N</t>
        </is>
      </c>
      <c r="N159" s="30" t="n">
        <v>92.59999999999999</v>
      </c>
      <c r="O159" s="28" t="n">
        <v>24829.3</v>
      </c>
      <c r="P159" s="26" t="inlineStr">
        <is>
          <t>derived:deal size / offer % of enlarged capital</t>
        </is>
      </c>
      <c r="Q159" s="31" t="n">
        <v>15.3</v>
      </c>
      <c r="R159" s="32" t="n">
        <v>2.6</v>
      </c>
      <c r="S159" s="33" t="n">
        <v>15</v>
      </c>
      <c r="T159" s="26" t="inlineStr">
        <is>
          <t>Media Global Management Limited; Prospect Bridge Value L.P; 陽光人壽保險股份有限公司</t>
        </is>
      </c>
      <c r="U159" s="30" t="n">
        <v>17.06</v>
      </c>
      <c r="V159" s="26" t="inlineStr">
        <is>
          <t>lapsed</t>
        </is>
      </c>
      <c r="W159" s="34" t="n">
        <v>-5.11</v>
      </c>
      <c r="X159" s="34" t="n">
        <v>-12.12</v>
      </c>
      <c r="Y159" s="34" t="n">
        <v>-0.57</v>
      </c>
      <c r="Z159" s="34" t="n">
        <v>7.95</v>
      </c>
      <c r="AA159" s="34" t="n">
        <v>4.78</v>
      </c>
      <c r="AB159" s="34" t="n">
        <v>-11.74</v>
      </c>
      <c r="AC159" s="34" t="n">
        <v>11.17</v>
      </c>
      <c r="AD159" s="26" t="inlineStr">
        <is>
          <t>Hang Seng Commerce &amp; Industry sub-index</t>
        </is>
      </c>
      <c r="AE159" s="34" t="n">
        <v>-17.71</v>
      </c>
      <c r="AF159" s="28" t="n">
        <v>5280.2</v>
      </c>
      <c r="AG159" s="28" t="n">
        <v>1206.3</v>
      </c>
      <c r="AH159" s="26" t="inlineStr">
        <is>
          <t>Y</t>
        </is>
      </c>
      <c r="AI159" s="35" t="n">
        <v>20.6</v>
      </c>
      <c r="AJ159" s="35" t="n">
        <v>4.7</v>
      </c>
      <c r="AK159" s="26" t="inlineStr">
        <is>
          <t>N</t>
        </is>
      </c>
      <c r="AL159" s="36">
        <f>IF('BBG Verify'!K159="","not filed — run on terminal",'BBG Verify'!K159)</f>
        <v/>
      </c>
      <c r="AM159" s="26" t="inlineStr">
        <is>
          <t>N/A</t>
        </is>
      </c>
      <c r="AN159" s="26" t="inlineStr">
        <is>
          <t>N/A</t>
        </is>
      </c>
      <c r="AO159" s="26" t="inlineStr">
        <is>
          <t>N/A</t>
        </is>
      </c>
      <c r="AP159" s="26" t="inlineStr">
        <is>
          <t>Morgan Stanley Asia Limited; China International Capital Corporation Hong Kong Securities Limited</t>
        </is>
      </c>
      <c r="AQ159" s="26" t="inlineStr">
        <is>
          <t>中國國際金融香港證券有限公司; 摩根士丹利亞洲有限公司; 瑞銀證券香港有限公司</t>
        </is>
      </c>
      <c r="AR159" s="26" t="inlineStr">
        <is>
          <t>UBS AG Hong Kong Branch; Morgan Stanley Asia Limited; China International Capital Corporation Hong Kong Securities Limited; Futu Securities International (Hong Kong) Limited</t>
        </is>
      </c>
      <c r="AS159" s="26" t="inlineStr">
        <is>
          <t>法國巴黎證券（亞洲）有限公司; 建銀國際金融有限公司; 中國國際金融香港證券有限公司; 富途證券國際（香港）有限公司; 一盈證券有限公司; 摩根士丹利亞洲有限公司; 元庫證券有限公司; UBS AG 香港分行</t>
        </is>
      </c>
      <c r="AT159" s="37">
        <f>HYPERLINK("https://www1.hkexnews.hk/listedco/listconews/sehk/2022/1205/2022120500015.pdf","prospectus")</f>
        <v/>
      </c>
      <c r="AU159" s="37">
        <f>HYPERLINK("https://www1.hkexnews.hk/listedco/listconews/sehk/2022/1214/2022121400094.htm","allotment")</f>
        <v/>
      </c>
      <c r="AV159" s="37">
        <f>HYPERLINK("https://www1.hkexnews.hk/listedco/listconews/sehk/2023/0109/2023010900033.pdf","stabilisation")</f>
        <v/>
      </c>
      <c r="AW159" s="26" t="inlineStr">
        <is>
          <t>A/H: no A-share listing · cornerstone: AAStocks institutional table includes non-cornerstone orders (superset) — cornerstone % is from the prospectus</t>
        </is>
      </c>
    </row>
    <row r="160">
      <c r="A160" s="25" t="inlineStr">
        <is>
          <t>2457</t>
        </is>
      </c>
      <c r="B160" s="26" t="inlineStr">
        <is>
          <t>BUYANG INTL</t>
        </is>
      </c>
      <c r="C160" s="26" t="inlineStr">
        <is>
          <t>步陽國際</t>
        </is>
      </c>
      <c r="D160" s="26" t="inlineStr">
        <is>
          <t>Consumer</t>
        </is>
      </c>
      <c r="E160" s="26" t="inlineStr">
        <is>
          <t>Auto parts / supply chain</t>
        </is>
      </c>
      <c r="F160" s="26" t="inlineStr">
        <is>
          <t>Standard</t>
        </is>
      </c>
      <c r="G160" s="27" t="n">
        <v>44910</v>
      </c>
      <c r="H160" s="28" t="n">
        <v>125</v>
      </c>
      <c r="I160" s="26" t="inlineStr">
        <is>
          <t>gross (price x shares)</t>
        </is>
      </c>
      <c r="J160" s="29" t="n">
        <v>0.5</v>
      </c>
      <c r="K160" s="29" t="n">
        <v>0.6</v>
      </c>
      <c r="L160" s="29" t="n">
        <v>0.5</v>
      </c>
      <c r="M160" s="26" t="inlineStr">
        <is>
          <t>N</t>
        </is>
      </c>
      <c r="N160" s="30" t="n">
        <v>83.3</v>
      </c>
      <c r="O160" s="28" t="n">
        <v>550</v>
      </c>
      <c r="P160" s="26" t="inlineStr">
        <is>
          <t>aastocks:上市市值 at the struck price</t>
        </is>
      </c>
      <c r="Q160" s="31" t="n">
        <v>51.22</v>
      </c>
      <c r="R160" s="32" t="n">
        <v>1.19</v>
      </c>
      <c r="S160" s="33" t="n">
        <v>40</v>
      </c>
      <c r="T160" s="26" t="inlineStr">
        <is>
          <t>安德（香港）投資有限公司</t>
        </is>
      </c>
      <c r="U160" s="30" t="n">
        <v>6</v>
      </c>
      <c r="V160" s="26" t="inlineStr">
        <is>
          <t>lapsed (no over-allocation)</t>
        </is>
      </c>
      <c r="W160" s="34" t="n">
        <v>-40</v>
      </c>
      <c r="X160" s="34" t="n">
        <v>-25</v>
      </c>
      <c r="Y160" s="34" t="n">
        <v>-15</v>
      </c>
      <c r="Z160" s="34" t="n">
        <v>-31</v>
      </c>
      <c r="AA160" s="34" t="n">
        <v>41.67</v>
      </c>
      <c r="AB160" s="34" t="n">
        <v>-26.17</v>
      </c>
      <c r="AC160" s="34" t="n">
        <v>11.17</v>
      </c>
      <c r="AD160" s="26" t="inlineStr">
        <is>
          <t>Hang Seng Commerce &amp; Industry sub-index</t>
        </is>
      </c>
      <c r="AE160" s="34" t="n">
        <v>-26</v>
      </c>
      <c r="AF160" s="28" t="n">
        <v>484.4</v>
      </c>
      <c r="AG160" s="28" t="n">
        <v>41.4</v>
      </c>
      <c r="AH160" s="26" t="inlineStr">
        <is>
          <t>Y</t>
        </is>
      </c>
      <c r="AI160" s="35" t="n">
        <v>13.3</v>
      </c>
      <c r="AJ160" s="35" t="n">
        <v>1.1</v>
      </c>
      <c r="AK160" s="26" t="inlineStr">
        <is>
          <t>N</t>
        </is>
      </c>
      <c r="AL160" s="36">
        <f>IF('BBG Verify'!K160="","not filed — run on terminal",'BBG Verify'!K160)</f>
        <v/>
      </c>
      <c r="AM160" s="26" t="inlineStr">
        <is>
          <t>N/A</t>
        </is>
      </c>
      <c r="AN160" s="26" t="inlineStr">
        <is>
          <t>N/A</t>
        </is>
      </c>
      <c r="AO160" s="26" t="inlineStr">
        <is>
          <t>N/A</t>
        </is>
      </c>
      <c r="AP160" s="26" t="inlineStr">
        <is>
          <t>Zhongtai International Capital Limited; –OC Zhongtai International Securities Limited</t>
        </is>
      </c>
      <c r="AQ160" s="26" t="inlineStr">
        <is>
          <t>中泰國際融資有限公司</t>
        </is>
      </c>
      <c r="AR160" s="26" t="inlineStr">
        <is>
          <t>Zhongtai International Securities Limited; BOCOM International Securities Limited; SPDB International Capital Limited; GF Securities (Hong Kong) Brokerage Limited; CEB International Capital Corporation Limited; Southwest Securities (HK) Brokerage Limited; First Shanghai Securities Limited; China Tonghai Securities Limited; Zheshang International Financial Holdings Co., Limited; ZMF Asset Management Limited</t>
        </is>
      </c>
      <c r="AS160" s="26" t="inlineStr">
        <is>
          <t>Beta International Securities Limited; 光銀國際資本有限公司; 中國通海證券有限公司; 平證證券（香港）有限公司; 第一上海證券有限公司; 廣發證券（香港）經紀有限公司; 金聯證券有限公司; 聖衡金融控股有限公司; 浦銀國際融資有限公司; 西證（香港）證券經紀有限公司; 西牛證券有限公司; 浙商國際金融控股有限公司; 中泰國際證券有限公司; 中募金融資管有限公司</t>
        </is>
      </c>
      <c r="AT160" s="37">
        <f>HYPERLINK("https://www1.hkexnews.hk/listedco/listconews/sehk/2022/1129/2022112900024.htm","prospectus")</f>
        <v/>
      </c>
      <c r="AU160" s="37">
        <f>HYPERLINK("https://www1.hkexnews.hk/listedco/listconews/sehk/2022/1214/2022121400106.htm","allotment")</f>
        <v/>
      </c>
      <c r="AV160" s="37">
        <f>HYPERLINK("https://www1.hkexnews.hk/listedco/listconews/sehk/2023/0106/2023010600817.pdf","stabilisation")</f>
        <v/>
      </c>
      <c r="AW160" s="26" t="inlineStr">
        <is>
          <t>A/H: no A-share listing</t>
        </is>
      </c>
    </row>
    <row r="161">
      <c r="A161" s="25" t="inlineStr">
        <is>
          <t>2145</t>
        </is>
      </c>
      <c r="B161" s="26" t="inlineStr">
        <is>
          <t>CHICMAX</t>
        </is>
      </c>
      <c r="C161" s="26" t="inlineStr">
        <is>
          <t>上美股份</t>
        </is>
      </c>
      <c r="D161" s="26" t="inlineStr">
        <is>
          <t>Consumer</t>
        </is>
      </c>
      <c r="E161" s="26" t="inlineStr">
        <is>
          <t>Beauty / personal care</t>
        </is>
      </c>
      <c r="F161" s="26" t="inlineStr">
        <is>
          <t>Standard</t>
        </is>
      </c>
      <c r="G161" s="27" t="n">
        <v>44917</v>
      </c>
      <c r="H161" s="28" t="n">
        <v>931.3</v>
      </c>
      <c r="I161" s="26" t="inlineStr">
        <is>
          <t>gross (price x shares)</t>
        </is>
      </c>
      <c r="J161" s="29" t="n"/>
      <c r="K161" s="29" t="n">
        <v>29.8</v>
      </c>
      <c r="L161" s="29" t="n">
        <v>25.2</v>
      </c>
      <c r="M161" s="26" t="inlineStr">
        <is>
          <t>N</t>
        </is>
      </c>
      <c r="N161" s="30" t="n">
        <v>84.59999999999999</v>
      </c>
      <c r="O161" s="28" t="n">
        <v>8785.799999999999</v>
      </c>
      <c r="P161" s="26" t="inlineStr">
        <is>
          <t>derived:deal size / offer % of enlarged capital</t>
        </is>
      </c>
      <c r="Q161" s="31" t="n">
        <v>0.48</v>
      </c>
      <c r="R161" s="32" t="n">
        <v>1.42</v>
      </c>
      <c r="S161" s="33" t="n">
        <v>0</v>
      </c>
      <c r="T161" s="26" t="n"/>
      <c r="U161" s="30" t="n">
        <v>10.6</v>
      </c>
      <c r="V161" s="26" t="inlineStr">
        <is>
          <t>partial</t>
        </is>
      </c>
      <c r="W161" s="34" t="n">
        <v>0</v>
      </c>
      <c r="X161" s="34" t="n">
        <v>19.05</v>
      </c>
      <c r="Y161" s="34" t="n">
        <v>20.63</v>
      </c>
      <c r="Z161" s="34" t="n">
        <v>0.79</v>
      </c>
      <c r="AA161" s="34" t="n">
        <v>20.63</v>
      </c>
      <c r="AB161" s="34" t="n">
        <v>3.49</v>
      </c>
      <c r="AC161" s="34" t="n">
        <v>17.14</v>
      </c>
      <c r="AD161" s="26" t="inlineStr">
        <is>
          <t>Hang Seng Commerce &amp; Industry sub-index</t>
        </is>
      </c>
      <c r="AE161" s="34" t="n">
        <v>-11.43</v>
      </c>
      <c r="AF161" s="28" t="n">
        <v>2.2</v>
      </c>
      <c r="AG161" s="28" t="n">
        <v>0.4</v>
      </c>
      <c r="AH161" s="26" t="inlineStr">
        <is>
          <t>Y</t>
        </is>
      </c>
      <c r="AI161" s="35" t="n">
        <v>21964.5</v>
      </c>
      <c r="AJ161" s="35" t="n">
        <v>3993.5</v>
      </c>
      <c r="AK161" s="26" t="inlineStr">
        <is>
          <t>N</t>
        </is>
      </c>
      <c r="AL161" s="36">
        <f>IF('BBG Verify'!K161="","not filed — run on terminal",'BBG Verify'!K161)</f>
        <v/>
      </c>
      <c r="AM161" s="26" t="inlineStr">
        <is>
          <t>N/A</t>
        </is>
      </c>
      <c r="AN161" s="26" t="inlineStr">
        <is>
          <t>N/A</t>
        </is>
      </c>
      <c r="AO161" s="26" t="inlineStr">
        <is>
          <t>N/A</t>
        </is>
      </c>
      <c r="AP161" s="26" t="inlineStr">
        <is>
          <t>J.P. Morgan Securities (Far East) Limited; China International Capital Corporation Hong Kong Securities Limited; CLSA Capital Markets Limited</t>
        </is>
      </c>
      <c r="AQ161" s="26" t="inlineStr">
        <is>
          <t>中國國際金融香港證券有限公司; J.P. Morgan Securities (Far East) Limited; 中信里昂證券資本市場有限公司</t>
        </is>
      </c>
      <c r="AR161" s="26" t="inlineStr">
        <is>
          <t>J.P. Morgan Securities (Asia Pacific) Limited; China International Capital Corporation Hong Kong Securities Limited; CLSA Limited; Managers J.P. Morgan Securities (Asia Pacific) Limited; J.P. Morgan Securities plc; Hong Kong Securities Limited; Shenwan Hongyuan Securities (H.K.) Limited; Tiger Brokers (HK) Global Limited; Futu Securities International (Hong Kong) Limited; No.95 Queensway Admiralty, Hong Kong Valuable Capital Limited; BOCI Asia Limited</t>
        </is>
      </c>
      <c r="AS161" s="26" t="inlineStr">
        <is>
          <t>中銀國際亞洲有限公司; 中國國際金融香港證券有限公司; 中信里昂證券有限公司; 富途證券國際（香港）有限公司; J.P. Morgan Securities (Asia Pacific) Limited; 申萬宏源證券（香港）有限公司; 老虎證券（香港）環球有限公司; 華盛資本証券有限公司; 中泰國際證券有限公司</t>
        </is>
      </c>
      <c r="AT161" s="37">
        <f>HYPERLINK("https://www1.hkexnews.hk/listedco/listconews/sehk/2022/1212/2022121200011.pdf","prospectus")</f>
        <v/>
      </c>
      <c r="AU161" s="37">
        <f>HYPERLINK("https://www1.hkexnews.hk/listedco/listconews/sehk/2022/1221/2022122100048.htm","allotment")</f>
        <v/>
      </c>
      <c r="AV161" s="37">
        <f>HYPERLINK("https://www1.hkexnews.hk/listedco/listconews/sehk/2023/0116/2023011600073.pdf","stabilisation")</f>
        <v/>
      </c>
      <c r="AW161" s="26" t="inlineStr">
        <is>
          <t>A/H: no A-share listing</t>
        </is>
      </c>
    </row>
    <row r="162">
      <c r="A162" s="25" t="inlineStr">
        <is>
          <t>0314</t>
        </is>
      </c>
      <c r="B162" s="26" t="inlineStr">
        <is>
          <t>SIPAI HEALTH</t>
        </is>
      </c>
      <c r="C162" s="26" t="inlineStr">
        <is>
          <t>思派健康</t>
        </is>
      </c>
      <c r="D162" s="26" t="inlineStr">
        <is>
          <t>Healthcare</t>
        </is>
      </c>
      <c r="E162" s="26" t="inlineStr">
        <is>
          <t>Digital health</t>
        </is>
      </c>
      <c r="F162" s="26" t="inlineStr">
        <is>
          <t>Standard</t>
        </is>
      </c>
      <c r="G162" s="27" t="n">
        <v>44918</v>
      </c>
      <c r="H162" s="28" t="n">
        <v>184.5</v>
      </c>
      <c r="I162" s="26" t="inlineStr">
        <is>
          <t>gross (price x shares)</t>
        </is>
      </c>
      <c r="J162" s="29" t="n"/>
      <c r="K162" s="29" t="n">
        <v>18.6</v>
      </c>
      <c r="L162" s="29" t="n">
        <v>18.6</v>
      </c>
      <c r="M162" s="26" t="inlineStr">
        <is>
          <t>Y</t>
        </is>
      </c>
      <c r="N162" s="30" t="n">
        <v>100</v>
      </c>
      <c r="O162" s="28" t="n">
        <v>4000</v>
      </c>
      <c r="P162" s="26" t="inlineStr">
        <is>
          <t>prospectus:stated market capitalisation</t>
        </is>
      </c>
      <c r="Q162" s="31" t="n">
        <v>8.27</v>
      </c>
      <c r="R162" s="32" t="n">
        <v>1.41</v>
      </c>
      <c r="S162" s="33" t="n">
        <v>0</v>
      </c>
      <c r="T162" s="26" t="n"/>
      <c r="U162" s="30" t="n">
        <v>12.94</v>
      </c>
      <c r="V162" s="26" t="inlineStr">
        <is>
          <t>lapsed</t>
        </is>
      </c>
      <c r="W162" s="34" t="n">
        <v>34.41</v>
      </c>
      <c r="X162" s="34" t="n">
        <v>0</v>
      </c>
      <c r="Y162" s="34" t="n">
        <v>7.42</v>
      </c>
      <c r="Z162" s="34" t="n">
        <v>97.84999999999999</v>
      </c>
      <c r="AA162" s="34" t="n">
        <v>-20.08</v>
      </c>
      <c r="AB162" s="34" t="n">
        <v>-5.25</v>
      </c>
      <c r="AC162" s="34" t="n">
        <v>12.67</v>
      </c>
      <c r="AD162" s="26" t="inlineStr">
        <is>
          <t>China Biotech ETF (HS biotech proxy)</t>
        </is>
      </c>
      <c r="AE162" s="34" t="n">
        <v>-92.02</v>
      </c>
      <c r="AF162" s="28" t="n">
        <v>-0</v>
      </c>
      <c r="AG162" s="28" t="n">
        <v>-4114.5</v>
      </c>
      <c r="AH162" s="26" t="inlineStr">
        <is>
          <t>N</t>
        </is>
      </c>
      <c r="AI162" s="38">
        <f>IF('BBG Verify'!O162="","not filed — run on terminal",'BBG Verify'!O162)</f>
        <v/>
      </c>
      <c r="AJ162" s="35" t="n"/>
      <c r="AK162" s="26" t="inlineStr">
        <is>
          <t>N</t>
        </is>
      </c>
      <c r="AL162" s="36">
        <f>IF('BBG Verify'!K162="","not filed — run on terminal",'BBG Verify'!K162)</f>
        <v/>
      </c>
      <c r="AM162" s="26" t="inlineStr">
        <is>
          <t>N/A</t>
        </is>
      </c>
      <c r="AN162" s="26" t="inlineStr">
        <is>
          <t>N/A</t>
        </is>
      </c>
      <c r="AO162" s="26" t="inlineStr">
        <is>
          <t>N/A</t>
        </is>
      </c>
      <c r="AP162" s="26" t="inlineStr">
        <is>
          <t>Morgan Stanley Asia Limited; Haitong International Capital Limited; Haitong International Securities Company Limited</t>
        </is>
      </c>
      <c r="AQ162" s="26" t="inlineStr">
        <is>
          <t>摩根士丹利亞洲有限公司; 海通國際資本有限公司</t>
        </is>
      </c>
      <c r="AR162" s="26" t="inlineStr">
        <is>
          <t>富途證券國際（香港）有限公司; 海通國際證券有限公司; 一盈證券有限公司; 邁時資本有限公司; 摩根士丹利亞洲有限公司</t>
        </is>
      </c>
      <c r="AS162" s="26" t="inlineStr">
        <is>
          <t>富途證券國際（香港）有限公司; 海通國際證券有限公司; 一盈證券有限公司; 邁時資本有限公司; 摩根士丹利亞洲有限公司</t>
        </is>
      </c>
      <c r="AT162" s="37">
        <f>HYPERLINK("https://www1.hkexnews.hk/listedco/listconews/sehk/2022/1212/2022121200024.htm","prospectus")</f>
        <v/>
      </c>
      <c r="AU162" s="37">
        <f>HYPERLINK("https://www1.hkexnews.hk/listedco/listconews/sehk/2022/1222/2022122200018.htm","allotment")</f>
        <v/>
      </c>
      <c r="AV162" s="37">
        <f>HYPERLINK("https://www1.hkexnews.hk/listedco/listconews/sehk/2023/0115/2023011500007.pdf","stabilisation")</f>
        <v/>
      </c>
      <c r="AW162" s="26" t="inlineStr">
        <is>
          <t>P/E: n/m — loss-making at IPO (use P/S) · price range: fixed-price offering (no indicative range) · A/H: no A-share listing</t>
        </is>
      </c>
    </row>
    <row r="163">
      <c r="A163" s="25" t="inlineStr">
        <is>
          <t>6929</t>
        </is>
      </c>
      <c r="B163" s="26" t="inlineStr">
        <is>
          <t>ORBUSNEICH</t>
        </is>
      </c>
      <c r="C163" s="26" t="inlineStr">
        <is>
          <t>業聚醫療</t>
        </is>
      </c>
      <c r="D163" s="26" t="inlineStr">
        <is>
          <t>Healthcare</t>
        </is>
      </c>
      <c r="E163" s="26" t="inlineStr">
        <is>
          <t>Medical devices</t>
        </is>
      </c>
      <c r="F163" s="26" t="inlineStr">
        <is>
          <t>Standard</t>
        </is>
      </c>
      <c r="G163" s="27" t="n">
        <v>44918</v>
      </c>
      <c r="H163" s="28" t="n">
        <v>480.8</v>
      </c>
      <c r="I163" s="26" t="inlineStr">
        <is>
          <t>gross (price x shares)</t>
        </is>
      </c>
      <c r="J163" s="29" t="n"/>
      <c r="K163" s="29" t="n">
        <v>8.800000000000001</v>
      </c>
      <c r="L163" s="29" t="n">
        <v>8.800000000000001</v>
      </c>
      <c r="M163" s="26" t="inlineStr">
        <is>
          <t>Y</t>
        </is>
      </c>
      <c r="N163" s="30" t="n">
        <v>100</v>
      </c>
      <c r="O163" s="28" t="n">
        <v>7284</v>
      </c>
      <c r="P163" s="26" t="inlineStr">
        <is>
          <t>prospectus:stated market capitalisation</t>
        </is>
      </c>
      <c r="Q163" s="31" t="n">
        <v>2.01</v>
      </c>
      <c r="R163" s="32" t="n">
        <v>1.09</v>
      </c>
      <c r="S163" s="33" t="n">
        <v>72.59999999999999</v>
      </c>
      <c r="T163" s="26" t="inlineStr">
        <is>
          <t>杭州富陽產業基金投資管理有限公司</t>
        </is>
      </c>
      <c r="U163" s="30" t="n"/>
      <c r="V163" s="26" t="n"/>
      <c r="W163" s="34" t="n">
        <v>3.98</v>
      </c>
      <c r="X163" s="34" t="n">
        <v>-5.11</v>
      </c>
      <c r="Y163" s="34" t="n">
        <v>-6.25</v>
      </c>
      <c r="Z163" s="34" t="n">
        <v>45.68</v>
      </c>
      <c r="AA163" s="34" t="n">
        <v>-9.84</v>
      </c>
      <c r="AB163" s="34" t="n">
        <v>-18.92</v>
      </c>
      <c r="AC163" s="34" t="n">
        <v>12.67</v>
      </c>
      <c r="AD163" s="26" t="inlineStr">
        <is>
          <t>China Biotech ETF (HS biotech proxy)</t>
        </is>
      </c>
      <c r="AE163" s="34" t="n">
        <v>-53.86</v>
      </c>
      <c r="AF163" s="28" t="n">
        <v>908.4</v>
      </c>
      <c r="AG163" s="28" t="n">
        <v>-10.3</v>
      </c>
      <c r="AH163" s="26" t="inlineStr">
        <is>
          <t>N</t>
        </is>
      </c>
      <c r="AI163" s="38">
        <f>IF('BBG Verify'!O163="","not filed — run on terminal",'BBG Verify'!O163)</f>
        <v/>
      </c>
      <c r="AJ163" s="35" t="n">
        <v>8</v>
      </c>
      <c r="AK163" s="26" t="inlineStr">
        <is>
          <t>N</t>
        </is>
      </c>
      <c r="AL163" s="36">
        <f>IF('BBG Verify'!K163="","not filed — run on terminal",'BBG Verify'!K163)</f>
        <v/>
      </c>
      <c r="AM163" s="26" t="inlineStr">
        <is>
          <t>N/A</t>
        </is>
      </c>
      <c r="AN163" s="26" t="inlineStr">
        <is>
          <t>N/A</t>
        </is>
      </c>
      <c r="AO163" s="26" t="inlineStr">
        <is>
          <t>N/A</t>
        </is>
      </c>
      <c r="AP163" s="26" t="inlineStr">
        <is>
          <t>China International Capital Corporation Hong Kong Securities Limited; CCB International Capital Limited</t>
        </is>
      </c>
      <c r="AQ163" s="26" t="inlineStr">
        <is>
          <t>建銀國際金融有限公司; 中國國際金融(香港)有限公司</t>
        </is>
      </c>
      <c r="AR163" s="26"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AS163" s="26" t="inlineStr">
        <is>
          <t>法國巴黎證券（亞洲）有限公司; 建銀國際金融有限公司; 中國國際金融香港證券有限公司; 中信里昂證券有限公司; 招商證券(香港)有限公司; 富途證券國際（香港）有限公司; 越秀證券有限公司; 中募金融資管有限公司</t>
        </is>
      </c>
      <c r="AT163" s="37">
        <f>HYPERLINK("https://www1.hkexnews.hk/listedco/listconews/sehk/2022/1213/2022121300009.pdf","prospectus")</f>
        <v/>
      </c>
      <c r="AU163" s="37">
        <f>HYPERLINK("https://www1.hkexnews.hk/listedco/listconews/sehk/2022/1222/2022122200034.htm","allotment")</f>
        <v/>
      </c>
      <c r="AV163" s="26" t="n"/>
      <c r="AW163" s="26" t="inlineStr">
        <is>
          <t>P/E: n/m — loss-making at IPO (use P/S) · greenshoe: no over-allotment option in the offer structure · A/H: no A-share listing</t>
        </is>
      </c>
    </row>
    <row r="164">
      <c r="A164" s="25" t="inlineStr">
        <is>
          <t>2427</t>
        </is>
      </c>
      <c r="B164" s="26" t="inlineStr">
        <is>
          <t>GUANZE MEDICAL</t>
        </is>
      </c>
      <c r="C164" s="26" t="inlineStr">
        <is>
          <t>GUANZE MEDICAL</t>
        </is>
      </c>
      <c r="D164" s="26" t="inlineStr">
        <is>
          <t>Healthcare</t>
        </is>
      </c>
      <c r="E164" s="26" t="inlineStr">
        <is>
          <t>Medical devices</t>
        </is>
      </c>
      <c r="F164" s="26" t="inlineStr">
        <is>
          <t>Standard</t>
        </is>
      </c>
      <c r="G164" s="27" t="n">
        <v>44924</v>
      </c>
      <c r="H164" s="28" t="n">
        <v>102.2</v>
      </c>
      <c r="I164" s="26" t="inlineStr">
        <is>
          <t>gross (price x shares)</t>
        </is>
      </c>
      <c r="J164" s="29" t="n">
        <v>0.53</v>
      </c>
      <c r="K164" s="29" t="n">
        <v>0.63</v>
      </c>
      <c r="L164" s="29" t="n">
        <v>0.53</v>
      </c>
      <c r="M164" s="26" t="inlineStr">
        <is>
          <t>N</t>
        </is>
      </c>
      <c r="N164" s="30" t="n">
        <v>84.09999999999999</v>
      </c>
      <c r="O164" s="28" t="n">
        <v>583.4</v>
      </c>
      <c r="P164" s="26" t="inlineStr">
        <is>
          <t>aastocks:上市市值 at the struck price</t>
        </is>
      </c>
      <c r="Q164" s="31" t="n">
        <v>14.23</v>
      </c>
      <c r="R164" s="32" t="n">
        <v>1.2</v>
      </c>
      <c r="S164" s="33" t="n">
        <v>24</v>
      </c>
      <c r="T164" s="26" t="inlineStr">
        <is>
          <t>Carsonlin Investment Ltd</t>
        </is>
      </c>
      <c r="U164" s="30" t="n">
        <v>10</v>
      </c>
      <c r="V164" s="26" t="inlineStr">
        <is>
          <t>lapsed (no over-allocation)</t>
        </is>
      </c>
      <c r="W164" s="34" t="n">
        <v>230.19</v>
      </c>
      <c r="X164" s="34" t="n">
        <v>281.13</v>
      </c>
      <c r="Y164" s="34" t="n">
        <v>196.23</v>
      </c>
      <c r="Z164" s="34" t="n">
        <v>696.23</v>
      </c>
      <c r="AA164" s="34" t="n">
        <v>-10.28</v>
      </c>
      <c r="AB164" s="34" t="n">
        <v>182.72</v>
      </c>
      <c r="AC164" s="34" t="n">
        <v>13.51</v>
      </c>
      <c r="AD164" s="26" t="inlineStr">
        <is>
          <t>China Biotech ETF (HS biotech proxy)</t>
        </is>
      </c>
      <c r="AE164" s="34" t="n">
        <v>309.43</v>
      </c>
      <c r="AF164" s="28" t="n">
        <v>0</v>
      </c>
      <c r="AG164" s="28" t="n">
        <v>25.4</v>
      </c>
      <c r="AH164" s="26" t="inlineStr">
        <is>
          <t>Y</t>
        </is>
      </c>
      <c r="AI164" s="35" t="n">
        <v>23</v>
      </c>
      <c r="AJ164" s="35" t="n"/>
      <c r="AK164" s="26" t="inlineStr">
        <is>
          <t>N</t>
        </is>
      </c>
      <c r="AL164" s="36">
        <f>IF('BBG Verify'!K164="","not filed — run on terminal",'BBG Verify'!K164)</f>
        <v/>
      </c>
      <c r="AM164" s="26" t="inlineStr">
        <is>
          <t>N/A</t>
        </is>
      </c>
      <c r="AN164" s="26" t="inlineStr">
        <is>
          <t>N/A</t>
        </is>
      </c>
      <c r="AO164" s="26" t="inlineStr">
        <is>
          <t>N/A</t>
        </is>
      </c>
      <c r="AP164" s="26" t="inlineStr">
        <is>
          <t>Southwest Securities (HK) Capital Limited</t>
        </is>
      </c>
      <c r="AQ164" s="26" t="inlineStr">
        <is>
          <t>西證（香港）融資有限公司</t>
        </is>
      </c>
      <c r="AR164" s="26" t="inlineStr">
        <is>
          <t>Southwest Securities (HK) Brokerage Limited; Goldlink Securities Limited; Wanchai, Hong Kong Lead Securities (HK) Limited; Wanchai, Hong Kong BOCOM International S ecurities Limited; Shenwan Hongyuan Securi ties (H.K.) Limited; SPDB International Capital Limited; Zhongtai International Securities Limited; Central, Hong Kong Alpha Financial Group Limited; Central, Hong Kong Elstone Securities Limited</t>
        </is>
      </c>
      <c r="AS164" s="26" t="inlineStr">
        <is>
          <t>首盛資本集團有限公司; Beta International Securities Limited; 千里碩證券有限公司; 金聯證券有限公司; 工銀國際證券有限公司; 一盈證券有限公司; 利得證券（香港）有限公司; 申萬宏源證券（香港）有限公司; 浦銀國際融資有限公司; 西證（香港）證券經紀有限公司; 中泰國際證券有限公司</t>
        </is>
      </c>
      <c r="AT164" s="37">
        <f>HYPERLINK("https://www1.hkexnews.hk/listedco/listconews/sehk/2022/1215/2022121500017.pdf","prospectus")</f>
        <v/>
      </c>
      <c r="AU164" s="37">
        <f>HYPERLINK("https://www1.hkexnews.hk/listedco/listconews/sehk/2022/1228/2022122800004.htm","allotment")</f>
        <v/>
      </c>
      <c r="AV164" s="37">
        <f>HYPERLINK("https://www1.hkexnews.hk/listedco/listconews/sehk/2023/0119/2023011900669.pdf","stabilisation")</f>
        <v/>
      </c>
      <c r="AW164" s="26" t="inlineStr">
        <is>
          <t>A/H: no A-share listing · market cap: estimate from deal size / offer % of enlarged capital disagreed with the published listing cap — published figure adopted</t>
        </is>
      </c>
    </row>
    <row r="165">
      <c r="A165" s="25" t="inlineStr">
        <is>
          <t>6698</t>
        </is>
      </c>
      <c r="B165" s="26" t="inlineStr">
        <is>
          <t>STAR CM</t>
        </is>
      </c>
      <c r="C165" s="26" t="inlineStr">
        <is>
          <t>星空華文</t>
        </is>
      </c>
      <c r="D165" s="26" t="inlineStr">
        <is>
          <t>TMT-other</t>
        </is>
      </c>
      <c r="E165" s="26" t="inlineStr">
        <is>
          <t>Media / advertising</t>
        </is>
      </c>
      <c r="F165" s="26" t="inlineStr">
        <is>
          <t>Standard</t>
        </is>
      </c>
      <c r="G165" s="27" t="n">
        <v>44924</v>
      </c>
      <c r="H165" s="28" t="n">
        <v>390.4</v>
      </c>
      <c r="I165" s="26" t="inlineStr">
        <is>
          <t>gross (price x shares)</t>
        </is>
      </c>
      <c r="J165" s="29" t="n"/>
      <c r="K165" s="29" t="n">
        <v>32.5</v>
      </c>
      <c r="L165" s="29" t="n">
        <v>26.5</v>
      </c>
      <c r="M165" s="26" t="inlineStr">
        <is>
          <t>N</t>
        </is>
      </c>
      <c r="N165" s="30" t="n">
        <v>81.5</v>
      </c>
      <c r="O165" s="28" t="n">
        <v>10551.4</v>
      </c>
      <c r="P165" s="26" t="inlineStr">
        <is>
          <t>derived:deal size / offer % of enlarged capital</t>
        </is>
      </c>
      <c r="Q165" s="31" t="n">
        <v>5.12</v>
      </c>
      <c r="R165" s="32" t="n">
        <v>1.47</v>
      </c>
      <c r="S165" s="40" t="n">
        <v>96.67</v>
      </c>
      <c r="T165" s="26" t="inlineStr">
        <is>
          <t>TradArt Investment SP</t>
        </is>
      </c>
      <c r="U165" s="30" t="n">
        <v>15</v>
      </c>
      <c r="V165" s="26" t="inlineStr">
        <is>
          <t>partial</t>
        </is>
      </c>
      <c r="W165" s="34" t="n">
        <v>70.56999999999999</v>
      </c>
      <c r="X165" s="34" t="n">
        <v>76.59999999999999</v>
      </c>
      <c r="Y165" s="34" t="n">
        <v>198.3</v>
      </c>
      <c r="Z165" s="34" t="n">
        <v>277.36</v>
      </c>
      <c r="AA165" s="34" t="n">
        <v>74.88</v>
      </c>
      <c r="AB165" s="34" t="n">
        <v>187.95</v>
      </c>
      <c r="AC165" s="34" t="n">
        <v>10.35</v>
      </c>
      <c r="AD165" s="26" t="inlineStr">
        <is>
          <t>Hang Seng Index</t>
        </is>
      </c>
      <c r="AE165" s="34" t="n">
        <v>-96.77</v>
      </c>
      <c r="AF165" s="28" t="n">
        <v>960.8</v>
      </c>
      <c r="AG165" s="28" t="n">
        <v>95.59999999999999</v>
      </c>
      <c r="AH165" s="26" t="inlineStr">
        <is>
          <t>Y</t>
        </is>
      </c>
      <c r="AI165" s="35" t="n">
        <v>110.4</v>
      </c>
      <c r="AJ165" s="35" t="n">
        <v>11</v>
      </c>
      <c r="AK165" s="26" t="inlineStr">
        <is>
          <t>N</t>
        </is>
      </c>
      <c r="AL165" s="36">
        <f>IF('BBG Verify'!K165="","not filed — run on terminal",'BBG Verify'!K165)</f>
        <v/>
      </c>
      <c r="AM165" s="26" t="inlineStr">
        <is>
          <t>N/A</t>
        </is>
      </c>
      <c r="AN165" s="26" t="inlineStr">
        <is>
          <t>N/A</t>
        </is>
      </c>
      <c r="AO165" s="26" t="inlineStr">
        <is>
          <t>N/A</t>
        </is>
      </c>
      <c r="AP165" s="26" t="inlineStr">
        <is>
          <t>China International Capital Corporation Hong Kong Securities Limited; China Securities (International) Corporate Finance Company Limited</t>
        </is>
      </c>
      <c r="AQ165" s="26" t="inlineStr">
        <is>
          <t>中國國際金融香港證券有限公司; 中信建投(國際)融資有限公司</t>
        </is>
      </c>
      <c r="AR165" s="26"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DIRECTORS AND PARTIES INVOLVED IN THE GLOBAL OFFERING – 121 – Valuable Capital Limited; Livermore Holdings Limited; Tiger Brokers (HK) Global Limited</t>
        </is>
      </c>
      <c r="AS165" s="26" t="inlineStr">
        <is>
          <t>農銀國際證券有限公司; 中國光大證券(香港)有限公司; 中國國際金融香港證券有限公司; 中信建投(國際)融資有限公司; 鼎豐金融證券有限公司; 國泰君安證券(香港)有限公司; 華泰金融控股(香港)有限公司; 華融國際證券有限公司; 利弗莫爾證券有限公司; 老虎證券（香港）環球有限公司; 華盛資本証券有限公司; 溫商證券有限公司; 浙商國際金融控股有限公司</t>
        </is>
      </c>
      <c r="AT165" s="37">
        <f>HYPERLINK("https://www1.hkexnews.hk/listedco/listconews/sehk/2022/1215/2022121500027.pdf","prospectus")</f>
        <v/>
      </c>
      <c r="AU165" s="37">
        <f>HYPERLINK("https://www1.hkexnews.hk/listedco/listconews/sehk/2022/1228/2022122800022.htm","allotment")</f>
        <v/>
      </c>
      <c r="AV165" s="37">
        <f>HYPERLINK("https://www1.hkexnews.hk/listedco/listconews/sehk/2023/0119/2023011901155.pdf","stabilisation")</f>
        <v/>
      </c>
      <c r="AW165" s="26" t="inlineStr">
        <is>
          <t>A/H: no A-share listing · cornerstone: AAStocks institutional total HK$39m = 10% of deal vs 97% parsed</t>
        </is>
      </c>
    </row>
    <row r="166">
      <c r="A166" s="25" t="inlineStr">
        <is>
          <t>2425</t>
        </is>
      </c>
      <c r="B166" s="26" t="inlineStr">
        <is>
          <t>AUSTASIA GROUP</t>
        </is>
      </c>
      <c r="C166" s="26" t="inlineStr">
        <is>
          <t>澳亞集團</t>
        </is>
      </c>
      <c r="D166" s="26" t="inlineStr">
        <is>
          <t>Consumer</t>
        </is>
      </c>
      <c r="E166" s="26" t="inlineStr">
        <is>
          <t>Beverages / packaged food</t>
        </is>
      </c>
      <c r="F166" s="26" t="inlineStr">
        <is>
          <t>Standard</t>
        </is>
      </c>
      <c r="G166" s="27" t="n">
        <v>44925</v>
      </c>
      <c r="H166" s="28" t="n">
        <v>196.1</v>
      </c>
      <c r="I166" s="26" t="inlineStr">
        <is>
          <t>gross (price x shares)</t>
        </is>
      </c>
      <c r="J166" s="29" t="n"/>
      <c r="K166" s="29" t="n">
        <v>7</v>
      </c>
      <c r="L166" s="29" t="n">
        <v>6.4</v>
      </c>
      <c r="M166" s="26" t="inlineStr">
        <is>
          <t>N</t>
        </is>
      </c>
      <c r="N166" s="30" t="n">
        <v>91.40000000000001</v>
      </c>
      <c r="O166" s="28" t="n">
        <v>4476.5</v>
      </c>
      <c r="P166" s="26" t="inlineStr">
        <is>
          <t>prospectus:stated market capitalisation</t>
        </is>
      </c>
      <c r="Q166" s="31" t="n">
        <v>2.08</v>
      </c>
      <c r="R166" s="32" t="n">
        <v>1.16</v>
      </c>
      <c r="S166" s="33" t="n">
        <v>44.1</v>
      </c>
      <c r="T166" s="26" t="inlineStr">
        <is>
          <t>Proterra Asia Food Fund 3 VCC; 全誠投資控股有限公司</t>
        </is>
      </c>
      <c r="U166" s="30" t="n">
        <v>15</v>
      </c>
      <c r="V166" s="26" t="inlineStr">
        <is>
          <t>partial</t>
        </is>
      </c>
      <c r="W166" s="34" t="n">
        <v>-0.47</v>
      </c>
      <c r="X166" s="34" t="n">
        <v>-5.78</v>
      </c>
      <c r="Y166" s="34" t="n">
        <v>-22.97</v>
      </c>
      <c r="Z166" s="34" t="n">
        <v>-47.81</v>
      </c>
      <c r="AA166" s="34" t="n">
        <v>-22.61</v>
      </c>
      <c r="AB166" s="34" t="n">
        <v>-35.62</v>
      </c>
      <c r="AC166" s="34" t="n">
        <v>12.65</v>
      </c>
      <c r="AD166" s="26" t="inlineStr">
        <is>
          <t>Hang Seng Commerce &amp; Industry sub-index</t>
        </is>
      </c>
      <c r="AE166" s="34" t="n">
        <v>-70.94</v>
      </c>
      <c r="AF166" s="28" t="n">
        <v>15.8</v>
      </c>
      <c r="AG166" s="28" t="n">
        <v>173.9</v>
      </c>
      <c r="AH166" s="26" t="inlineStr">
        <is>
          <t>Y</t>
        </is>
      </c>
      <c r="AI166" s="35" t="n">
        <v>25.7</v>
      </c>
      <c r="AJ166" s="35" t="n">
        <v>283.3</v>
      </c>
      <c r="AK166" s="26" t="inlineStr">
        <is>
          <t>N</t>
        </is>
      </c>
      <c r="AL166" s="36">
        <f>IF('BBG Verify'!K166="","not filed — run on terminal",'BBG Verify'!K166)</f>
        <v/>
      </c>
      <c r="AM166" s="26" t="inlineStr">
        <is>
          <t>N/A</t>
        </is>
      </c>
      <c r="AN166" s="26" t="inlineStr">
        <is>
          <t>N/A</t>
        </is>
      </c>
      <c r="AO166" s="26" t="inlineStr">
        <is>
          <t>N/A</t>
        </is>
      </c>
      <c r="AP166" s="26" t="inlineStr">
        <is>
          <t>China International Capital Corporation Hong Kong Securities Limited; DBS Asia Capital Limited</t>
        </is>
      </c>
      <c r="AQ166" s="26" t="inlineStr">
        <is>
          <t>中國國際金融香港證券有限公司; 星展亞洲融資有限公司</t>
        </is>
      </c>
      <c r="AR166" s="26" t="inlineStr">
        <is>
          <t>China International Capital Corporation Hong Kong Securities Limited; DBS Asia Capital Limited; Daiwa Capital Markets Hong Kong Limited; ABCI Capital Limited; BOCOM International Securities Limited; Futu Securities International (Hong Kong) Limited</t>
        </is>
      </c>
      <c r="AS166" s="26" t="inlineStr">
        <is>
          <t>農銀國際證券有限公司; Beta International Securities Limited; 中國國際金融香港證券有限公司; 星展亞洲融資有限公司; 大和資本市場香港有限公司; 富途證券國際（香港）有限公司; 元庫證券有限公司</t>
        </is>
      </c>
      <c r="AT166" s="37">
        <f>HYPERLINK("https://www1.hkexnews.hk/listedco/listconews/sehk/2022/1216/2022121600017.pdf","prospectus")</f>
        <v/>
      </c>
      <c r="AU166" s="37">
        <f>HYPERLINK("https://www1.hkexnews.hk/listedco/listconews/sehk/2022/1229/2022122900092.htm","allotment")</f>
        <v/>
      </c>
      <c r="AV166" s="37">
        <f>HYPERLINK("https://www1.hkexnews.hk/listedco/listconews/sehk/2023/0120/2023012001115.pdf","stabilisation")</f>
        <v/>
      </c>
      <c r="AW166" s="26" t="inlineStr">
        <is>
          <t>A/H: no A-share listing · cornerstone: AAStocks institutional table includes non-cornerstone orders (superset) — cornerstone % is from the prospectus</t>
        </is>
      </c>
    </row>
    <row r="167">
      <c r="A167" s="25" t="inlineStr">
        <is>
          <t>6922</t>
        </is>
      </c>
      <c r="B167" s="26" t="inlineStr">
        <is>
          <t>CRYOFOCUS-B</t>
        </is>
      </c>
      <c r="C167" s="26" t="inlineStr">
        <is>
          <t>康灃生物－Ｂ</t>
        </is>
      </c>
      <c r="D167" s="26" t="inlineStr">
        <is>
          <t>Healthcare</t>
        </is>
      </c>
      <c r="E167" s="26" t="inlineStr">
        <is>
          <t>Medical devices</t>
        </is>
      </c>
      <c r="F167" s="26" t="inlineStr">
        <is>
          <t>18A</t>
        </is>
      </c>
      <c r="G167" s="27" t="n">
        <v>44925</v>
      </c>
      <c r="H167" s="28" t="n">
        <v>210</v>
      </c>
      <c r="I167" s="26" t="inlineStr">
        <is>
          <t>gross (price x shares)</t>
        </is>
      </c>
      <c r="J167" s="29" t="n"/>
      <c r="K167" s="29" t="n">
        <v>18.9</v>
      </c>
      <c r="L167" s="29" t="n">
        <v>18.9</v>
      </c>
      <c r="M167" s="26" t="inlineStr">
        <is>
          <t>Y</t>
        </is>
      </c>
      <c r="N167" s="30" t="n">
        <v>100</v>
      </c>
      <c r="O167" s="28" t="n">
        <v>4516.1</v>
      </c>
      <c r="P167" s="26" t="inlineStr">
        <is>
          <t>derived:deal size / offer % of enlarged capital</t>
        </is>
      </c>
      <c r="Q167" s="31" t="n">
        <v>1.95</v>
      </c>
      <c r="R167" s="32" t="n">
        <v>1.28</v>
      </c>
      <c r="S167" s="33" t="n"/>
      <c r="T167" s="26" t="n"/>
      <c r="U167" s="30" t="n"/>
      <c r="V167" s="26" t="n"/>
      <c r="W167" s="34" t="n">
        <v>-6.56</v>
      </c>
      <c r="X167" s="34" t="n">
        <v>-9.84</v>
      </c>
      <c r="Y167" s="34" t="n">
        <v>-19.05</v>
      </c>
      <c r="Z167" s="34" t="n">
        <v>-12.7</v>
      </c>
      <c r="AA167" s="34" t="n">
        <v>-13.37</v>
      </c>
      <c r="AB167" s="34" t="n">
        <v>-28.32</v>
      </c>
      <c r="AC167" s="34" t="n">
        <v>9.27</v>
      </c>
      <c r="AD167" s="26" t="inlineStr">
        <is>
          <t>China Biotech ETF (HS biotech proxy)</t>
        </is>
      </c>
      <c r="AE167" s="34" t="n">
        <v>-81.23999999999999</v>
      </c>
      <c r="AF167" s="28" t="n">
        <v>13.3</v>
      </c>
      <c r="AG167" s="28" t="n">
        <v>-101.7</v>
      </c>
      <c r="AH167" s="26" t="inlineStr">
        <is>
          <t>N</t>
        </is>
      </c>
      <c r="AI167" s="38">
        <f>IF('BBG Verify'!O167="","not filed — run on terminal",'BBG Verify'!O167)</f>
        <v/>
      </c>
      <c r="AJ167" s="35" t="n">
        <v>339.6</v>
      </c>
      <c r="AK167" s="26" t="inlineStr">
        <is>
          <t>N</t>
        </is>
      </c>
      <c r="AL167" s="36">
        <f>IF('BBG Verify'!K167="","not filed — run on terminal",'BBG Verify'!K167)</f>
        <v/>
      </c>
      <c r="AM167" s="26" t="inlineStr">
        <is>
          <t>N/A</t>
        </is>
      </c>
      <c r="AN167" s="26" t="inlineStr">
        <is>
          <t>N/A</t>
        </is>
      </c>
      <c r="AO167" s="26" t="inlineStr">
        <is>
          <t>N/A</t>
        </is>
      </c>
      <c r="AP167" s="26" t="inlineStr">
        <is>
          <t>Citigroup Global Markets Asia Limited; Huatai Financial Holdings (Hong Kong) Limited</t>
        </is>
      </c>
      <c r="AQ167" s="26" t="inlineStr">
        <is>
          <t>華泰金融控股(香港)有限公司; 花旗環球金融亞洲有限公司</t>
        </is>
      </c>
      <c r="AR167" s="26"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AS167" s="26" t="inlineStr">
        <is>
          <t>農銀國際證券有限公司; Beta International Securities Limited; 花旗環球金融亞洲有限公司; 招銀國際金融有限公司; 富途證券國際（香港）有限公司; 華泰金融控股(香港)有限公司; 元庫證券有限公司; 老虎證券（香港）環球有限公司</t>
        </is>
      </c>
      <c r="AT167" s="37">
        <f>HYPERLINK("https://www1.hkexnews.hk/listedco/listconews/sehk/2022/1216/2022121600015.pdf","prospectus")</f>
        <v/>
      </c>
      <c r="AU167" s="37">
        <f>HYPERLINK("https://www1.hkexnews.hk/listedco/listconews/sehk/2022/1229/2022122900114.htm","allotment")</f>
        <v/>
      </c>
      <c r="AV167" s="26" t="n"/>
      <c r="AW167" s="26" t="inlineStr">
        <is>
          <t>P/E: n/m — loss-making at IPO (use P/S) · greenshoe: no over-allotment option in the offer structure · A/H: no A-share listing</t>
        </is>
      </c>
    </row>
    <row r="168">
      <c r="A168" s="25" t="inlineStr">
        <is>
          <t>6955</t>
        </is>
      </c>
      <c r="B168" s="26" t="inlineStr">
        <is>
          <t>BOAN BIOTECH-B</t>
        </is>
      </c>
      <c r="C168" s="26" t="inlineStr">
        <is>
          <t>博安生物</t>
        </is>
      </c>
      <c r="D168" s="26" t="inlineStr">
        <is>
          <t>Healthcare</t>
        </is>
      </c>
      <c r="E168" s="26" t="inlineStr">
        <is>
          <t>Biotech pre-revenue (18A)</t>
        </is>
      </c>
      <c r="F168" s="26" t="inlineStr">
        <is>
          <t>18A</t>
        </is>
      </c>
      <c r="G168" s="27" t="n">
        <v>44925</v>
      </c>
      <c r="H168" s="28" t="n">
        <v>211.8</v>
      </c>
      <c r="I168" s="26" t="inlineStr">
        <is>
          <t>gross (price x shares)</t>
        </is>
      </c>
      <c r="J168" s="29" t="n"/>
      <c r="K168" s="29" t="n">
        <v>19.8</v>
      </c>
      <c r="L168" s="29" t="n">
        <v>19.8</v>
      </c>
      <c r="M168" s="26" t="inlineStr">
        <is>
          <t>Y</t>
        </is>
      </c>
      <c r="N168" s="30" t="n">
        <v>100</v>
      </c>
      <c r="O168" s="28" t="n">
        <v>8825</v>
      </c>
      <c r="P168" s="26" t="inlineStr">
        <is>
          <t>derived:deal size / offer % of enlarged capital</t>
        </is>
      </c>
      <c r="Q168" s="31" t="n">
        <v>2.12</v>
      </c>
      <c r="R168" s="32" t="n">
        <v>1.52</v>
      </c>
      <c r="S168" s="33" t="n">
        <v>10</v>
      </c>
      <c r="T168" s="26" t="inlineStr">
        <is>
          <t>Harvest Great Bay Investment SP; 中國生物製藥有限公司</t>
        </is>
      </c>
      <c r="U168" s="30" t="n">
        <v>18.14</v>
      </c>
      <c r="V168" s="26" t="inlineStr">
        <is>
          <t>lapsed</t>
        </is>
      </c>
      <c r="W168" s="34" t="n">
        <v>0</v>
      </c>
      <c r="X168" s="34" t="n">
        <v>-17.17</v>
      </c>
      <c r="Y168" s="34" t="n">
        <v>-22.02</v>
      </c>
      <c r="Z168" s="34" t="n">
        <v>-2.32</v>
      </c>
      <c r="AA168" s="34" t="n">
        <v>-22.02</v>
      </c>
      <c r="AB168" s="34" t="n">
        <v>-31.29</v>
      </c>
      <c r="AC168" s="34" t="n">
        <v>9.27</v>
      </c>
      <c r="AD168" s="26" t="inlineStr">
        <is>
          <t>China Biotech ETF (HS biotech proxy)</t>
        </is>
      </c>
      <c r="AE168" s="34" t="n">
        <v>-77.42</v>
      </c>
      <c r="AF168" s="28" t="n">
        <v>242.8</v>
      </c>
      <c r="AG168" s="28" t="n">
        <v>-364.9</v>
      </c>
      <c r="AH168" s="26" t="inlineStr">
        <is>
          <t>N</t>
        </is>
      </c>
      <c r="AI168" s="38">
        <f>IF('BBG Verify'!O168="","not filed — run on terminal",'BBG Verify'!O168)</f>
        <v/>
      </c>
      <c r="AJ168" s="35" t="n">
        <v>36.3</v>
      </c>
      <c r="AK168" s="26" t="inlineStr">
        <is>
          <t>N</t>
        </is>
      </c>
      <c r="AL168" s="36">
        <f>IF('BBG Verify'!K168="","not filed — run on terminal",'BBG Verify'!K168)</f>
        <v/>
      </c>
      <c r="AM168" s="26" t="inlineStr">
        <is>
          <t>N/A</t>
        </is>
      </c>
      <c r="AN168" s="26" t="inlineStr">
        <is>
          <t>N/A</t>
        </is>
      </c>
      <c r="AO168" s="26" t="inlineStr">
        <is>
          <t>N/A</t>
        </is>
      </c>
      <c r="AP168" s="26" t="inlineStr">
        <is>
          <t>UBS Securities Hong Kong Limited; Essence Corporate Finance (Hong Kong) Limited</t>
        </is>
      </c>
      <c r="AQ168" s="26" t="inlineStr">
        <is>
          <t>瑞銀證券香港有限公司; 安信融資(香港)有限公司</t>
        </is>
      </c>
      <c r="AR168" s="26" t="inlineStr">
        <is>
          <t>UBS AG Hong Kong Branch; Essence International Securities (Hong Kong) Limited</t>
        </is>
      </c>
      <c r="AS168" s="26" t="inlineStr">
        <is>
          <t>安信國際證券(香港)有限公司; 富途證券國際（香港）有限公司; 利弗莫爾證券有限公司; 元庫證券有限公司; UBS AG 香港分行</t>
        </is>
      </c>
      <c r="AT168" s="37">
        <f>HYPERLINK("https://www1.hkexnews.hk/listedco/listconews/sehk/2022/1219/2022121900009.pdf","prospectus")</f>
        <v/>
      </c>
      <c r="AU168" s="37">
        <f>HYPERLINK("https://www1.hkexnews.hk/listedco/listconews/sehk/2022/1229/2022122900320.htm","allotment")</f>
        <v/>
      </c>
      <c r="AV168" s="37">
        <f>HYPERLINK("https://www1.hkexnews.hk/listedco/listconews/sehk/2023/0125/2023012500003.pdf","stabilisation")</f>
        <v/>
      </c>
      <c r="AW168" s="26" t="inlineStr">
        <is>
          <t>P/E: n/m — loss-making at IPO (use P/S) · A/H: no A-share listing · cornerstone: AAStocks institutional table includes non-cornerstone orders (superset) — cornerstone % is from the prospectus</t>
        </is>
      </c>
    </row>
    <row r="169">
      <c r="A169" s="25" t="inlineStr">
        <is>
          <t>2469</t>
        </is>
      </c>
      <c r="B169" s="26" t="inlineStr">
        <is>
          <t>FENBI</t>
        </is>
      </c>
      <c r="C169" s="26" t="inlineStr">
        <is>
          <t>粉筆</t>
        </is>
      </c>
      <c r="D169" s="26" t="inlineStr">
        <is>
          <t>Consumer</t>
        </is>
      </c>
      <c r="E169" s="26" t="inlineStr">
        <is>
          <t>Consumer services / education</t>
        </is>
      </c>
      <c r="F169" s="26" t="inlineStr">
        <is>
          <t>Standard</t>
        </is>
      </c>
      <c r="G169" s="27" t="n">
        <v>44933</v>
      </c>
      <c r="H169" s="28" t="n">
        <v>198</v>
      </c>
      <c r="I169" s="26" t="inlineStr">
        <is>
          <t>gross (price x shares)</t>
        </is>
      </c>
      <c r="J169" s="29" t="n"/>
      <c r="K169" s="29" t="n">
        <v>9.9</v>
      </c>
      <c r="L169" s="29" t="n">
        <v>9.9</v>
      </c>
      <c r="M169" s="26" t="inlineStr">
        <is>
          <t>Y</t>
        </is>
      </c>
      <c r="N169" s="30" t="n">
        <v>100</v>
      </c>
      <c r="O169" s="28" t="n">
        <v>20763.3</v>
      </c>
      <c r="P169" s="26" t="inlineStr">
        <is>
          <t>aastocks:上市市值 at the struck price</t>
        </is>
      </c>
      <c r="Q169" s="31" t="n">
        <v>33.88</v>
      </c>
      <c r="R169" s="32" t="n">
        <v>2.3243</v>
      </c>
      <c r="S169" s="33" t="n">
        <v>0</v>
      </c>
      <c r="T169" s="26" t="n"/>
      <c r="U169" s="30" t="n">
        <v>10.42</v>
      </c>
      <c r="V169" s="26" t="inlineStr">
        <is>
          <t>lapsed</t>
        </is>
      </c>
      <c r="W169" s="34" t="n">
        <v>12.12</v>
      </c>
      <c r="X169" s="34" t="n">
        <v>5.05</v>
      </c>
      <c r="Y169" s="34" t="n">
        <v>24.65</v>
      </c>
      <c r="Z169" s="34" t="n">
        <v>22.83</v>
      </c>
      <c r="AA169" s="34" t="n">
        <v>11.18</v>
      </c>
      <c r="AB169" s="34" t="n">
        <v>23.48</v>
      </c>
      <c r="AC169" s="34" t="n">
        <v>1.17</v>
      </c>
      <c r="AD169" s="26" t="inlineStr">
        <is>
          <t>Hang Seng Commerce &amp; Industry sub-index</t>
        </is>
      </c>
      <c r="AE169" s="34" t="n">
        <v>-96.16</v>
      </c>
      <c r="AF169" s="28" t="n">
        <v>2.2</v>
      </c>
      <c r="AG169" s="28" t="n">
        <v>-2263.7</v>
      </c>
      <c r="AH169" s="26" t="inlineStr">
        <is>
          <t>N</t>
        </is>
      </c>
      <c r="AI169" s="38">
        <f>IF('BBG Verify'!O169="","not filed — run on terminal",'BBG Verify'!O169)</f>
        <v/>
      </c>
      <c r="AJ169" s="35" t="n">
        <v>9437.9</v>
      </c>
      <c r="AK169" s="26" t="inlineStr">
        <is>
          <t>N</t>
        </is>
      </c>
      <c r="AL169" s="36">
        <f>IF('BBG Verify'!K169="","not filed — run on terminal",'BBG Verify'!K169)</f>
        <v/>
      </c>
      <c r="AM169" s="26" t="inlineStr">
        <is>
          <t>N/A</t>
        </is>
      </c>
      <c r="AN169" s="26" t="inlineStr">
        <is>
          <t>N/A</t>
        </is>
      </c>
      <c r="AO169" s="26" t="inlineStr">
        <is>
          <t>N/A</t>
        </is>
      </c>
      <c r="AP169" s="26" t="n"/>
      <c r="AQ169" s="26" t="inlineStr">
        <is>
          <t>中國國際金融香港證券有限公司; 美林(亞太)有限公司; 花旗環球金融亞洲有限公司</t>
        </is>
      </c>
      <c r="AR169" s="26" t="inlineStr">
        <is>
          <t>(in no particular order) Citigroup Global Markets Asia Limited; China International Capital Corporation Hong Kong Securities Limited; Central, Hong Kong Merrill Lynch (Asia Pacific) Limited; Central, Hong Kong Haitong International Securities Company Limited; ICBC International Securities Limited</t>
        </is>
      </c>
      <c r="AS169" s="26" t="inlineStr">
        <is>
          <t>Beta International Securities Limited; 花旗環球金融亞洲有限公司; 中國國際金融香港證券有限公司; 招銀國際融資有限公司; 招商證券(香港)有限公司; 克而瑞證券有限公司; 山高國際證券有限公司; 富途證券國際（香港）有限公司; 海通國際證券有限公司; 工銀國際證券有限公司; 麥格理資本股份有限公司; 邁時資本有限公司; 美林(亞太)有限公司; 東吳證券國際經紀有限公司</t>
        </is>
      </c>
      <c r="AT169" s="37">
        <f>HYPERLINK("https://www1.hkexnews.hk/listedco/listconews/sehk/2022/1223/2022122300005.pdf","prospectus")</f>
        <v/>
      </c>
      <c r="AU169" s="37">
        <f>HYPERLINK("https://www1.hkexnews.hk/listedco/listconews/sehk/2023/0106/2023010600010.htm","allotment")</f>
        <v/>
      </c>
      <c r="AV169" s="37">
        <f>HYPERLINK("https://www1.hkexnews.hk/listedco/listconews/sehk/2023/0129/2023012900007.pdf","stabilisation")</f>
        <v/>
      </c>
      <c r="AW169" s="26" t="inlineStr">
        <is>
          <t>P/E: n/m — loss-making at IPO (use P/S) · A/H: no A-share listing · sponsor: English name not in the filing text; AAStocks 保薦人 shown · market cap: estimate from stated market capitalisation disagreed with the published listing cap — published figure adopted</t>
        </is>
      </c>
    </row>
    <row r="170">
      <c r="A170" s="25" t="inlineStr">
        <is>
          <t>2402</t>
        </is>
      </c>
      <c r="B170" s="26" t="inlineStr">
        <is>
          <t>SINOHYTEC</t>
        </is>
      </c>
      <c r="C170" s="26" t="inlineStr">
        <is>
          <t>億華通</t>
        </is>
      </c>
      <c r="D170" s="26" t="inlineStr">
        <is>
          <t>Industrials</t>
        </is>
      </c>
      <c r="E170" s="26" t="inlineStr">
        <is>
          <t>Batteries / energy storage</t>
        </is>
      </c>
      <c r="F170" s="26" t="inlineStr">
        <is>
          <t>Standard</t>
        </is>
      </c>
      <c r="G170" s="27" t="n">
        <v>44938</v>
      </c>
      <c r="H170" s="28" t="n">
        <v>1057.7</v>
      </c>
      <c r="I170" s="26" t="inlineStr">
        <is>
          <t>gross (price x shares)</t>
        </is>
      </c>
      <c r="J170" s="29" t="n">
        <v>60</v>
      </c>
      <c r="K170" s="29" t="n">
        <v>76</v>
      </c>
      <c r="L170" s="29" t="n">
        <v>60</v>
      </c>
      <c r="M170" s="26" t="inlineStr">
        <is>
          <t>N</t>
        </is>
      </c>
      <c r="N170" s="30" t="n">
        <v>78.90000000000001</v>
      </c>
      <c r="O170" s="28" t="n">
        <v>7051.3</v>
      </c>
      <c r="P170" s="26" t="inlineStr">
        <is>
          <t>derived:deal size / offer % of enlarged capital</t>
        </is>
      </c>
      <c r="Q170" s="31" t="n">
        <v>0.29</v>
      </c>
      <c r="R170" s="39">
        <f>IF('BBG Verify'!E170="","not filed — run on terminal",'BBG Verify'!E170)</f>
        <v/>
      </c>
      <c r="S170" s="33" t="n"/>
      <c r="T170" s="26" t="inlineStr">
        <is>
          <t>Astonish Investment Pte. Ltd; Harvest International Premium Value (Secondary Market) Fund SPC</t>
        </is>
      </c>
      <c r="U170" s="30" t="n">
        <v>15.8</v>
      </c>
      <c r="V170" s="26" t="inlineStr">
        <is>
          <t>partial</t>
        </is>
      </c>
      <c r="W170" s="34" t="n">
        <v>40</v>
      </c>
      <c r="X170" s="34" t="n">
        <v>40</v>
      </c>
      <c r="Y170" s="34" t="n">
        <v>51.55</v>
      </c>
      <c r="Z170" s="34" t="n">
        <v>39.3</v>
      </c>
      <c r="AA170" s="34" t="n">
        <v>8.25</v>
      </c>
      <c r="AB170" s="34" t="n">
        <v>55.59</v>
      </c>
      <c r="AC170" s="34" t="n">
        <v>-4.04</v>
      </c>
      <c r="AD170" s="26" t="inlineStr">
        <is>
          <t>Hang Seng Commerce &amp; Industry sub-index</t>
        </is>
      </c>
      <c r="AE170" s="34" t="n">
        <v>-78.52</v>
      </c>
      <c r="AF170" s="28" t="n">
        <v>692.3</v>
      </c>
      <c r="AG170" s="28" t="n">
        <v>-203.9</v>
      </c>
      <c r="AH170" s="26" t="inlineStr">
        <is>
          <t>N</t>
        </is>
      </c>
      <c r="AI170" s="38">
        <f>IF('BBG Verify'!O170="","not filed — run on terminal",'BBG Verify'!O170)</f>
        <v/>
      </c>
      <c r="AJ170" s="35" t="n">
        <v>10.2</v>
      </c>
      <c r="AK170" s="26" t="inlineStr">
        <is>
          <t>Y</t>
        </is>
      </c>
      <c r="AL170" s="26" t="inlineStr">
        <is>
          <t>688339.SS</t>
        </is>
      </c>
      <c r="AM170" s="34" t="n">
        <v>-35.13</v>
      </c>
      <c r="AN170" s="29" t="n">
        <v>92.48820000000001</v>
      </c>
      <c r="AO170" s="42" t="n">
        <v>-0.3644</v>
      </c>
      <c r="AP170" s="26" t="inlineStr">
        <is>
          <t>Guotai Junan Capital Limited; Giraffe Capital Limited</t>
        </is>
      </c>
      <c r="AQ170" s="26" t="inlineStr">
        <is>
          <t>國泰君安融資有限公司; 智富融資有限公司</t>
        </is>
      </c>
      <c r="AR170" s="26"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AS170" s="26" t="inlineStr">
        <is>
          <t>中國光大證券(香港)有限公司; 中信里昂證券有限公司; 安信國際證券(香港)有限公司; 富途證券國際（香港）有限公司; 國泰君安證券(香港)有限公司; 工銀國際證券有限公司; 領智證券有限公司; 浦銀國際融資有限公司; 華盛資本証券有限公司; 中泰國際證券有限公司</t>
        </is>
      </c>
      <c r="AT170" s="37">
        <f>HYPERLINK("https://www1.hkexnews.hk/listedco/listconews/sehk/2022/1229/2022122900013.pdf","prospectus")</f>
        <v/>
      </c>
      <c r="AU170" s="37">
        <f>HYPERLINK("https://www1.hkexnews.hk/listedco/listconews/sehk/2023/0111/2023011100006.htm","allotment")</f>
        <v/>
      </c>
      <c r="AV170" s="37">
        <f>HYPERLINK("https://www1.hkexnews.hk/listedco/listconews/sehk/2023/0206/2023020600005.pdf","stabilisation")</f>
        <v/>
      </c>
      <c r="AW170" s="26" t="inlineStr">
        <is>
          <t>intl sub: subscription level not stated in the filing · P/E: n/m — loss-making at IPO (use P/S) · A/H: H listed Jan 2023 (hydrogen fuel cells); A+H on STAR</t>
        </is>
      </c>
    </row>
    <row r="171">
      <c r="A171" s="25" t="inlineStr">
        <is>
          <t>2147</t>
        </is>
      </c>
      <c r="B171" s="26" t="inlineStr">
        <is>
          <t>ZHENGWEI GROUP</t>
        </is>
      </c>
      <c r="C171" s="26" t="inlineStr">
        <is>
          <t>正味集團</t>
        </is>
      </c>
      <c r="D171" s="26" t="inlineStr">
        <is>
          <t>Consumer</t>
        </is>
      </c>
      <c r="E171" s="26" t="inlineStr">
        <is>
          <t>Beverages / packaged food</t>
        </is>
      </c>
      <c r="F171" s="26" t="inlineStr">
        <is>
          <t>Standard</t>
        </is>
      </c>
      <c r="G171" s="27" t="n">
        <v>44939</v>
      </c>
      <c r="H171" s="28" t="n">
        <v>97.3</v>
      </c>
      <c r="I171" s="26" t="inlineStr">
        <is>
          <t>net proceeds</t>
        </is>
      </c>
      <c r="J171" s="29" t="n"/>
      <c r="K171" s="29" t="n">
        <v>0.68</v>
      </c>
      <c r="L171" s="29" t="n">
        <v>0.68</v>
      </c>
      <c r="M171" s="26" t="inlineStr">
        <is>
          <t>Y</t>
        </is>
      </c>
      <c r="N171" s="30" t="n">
        <v>100</v>
      </c>
      <c r="O171" s="28" t="n">
        <v>600</v>
      </c>
      <c r="P171" s="26" t="inlineStr">
        <is>
          <t>aastocks:上市市值 at the struck price</t>
        </is>
      </c>
      <c r="Q171" s="31" t="n">
        <v>18.28</v>
      </c>
      <c r="R171" s="32" t="n">
        <v>1.33</v>
      </c>
      <c r="S171" s="33" t="n">
        <v>0</v>
      </c>
      <c r="T171" s="26" t="n"/>
      <c r="U171" s="30" t="n">
        <v>15</v>
      </c>
      <c r="V171" s="26" t="inlineStr">
        <is>
          <t>lapsed (no over-allocation)</t>
        </is>
      </c>
      <c r="W171" s="34" t="n">
        <v>-95.88</v>
      </c>
      <c r="X171" s="34" t="n">
        <v>-96.47</v>
      </c>
      <c r="Y171" s="34" t="n">
        <v>-96.54000000000001</v>
      </c>
      <c r="Z171" s="34" t="n">
        <v>-95.06999999999999</v>
      </c>
      <c r="AA171" s="34" t="n">
        <v>-16.02</v>
      </c>
      <c r="AB171" s="34" t="n">
        <v>-93.7</v>
      </c>
      <c r="AC171" s="34" t="n">
        <v>-2.84</v>
      </c>
      <c r="AD171" s="26" t="inlineStr">
        <is>
          <t>Hang Seng Commerce &amp; Industry sub-index</t>
        </is>
      </c>
      <c r="AE171" s="34" t="n">
        <v>-20.59</v>
      </c>
      <c r="AF171" s="28" t="n">
        <v>376.2</v>
      </c>
      <c r="AG171" s="28" t="n">
        <v>53.1</v>
      </c>
      <c r="AH171" s="26" t="inlineStr">
        <is>
          <t>Y</t>
        </is>
      </c>
      <c r="AI171" s="35" t="n">
        <v>11.3</v>
      </c>
      <c r="AJ171" s="35" t="n">
        <v>1.6</v>
      </c>
      <c r="AK171" s="26" t="inlineStr">
        <is>
          <t>N</t>
        </is>
      </c>
      <c r="AL171" s="36">
        <f>IF('BBG Verify'!K171="","not filed — run on terminal",'BBG Verify'!K171)</f>
        <v/>
      </c>
      <c r="AM171" s="26" t="inlineStr">
        <is>
          <t>N/A</t>
        </is>
      </c>
      <c r="AN171" s="26" t="inlineStr">
        <is>
          <t>N/A</t>
        </is>
      </c>
      <c r="AO171" s="26" t="inlineStr">
        <is>
          <t>N/A</t>
        </is>
      </c>
      <c r="AP171" s="26" t="inlineStr">
        <is>
          <t>Grand Moore Capital Limited</t>
        </is>
      </c>
      <c r="AQ171" s="26" t="inlineStr">
        <is>
          <t>中毅資本有限公司</t>
        </is>
      </c>
      <c r="AR171" s="26" t="inlineStr">
        <is>
          <t>Grand Moore Capital Limited; Valuable Capital Limited; Managers Grand Moore Capital Limited; DIRECTORS AND PARTIES INVOLVED IN THE SHARE OFFER –8 2– Valuable Capital Limited; China PA Securities (Hong Kong) Company Limited; Cinda International Capital Limited; Fortune (HK) Securities Limited; Guotai Junan Securities (Hong Kong) Limited; Zhong Y ang Securities Limited</t>
        </is>
      </c>
      <c r="AS171" s="26" t="inlineStr">
        <is>
          <t>信達國際融資有限公司; 平證證券（香港）有限公司; 富強證券有限公司; 國泰君安證券(香港)有限公司; 中毅資本有限公司; 華盛資本証券有限公司; 中陽證券有限公司</t>
        </is>
      </c>
      <c r="AT171" s="37">
        <f>HYPERLINK("https://www1.hkexnews.hk/listedco/listconews/sehk/2022/1230/2022123000080.htm","prospectus")</f>
        <v/>
      </c>
      <c r="AU171" s="37">
        <f>HYPERLINK("https://www1.hkexnews.hk/listedco/listconews/sehk/2023/0112/2023011200014.htm","allotment")</f>
        <v/>
      </c>
      <c r="AV171" s="37">
        <f>HYPERLINK("https://www1.hkexnews.hk/listedco/listconews/sehk/2023/0210/2023021001132.pdf","stabilisation")</f>
        <v/>
      </c>
      <c r="AW171" s="26" t="inlineStr">
        <is>
          <t>price range: fixed-price offering (no indicative range) · A/H: no A-share listing · market cap: estimate from deal size / offer % of enlarged capital disagreed with the published listing cap — published figure adopted</t>
        </is>
      </c>
    </row>
    <row r="172">
      <c r="A172" s="25" t="inlineStr">
        <is>
          <t>2411</t>
        </is>
      </c>
      <c r="B172" s="26" t="inlineStr">
        <is>
          <t>PAGODA GP</t>
        </is>
      </c>
      <c r="C172" s="26" t="inlineStr">
        <is>
          <t>百果園集團</t>
        </is>
      </c>
      <c r="D172" s="26" t="inlineStr">
        <is>
          <t>Consumer</t>
        </is>
      </c>
      <c r="E172" s="26" t="inlineStr">
        <is>
          <t>Retail / distribution</t>
        </is>
      </c>
      <c r="F172" s="26" t="inlineStr">
        <is>
          <t>Standard</t>
        </is>
      </c>
      <c r="G172" s="27" t="n">
        <v>44940</v>
      </c>
      <c r="H172" s="28" t="n">
        <v>442.1</v>
      </c>
      <c r="I172" s="26" t="inlineStr">
        <is>
          <t>gross (price x shares)</t>
        </is>
      </c>
      <c r="J172" s="29" t="n">
        <v>5</v>
      </c>
      <c r="K172" s="29" t="n">
        <v>6.2</v>
      </c>
      <c r="L172" s="29" t="n">
        <v>5.6</v>
      </c>
      <c r="M172" s="26" t="inlineStr">
        <is>
          <t>N</t>
        </is>
      </c>
      <c r="N172" s="30" t="n">
        <v>90.3</v>
      </c>
      <c r="O172" s="28" t="n">
        <v>7756.1</v>
      </c>
      <c r="P172" s="26" t="inlineStr">
        <is>
          <t>derived:deal size / offer % of enlarged capital</t>
        </is>
      </c>
      <c r="Q172" s="31" t="n">
        <v>15</v>
      </c>
      <c r="R172" s="32" t="n">
        <v>2.8</v>
      </c>
      <c r="S172" s="33" t="n">
        <v>5.32</v>
      </c>
      <c r="T172" s="26" t="inlineStr">
        <is>
          <t>香港百嘉達新材料有限公司; 南通道森鑽採設備有限公司</t>
        </is>
      </c>
      <c r="U172" s="30" t="n">
        <v>15</v>
      </c>
      <c r="V172" s="26" t="inlineStr">
        <is>
          <t>partial</t>
        </is>
      </c>
      <c r="W172" s="34" t="n">
        <v>7.14</v>
      </c>
      <c r="X172" s="34" t="n">
        <v>1.07</v>
      </c>
      <c r="Y172" s="34" t="n">
        <v>0.71</v>
      </c>
      <c r="Z172" s="34" t="n">
        <v>5.54</v>
      </c>
      <c r="AA172" s="34" t="n">
        <v>-6</v>
      </c>
      <c r="AB172" s="34" t="n">
        <v>6.37</v>
      </c>
      <c r="AC172" s="34" t="n">
        <v>-5.66</v>
      </c>
      <c r="AD172" s="26" t="inlineStr">
        <is>
          <t>Hang Seng Commerce &amp; Industry sub-index</t>
        </is>
      </c>
      <c r="AE172" s="34" t="n">
        <v>-72.86</v>
      </c>
      <c r="AF172" s="28" t="n">
        <v>11318.3</v>
      </c>
      <c r="AG172" s="28" t="n">
        <v>243.5</v>
      </c>
      <c r="AH172" s="26" t="inlineStr">
        <is>
          <t>Y</t>
        </is>
      </c>
      <c r="AI172" s="35" t="n">
        <v>31.9</v>
      </c>
      <c r="AJ172" s="35" t="n">
        <v>0.7</v>
      </c>
      <c r="AK172" s="26" t="inlineStr">
        <is>
          <t>N</t>
        </is>
      </c>
      <c r="AL172" s="36">
        <f>IF('BBG Verify'!K172="","not filed — run on terminal",'BBG Verify'!K172)</f>
        <v/>
      </c>
      <c r="AM172" s="26" t="inlineStr">
        <is>
          <t>N/A</t>
        </is>
      </c>
      <c r="AN172" s="26" t="inlineStr">
        <is>
          <t>N/A</t>
        </is>
      </c>
      <c r="AO172" s="26" t="inlineStr">
        <is>
          <t>N/A</t>
        </is>
      </c>
      <c r="AP172" s="26" t="inlineStr">
        <is>
          <t>Morgan Stanley Asia Limited</t>
        </is>
      </c>
      <c r="AQ172" s="26" t="inlineStr">
        <is>
          <t>摩根士丹利亞洲有限公司</t>
        </is>
      </c>
      <c r="AR172" s="26" t="inlineStr">
        <is>
          <t>Morgan Stanley Asia Limited; CMB International Capital Limited</t>
        </is>
      </c>
      <c r="AS172" s="26" t="inlineStr">
        <is>
          <t>招銀國際融資有限公司; 第一上海證券有限公司; 復星恒利證券有限公司; 富途證券國際（香港）有限公司; 摩根士丹利亞洲有限公司; 老虎證券（香港）環球有限公司</t>
        </is>
      </c>
      <c r="AT172" s="37">
        <f>HYPERLINK("https://www1.hkexnews.hk/listedco/listconews/sehk/2022/1229/2022122900158.htm","prospectus")</f>
        <v/>
      </c>
      <c r="AU172" s="37">
        <f>HYPERLINK("https://www1.hkexnews.hk/listedco/listconews/sehk/2023/0113/2023011300018.htm","allotment")</f>
        <v/>
      </c>
      <c r="AV172" s="37">
        <f>HYPERLINK("https://www1.hkexnews.hk/listedco/listconews/sehk/2023/0208/2023020800810.pdf","stabilisation")</f>
        <v/>
      </c>
      <c r="AW172" s="26" t="inlineStr">
        <is>
          <t>A/H: no A-share listing · cornerstone: AAStocks institutional table includes non-cornerstone orders (superset) — cornerstone % is from the prospectus</t>
        </is>
      </c>
    </row>
    <row r="173">
      <c r="A173" s="25" t="inlineStr">
        <is>
          <t>2373</t>
        </is>
      </c>
      <c r="B173" s="26" t="inlineStr">
        <is>
          <t>BEAUTYFARM MED</t>
        </is>
      </c>
      <c r="C173" s="26" t="inlineStr">
        <is>
          <t>美麗田園醫療健康</t>
        </is>
      </c>
      <c r="D173" s="26" t="inlineStr">
        <is>
          <t>Consumer</t>
        </is>
      </c>
      <c r="E173" s="26" t="inlineStr">
        <is>
          <t>Beauty / personal care</t>
        </is>
      </c>
      <c r="F173" s="26" t="inlineStr">
        <is>
          <t>Standard</t>
        </is>
      </c>
      <c r="G173" s="27" t="n">
        <v>44940</v>
      </c>
      <c r="H173" s="28" t="n">
        <v>387.2</v>
      </c>
      <c r="I173" s="26" t="inlineStr">
        <is>
          <t>net proceeds</t>
        </is>
      </c>
      <c r="J173" s="29" t="n"/>
      <c r="K173" s="29" t="n">
        <v>19.32</v>
      </c>
      <c r="L173" s="29" t="n">
        <v>19.32</v>
      </c>
      <c r="M173" s="26" t="inlineStr">
        <is>
          <t>Y</t>
        </is>
      </c>
      <c r="N173" s="30" t="n">
        <v>100</v>
      </c>
      <c r="O173" s="28" t="n">
        <v>4454.8</v>
      </c>
      <c r="P173" s="26" t="inlineStr">
        <is>
          <t>prospectus:stated market capitalisation</t>
        </is>
      </c>
      <c r="Q173" s="31" t="n">
        <v>22.12</v>
      </c>
      <c r="R173" s="32" t="n">
        <v>4.7</v>
      </c>
      <c r="S173" s="33" t="n">
        <v>28.4</v>
      </c>
      <c r="T173" s="26" t="inlineStr">
        <is>
          <t>Harvest International Premium Value (Secondary Market) Fund; Juzi Holding Co., Ltd; 昆明貝泰妮生物科技銷售有限公司; TruMed Healthcare Master Fund及TruMed Health Innovation Fund LP</t>
        </is>
      </c>
      <c r="U173" s="30" t="n">
        <v>7</v>
      </c>
      <c r="V173" s="26" t="inlineStr">
        <is>
          <t>full</t>
        </is>
      </c>
      <c r="W173" s="34" t="n">
        <v>53.47</v>
      </c>
      <c r="X173" s="34" t="n">
        <v>56.31</v>
      </c>
      <c r="Y173" s="34" t="n">
        <v>45.96</v>
      </c>
      <c r="Z173" s="34" t="n">
        <v>58.64</v>
      </c>
      <c r="AA173" s="34" t="n">
        <v>-4.89</v>
      </c>
      <c r="AB173" s="34" t="n">
        <v>51.62</v>
      </c>
      <c r="AC173" s="34" t="n">
        <v>-5.66</v>
      </c>
      <c r="AD173" s="26" t="inlineStr">
        <is>
          <t>Hang Seng Commerce &amp; Industry sub-index</t>
        </is>
      </c>
      <c r="AE173" s="34" t="n">
        <v>-0.41</v>
      </c>
      <c r="AF173" s="28" t="n">
        <v>1799</v>
      </c>
      <c r="AG173" s="28" t="n">
        <v>229.2</v>
      </c>
      <c r="AH173" s="26" t="inlineStr">
        <is>
          <t>Y</t>
        </is>
      </c>
      <c r="AI173" s="35" t="n">
        <v>19.4</v>
      </c>
      <c r="AJ173" s="35" t="n">
        <v>2.5</v>
      </c>
      <c r="AK173" s="26" t="inlineStr">
        <is>
          <t>N</t>
        </is>
      </c>
      <c r="AL173" s="36">
        <f>IF('BBG Verify'!K173="","not filed — run on terminal",'BBG Verify'!K173)</f>
        <v/>
      </c>
      <c r="AM173" s="26" t="inlineStr">
        <is>
          <t>N/A</t>
        </is>
      </c>
      <c r="AN173" s="26" t="inlineStr">
        <is>
          <t>N/A</t>
        </is>
      </c>
      <c r="AO173" s="26" t="inlineStr">
        <is>
          <t>N/A</t>
        </is>
      </c>
      <c r="AP173" s="26" t="inlineStr">
        <is>
          <t>Morgan Stanley Asia Limited; Haitong International Capital Limited; Central, Hong Kong Huatai Financial Holdings (Hong Kong) Limited</t>
        </is>
      </c>
      <c r="AQ173" s="26" t="inlineStr">
        <is>
          <t>摩根士丹利亞洲有限公司; 海通國際資本有限公司; 華泰金融控股(香港)有限公司</t>
        </is>
      </c>
      <c r="AR173" s="26" t="inlineStr">
        <is>
          <t>Morgan Stanley Asia Limited; Haitong International Securities Company Limited; Huatai Financial Holdings (Hong Kong) Limited; CLSA Limited; ICBC International Capital Limited</t>
        </is>
      </c>
      <c r="AS173" s="26" t="inlineStr">
        <is>
          <t>中信里昂證券有限公司; 富途證券國際（香港）有限公司; 華泰金融控股(香港)有限公司; 海通國際證券有限公司; 工銀國際證券有限公司; 摩根士丹利亞洲有限公司; 老虎證券（香港）環球有限公司; 華盛資本証券有限公司</t>
        </is>
      </c>
      <c r="AT173" s="37">
        <f>HYPERLINK("https://www1.hkexnews.hk/listedco/listconews/sehk/2022/1230/2022123000067.pdf","prospectus")</f>
        <v/>
      </c>
      <c r="AU173" s="37">
        <f>HYPERLINK("https://www1.hkexnews.hk/listedco/listconews/sehk/2023/0113/2023011300032.htm","allotment")</f>
        <v/>
      </c>
      <c r="AV173" s="37">
        <f>HYPERLINK("https://www1.hkexnews.hk/listedco/listconews/sehk/2023/0205/2023020500007.pdf","stabilisation")</f>
        <v/>
      </c>
      <c r="AW173" s="26" t="inlineStr">
        <is>
          <t>A/H: no A-share listing · cornerstone: AAStocks institutional table includes non-cornerstone orders (superset) — cornerstone % is from the prospectus</t>
        </is>
      </c>
    </row>
    <row r="174">
      <c r="A174" s="25" t="inlineStr">
        <is>
          <t>2458</t>
        </is>
      </c>
      <c r="B174" s="26" t="inlineStr">
        <is>
          <t>GALA TECH HOLD</t>
        </is>
      </c>
      <c r="C174" s="26" t="inlineStr">
        <is>
          <t>望塵科技控股</t>
        </is>
      </c>
      <c r="D174" s="26" t="inlineStr">
        <is>
          <t>Tech/AI</t>
        </is>
      </c>
      <c r="E174" s="26" t="inlineStr">
        <is>
          <t>Fintech platform</t>
        </is>
      </c>
      <c r="F174" s="26" t="inlineStr">
        <is>
          <t>Standard</t>
        </is>
      </c>
      <c r="G174" s="27" t="n">
        <v>44940</v>
      </c>
      <c r="H174" s="28" t="n">
        <v>11</v>
      </c>
      <c r="I174" s="26" t="inlineStr">
        <is>
          <t>net proceeds</t>
        </is>
      </c>
      <c r="J174" s="29" t="n"/>
      <c r="K174" s="29" t="n">
        <v>7.16</v>
      </c>
      <c r="L174" s="29" t="n">
        <v>6.5</v>
      </c>
      <c r="M174" s="26" t="inlineStr">
        <is>
          <t>N</t>
        </is>
      </c>
      <c r="N174" s="30" t="n">
        <v>90.8</v>
      </c>
      <c r="O174" s="28" t="n">
        <v>969.5</v>
      </c>
      <c r="P174" s="26" t="inlineStr">
        <is>
          <t>aastocks:上市市值 at the struck price</t>
        </is>
      </c>
      <c r="Q174" s="31" t="n">
        <v>3.4</v>
      </c>
      <c r="R174" s="39">
        <f>IF('BBG Verify'!E174="","not filed — run on terminal",'BBG Verify'!E174)</f>
        <v/>
      </c>
      <c r="S174" s="33" t="n">
        <v>0</v>
      </c>
      <c r="T174" s="26" t="n"/>
      <c r="U174" s="30" t="n"/>
      <c r="V174" s="26" t="n"/>
      <c r="W174" s="34" t="n">
        <v>-11.54</v>
      </c>
      <c r="X174" s="34" t="n">
        <v>-20.92</v>
      </c>
      <c r="Y174" s="34" t="n">
        <v>4.46</v>
      </c>
      <c r="Z174" s="34" t="n">
        <v>-20.31</v>
      </c>
      <c r="AA174" s="34" t="n">
        <v>18.09</v>
      </c>
      <c r="AB174" s="34" t="n">
        <v>10.92</v>
      </c>
      <c r="AC174" s="34" t="n">
        <v>-6.46</v>
      </c>
      <c r="AD174" s="26" t="inlineStr">
        <is>
          <t>HSTECH (Hang Seng TECH ETF)</t>
        </is>
      </c>
      <c r="AE174" s="34" t="n">
        <v>-0.08</v>
      </c>
      <c r="AF174" s="28" t="n">
        <v>505.8</v>
      </c>
      <c r="AG174" s="28" t="n">
        <v>-1</v>
      </c>
      <c r="AH174" s="26" t="inlineStr">
        <is>
          <t>N</t>
        </is>
      </c>
      <c r="AI174" s="38">
        <f>IF('BBG Verify'!O174="","not filed — run on terminal",'BBG Verify'!O174)</f>
        <v/>
      </c>
      <c r="AJ174" s="35" t="n">
        <v>1.9</v>
      </c>
      <c r="AK174" s="26" t="inlineStr">
        <is>
          <t>N</t>
        </is>
      </c>
      <c r="AL174" s="36">
        <f>IF('BBG Verify'!K174="","not filed — run on terminal",'BBG Verify'!K174)</f>
        <v/>
      </c>
      <c r="AM174" s="26" t="inlineStr">
        <is>
          <t>N/A</t>
        </is>
      </c>
      <c r="AN174" s="26" t="inlineStr">
        <is>
          <t>N/A</t>
        </is>
      </c>
      <c r="AO174" s="26" t="inlineStr">
        <is>
          <t>N/A</t>
        </is>
      </c>
      <c r="AP174" s="26" t="inlineStr">
        <is>
          <t>UOB Kay Hian (Hong Kong) Limited</t>
        </is>
      </c>
      <c r="AQ174" s="26" t="inlineStr">
        <is>
          <t>大華繼顯(香港)有限公司</t>
        </is>
      </c>
      <c r="AR174" s="26" t="inlineStr">
        <is>
          <t>UOB Kay Hian (Hong Kong) Limited</t>
        </is>
      </c>
      <c r="AS174" s="26" t="inlineStr">
        <is>
          <t>富途證券國際（香港）有限公司; 海通國際證券有限公司; 邁時資本有限公司; 老虎證券（香港）環球有限公司; 大華繼顯(香港)有限公司</t>
        </is>
      </c>
      <c r="AT174" s="37">
        <f>HYPERLINK("https://www1.hkexnews.hk/listedco/listconews/sehk/2022/1230/2022123000207.pdf","prospectus")</f>
        <v/>
      </c>
      <c r="AU174" s="37">
        <f>HYPERLINK("https://www1.hkexnews.hk/listedco/listconews/sehk/2023/0113/2023011300078.htm","allotment")</f>
        <v/>
      </c>
      <c r="AV174" s="26" t="n"/>
      <c r="AW174" s="26" t="inlineStr">
        <is>
          <t>intl sub: subscription level not stated in the filing · P/E: n/m — loss-making at IPO (use P/S) · greenshoe: no over-allotment option in the offer structure · A/H: no A-share listing · market cap: estimate from deal size / offer % of enlarged capital disagreed with the published listing cap — published figure adopted</t>
        </is>
      </c>
    </row>
    <row r="175">
      <c r="A175" s="25" t="inlineStr">
        <is>
          <t>2459</t>
        </is>
      </c>
      <c r="B175" s="26" t="inlineStr">
        <is>
          <t>SANERGY GROUP</t>
        </is>
      </c>
      <c r="C175" s="26" t="inlineStr">
        <is>
          <t>昇能集團</t>
        </is>
      </c>
      <c r="D175" s="26" t="inlineStr">
        <is>
          <t>Materials/Energy</t>
        </is>
      </c>
      <c r="E175" s="26" t="inlineStr">
        <is>
          <t>Chemicals</t>
        </is>
      </c>
      <c r="F175" s="26" t="inlineStr">
        <is>
          <t>Standard</t>
        </is>
      </c>
      <c r="G175" s="27" t="n">
        <v>44943</v>
      </c>
      <c r="H175" s="28" t="n">
        <v>275.8</v>
      </c>
      <c r="I175" s="26" t="inlineStr">
        <is>
          <t>gross (price x shares)</t>
        </is>
      </c>
      <c r="J175" s="29" t="n"/>
      <c r="K175" s="29" t="n">
        <v>2.2</v>
      </c>
      <c r="L175" s="29" t="n">
        <v>1.6</v>
      </c>
      <c r="M175" s="26" t="inlineStr">
        <is>
          <t>N</t>
        </is>
      </c>
      <c r="N175" s="30" t="n">
        <v>72.7</v>
      </c>
      <c r="O175" s="28" t="n">
        <v>1779.4</v>
      </c>
      <c r="P175" s="26" t="inlineStr">
        <is>
          <t>derived:deal size / offer % of enlarged capital</t>
        </is>
      </c>
      <c r="Q175" s="31" t="n">
        <v>9.880000000000001</v>
      </c>
      <c r="R175" s="32" t="n">
        <v>1.2</v>
      </c>
      <c r="S175" s="33" t="n">
        <v>0</v>
      </c>
      <c r="T175" s="26" t="n"/>
      <c r="U175" s="30" t="n">
        <v>15</v>
      </c>
      <c r="V175" s="26" t="inlineStr">
        <is>
          <t>lapsed (no over-allocation)</t>
        </is>
      </c>
      <c r="W175" s="34" t="n">
        <v>-6.94</v>
      </c>
      <c r="X175" s="34" t="n">
        <v>-13.73</v>
      </c>
      <c r="Y175" s="34" t="n">
        <v>26.52</v>
      </c>
      <c r="Z175" s="34" t="n">
        <v>-7.98</v>
      </c>
      <c r="AA175" s="34" t="n">
        <v>35.96</v>
      </c>
      <c r="AB175" s="34" t="n">
        <v>29.15</v>
      </c>
      <c r="AC175" s="34" t="n">
        <v>-2.63</v>
      </c>
      <c r="AD175" s="26" t="inlineStr">
        <is>
          <t>Hang Seng Utilities sub-index</t>
        </is>
      </c>
      <c r="AE175" s="34" t="n">
        <v>-68.12</v>
      </c>
      <c r="AF175" s="28" t="n">
        <v>846.6</v>
      </c>
      <c r="AG175" s="28" t="n">
        <v>32.7</v>
      </c>
      <c r="AH175" s="26" t="inlineStr">
        <is>
          <t>Y</t>
        </is>
      </c>
      <c r="AI175" s="35" t="n">
        <v>54.4</v>
      </c>
      <c r="AJ175" s="35" t="n">
        <v>2.1</v>
      </c>
      <c r="AK175" s="26" t="inlineStr">
        <is>
          <t>N</t>
        </is>
      </c>
      <c r="AL175" s="36">
        <f>IF('BBG Verify'!K175="","not filed — run on terminal",'BBG Verify'!K175)</f>
        <v/>
      </c>
      <c r="AM175" s="26" t="inlineStr">
        <is>
          <t>N/A</t>
        </is>
      </c>
      <c r="AN175" s="26" t="inlineStr">
        <is>
          <t>N/A</t>
        </is>
      </c>
      <c r="AO175" s="26" t="inlineStr">
        <is>
          <t>N/A</t>
        </is>
      </c>
      <c r="AP175" s="26" t="inlineStr">
        <is>
          <t>Southwest Securities (HK) Capital Limited</t>
        </is>
      </c>
      <c r="AQ175" s="26" t="inlineStr">
        <is>
          <t>西證（香港）融資有限公司</t>
        </is>
      </c>
      <c r="AR175" s="26" t="inlineStr">
        <is>
          <t>Southwest Securities (HK) Brokerage Limited; Yue Xiu Securities Company Limited; First Capital Securities Limited; Central, Hong Kong Sheng Yuan Securities Limited; BOCI Asia Limited; ABCI Capital Limited; JMC Capital International Limited; Valuable Capital Limited</t>
        </is>
      </c>
      <c r="AS175" s="26" t="inlineStr">
        <is>
          <t>農銀國際證券有限公司; 中銀國際亞洲有限公司; 中國光大證券(香港)有限公司; 艾德證券期貨有限公司; 首控證券有限公司; 富喬鑫國際投資有限公司; 西證（香港）證券經紀有限公司; 盛源證券有限公司; 老虎證券（香港）環球有限公司; 華盛資本証券有限公司; 萬盛金融控股有限公司; 意博資本亞洲有限公司; 粵商國際證券有限公司; 越秀證券有限公司; 中泰國際證券有限公司</t>
        </is>
      </c>
      <c r="AT175" s="37">
        <f>HYPERLINK("https://www1.hkexnews.hk/listedco/listconews/sehk/2022/1230/2022123000059.pdf","prospectus")</f>
        <v/>
      </c>
      <c r="AU175" s="37">
        <f>HYPERLINK("https://www1.hkexnews.hk/listedco/listconews/sehk/2023/0116/2023011600008.htm","allotment")</f>
        <v/>
      </c>
      <c r="AV175" s="37">
        <f>HYPERLINK("https://www1.hkexnews.hk/listedco/listconews/sehk/2023/0209/2023020900283.pdf","stabilisation")</f>
        <v/>
      </c>
      <c r="AW175" s="26" t="inlineStr">
        <is>
          <t>A/H: no A-share listing</t>
        </is>
      </c>
    </row>
    <row r="176">
      <c r="A176" s="25" t="inlineStr">
        <is>
          <t>2455</t>
        </is>
      </c>
      <c r="B176" s="26" t="inlineStr">
        <is>
          <t>RUNHUA SERVICE</t>
        </is>
      </c>
      <c r="C176" s="26" t="inlineStr">
        <is>
          <t>潤華服務</t>
        </is>
      </c>
      <c r="D176" s="26" t="inlineStr">
        <is>
          <t>Real Estate</t>
        </is>
      </c>
      <c r="E176" s="26" t="inlineStr">
        <is>
          <t>Property management</t>
        </is>
      </c>
      <c r="F176" s="26" t="inlineStr">
        <is>
          <t>Standard</t>
        </is>
      </c>
      <c r="G176" s="27" t="n">
        <v>44943</v>
      </c>
      <c r="H176" s="28" t="n">
        <v>127.5</v>
      </c>
      <c r="I176" s="26" t="inlineStr">
        <is>
          <t>gross (price x shares)</t>
        </is>
      </c>
      <c r="J176" s="29" t="n">
        <v>1.7</v>
      </c>
      <c r="K176" s="29" t="n">
        <v>2</v>
      </c>
      <c r="L176" s="29" t="n">
        <v>1.7</v>
      </c>
      <c r="M176" s="26" t="inlineStr">
        <is>
          <t>N</t>
        </is>
      </c>
      <c r="N176" s="30" t="n">
        <v>85</v>
      </c>
      <c r="O176" s="28" t="n">
        <v>510</v>
      </c>
      <c r="P176" s="26" t="inlineStr">
        <is>
          <t>derived:deal size / offer % of enlarged capital</t>
        </is>
      </c>
      <c r="Q176" s="31" t="n">
        <v>8.74</v>
      </c>
      <c r="R176" s="32" t="n">
        <v>1.29</v>
      </c>
      <c r="S176" s="33" t="n">
        <v>10</v>
      </c>
      <c r="T176" s="26" t="inlineStr">
        <is>
          <t>濟南槐蔭城市建設投資集團有限公司</t>
        </is>
      </c>
      <c r="U176" s="30" t="n">
        <v>8.699999999999999</v>
      </c>
      <c r="V176" s="26" t="inlineStr">
        <is>
          <t>lapsed (no over-allocation)</t>
        </is>
      </c>
      <c r="W176" s="34" t="n">
        <v>-25.88</v>
      </c>
      <c r="X176" s="34" t="n">
        <v>-23.53</v>
      </c>
      <c r="Y176" s="34" t="n">
        <v>-25.88</v>
      </c>
      <c r="Z176" s="34" t="n">
        <v>-20</v>
      </c>
      <c r="AA176" s="34" t="n">
        <v>0</v>
      </c>
      <c r="AB176" s="34" t="n">
        <v>-21.46</v>
      </c>
      <c r="AC176" s="34" t="n">
        <v>-4.42</v>
      </c>
      <c r="AD176" s="26" t="inlineStr">
        <is>
          <t>Hang Seng Properties sub-index</t>
        </is>
      </c>
      <c r="AE176" s="34" t="n">
        <v>-60.59</v>
      </c>
      <c r="AF176" s="28" t="n">
        <v>661.4</v>
      </c>
      <c r="AG176" s="28" t="n">
        <v>44.2</v>
      </c>
      <c r="AH176" s="26" t="inlineStr">
        <is>
          <t>Y</t>
        </is>
      </c>
      <c r="AI176" s="35" t="n">
        <v>11.5</v>
      </c>
      <c r="AJ176" s="35" t="n">
        <v>0.8</v>
      </c>
      <c r="AK176" s="26" t="inlineStr">
        <is>
          <t>N</t>
        </is>
      </c>
      <c r="AL176" s="36">
        <f>IF('BBG Verify'!K176="","not filed — run on terminal",'BBG Verify'!K176)</f>
        <v/>
      </c>
      <c r="AM176" s="26" t="inlineStr">
        <is>
          <t>N/A</t>
        </is>
      </c>
      <c r="AN176" s="26" t="inlineStr">
        <is>
          <t>N/A</t>
        </is>
      </c>
      <c r="AO176" s="26" t="inlineStr">
        <is>
          <t>N/A</t>
        </is>
      </c>
      <c r="AP176" s="26" t="inlineStr">
        <is>
          <t>Zhongtai International Capital Limited; –OC Zhongtai International Securities Limited</t>
        </is>
      </c>
      <c r="AQ176" s="26" t="inlineStr">
        <is>
          <t>中泰國際融資有限公司</t>
        </is>
      </c>
      <c r="AR176" s="26"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AS176" s="26" t="inlineStr">
        <is>
          <t>Beta International Securities Limited; 建銀國際金融有限公司; 中國光大證券(香港)有限公司; 中國通海證券有限公司; 復星恒利證券有限公司; 廣發證券（香港）經紀有限公司; 國泰君安證券(香港)有限公司; 工銀國際證券有限公司; 利弗莫爾證券有限公司; 浦銀國際融資有限公司; 友信證券有限公司; 華盛資本証券有限公司; 浙商國際金融控股有限公司; 中泰國際證券有限公司; 中募金融資管有限公司</t>
        </is>
      </c>
      <c r="AT176" s="37">
        <f>HYPERLINK("https://www1.hkexnews.hk/listedco/listconews/sehk/2022/1230/2022123000035.pdf","prospectus")</f>
        <v/>
      </c>
      <c r="AU176" s="37">
        <f>HYPERLINK("https://www1.hkexnews.hk/listedco/listconews/sehk/2023/0116/2023011600024.htm","allotment")</f>
        <v/>
      </c>
      <c r="AV176" s="37">
        <f>HYPERLINK("https://www1.hkexnews.hk/listedco/listconews/sehk/2023/0208/2023020800031.pdf","stabilisation")</f>
        <v/>
      </c>
      <c r="AW176" s="26" t="inlineStr">
        <is>
          <t>A/H: no A-share listing · cornerstone: AAStocks institutional table includes non-cornerstone orders (superset) — cornerstone % is from the prospectus</t>
        </is>
      </c>
    </row>
    <row r="177">
      <c r="A177" s="25" t="inlineStr">
        <is>
          <t>2306</t>
        </is>
      </c>
      <c r="B177" s="26" t="inlineStr">
        <is>
          <t>YH ENT</t>
        </is>
      </c>
      <c r="C177" s="26" t="inlineStr">
        <is>
          <t>樂華娛樂</t>
        </is>
      </c>
      <c r="D177" s="26" t="inlineStr">
        <is>
          <t>TMT-other</t>
        </is>
      </c>
      <c r="E177" s="26" t="inlineStr">
        <is>
          <t>Media / advertising</t>
        </is>
      </c>
      <c r="F177" s="26" t="inlineStr">
        <is>
          <t>Standard</t>
        </is>
      </c>
      <c r="G177" s="27" t="n">
        <v>44945</v>
      </c>
      <c r="H177" s="28" t="n">
        <v>489.8</v>
      </c>
      <c r="I177" s="26" t="inlineStr">
        <is>
          <t>gross (price x shares)</t>
        </is>
      </c>
      <c r="J177" s="29" t="n"/>
      <c r="K177" s="29" t="n">
        <v>4.08</v>
      </c>
      <c r="L177" s="29" t="n">
        <v>4.08</v>
      </c>
      <c r="M177" s="26" t="inlineStr">
        <is>
          <t>Y</t>
        </is>
      </c>
      <c r="N177" s="30" t="n">
        <v>100</v>
      </c>
      <c r="O177" s="28" t="n">
        <v>3910.4</v>
      </c>
      <c r="P177" s="26" t="inlineStr">
        <is>
          <t>aastocks:上市市值 at the struck price</t>
        </is>
      </c>
      <c r="Q177" s="31" t="n">
        <v>28.68</v>
      </c>
      <c r="R177" s="32" t="n">
        <v>1.29</v>
      </c>
      <c r="S177" s="33" t="n">
        <v>17.9</v>
      </c>
      <c r="T177" s="26" t="inlineStr">
        <is>
          <t>貓眼娛樂(香港)有限公司; Sun Mass Energy Development Limited; 好贊資產管理有限公司</t>
        </is>
      </c>
      <c r="U177" s="30" t="n">
        <v>12.28</v>
      </c>
      <c r="V177" s="26" t="inlineStr">
        <is>
          <t>partial</t>
        </is>
      </c>
      <c r="W177" s="34" t="n">
        <v>47.79</v>
      </c>
      <c r="X177" s="34" t="n">
        <v>17.16</v>
      </c>
      <c r="Y177" s="34" t="n">
        <v>6.86</v>
      </c>
      <c r="Z177" s="34" t="n">
        <v>-1.23</v>
      </c>
      <c r="AA177" s="34" t="n">
        <v>-27.69</v>
      </c>
      <c r="AB177" s="34" t="n">
        <v>12.65</v>
      </c>
      <c r="AC177" s="34" t="n">
        <v>-5.79</v>
      </c>
      <c r="AD177" s="26" t="inlineStr">
        <is>
          <t>Hang Seng Index</t>
        </is>
      </c>
      <c r="AE177" s="34" t="n">
        <v>-51.1</v>
      </c>
      <c r="AF177" s="28" t="n">
        <v>1419.5</v>
      </c>
      <c r="AG177" s="28" t="n">
        <v>368.9</v>
      </c>
      <c r="AH177" s="26" t="inlineStr">
        <is>
          <t>Y</t>
        </is>
      </c>
      <c r="AI177" s="35" t="n">
        <v>10.6</v>
      </c>
      <c r="AJ177" s="35" t="n">
        <v>2.8</v>
      </c>
      <c r="AK177" s="26" t="inlineStr">
        <is>
          <t>N</t>
        </is>
      </c>
      <c r="AL177" s="36">
        <f>IF('BBG Verify'!K177="","not filed — run on terminal",'BBG Verify'!K177)</f>
        <v/>
      </c>
      <c r="AM177" s="26" t="inlineStr">
        <is>
          <t>N/A</t>
        </is>
      </c>
      <c r="AN177" s="26" t="inlineStr">
        <is>
          <t>N/A</t>
        </is>
      </c>
      <c r="AO177" s="26" t="inlineStr">
        <is>
          <t>N/A</t>
        </is>
      </c>
      <c r="AP177" s="26" t="inlineStr">
        <is>
          <t>China Merchants Securities (HK) Co., Limited</t>
        </is>
      </c>
      <c r="AQ177" s="26" t="inlineStr">
        <is>
          <t>中信建投(國際)融資有限公司; 招商證券(香港)有限公司</t>
        </is>
      </c>
      <c r="AR177" s="26" t="inlineStr">
        <is>
          <t>Managers and Capital Market Intermediaries Valuable Capital Limited; China Everbright Securities (HK) Limited; CSFG International Securities Limited; Guosen Securities (HK) Capital Company Limited; uSmart Securities Limited; DIRECTORS AND PARTIES INVOLVED IN THE GLOBAL OFFERING Tiger Brokers (HK) Global Limited; Futu Securities International (Hong Kong) Limited; Guotai Junan Securities (Hong Kong) Limited; Livermore Holdings Limited</t>
        </is>
      </c>
      <c r="AS177" s="26" t="inlineStr">
        <is>
          <t>中國光大證券(香港)有限公司; 招商證券(香港)有限公司; 中信建投(國際)融資有限公司; 易昇證券有限公司; 富途證券國際（香港）有限公司; 國泰君安證券(香港)有限公司; 國信證券(香港)融資有限公司; 利弗莫爾證券有限公司; 山高國際證券有限公司; 老虎證券（香港）環球有限公司; 友信證券有限公司; 華盛資本証券有限公司; 浙商國際金融控股有限公司</t>
        </is>
      </c>
      <c r="AT177" s="37">
        <f>HYPERLINK("https://www1.hkexnews.hk/listedco/listconews/sehk/2022/1230/2022123000047.pdf","prospectus")</f>
        <v/>
      </c>
      <c r="AU177" s="37">
        <f>HYPERLINK("https://www1.hkexnews.hk/listedco/listconews/sehk/2023/0118/2023011800042.htm","allotment")</f>
        <v/>
      </c>
      <c r="AV177" s="37">
        <f>HYPERLINK("https://www1.hkexnews.hk/listedco/listconews/sehk/2023/0212/2023021200017.pdf","stabilisation")</f>
        <v/>
      </c>
      <c r="AW177" s="26" t="inlineStr">
        <is>
          <t>price range: fixed-price offering (no indicative range) · A/H: no A-share listing</t>
        </is>
      </c>
    </row>
    <row r="178">
      <c r="A178" s="25" t="inlineStr">
        <is>
          <t>2450</t>
        </is>
      </c>
      <c r="B178" s="26" t="inlineStr">
        <is>
          <t>HUAIBEI GD CO</t>
        </is>
      </c>
      <c r="C178" s="26" t="inlineStr">
        <is>
          <t>淮北綠金股份</t>
        </is>
      </c>
      <c r="D178" s="26" t="inlineStr">
        <is>
          <t>Other</t>
        </is>
      </c>
      <c r="E178" s="26" t="inlineStr">
        <is>
          <t>Other / unclassified</t>
        </is>
      </c>
      <c r="F178" s="26" t="inlineStr">
        <is>
          <t>Standard</t>
        </is>
      </c>
      <c r="G178" s="27" t="n">
        <v>44946</v>
      </c>
      <c r="H178" s="28" t="n">
        <v>126.1</v>
      </c>
      <c r="I178" s="26" t="inlineStr">
        <is>
          <t>gross (price x shares)</t>
        </is>
      </c>
      <c r="J178" s="29" t="n"/>
      <c r="K178" s="29" t="n">
        <v>2.31</v>
      </c>
      <c r="L178" s="29" t="n">
        <v>1.91</v>
      </c>
      <c r="M178" s="26" t="inlineStr">
        <is>
          <t>N</t>
        </is>
      </c>
      <c r="N178" s="30" t="n">
        <v>82.7</v>
      </c>
      <c r="O178" s="28" t="n">
        <v>504.3</v>
      </c>
      <c r="P178" s="26" t="inlineStr">
        <is>
          <t>prospectus:stated market capitalisation</t>
        </is>
      </c>
      <c r="Q178" s="31" t="n">
        <v>12.26</v>
      </c>
      <c r="R178" s="39">
        <f>IF('BBG Verify'!E178="","not filed — run on terminal",'BBG Verify'!E178)</f>
        <v/>
      </c>
      <c r="S178" s="33" t="n">
        <v>0</v>
      </c>
      <c r="T178" s="26" t="n"/>
      <c r="U178" s="30" t="n">
        <v>20</v>
      </c>
      <c r="V178" s="26" t="inlineStr">
        <is>
          <t>lapsed (no over-allocation)</t>
        </is>
      </c>
      <c r="W178" s="34" t="n">
        <v>-44.5</v>
      </c>
      <c r="X178" s="34" t="n">
        <v>-47.64</v>
      </c>
      <c r="Y178" s="34" t="n">
        <v>-57.59</v>
      </c>
      <c r="Z178" s="34" t="n">
        <v>-63.87</v>
      </c>
      <c r="AA178" s="34" t="n">
        <v>-23.59</v>
      </c>
      <c r="AB178" s="34" t="n">
        <v>-51.59</v>
      </c>
      <c r="AC178" s="34" t="n">
        <v>-6</v>
      </c>
      <c r="AD178" s="26" t="inlineStr">
        <is>
          <t>Hang Seng Index</t>
        </is>
      </c>
      <c r="AE178" s="34" t="n">
        <v>379.58</v>
      </c>
      <c r="AF178" s="28" t="n">
        <v>407.4</v>
      </c>
      <c r="AG178" s="28" t="n">
        <v>108.8</v>
      </c>
      <c r="AH178" s="26" t="inlineStr">
        <is>
          <t>Y</t>
        </is>
      </c>
      <c r="AI178" s="35" t="n">
        <v>4.6</v>
      </c>
      <c r="AJ178" s="35" t="n">
        <v>1.2</v>
      </c>
      <c r="AK178" s="26" t="inlineStr">
        <is>
          <t>N</t>
        </is>
      </c>
      <c r="AL178" s="36">
        <f>IF('BBG Verify'!K178="","not filed — run on terminal",'BBG Verify'!K178)</f>
        <v/>
      </c>
      <c r="AM178" s="26" t="inlineStr">
        <is>
          <t>N/A</t>
        </is>
      </c>
      <c r="AN178" s="26" t="inlineStr">
        <is>
          <t>N/A</t>
        </is>
      </c>
      <c r="AO178" s="26" t="inlineStr">
        <is>
          <t>N/A</t>
        </is>
      </c>
      <c r="AP178" s="26" t="inlineStr">
        <is>
          <t>China Everbright Capital Limited</t>
        </is>
      </c>
      <c r="AQ178" s="26" t="inlineStr">
        <is>
          <t>中國光大融資有限公司</t>
        </is>
      </c>
      <c r="AR178" s="26"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AS178" s="26" t="inlineStr">
        <is>
          <t>農銀國際證券有限公司; Beta International Securities Limited; 中銀國際亞洲有限公司; 中國光大證券(香港)有限公司; 興證國際融資有限公司; 鉅誠證券有限公司; 民銀證券有限公司; 平證證券（香港）有限公司; 華安證券（香港）經紀有限公司; 工銀國際證券有限公司; 利弗莫爾證券有限公司; 邁時資本有限公司; 申萬宏源證券（香港）有限公司; 浦銀國際融資有限公司; 中泰國際證券有限公司; 中募金融資管有限公司</t>
        </is>
      </c>
      <c r="AT178" s="37">
        <f>HYPERLINK("https://www1.hkexnews.hk/listedco/listconews/sehk/2022/1230/2022123000043.pdf","prospectus")</f>
        <v/>
      </c>
      <c r="AU178" s="37">
        <f>HYPERLINK("https://www1.hkexnews.hk/listedco/listconews/sehk/2023/0119/2023011900018.htm","allotment")</f>
        <v/>
      </c>
      <c r="AV178" s="37">
        <f>HYPERLINK("https://www1.hkexnews.hk/listedco/listconews/sehk/2023/0212/2023021200031.pdf","stabilisation")</f>
        <v/>
      </c>
      <c r="AW178" s="26" t="inlineStr">
        <is>
          <t>intl sub: subscription level not stated in the filing · A/H: no A-share listing</t>
        </is>
      </c>
    </row>
    <row r="179">
      <c r="A179" s="25" t="inlineStr">
        <is>
          <t>2482</t>
        </is>
      </c>
      <c r="B179" s="26" t="inlineStr">
        <is>
          <t>LOGORY</t>
        </is>
      </c>
      <c r="C179" s="26" t="inlineStr">
        <is>
          <t>維天運通</t>
        </is>
      </c>
      <c r="D179" s="26" t="inlineStr">
        <is>
          <t>Industrials</t>
        </is>
      </c>
      <c r="E179" s="26" t="inlineStr">
        <is>
          <t>Logistics</t>
        </is>
      </c>
      <c r="F179" s="26" t="inlineStr">
        <is>
          <t>Standard</t>
        </is>
      </c>
      <c r="G179" s="27" t="n">
        <v>44994</v>
      </c>
      <c r="H179" s="28" t="n">
        <v>125.3</v>
      </c>
      <c r="I179" s="26" t="inlineStr">
        <is>
          <t>gross (price x shares)</t>
        </is>
      </c>
      <c r="J179" s="29" t="n">
        <v>2.9</v>
      </c>
      <c r="K179" s="29" t="n">
        <v>3.5</v>
      </c>
      <c r="L179" s="29" t="n">
        <v>2.9</v>
      </c>
      <c r="M179" s="26" t="inlineStr">
        <is>
          <t>N</t>
        </is>
      </c>
      <c r="N179" s="30" t="n">
        <v>82.90000000000001</v>
      </c>
      <c r="O179" s="28" t="n">
        <v>4735.2</v>
      </c>
      <c r="P179" s="26" t="inlineStr">
        <is>
          <t>aastocks:上市市值 at the struck price</t>
        </is>
      </c>
      <c r="Q179" s="31" t="n">
        <v>23.09</v>
      </c>
      <c r="R179" s="32" t="n">
        <v>1.43</v>
      </c>
      <c r="S179" s="33" t="n">
        <v>65.2</v>
      </c>
      <c r="T179" s="26" t="inlineStr">
        <is>
          <t>合肥高新建設投資集團有限公司; 興泰控股（香港）有限公司</t>
        </is>
      </c>
      <c r="U179" s="30" t="n">
        <v>19.62</v>
      </c>
      <c r="V179" s="26" t="inlineStr">
        <is>
          <t>lapsed (no over-allocation)</t>
        </is>
      </c>
      <c r="W179" s="34" t="n">
        <v>-2.07</v>
      </c>
      <c r="X179" s="34" t="n">
        <v>-1.38</v>
      </c>
      <c r="Y179" s="34" t="n">
        <v>-4.48</v>
      </c>
      <c r="Z179" s="34" t="n">
        <v>-6.9</v>
      </c>
      <c r="AA179" s="34" t="n">
        <v>-2.46</v>
      </c>
      <c r="AB179" s="34" t="n">
        <v>-6.85</v>
      </c>
      <c r="AC179" s="34" t="n">
        <v>2.37</v>
      </c>
      <c r="AD179" s="26" t="inlineStr">
        <is>
          <t>Hang Seng Commerce &amp; Industry sub-index</t>
        </is>
      </c>
      <c r="AE179" s="34" t="n">
        <v>-89.48</v>
      </c>
      <c r="AF179" s="28" t="n">
        <v>6824.9</v>
      </c>
      <c r="AG179" s="28" t="n">
        <v>1.5</v>
      </c>
      <c r="AH179" s="26" t="inlineStr">
        <is>
          <t>Y</t>
        </is>
      </c>
      <c r="AI179" s="35" t="n">
        <v>3156.8</v>
      </c>
      <c r="AJ179" s="35" t="n">
        <v>0.7</v>
      </c>
      <c r="AK179" s="26" t="inlineStr">
        <is>
          <t>N</t>
        </is>
      </c>
      <c r="AL179" s="36">
        <f>IF('BBG Verify'!K179="","not filed — run on terminal",'BBG Verify'!K179)</f>
        <v/>
      </c>
      <c r="AM179" s="26" t="inlineStr">
        <is>
          <t>N/A</t>
        </is>
      </c>
      <c r="AN179" s="26" t="inlineStr">
        <is>
          <t>N/A</t>
        </is>
      </c>
      <c r="AO179" s="26" t="inlineStr">
        <is>
          <t>N/A</t>
        </is>
      </c>
      <c r="AP179" s="26" t="inlineStr">
        <is>
          <t>Haitong International Capital Limited; -Overall Coordinator Haitong International Securities Company Limited</t>
        </is>
      </c>
      <c r="AQ179" s="26" t="inlineStr">
        <is>
          <t>海通國際資本有限公司</t>
        </is>
      </c>
      <c r="AR179" s="26" t="inlineStr">
        <is>
          <t>Haitong International Securities Company Limited; CLSA Limited</t>
        </is>
      </c>
      <c r="AS179" s="26" t="inlineStr">
        <is>
          <t>中信里昂證券有限公司; 海通國際證券有限公司; 山高國際證券有限公司; 佳富達證券有限公司; 華盛資本証券有限公司</t>
        </is>
      </c>
      <c r="AT179" s="37">
        <f>HYPERLINK("https://www1.hkexnews.hk/listedco/listconews/sehk/2023/0227/2023022700005.pdf","prospectus")</f>
        <v/>
      </c>
      <c r="AU179" s="37">
        <f>HYPERLINK("https://www1.hkexnews.hk/listedco/listconews/sehk/2023/0308/2023030800008.htm","allotment")</f>
        <v/>
      </c>
      <c r="AV179" s="37">
        <f>HYPERLINK("https://www1.hkexnews.hk/listedco/listconews/sehk/2023/0403/2023040300095.pdf","stabilisation")</f>
        <v/>
      </c>
      <c r="AW179" s="26" t="inlineStr">
        <is>
          <t>A/H: no A-share listing · market cap: estimate from deal size / offer % of enlarged capital disagreed with the published listing cap — published figure adopted</t>
        </is>
      </c>
    </row>
    <row r="180">
      <c r="A180" s="25" t="inlineStr">
        <is>
          <t>9636</t>
        </is>
      </c>
      <c r="B180" s="26" t="inlineStr">
        <is>
          <t>JF WEALTH</t>
        </is>
      </c>
      <c r="C180" s="26" t="inlineStr">
        <is>
          <t>九方智投控股</t>
        </is>
      </c>
      <c r="D180" s="26" t="inlineStr">
        <is>
          <t>Financials</t>
        </is>
      </c>
      <c r="E180" s="26" t="inlineStr">
        <is>
          <t>Brokers / asset management</t>
        </is>
      </c>
      <c r="F180" s="26" t="inlineStr">
        <is>
          <t>Standard</t>
        </is>
      </c>
      <c r="G180" s="27" t="n">
        <v>44995</v>
      </c>
      <c r="H180" s="28" t="n">
        <v>1013.5</v>
      </c>
      <c r="I180" s="26" t="inlineStr">
        <is>
          <t>gross (price x shares)</t>
        </is>
      </c>
      <c r="J180" s="29" t="n">
        <v>16.98</v>
      </c>
      <c r="K180" s="29" t="n">
        <v>18.78</v>
      </c>
      <c r="L180" s="29" t="n">
        <v>17</v>
      </c>
      <c r="M180" s="26" t="inlineStr">
        <is>
          <t>N</t>
        </is>
      </c>
      <c r="N180" s="30" t="n">
        <v>90.5</v>
      </c>
      <c r="O180" s="28" t="n">
        <v>7908.8</v>
      </c>
      <c r="P180" s="26" t="inlineStr">
        <is>
          <t>prospectus:stated market capitalisation</t>
        </is>
      </c>
      <c r="Q180" s="31" t="n">
        <v>2.59</v>
      </c>
      <c r="R180" s="32" t="n">
        <v>1.85</v>
      </c>
      <c r="S180" s="40" t="n">
        <v>90</v>
      </c>
      <c r="T180" s="26" t="inlineStr">
        <is>
          <t>Duke King Holdings Limited; Garland Glory Holdings Limited; 新華資產管理(香港)有限公司; Orchid Asia V Co-Investment, Limited; 四川和邦投資集團有限公司</t>
        </is>
      </c>
      <c r="U180" s="30" t="n">
        <v>10</v>
      </c>
      <c r="V180" s="26" t="inlineStr">
        <is>
          <t>partial</t>
        </is>
      </c>
      <c r="W180" s="34" t="n">
        <v>0.82</v>
      </c>
      <c r="X180" s="34" t="n">
        <v>-0.82</v>
      </c>
      <c r="Y180" s="34" t="n">
        <v>-7.65</v>
      </c>
      <c r="Z180" s="34" t="n">
        <v>-4.82</v>
      </c>
      <c r="AA180" s="34" t="n">
        <v>-8.4</v>
      </c>
      <c r="AB180" s="34" t="n">
        <v>-7.31</v>
      </c>
      <c r="AC180" s="34" t="n">
        <v>-0.34</v>
      </c>
      <c r="AD180" s="26" t="inlineStr">
        <is>
          <t>Hang Seng Finance sub-index</t>
        </is>
      </c>
      <c r="AE180" s="34" t="n">
        <v>67.18000000000001</v>
      </c>
      <c r="AF180" s="28" t="n">
        <v>1597.1</v>
      </c>
      <c r="AG180" s="28" t="n">
        <v>255.6</v>
      </c>
      <c r="AH180" s="26" t="inlineStr">
        <is>
          <t>Y</t>
        </is>
      </c>
      <c r="AI180" s="35" t="n">
        <v>30.9</v>
      </c>
      <c r="AJ180" s="35" t="n">
        <v>5</v>
      </c>
      <c r="AK180" s="26" t="inlineStr">
        <is>
          <t>N</t>
        </is>
      </c>
      <c r="AL180" s="36">
        <f>IF('BBG Verify'!K180="","not filed — run on terminal",'BBG Verify'!K180)</f>
        <v/>
      </c>
      <c r="AM180" s="26" t="inlineStr">
        <is>
          <t>N/A</t>
        </is>
      </c>
      <c r="AN180" s="26" t="inlineStr">
        <is>
          <t>N/A</t>
        </is>
      </c>
      <c r="AO180" s="26" t="inlineStr">
        <is>
          <t>N/A</t>
        </is>
      </c>
      <c r="AP180" s="26" t="n"/>
      <c r="AQ180" s="26" t="inlineStr">
        <is>
          <t>中國國際金融香港證券有限公司</t>
        </is>
      </c>
      <c r="AR180" s="26"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AS180" s="26" t="inlineStr">
        <is>
          <t>法國巴黎證券（亞洲）有限公司; 建銀國際金融有限公司; 中國國際金融香港證券有限公司; 方德證券有限公司; 富途證券國際（香港）有限公司; 華泰金融控股(香港)有限公司; 工銀國際證券有限公司; 浦銀國際融資有限公司; 老虎證券（香港）環球有限公司; 華盛資本証券有限公司; 中泰國際證券有限公司</t>
        </is>
      </c>
      <c r="AT180" s="37">
        <f>HYPERLINK("https://www1.hkexnews.hk/listedco/listconews/sehk/2023/0228/2023022800011.pdf","prospectus")</f>
        <v/>
      </c>
      <c r="AU180" s="37">
        <f>HYPERLINK("https://www1.hkexnews.hk/listedco/listconews/sehk/2023/0309/2023030900008.htm","allotment")</f>
        <v/>
      </c>
      <c r="AV180" s="37">
        <f>HYPERLINK("https://www1.hkexnews.hk/listedco/listconews/sehk/2023/0402/2023040200127.pdf","stabilisation")</f>
        <v/>
      </c>
      <c r="AW180" s="26" t="inlineStr">
        <is>
          <t>A/H: no A-share listing · sponsor: English name not in the filing text; AAStocks 保薦人 shown · cornerstone: AAStocks institutional total HK$343m = 34% of deal vs 90% parsed</t>
        </is>
      </c>
    </row>
    <row r="181">
      <c r="A181" s="25" t="inlineStr">
        <is>
          <t>1405</t>
        </is>
      </c>
      <c r="B181" s="26" t="inlineStr">
        <is>
          <t>DPC DASH</t>
        </is>
      </c>
      <c r="C181" s="26" t="inlineStr">
        <is>
          <t>達勢股份</t>
        </is>
      </c>
      <c r="D181" s="26" t="inlineStr">
        <is>
          <t>Consumer</t>
        </is>
      </c>
      <c r="E181" s="26" t="inlineStr">
        <is>
          <t>F&amp;B chains / restaurants</t>
        </is>
      </c>
      <c r="F181" s="26" t="inlineStr">
        <is>
          <t>Standard</t>
        </is>
      </c>
      <c r="G181" s="27" t="n">
        <v>45013</v>
      </c>
      <c r="H181" s="28" t="n">
        <v>588.8</v>
      </c>
      <c r="I181" s="26" t="inlineStr">
        <is>
          <t>gross (price x shares)</t>
        </is>
      </c>
      <c r="J181" s="29" t="n"/>
      <c r="K181" s="29" t="n">
        <v>46</v>
      </c>
      <c r="L181" s="29" t="n">
        <v>46</v>
      </c>
      <c r="M181" s="26" t="inlineStr">
        <is>
          <t>Y</t>
        </is>
      </c>
      <c r="N181" s="30" t="n">
        <v>100</v>
      </c>
      <c r="O181" s="28" t="n">
        <v>5327</v>
      </c>
      <c r="P181" s="26" t="inlineStr">
        <is>
          <t>prospectus:stated market capitalisation</t>
        </is>
      </c>
      <c r="Q181" s="31" t="n">
        <v>0.45</v>
      </c>
      <c r="R181" s="32" t="n">
        <v>1.9</v>
      </c>
      <c r="S181" s="33" t="n">
        <v>0</v>
      </c>
      <c r="T181" s="26" t="n"/>
      <c r="U181" s="30" t="n">
        <v>9.949999999999999</v>
      </c>
      <c r="V181" s="26" t="inlineStr">
        <is>
          <t>partial</t>
        </is>
      </c>
      <c r="W181" s="34" t="n">
        <v>-0.11</v>
      </c>
      <c r="X181" s="34" t="n">
        <v>22.83</v>
      </c>
      <c r="Y181" s="34" t="n">
        <v>17.72</v>
      </c>
      <c r="Z181" s="34" t="n">
        <v>13.8</v>
      </c>
      <c r="AA181" s="34" t="n">
        <v>17.85</v>
      </c>
      <c r="AB181" s="34" t="n">
        <v>18.4</v>
      </c>
      <c r="AC181" s="34" t="n">
        <v>-0.68</v>
      </c>
      <c r="AD181" s="26" t="inlineStr">
        <is>
          <t>Hang Seng Commerce &amp; Industry sub-index</t>
        </is>
      </c>
      <c r="AE181" s="34" t="n">
        <v>-20.87</v>
      </c>
      <c r="AF181" s="28" t="n">
        <v>2222.9</v>
      </c>
      <c r="AG181" s="28" t="n">
        <v>-244.9</v>
      </c>
      <c r="AH181" s="26" t="inlineStr">
        <is>
          <t>N</t>
        </is>
      </c>
      <c r="AI181" s="38">
        <f>IF('BBG Verify'!O181="","not filed — run on terminal",'BBG Verify'!O181)</f>
        <v/>
      </c>
      <c r="AJ181" s="35" t="n">
        <v>2.4</v>
      </c>
      <c r="AK181" s="26" t="inlineStr">
        <is>
          <t>N</t>
        </is>
      </c>
      <c r="AL181" s="36">
        <f>IF('BBG Verify'!K181="","not filed — run on terminal",'BBG Verify'!K181)</f>
        <v/>
      </c>
      <c r="AM181" s="26" t="inlineStr">
        <is>
          <t>N/A</t>
        </is>
      </c>
      <c r="AN181" s="26" t="inlineStr">
        <is>
          <t>N/A</t>
        </is>
      </c>
      <c r="AO181" s="26" t="inlineStr">
        <is>
          <t>N/A</t>
        </is>
      </c>
      <c r="AP181" s="26" t="inlineStr">
        <is>
          <t>and Sole Sponsor-Overall Coordinator Merrill Lynch (Asia Pacific) Limited; Financial Advisor Ampere Partners Limited</t>
        </is>
      </c>
      <c r="AQ181" s="26" t="inlineStr">
        <is>
          <t>美林(亞太)有限公司</t>
        </is>
      </c>
      <c r="AR181" s="26" t="inlineStr">
        <is>
          <t>Merrill Lynch (Asia Pacific) Limited</t>
        </is>
      </c>
      <c r="AS181" s="26" t="inlineStr">
        <is>
          <t>星展亞洲融資有限公司; 美林(亞太)有限公司</t>
        </is>
      </c>
      <c r="AT181" s="37">
        <f>HYPERLINK("https://www1.hkexnews.hk/listedco/listconews/sehk/2023/0316/2023031600034.htm","prospectus")</f>
        <v/>
      </c>
      <c r="AU181" s="37">
        <f>HYPERLINK("https://www1.hkexnews.hk/listedco/listconews/sehk/2023/0327/2023032700030.htm","allotment")</f>
        <v/>
      </c>
      <c r="AV181" s="37">
        <f>HYPERLINK("https://www1.hkexnews.hk/listedco/listconews/sehk/2023/0420/2023042000559.pdf","stabilisation")</f>
        <v/>
      </c>
      <c r="AW181" s="26" t="inlineStr">
        <is>
          <t>P/E: n/m — loss-making at IPO (use P/S) · price range: fixed-price offering (no indicative range) · A/H: no A-share listing</t>
        </is>
      </c>
    </row>
    <row r="182">
      <c r="A182" s="25" t="inlineStr">
        <is>
          <t>2409</t>
        </is>
      </c>
      <c r="B182" s="26" t="inlineStr">
        <is>
          <t>SEACON</t>
        </is>
      </c>
      <c r="C182" s="26" t="inlineStr">
        <is>
          <t>洲際船務</t>
        </is>
      </c>
      <c r="D182" s="26" t="inlineStr">
        <is>
          <t>Industrials</t>
        </is>
      </c>
      <c r="E182" s="26" t="inlineStr">
        <is>
          <t>Logistics</t>
        </is>
      </c>
      <c r="F182" s="26" t="inlineStr">
        <is>
          <t>Standard</t>
        </is>
      </c>
      <c r="G182" s="27" t="n">
        <v>45014</v>
      </c>
      <c r="H182" s="28" t="n">
        <v>408.8</v>
      </c>
      <c r="I182" s="26" t="inlineStr">
        <is>
          <t>gross (price x shares)</t>
        </is>
      </c>
      <c r="J182" s="29" t="n"/>
      <c r="K182" s="29" t="n">
        <v>3.27</v>
      </c>
      <c r="L182" s="29" t="n">
        <v>3.27</v>
      </c>
      <c r="M182" s="26" t="inlineStr">
        <is>
          <t>Y</t>
        </is>
      </c>
      <c r="N182" s="30" t="n">
        <v>100</v>
      </c>
      <c r="O182" s="28" t="n">
        <v>1635.2</v>
      </c>
      <c r="P182" s="26" t="inlineStr">
        <is>
          <t>derived:deal size / offer % of enlarged capital</t>
        </is>
      </c>
      <c r="Q182" s="31" t="n">
        <v>1.14</v>
      </c>
      <c r="R182" s="32" t="n">
        <v>1.09</v>
      </c>
      <c r="S182" s="40" t="n">
        <v>90</v>
      </c>
      <c r="T182" s="26" t="inlineStr">
        <is>
          <t>Danube Bridge Shipping Limited; 國電海運(香港)有限公司; 湖州吳興旅遊建設發展有限公司</t>
        </is>
      </c>
      <c r="U182" s="30" t="n">
        <v>15</v>
      </c>
      <c r="V182" s="26" t="inlineStr">
        <is>
          <t>lapsed</t>
        </is>
      </c>
      <c r="W182" s="34" t="n">
        <v>-21.1</v>
      </c>
      <c r="X182" s="34" t="n">
        <v>-7.65</v>
      </c>
      <c r="Y182" s="34" t="n">
        <v>-13.76</v>
      </c>
      <c r="Z182" s="34" t="n">
        <v>-5.81</v>
      </c>
      <c r="AA182" s="34" t="n">
        <v>9.300000000000001</v>
      </c>
      <c r="AB182" s="34" t="n">
        <v>-10.65</v>
      </c>
      <c r="AC182" s="34" t="n">
        <v>-3.11</v>
      </c>
      <c r="AD182" s="26" t="inlineStr">
        <is>
          <t>Hang Seng Commerce &amp; Industry sub-index</t>
        </is>
      </c>
      <c r="AE182" s="34" t="n">
        <v>28.29</v>
      </c>
      <c r="AF182" s="28" t="n">
        <v>2907.4</v>
      </c>
      <c r="AG182" s="28" t="n">
        <v>312</v>
      </c>
      <c r="AH182" s="26" t="inlineStr">
        <is>
          <t>Y</t>
        </is>
      </c>
      <c r="AI182" s="35" t="n">
        <v>5.2</v>
      </c>
      <c r="AJ182" s="35" t="n">
        <v>0.6</v>
      </c>
      <c r="AK182" s="26" t="inlineStr">
        <is>
          <t>N</t>
        </is>
      </c>
      <c r="AL182" s="36">
        <f>IF('BBG Verify'!K182="","not filed — run on terminal",'BBG Verify'!K182)</f>
        <v/>
      </c>
      <c r="AM182" s="26" t="inlineStr">
        <is>
          <t>N/A</t>
        </is>
      </c>
      <c r="AN182" s="26" t="inlineStr">
        <is>
          <t>N/A</t>
        </is>
      </c>
      <c r="AO182" s="26" t="inlineStr">
        <is>
          <t>N/A</t>
        </is>
      </c>
      <c r="AP182" s="26" t="inlineStr">
        <is>
          <t>Zhongtai International Capital Limited</t>
        </is>
      </c>
      <c r="AQ182" s="26" t="inlineStr">
        <is>
          <t>中泰國際融資有限公司</t>
        </is>
      </c>
      <c r="AR182" s="26" t="inlineStr">
        <is>
          <t>Zhongtai International Securities Limited; Shenwan Hongyuan Securities (H.K.) Limited; Citrus Securities Limited; BOCOM International Securities Limited</t>
        </is>
      </c>
      <c r="AS182" s="26" t="inlineStr">
        <is>
          <t>Beta International Securities Limited; 鉅誠證券有限公司; 民銀證券有限公司; 富途證券國際（香港）有限公司; 申萬宏源融資（香港）有限公司; 華盛資本証券有限公司; 中泰國際證券有限公司</t>
        </is>
      </c>
      <c r="AT182" s="37">
        <f>HYPERLINK("https://www1.hkexnews.hk/listedco/listconews/sehk/2023/0314/2023031400009.pdf","prospectus")</f>
        <v/>
      </c>
      <c r="AU182" s="37">
        <f>HYPERLINK("https://www1.hkexnews.hk/listedco/listconews/sehk/2023/0328/2023032800038.htm","allotment")</f>
        <v/>
      </c>
      <c r="AV182" s="37">
        <f>HYPERLINK("https://www1.hkexnews.hk/listedco/listconews/sehk/2023/0416/2023041600007.pdf","stabilisation")</f>
        <v/>
      </c>
      <c r="AW182" s="26" t="inlineStr">
        <is>
          <t>price range: fixed-price offering (no indicative range) · A/H: no A-share listing · cornerstone: AAStocks institutional total HK$116m = 28% of deal vs 90% parsed</t>
        </is>
      </c>
    </row>
    <row r="183">
      <c r="A183" s="25" t="inlineStr">
        <is>
          <t>2433</t>
        </is>
      </c>
      <c r="B183" s="26" t="inlineStr">
        <is>
          <t>ZT HN GROUP</t>
        </is>
      </c>
      <c r="C183" s="26" t="inlineStr">
        <is>
          <t>中天湖南集團</t>
        </is>
      </c>
      <c r="D183" s="26" t="inlineStr">
        <is>
          <t>Industrials</t>
        </is>
      </c>
      <c r="E183" s="26" t="inlineStr">
        <is>
          <t>Construction / engineering</t>
        </is>
      </c>
      <c r="F183" s="26" t="inlineStr">
        <is>
          <t>Standard</t>
        </is>
      </c>
      <c r="G183" s="27" t="n">
        <v>45015</v>
      </c>
      <c r="H183" s="28" t="n">
        <v>141.6</v>
      </c>
      <c r="I183" s="26" t="inlineStr">
        <is>
          <t>gross (price x shares)</t>
        </is>
      </c>
      <c r="J183" s="29" t="n"/>
      <c r="K183" s="29" t="n">
        <v>1.18</v>
      </c>
      <c r="L183" s="29" t="n">
        <v>1.18</v>
      </c>
      <c r="M183" s="26" t="inlineStr">
        <is>
          <t>Y</t>
        </is>
      </c>
      <c r="N183" s="30" t="n">
        <v>100</v>
      </c>
      <c r="O183" s="28" t="n">
        <v>511.2</v>
      </c>
      <c r="P183" s="26" t="inlineStr">
        <is>
          <t>derived:deal size / offer % of enlarged capital</t>
        </is>
      </c>
      <c r="Q183" s="31" t="n">
        <v>10.62</v>
      </c>
      <c r="R183" s="32" t="n">
        <v>1.01</v>
      </c>
      <c r="S183" s="33" t="n">
        <v>0</v>
      </c>
      <c r="T183" s="26" t="n"/>
      <c r="U183" s="30" t="n">
        <v>20</v>
      </c>
      <c r="V183" s="26" t="inlineStr">
        <is>
          <t>lapsed (no over-allocation)</t>
        </is>
      </c>
      <c r="W183" s="34" t="n">
        <v>126.27</v>
      </c>
      <c r="X183" s="34" t="n">
        <v>77.12</v>
      </c>
      <c r="Y183" s="34" t="n">
        <v>22.03</v>
      </c>
      <c r="Z183" s="34" t="n">
        <v>-62.29</v>
      </c>
      <c r="AA183" s="34" t="n">
        <v>-46.07</v>
      </c>
      <c r="AB183" s="34" t="n">
        <v>27.11</v>
      </c>
      <c r="AC183" s="34" t="n">
        <v>-5.08</v>
      </c>
      <c r="AD183" s="26" t="inlineStr">
        <is>
          <t>Hang Seng Commerce &amp; Industry sub-index</t>
        </is>
      </c>
      <c r="AE183" s="34" t="n">
        <v>-94.31999999999999</v>
      </c>
      <c r="AF183" s="28" t="n">
        <v>2005.7</v>
      </c>
      <c r="AG183" s="28" t="n">
        <v>-0.8</v>
      </c>
      <c r="AH183" s="26" t="inlineStr">
        <is>
          <t>N</t>
        </is>
      </c>
      <c r="AI183" s="38">
        <f>IF('BBG Verify'!O183="","not filed — run on terminal",'BBG Verify'!O183)</f>
        <v/>
      </c>
      <c r="AJ183" s="35" t="n">
        <v>0.3</v>
      </c>
      <c r="AK183" s="26" t="inlineStr">
        <is>
          <t>N</t>
        </is>
      </c>
      <c r="AL183" s="36">
        <f>IF('BBG Verify'!K183="","not filed — run on terminal",'BBG Verify'!K183)</f>
        <v/>
      </c>
      <c r="AM183" s="26" t="inlineStr">
        <is>
          <t>N/A</t>
        </is>
      </c>
      <c r="AN183" s="26" t="inlineStr">
        <is>
          <t>N/A</t>
        </is>
      </c>
      <c r="AO183" s="26" t="inlineStr">
        <is>
          <t>N/A</t>
        </is>
      </c>
      <c r="AP183" s="26" t="inlineStr">
        <is>
          <t>Grande Capital Limited</t>
        </is>
      </c>
      <c r="AQ183" s="26" t="inlineStr">
        <is>
          <t>均富融資有限公司</t>
        </is>
      </c>
      <c r="AR183" s="26" t="inlineStr">
        <is>
          <t>Managers SPDB International Capital Limited; BOCOM International Securities Limited; I Win Securities Limited; China Everbright Securities (HK) Limited; Soochow Securities International Brokerage Limited; Alliance Capital Partners Limited</t>
        </is>
      </c>
      <c r="AS183" s="26" t="inlineStr">
        <is>
          <t>同人融資有限公司; Beta International Securities Limited; 中國光大證券(香港)有限公司; 潮商證券有限公司; 民銀證券有限公司; 艾德證券期貨有限公司; 均富融資有限公司; 一盈證券有限公司; 哪吒II證券投資有限公司; 邁時資本有限公司; 浦銀國際融資有限公司; 東吳證券國際經紀有限公司</t>
        </is>
      </c>
      <c r="AT183" s="37">
        <f>HYPERLINK("https://www1.hkexnews.hk/listedco/listconews/sehk/2023/0320/2023032000008.htm","prospectus")</f>
        <v/>
      </c>
      <c r="AU183" s="37">
        <f>HYPERLINK("https://www1.hkexnews.hk/listedco/listconews/sehk/2023/0329/2023032900042.htm","allotment")</f>
        <v/>
      </c>
      <c r="AV183" s="37">
        <f>HYPERLINK("https://www1.hkexnews.hk/listedco/listconews/sehk/2023/0424/2023042400020.pdf","stabilisation")</f>
        <v/>
      </c>
      <c r="AW183" s="26" t="inlineStr">
        <is>
          <t>P/E: n/m — loss-making at IPO (use P/S) · price range: fixed-price offering (no indicative range) · A/H: no A-share listing</t>
        </is>
      </c>
    </row>
    <row r="184">
      <c r="A184" s="25" t="inlineStr">
        <is>
          <t>2405</t>
        </is>
      </c>
      <c r="B184" s="26" t="inlineStr">
        <is>
          <t>POWERWIN TECH</t>
        </is>
      </c>
      <c r="C184" s="26" t="inlineStr">
        <is>
          <t>力盟科技</t>
        </is>
      </c>
      <c r="D184" s="26" t="inlineStr">
        <is>
          <t>TMT-other</t>
        </is>
      </c>
      <c r="E184" s="26" t="inlineStr">
        <is>
          <t>Media / advertising</t>
        </is>
      </c>
      <c r="F184" s="26" t="inlineStr">
        <is>
          <t>Standard</t>
        </is>
      </c>
      <c r="G184" s="27" t="n">
        <v>45016</v>
      </c>
      <c r="H184" s="28" t="n">
        <v>140</v>
      </c>
      <c r="I184" s="26" t="inlineStr">
        <is>
          <t>gross (price x shares)</t>
        </is>
      </c>
      <c r="J184" s="29" t="n"/>
      <c r="K184" s="29" t="n">
        <v>0.75</v>
      </c>
      <c r="L184" s="29" t="n">
        <v>0.7</v>
      </c>
      <c r="M184" s="26" t="inlineStr">
        <is>
          <t>N</t>
        </is>
      </c>
      <c r="N184" s="30" t="n">
        <v>93.3</v>
      </c>
      <c r="O184" s="28" t="n">
        <v>520</v>
      </c>
      <c r="P184" s="26" t="inlineStr">
        <is>
          <t>prospectus:stated market capitalisation</t>
        </is>
      </c>
      <c r="Q184" s="31" t="n">
        <v>13.47</v>
      </c>
      <c r="R184" s="32" t="n">
        <v>1.45</v>
      </c>
      <c r="S184" s="33" t="n"/>
      <c r="T184" s="26" t="n"/>
      <c r="U184" s="30" t="n">
        <v>20</v>
      </c>
      <c r="V184" s="26" t="inlineStr">
        <is>
          <t>lapsed (no over-allocation)</t>
        </is>
      </c>
      <c r="W184" s="34" t="n">
        <v>20</v>
      </c>
      <c r="X184" s="34" t="n">
        <v>50</v>
      </c>
      <c r="Y184" s="34" t="n">
        <v>128.57</v>
      </c>
      <c r="Z184" s="34" t="n">
        <v>385.71</v>
      </c>
      <c r="AA184" s="34" t="n">
        <v>90.47</v>
      </c>
      <c r="AB184" s="34" t="n">
        <v>129.85</v>
      </c>
      <c r="AC184" s="34" t="n">
        <v>-1.28</v>
      </c>
      <c r="AD184" s="26" t="inlineStr">
        <is>
          <t>Hang Seng Index</t>
        </is>
      </c>
      <c r="AE184" s="34" t="n">
        <v>-50.71</v>
      </c>
      <c r="AF184" s="28" t="n">
        <v>111.9</v>
      </c>
      <c r="AG184" s="28" t="n">
        <v>45</v>
      </c>
      <c r="AH184" s="26" t="inlineStr">
        <is>
          <t>Y</t>
        </is>
      </c>
      <c r="AI184" s="35" t="n">
        <v>11.6</v>
      </c>
      <c r="AJ184" s="35" t="n">
        <v>4.6</v>
      </c>
      <c r="AK184" s="26" t="inlineStr">
        <is>
          <t>N</t>
        </is>
      </c>
      <c r="AL184" s="36">
        <f>IF('BBG Verify'!K184="","not filed — run on terminal",'BBG Verify'!K184)</f>
        <v/>
      </c>
      <c r="AM184" s="26" t="inlineStr">
        <is>
          <t>N/A</t>
        </is>
      </c>
      <c r="AN184" s="26" t="inlineStr">
        <is>
          <t>N/A</t>
        </is>
      </c>
      <c r="AO184" s="26" t="inlineStr">
        <is>
          <t>N/A</t>
        </is>
      </c>
      <c r="AP184" s="26" t="inlineStr">
        <is>
          <t>GF Capital (Hong Kong) Limited</t>
        </is>
      </c>
      <c r="AQ184" s="26" t="inlineStr">
        <is>
          <t>廣發融資（香港）有限公司</t>
        </is>
      </c>
      <c r="AR184" s="26" t="inlineStr">
        <is>
          <t>GF Securities (Hong Kong) Brokerage Limited; First Capital Securities Limited; Maxa Capital Limited; China Everbright Securities (HK) Limited; DIRECTORS AND PARTIES INVOLVED IN THE GLOBAL OFFERING – 101 – Maxa Capital Limited</t>
        </is>
      </c>
      <c r="AS184" s="26" t="inlineStr">
        <is>
          <t>中國光大證券(香港)有限公司; 首控證券有限公司; 廣發證券（香港）經紀有限公司; 邁時資本有限公司</t>
        </is>
      </c>
      <c r="AT184" s="37">
        <f>HYPERLINK("https://www1.hkexnews.hk/listedco/listconews/sehk/2023/0321/2023032100009.pdf","prospectus")</f>
        <v/>
      </c>
      <c r="AU184" s="37">
        <f>HYPERLINK("https://www1.hkexnews.hk/listedco/listconews/sehk/2023/0330/2023033000098.htm","allotment")</f>
        <v/>
      </c>
      <c r="AV184" s="37">
        <f>HYPERLINK("https://www1.hkexnews.hk/listedco/listconews/sehk/2023/0423/2023042300029.pdf","stabilisation")</f>
        <v/>
      </c>
      <c r="AW184" s="26" t="inlineStr">
        <is>
          <t>A/H: no A-share listing</t>
        </is>
      </c>
    </row>
    <row r="185">
      <c r="A185" s="25" t="inlineStr">
        <is>
          <t>2439</t>
        </is>
      </c>
      <c r="B185" s="26" t="inlineStr">
        <is>
          <t>CH TREASURES NM</t>
        </is>
      </c>
      <c r="C185" s="26" t="inlineStr">
        <is>
          <t>中寶新材</t>
        </is>
      </c>
      <c r="D185" s="26" t="inlineStr">
        <is>
          <t>Materials/Energy</t>
        </is>
      </c>
      <c r="E185" s="26" t="inlineStr">
        <is>
          <t>Chemicals</t>
        </is>
      </c>
      <c r="F185" s="26" t="inlineStr">
        <is>
          <t>Standard</t>
        </is>
      </c>
      <c r="G185" s="27" t="n">
        <v>45016</v>
      </c>
      <c r="H185" s="28" t="n">
        <v>262.5</v>
      </c>
      <c r="I185" s="26" t="inlineStr">
        <is>
          <t>gross (price x shares)</t>
        </is>
      </c>
      <c r="J185" s="29" t="n"/>
      <c r="K185" s="29" t="n">
        <v>1.35</v>
      </c>
      <c r="L185" s="29" t="n">
        <v>1.05</v>
      </c>
      <c r="M185" s="26" t="inlineStr">
        <is>
          <t>N</t>
        </is>
      </c>
      <c r="N185" s="30" t="n">
        <v>77.8</v>
      </c>
      <c r="O185" s="28" t="n">
        <v>1200</v>
      </c>
      <c r="P185" s="26" t="inlineStr">
        <is>
          <t>aastocks:上市市值 at the struck price</t>
        </is>
      </c>
      <c r="Q185" s="31" t="n">
        <v>6.33</v>
      </c>
      <c r="R185" s="39">
        <f>IF('BBG Verify'!E185="","not filed — run on terminal",'BBG Verify'!E185)</f>
        <v/>
      </c>
      <c r="S185" s="33" t="n">
        <v>48.7</v>
      </c>
      <c r="T185" s="26" t="inlineStr">
        <is>
          <t>ZhongBaoNew materials. Ltd</t>
        </is>
      </c>
      <c r="U185" s="30" t="n">
        <v>7.8097</v>
      </c>
      <c r="V185" s="26" t="inlineStr">
        <is>
          <t>lapsed (no over-allocation)</t>
        </is>
      </c>
      <c r="W185" s="34" t="n">
        <v>-35.24</v>
      </c>
      <c r="X185" s="34" t="n">
        <v>-36.19</v>
      </c>
      <c r="Y185" s="34" t="n">
        <v>-39.05</v>
      </c>
      <c r="Z185" s="34" t="n">
        <v>-50.48</v>
      </c>
      <c r="AA185" s="34" t="n">
        <v>-5.88</v>
      </c>
      <c r="AB185" s="34" t="n">
        <v>-43.96</v>
      </c>
      <c r="AC185" s="34" t="n">
        <v>4.91</v>
      </c>
      <c r="AD185" s="26" t="inlineStr">
        <is>
          <t>Hang Seng Utilities sub-index</t>
        </is>
      </c>
      <c r="AE185" s="34" t="n">
        <v>-73.33</v>
      </c>
      <c r="AF185" s="28" t="n">
        <v>282.4</v>
      </c>
      <c r="AG185" s="28" t="n">
        <v>-57.2</v>
      </c>
      <c r="AH185" s="26" t="inlineStr">
        <is>
          <t>N</t>
        </is>
      </c>
      <c r="AI185" s="38">
        <f>IF('BBG Verify'!O185="","not filed — run on terminal",'BBG Verify'!O185)</f>
        <v/>
      </c>
      <c r="AJ185" s="35" t="n">
        <v>4.2</v>
      </c>
      <c r="AK185" s="26" t="inlineStr">
        <is>
          <t>N</t>
        </is>
      </c>
      <c r="AL185" s="36">
        <f>IF('BBG Verify'!K185="","not filed — run on terminal",'BBG Verify'!K185)</f>
        <v/>
      </c>
      <c r="AM185" s="26" t="inlineStr">
        <is>
          <t>N/A</t>
        </is>
      </c>
      <c r="AN185" s="26" t="inlineStr">
        <is>
          <t>N/A</t>
        </is>
      </c>
      <c r="AO185" s="26" t="inlineStr">
        <is>
          <t>N/A</t>
        </is>
      </c>
      <c r="AP185" s="26" t="inlineStr">
        <is>
          <t>Soochow Securities International Capital Limited</t>
        </is>
      </c>
      <c r="AQ185" s="26" t="inlineStr">
        <is>
          <t>東吳證券國際融資有限公司</t>
        </is>
      </c>
      <c r="AR185" s="26" t="inlineStr">
        <is>
          <t>Fosun International Securities Limited; VBG Capital Limited; Wealth Link Securities Limited; Managers China Galaxy International Securities (Hong Kong) Co., Limited; Zhongtai International Securities Limited</t>
        </is>
      </c>
      <c r="AS185" s="26" t="inlineStr">
        <is>
          <t>中國銀河國際證券(香港)有限公司; 千里碩證券有限公司; 艾德證券期貨有限公司; 復星國際證券有限公司; 第一上海證券有限公司; 富途證券國際（香港）有限公司; 華業證券有限公司; 貝德斯證券有限公司; 聖衡金融控股有限公司; 佳富達證券有限公司; 東吳證券國際經紀有限公司; 老虎證券（香港）環球有限公司; 建泉融資有限公司; 富匯證券有限公司; 中泰國際證券有限公司; 中募金融資管有限公司</t>
        </is>
      </c>
      <c r="AT185" s="37">
        <f>HYPERLINK("https://www1.hkexnews.hk/listedco/listconews/sehk/2023/0321/2023032100050.htm","prospectus")</f>
        <v/>
      </c>
      <c r="AU185" s="37">
        <f>HYPERLINK("https://www1.hkexnews.hk/listedco/listconews/sehk/2023/0330/2023033000220.htm","allotment")</f>
        <v/>
      </c>
      <c r="AV185" s="37">
        <f>HYPERLINK("https://www1.hkexnews.hk/listedco/listconews/sehk/2023/0424/2023042400062.pdf","stabilisation")</f>
        <v/>
      </c>
      <c r="AW185" s="26" t="inlineStr">
        <is>
          <t>intl sub: subscription level not stated in the filing · P/E: n/m — loss-making at IPO (use P/S) · A/H: no A-share listing · market cap: estimate from deal size / offer % of enlarged capital disagreed with the published listing cap — published figure adopted</t>
        </is>
      </c>
    </row>
    <row r="186">
      <c r="A186" s="25" t="inlineStr">
        <is>
          <t>9669</t>
        </is>
      </c>
      <c r="B186" s="26" t="inlineStr">
        <is>
          <t>BEISEN HOLDING</t>
        </is>
      </c>
      <c r="C186" s="26" t="inlineStr">
        <is>
          <t>北森控股</t>
        </is>
      </c>
      <c r="D186" s="26" t="inlineStr">
        <is>
          <t>Tech/AI</t>
        </is>
      </c>
      <c r="E186" s="26" t="inlineStr">
        <is>
          <t>SaaS / enterprise software</t>
        </is>
      </c>
      <c r="F186" s="26" t="inlineStr">
        <is>
          <t>Standard</t>
        </is>
      </c>
      <c r="G186" s="27" t="n">
        <v>45029</v>
      </c>
      <c r="H186" s="28" t="n">
        <v>238.9</v>
      </c>
      <c r="I186" s="26" t="inlineStr">
        <is>
          <t>gross (price x shares)</t>
        </is>
      </c>
      <c r="J186" s="29" t="n"/>
      <c r="K186" s="29" t="n">
        <v>29.7</v>
      </c>
      <c r="L186" s="29" t="n">
        <v>29.7</v>
      </c>
      <c r="M186" s="26" t="inlineStr">
        <is>
          <t>Y</t>
        </is>
      </c>
      <c r="N186" s="30" t="n">
        <v>100</v>
      </c>
      <c r="O186" s="28" t="n">
        <v>4977.1</v>
      </c>
      <c r="P186" s="26" t="inlineStr">
        <is>
          <t>derived:deal size / offer % of enlarged capital</t>
        </is>
      </c>
      <c r="Q186" s="31" t="n">
        <v>16.57</v>
      </c>
      <c r="R186" s="32" t="n">
        <v>1.51</v>
      </c>
      <c r="S186" s="33" t="n">
        <v>0</v>
      </c>
      <c r="T186" s="26" t="n"/>
      <c r="U186" s="30" t="n">
        <v>20</v>
      </c>
      <c r="V186" s="26" t="inlineStr">
        <is>
          <t>lapsed</t>
        </is>
      </c>
      <c r="W186" s="34" t="n">
        <v>-12.12</v>
      </c>
      <c r="X186" s="34" t="n">
        <v>-52.53</v>
      </c>
      <c r="Y186" s="34" t="n">
        <v>-69.19</v>
      </c>
      <c r="Z186" s="34" t="n">
        <v>-71.08</v>
      </c>
      <c r="AA186" s="34" t="n">
        <v>-64.94</v>
      </c>
      <c r="AB186" s="34" t="n">
        <v>-63.52</v>
      </c>
      <c r="AC186" s="34" t="n">
        <v>-5.67</v>
      </c>
      <c r="AD186" s="26" t="inlineStr">
        <is>
          <t>HSTECH (Hang Seng TECH ETF)</t>
        </is>
      </c>
      <c r="AE186" s="34" t="n">
        <v>-89.23</v>
      </c>
      <c r="AF186" s="28" t="n">
        <v>612</v>
      </c>
      <c r="AG186" s="28" t="n">
        <v>-1034.2</v>
      </c>
      <c r="AH186" s="26" t="inlineStr">
        <is>
          <t>N</t>
        </is>
      </c>
      <c r="AI186" s="38">
        <f>IF('BBG Verify'!O186="","not filed — run on terminal",'BBG Verify'!O186)</f>
        <v/>
      </c>
      <c r="AJ186" s="35" t="n">
        <v>8.1</v>
      </c>
      <c r="AK186" s="26" t="inlineStr">
        <is>
          <t>N</t>
        </is>
      </c>
      <c r="AL186" s="36">
        <f>IF('BBG Verify'!K186="","not filed — run on terminal",'BBG Verify'!K186)</f>
        <v/>
      </c>
      <c r="AM186" s="26" t="inlineStr">
        <is>
          <t>N/A</t>
        </is>
      </c>
      <c r="AN186" s="26" t="inlineStr">
        <is>
          <t>N/A</t>
        </is>
      </c>
      <c r="AO186" s="26" t="inlineStr">
        <is>
          <t>N/A</t>
        </is>
      </c>
      <c r="AP186" s="26" t="inlineStr">
        <is>
          <t>Sponsor-overall Coordinators and Overall Coordinators Morgan Stanley Asia Limited; China International Capital Corporation Hong Kong Securities Limited</t>
        </is>
      </c>
      <c r="AQ186" s="26" t="inlineStr">
        <is>
          <t>中國國際金融香港證券有限公司; 摩根士丹利亞洲有限公司</t>
        </is>
      </c>
      <c r="AR186" s="26" t="inlineStr">
        <is>
          <t>Morgan Stanley Asia Limited; China International Capital Corporation Hong Kong Securities Limited; Futu Securities International (Hong Kong) Limited; Tiger Brokers (HK) Global Limited; Co-manager Silverbricks Securities Company Limited; Silverbricks Securities Company Limited</t>
        </is>
      </c>
      <c r="AS186" s="26" t="inlineStr">
        <is>
          <t>中國國際金融香港證券有限公司; 富途證券國際（香港）有限公司; 摩根士丹利亞洲有限公司; 元庫證券有限公司; 老虎證券（香港）環球有限公司</t>
        </is>
      </c>
      <c r="AT186" s="37">
        <f>HYPERLINK("https://www1.hkexnews.hk/listedco/listconews/sehk/2023/0330/2023033000324.htm","prospectus")</f>
        <v/>
      </c>
      <c r="AU186" s="37">
        <f>HYPERLINK("https://www1.hkexnews.hk/listedco/listconews/sehk/2023/0412/2023041200010.htm","allotment")</f>
        <v/>
      </c>
      <c r="AV186" s="37">
        <f>HYPERLINK("https://www1.hkexnews.hk/listedco/listconews/sehk/2023/0504/2023050401929.pdf","stabilisation")</f>
        <v/>
      </c>
      <c r="AW186" s="26" t="inlineStr">
        <is>
          <t>P/E: n/m — loss-making at IPO (use P/S) · A/H: no A-share listing</t>
        </is>
      </c>
    </row>
    <row r="187">
      <c r="A187" s="25" t="inlineStr">
        <is>
          <t>6979</t>
        </is>
      </c>
      <c r="B187" s="26" t="inlineStr">
        <is>
          <t>ZJLD</t>
        </is>
      </c>
      <c r="C187" s="26" t="inlineStr">
        <is>
          <t>珍酒李渡</t>
        </is>
      </c>
      <c r="D187" s="26" t="inlineStr">
        <is>
          <t>Consumer</t>
        </is>
      </c>
      <c r="E187" s="26" t="inlineStr">
        <is>
          <t>Beverages / packaged food</t>
        </is>
      </c>
      <c r="F187" s="26" t="inlineStr">
        <is>
          <t>Standard</t>
        </is>
      </c>
      <c r="G187" s="27" t="n">
        <v>45043</v>
      </c>
      <c r="H187" s="28" t="n">
        <v>795</v>
      </c>
      <c r="I187" s="26" t="inlineStr">
        <is>
          <t>gross (stated)</t>
        </is>
      </c>
      <c r="J187" s="29" t="n"/>
      <c r="K187" s="29" t="n">
        <v>10.82</v>
      </c>
      <c r="L187" s="29" t="n">
        <v>10.82</v>
      </c>
      <c r="M187" s="26" t="inlineStr">
        <is>
          <t>Y</t>
        </is>
      </c>
      <c r="N187" s="30" t="n">
        <v>100</v>
      </c>
      <c r="O187" s="28" t="n">
        <v>38863.4</v>
      </c>
      <c r="P187" s="26" t="inlineStr">
        <is>
          <t>aastocks:上市市值 at the struck price</t>
        </is>
      </c>
      <c r="Q187" s="31" t="n">
        <v>1.94</v>
      </c>
      <c r="R187" s="32" t="n">
        <v>3.9</v>
      </c>
      <c r="S187" s="33" t="n">
        <v>0</v>
      </c>
      <c r="T187" s="26" t="n"/>
      <c r="U187" s="30" t="n">
        <v>5.3</v>
      </c>
      <c r="V187" s="26" t="inlineStr">
        <is>
          <t>lapsed</t>
        </is>
      </c>
      <c r="W187" s="34" t="n">
        <v>-17.93</v>
      </c>
      <c r="X187" s="34" t="n">
        <v>-15.9</v>
      </c>
      <c r="Y187" s="34" t="n">
        <v>-34.1</v>
      </c>
      <c r="Z187" s="34" t="n">
        <v>-12.38</v>
      </c>
      <c r="AA187" s="34" t="n">
        <v>-19.7</v>
      </c>
      <c r="AB187" s="34" t="n">
        <v>-26.77</v>
      </c>
      <c r="AC187" s="34" t="n">
        <v>-7.33</v>
      </c>
      <c r="AD187" s="26" t="inlineStr">
        <is>
          <t>Hang Seng Commerce &amp; Industry sub-index</t>
        </is>
      </c>
      <c r="AE187" s="34" t="n">
        <v>-23.75</v>
      </c>
      <c r="AF187" s="28" t="n">
        <v>2.2</v>
      </c>
      <c r="AG187" s="28" t="n">
        <v>572.1</v>
      </c>
      <c r="AH187" s="26" t="inlineStr">
        <is>
          <t>Y</t>
        </is>
      </c>
      <c r="AI187" s="35" t="n">
        <v>67.90000000000001</v>
      </c>
      <c r="AJ187" s="35" t="n">
        <v>17665.2</v>
      </c>
      <c r="AK187" s="26" t="inlineStr">
        <is>
          <t>N</t>
        </is>
      </c>
      <c r="AL187" s="36">
        <f>IF('BBG Verify'!K187="","not filed — run on terminal",'BBG Verify'!K187)</f>
        <v/>
      </c>
      <c r="AM187" s="26" t="inlineStr">
        <is>
          <t>N/A</t>
        </is>
      </c>
      <c r="AN187" s="26" t="inlineStr">
        <is>
          <t>N/A</t>
        </is>
      </c>
      <c r="AO187" s="26" t="inlineStr">
        <is>
          <t>N/A</t>
        </is>
      </c>
      <c r="AP187" s="26" t="inlineStr">
        <is>
          <t>Goldman Sachs (Asia) L.L.C; China Securities (International) Corporate Finance Company Limited</t>
        </is>
      </c>
      <c r="AQ187" s="26" t="inlineStr">
        <is>
          <t>高盛(亞洲)有限責任公司; 中信建投(國際)融資有限公司</t>
        </is>
      </c>
      <c r="AR187" s="26" t="inlineStr">
        <is>
          <t>Managers Goldman Sachs (Asia) L.L.C; China Securities (International) Corporate Finance Company Limited; Central, Hong Kong China International Capital Corporation Hong Kong Securities Limited; Central, Hong Kong KKR Capital Markets Asia Limited; Goldman Sachs (Asia) L.L.C</t>
        </is>
      </c>
      <c r="AS187" s="26" t="inlineStr">
        <is>
          <t>中國國際金融香港證券有限公司; 中信建投(國際)融資有限公司; 高盛(亞洲)有限責任公司</t>
        </is>
      </c>
      <c r="AT187" s="37">
        <f>HYPERLINK("https://www1.hkexnews.hk/listedco/listconews/sehk/2023/0417/2023041700044.htm","prospectus")</f>
        <v/>
      </c>
      <c r="AU187" s="37">
        <f>HYPERLINK("https://www1.hkexnews.hk/listedco/listconews/sehk/2023/0426/2023042600060.htm","allotment")</f>
        <v/>
      </c>
      <c r="AV187" s="37">
        <f>HYPERLINK("https://www1.hkexnews.hk/listedco/listconews/sehk/2023/0525/2023052500386.pdf","stabilisation")</f>
        <v/>
      </c>
      <c r="AW187" s="26" t="inlineStr">
        <is>
          <t>price range: fixed-price offering (no indicative range) · A/H: no A-share listing · market cap: estimate from stated market capitalisation disagreed with the published listing cap — published figure adopted</t>
        </is>
      </c>
    </row>
    <row r="188">
      <c r="A188" s="25" t="inlineStr">
        <is>
          <t>2415</t>
        </is>
      </c>
      <c r="B188" s="26" t="inlineStr">
        <is>
          <t>MEDSCI</t>
        </is>
      </c>
      <c r="C188" s="26" t="inlineStr">
        <is>
          <t>梅斯健康</t>
        </is>
      </c>
      <c r="D188" s="26" t="inlineStr">
        <is>
          <t>Healthcare</t>
        </is>
      </c>
      <c r="E188" s="26" t="inlineStr">
        <is>
          <t>CXO / pharma services</t>
        </is>
      </c>
      <c r="F188" s="26" t="inlineStr">
        <is>
          <t>Standard</t>
        </is>
      </c>
      <c r="G188" s="27" t="n">
        <v>45043</v>
      </c>
      <c r="H188" s="28" t="n">
        <v>18.2</v>
      </c>
      <c r="I188" s="26" t="inlineStr">
        <is>
          <t>gross (stated)</t>
        </is>
      </c>
      <c r="J188" s="29" t="n"/>
      <c r="K188" s="29" t="n">
        <v>10.16</v>
      </c>
      <c r="L188" s="29" t="n">
        <v>9.1</v>
      </c>
      <c r="M188" s="26" t="inlineStr">
        <is>
          <t>N</t>
        </is>
      </c>
      <c r="N188" s="30" t="n">
        <v>89.59999999999999</v>
      </c>
      <c r="O188" s="28" t="n">
        <v>6101.8</v>
      </c>
      <c r="P188" s="26" t="inlineStr">
        <is>
          <t>aastocks:上市市值 at the struck price</t>
        </is>
      </c>
      <c r="Q188" s="31" t="n">
        <v>5</v>
      </c>
      <c r="R188" s="39">
        <f>IF('BBG Verify'!E188="","not filed — run on terminal",'BBG Verify'!E188)</f>
        <v/>
      </c>
      <c r="S188" s="33" t="n">
        <v>20.1</v>
      </c>
      <c r="T188" s="26" t="inlineStr">
        <is>
          <t>安吉國融建設有限公司; 安吉國融創業投資有限公司; 安吉交投實業發展有限公司; 安吉七彩靈峰鄉村旅遊投資有限公司; 廣發全球資本有限公司; Harvest International Premium Value (Secondary Market) Fund SPC</t>
        </is>
      </c>
      <c r="U188" s="30" t="n">
        <v>10.82</v>
      </c>
      <c r="V188" s="26" t="n"/>
      <c r="W188" s="34" t="n">
        <v>1.1</v>
      </c>
      <c r="X188" s="34" t="n">
        <v>-5.49</v>
      </c>
      <c r="Y188" s="34" t="n">
        <v>2.64</v>
      </c>
      <c r="Z188" s="34" t="n">
        <v>-15.16</v>
      </c>
      <c r="AA188" s="34" t="n">
        <v>1.52</v>
      </c>
      <c r="AB188" s="34" t="n">
        <v>8.73</v>
      </c>
      <c r="AC188" s="34" t="n">
        <v>-6.09</v>
      </c>
      <c r="AD188" s="26" t="inlineStr">
        <is>
          <t>China Biotech ETF (HS biotech proxy)</t>
        </is>
      </c>
      <c r="AE188" s="34" t="n">
        <v>-91.76000000000001</v>
      </c>
      <c r="AF188" s="28" t="n">
        <v>383.8</v>
      </c>
      <c r="AG188" s="28" t="n">
        <v>-109.9</v>
      </c>
      <c r="AH188" s="26" t="inlineStr">
        <is>
          <t>N</t>
        </is>
      </c>
      <c r="AI188" s="38">
        <f>IF('BBG Verify'!O188="","not filed — run on terminal",'BBG Verify'!O188)</f>
        <v/>
      </c>
      <c r="AJ188" s="35" t="n">
        <v>15.9</v>
      </c>
      <c r="AK188" s="26" t="inlineStr">
        <is>
          <t>N</t>
        </is>
      </c>
      <c r="AL188" s="36">
        <f>IF('BBG Verify'!K188="","not filed — run on terminal",'BBG Verify'!K188)</f>
        <v/>
      </c>
      <c r="AM188" s="26" t="inlineStr">
        <is>
          <t>N/A</t>
        </is>
      </c>
      <c r="AN188" s="26" t="inlineStr">
        <is>
          <t>N/A</t>
        </is>
      </c>
      <c r="AO188" s="26" t="inlineStr">
        <is>
          <t>N/A</t>
        </is>
      </c>
      <c r="AP188" s="26" t="inlineStr">
        <is>
          <t>China International Capital Corporation Hong Kong Securities Limited; Macquarie Capital Limited</t>
        </is>
      </c>
      <c r="AQ188" s="26" t="inlineStr">
        <is>
          <t>中國國際金融香港證券有限公司; 麥格理資本股份有限公司</t>
        </is>
      </c>
      <c r="AR188" s="26"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AS188" s="26" t="inlineStr">
        <is>
          <t>建銀國際金融有限公司; 中國光大證券(香港)有限公司; 中國國際金融香港證券有限公司; 龍石資本管理有限公司; 安信國際證券(香港)有限公司; 首控證券有限公司; 第一上海證券有限公司; 富途證券國際（香港）有限公司; 海通國際證券有限公司; 利弗莫爾證券有限公司; 麥格理資本股份有限公司; 元庫證券有限公司; 友信證券有限公司; 中泰國際證券有限公司</t>
        </is>
      </c>
      <c r="AT188" s="37">
        <f>HYPERLINK("https://www1.hkexnews.hk/listedco/listconews/sehk/2023/0417/2023041700009.pdf","prospectus")</f>
        <v/>
      </c>
      <c r="AU188" s="37">
        <f>HYPERLINK("https://www1.hkexnews.hk/listedco/listconews/sehk/2023/0426/2023042600046.htm","allotment")</f>
        <v/>
      </c>
      <c r="AV188" s="26" t="n"/>
      <c r="AW188" s="26" t="inlineStr">
        <is>
          <t>intl sub: subscription level not stated in the filing · P/E: n/m — loss-making at IPO (use P/S) · greenshoe: end-of-stabilisation notice not located · A/H: no A-share listing · cornerstone: AAStocks institutional table includes non-cornerstone orders (superset) — cornerstone % is from the prospectus</t>
        </is>
      </c>
    </row>
    <row r="189">
      <c r="A189" s="25" t="inlineStr">
        <is>
          <t>2480</t>
        </is>
      </c>
      <c r="B189" s="26" t="inlineStr">
        <is>
          <t>LUZHU BIOTECH-B</t>
        </is>
      </c>
      <c r="C189" s="26" t="inlineStr">
        <is>
          <t>綠竹生物－Ｂ</t>
        </is>
      </c>
      <c r="D189" s="26" t="inlineStr">
        <is>
          <t>Healthcare</t>
        </is>
      </c>
      <c r="E189" s="26" t="inlineStr">
        <is>
          <t>Biotech pre-revenue (18A)</t>
        </is>
      </c>
      <c r="F189" s="26" t="inlineStr">
        <is>
          <t>18A</t>
        </is>
      </c>
      <c r="G189" s="27" t="n">
        <v>45052</v>
      </c>
      <c r="H189" s="28" t="n">
        <v>39.5</v>
      </c>
      <c r="I189" s="26" t="inlineStr">
        <is>
          <t>gross (stated)</t>
        </is>
      </c>
      <c r="J189" s="29" t="n">
        <v>32.8</v>
      </c>
      <c r="K189" s="29" t="n">
        <v>41.65</v>
      </c>
      <c r="L189" s="29" t="n">
        <v>32.8</v>
      </c>
      <c r="M189" s="26" t="inlineStr">
        <is>
          <t>N</t>
        </is>
      </c>
      <c r="N189" s="30" t="n">
        <v>78.8</v>
      </c>
      <c r="O189" s="28" t="n">
        <v>8051.3</v>
      </c>
      <c r="P189" s="26" t="inlineStr">
        <is>
          <t>aastocks:上市市值 at the struck price</t>
        </is>
      </c>
      <c r="Q189" s="31" t="n">
        <v>3.25</v>
      </c>
      <c r="R189" s="32" t="n">
        <v>1.33</v>
      </c>
      <c r="S189" s="33" t="n">
        <v>10</v>
      </c>
      <c r="T189" s="26" t="inlineStr">
        <is>
          <t>Harvest International Premium Value (Secondary Market) Fund SPC</t>
        </is>
      </c>
      <c r="U189" s="30" t="n">
        <v>11.2</v>
      </c>
      <c r="V189" s="26" t="inlineStr">
        <is>
          <t>lapsed</t>
        </is>
      </c>
      <c r="W189" s="34" t="n">
        <v>-32.93</v>
      </c>
      <c r="X189" s="34" t="n">
        <v>-30.95</v>
      </c>
      <c r="Y189" s="34" t="n">
        <v>1.98</v>
      </c>
      <c r="Z189" s="34" t="n">
        <v>-3.51</v>
      </c>
      <c r="AA189" s="34" t="n">
        <v>52.05</v>
      </c>
      <c r="AB189" s="34" t="n">
        <v>10.5</v>
      </c>
      <c r="AC189" s="34" t="n">
        <v>-8.52</v>
      </c>
      <c r="AD189" s="26" t="inlineStr">
        <is>
          <t>China Biotech ETF (HS biotech proxy)</t>
        </is>
      </c>
      <c r="AE189" s="34" t="n">
        <v>-60.37</v>
      </c>
      <c r="AF189" s="28" t="n">
        <v>2.2</v>
      </c>
      <c r="AG189" s="28" t="n">
        <v>-797.7</v>
      </c>
      <c r="AH189" s="26" t="inlineStr">
        <is>
          <t>N</t>
        </is>
      </c>
      <c r="AI189" s="38">
        <f>IF('BBG Verify'!O189="","not filed — run on terminal",'BBG Verify'!O189)</f>
        <v/>
      </c>
      <c r="AJ189" s="35" t="n">
        <v>3659.7</v>
      </c>
      <c r="AK189" s="26" t="inlineStr">
        <is>
          <t>N</t>
        </is>
      </c>
      <c r="AL189" s="36">
        <f>IF('BBG Verify'!K189="","not filed — run on terminal",'BBG Verify'!K189)</f>
        <v/>
      </c>
      <c r="AM189" s="26" t="inlineStr">
        <is>
          <t>N/A</t>
        </is>
      </c>
      <c r="AN189" s="26" t="inlineStr">
        <is>
          <t>N/A</t>
        </is>
      </c>
      <c r="AO189" s="26" t="inlineStr">
        <is>
          <t>N/A</t>
        </is>
      </c>
      <c r="AP189" s="26" t="inlineStr">
        <is>
          <t>China International Capital Corporation Hong Kong Securities Limited</t>
        </is>
      </c>
      <c r="AQ189" s="26" t="inlineStr">
        <is>
          <t>中國國際金融香港證券有限公司</t>
        </is>
      </c>
      <c r="AR189" s="26" t="inlineStr">
        <is>
          <t>Securities Limited; Guotai Junan Securities (Hong Kong) Limited; CCB International Capital Limited; Managers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AS189" s="26" t="inlineStr">
        <is>
          <t>農銀國際證券有限公司; 中銀國際亞洲有限公司; 建銀國際金融有限公司; 光銀國際資本有限公司; 中州國際融資有限公司; 中國國際金融香港證券有限公司; 信銀（香港）資本有限公司; 龍石資本管理有限公司; 艾德證券期貨有限公司; 復星國際證券有限公司; 富途證券國際（香港）有限公司; 廣發證券（香港）經紀有限公司; 國泰君安證券(香港)有限公司; 國信證券(香港)融資有限公司; 百惠證券有限公司; 華盛資本証券有限公司</t>
        </is>
      </c>
      <c r="AT189" s="37">
        <f>HYPERLINK("https://www1.hkexnews.hk/listedco/listconews/sehk/2023/0425/2023042500039.pdf","prospectus")</f>
        <v/>
      </c>
      <c r="AU189" s="37">
        <f>HYPERLINK("https://www1.hkexnews.hk/listedco/listconews/sehk/2023/0505/2023050500008.htm","allotment")</f>
        <v/>
      </c>
      <c r="AV189" s="37">
        <f>HYPERLINK("https://www1.hkexnews.hk/listedco/listconews/sehk/2023/0528/2023052800097.pdf","stabilisation")</f>
        <v/>
      </c>
      <c r="AW189" s="26"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90">
      <c r="A190" s="25" t="inlineStr">
        <is>
          <t>2442</t>
        </is>
      </c>
      <c r="B190" s="26" t="inlineStr">
        <is>
          <t>EASY SMART GP</t>
        </is>
      </c>
      <c r="C190" s="26" t="inlineStr">
        <is>
          <t>怡俊集團控股</t>
        </is>
      </c>
      <c r="D190" s="26" t="inlineStr">
        <is>
          <t>Industrials</t>
        </is>
      </c>
      <c r="E190" s="26" t="inlineStr">
        <is>
          <t>Construction / engineering</t>
        </is>
      </c>
      <c r="F190" s="26" t="inlineStr">
        <is>
          <t>Standard</t>
        </is>
      </c>
      <c r="G190" s="27" t="n">
        <v>45055</v>
      </c>
      <c r="H190" s="28" t="n">
        <v>130.6</v>
      </c>
      <c r="I190" s="26" t="inlineStr">
        <is>
          <t>gross (price x shares)</t>
        </is>
      </c>
      <c r="J190" s="29" t="n"/>
      <c r="K190" s="29" t="n">
        <v>1.38</v>
      </c>
      <c r="L190" s="29" t="n">
        <v>1.28</v>
      </c>
      <c r="M190" s="26" t="inlineStr">
        <is>
          <t>N</t>
        </is>
      </c>
      <c r="N190" s="30" t="n">
        <v>92.8</v>
      </c>
      <c r="O190" s="28" t="n">
        <v>560</v>
      </c>
      <c r="P190" s="26" t="inlineStr">
        <is>
          <t>aastocks:上市市值 at the struck price</t>
        </is>
      </c>
      <c r="Q190" s="31" t="n">
        <v>17.27</v>
      </c>
      <c r="R190" s="32" t="n">
        <v>1.05</v>
      </c>
      <c r="S190" s="33" t="n">
        <v>0</v>
      </c>
      <c r="T190" s="26" t="n"/>
      <c r="U190" s="30" t="n">
        <v>15</v>
      </c>
      <c r="V190" s="26" t="inlineStr">
        <is>
          <t>lapsed (no over-allocation)</t>
        </is>
      </c>
      <c r="W190" s="34" t="n">
        <v>-23.44</v>
      </c>
      <c r="X190" s="34" t="n">
        <v>20.31</v>
      </c>
      <c r="Y190" s="34" t="n">
        <v>26.56</v>
      </c>
      <c r="Z190" s="34" t="n">
        <v>-21.09</v>
      </c>
      <c r="AA190" s="34" t="n">
        <v>65.31</v>
      </c>
      <c r="AB190" s="34" t="n">
        <v>30.9</v>
      </c>
      <c r="AC190" s="34" t="n">
        <v>-4.34</v>
      </c>
      <c r="AD190" s="26" t="inlineStr">
        <is>
          <t>Hang Seng Commerce &amp; Industry sub-index</t>
        </is>
      </c>
      <c r="AE190" s="34" t="n">
        <v>5271.09</v>
      </c>
      <c r="AF190" s="28" t="n">
        <v>240.5</v>
      </c>
      <c r="AG190" s="28" t="n">
        <v>28.8</v>
      </c>
      <c r="AH190" s="26" t="inlineStr">
        <is>
          <t>Y</t>
        </is>
      </c>
      <c r="AI190" s="35" t="n">
        <v>19.4</v>
      </c>
      <c r="AJ190" s="35" t="n">
        <v>2.3</v>
      </c>
      <c r="AK190" s="26" t="inlineStr">
        <is>
          <t>N</t>
        </is>
      </c>
      <c r="AL190" s="36">
        <f>IF('BBG Verify'!K190="","not filed — run on terminal",'BBG Verify'!K190)</f>
        <v/>
      </c>
      <c r="AM190" s="26" t="inlineStr">
        <is>
          <t>N/A</t>
        </is>
      </c>
      <c r="AN190" s="26" t="inlineStr">
        <is>
          <t>N/A</t>
        </is>
      </c>
      <c r="AO190" s="26" t="inlineStr">
        <is>
          <t>N/A</t>
        </is>
      </c>
      <c r="AP190" s="26" t="n"/>
      <c r="AQ190" s="26" t="inlineStr">
        <is>
          <t>均富融資有限公司</t>
        </is>
      </c>
      <c r="AR190" s="26" t="inlineStr">
        <is>
          <t>阿仕特朗資本管理有限公司; Beta International Securities Limited; 民銀證券有限公司; 艾德證券期貨有限公司; 均富融資有限公司; 聯合證券有限公司</t>
        </is>
      </c>
      <c r="AS190" s="26" t="inlineStr">
        <is>
          <t>阿仕特朗資本管理有限公司; Beta International Securities Limited; 民銀證券有限公司; 艾德證券期貨有限公司; 均富融資有限公司; 聯合證券有限公司; 邁時資本有限公司</t>
        </is>
      </c>
      <c r="AT190" s="37">
        <f>HYPERLINK("https://www1.hkexnews.hk/listedco/listconews/sehk/2023/0425/2023042500029.pdf","prospectus")</f>
        <v/>
      </c>
      <c r="AU190" s="37">
        <f>HYPERLINK("https://www1.hkexnews.hk/listedco/listconews/sehk/2023/0508/2023050800004.htm","allotment")</f>
        <v/>
      </c>
      <c r="AV190" s="37">
        <f>HYPERLINK("https://www1.hkexnews.hk/listedco/listconews/sehk/2023/0529/2023052900093.pdf","stabilisation")</f>
        <v/>
      </c>
      <c r="AW190" s="26" t="inlineStr">
        <is>
          <t>A/H: no A-share listing · sponsor: English name not in the filing text; AAStocks 保薦人 shown · market cap: estimate from deal size / offer % of enlarged capital disagreed with the published listing cap — published figure adopted</t>
        </is>
      </c>
    </row>
    <row r="191">
      <c r="A191" s="25" t="inlineStr">
        <is>
          <t>2486</t>
        </is>
      </c>
      <c r="B191" s="26" t="inlineStr">
        <is>
          <t>PLUS GP HOLDING</t>
        </is>
      </c>
      <c r="C191" s="26" t="inlineStr">
        <is>
          <t>普樂師集團控股</t>
        </is>
      </c>
      <c r="D191" s="26" t="inlineStr">
        <is>
          <t>TMT-other</t>
        </is>
      </c>
      <c r="E191" s="26" t="inlineStr">
        <is>
          <t>Media / advertising</t>
        </is>
      </c>
      <c r="F191" s="26" t="inlineStr">
        <is>
          <t>Standard</t>
        </is>
      </c>
      <c r="G191" s="27" t="n">
        <v>45057</v>
      </c>
      <c r="H191" s="28" t="n">
        <v>265</v>
      </c>
      <c r="I191" s="26" t="inlineStr">
        <is>
          <t>gross (price x shares)</t>
        </is>
      </c>
      <c r="J191" s="29" t="n"/>
      <c r="K191" s="29" t="n">
        <v>11.8</v>
      </c>
      <c r="L191" s="29" t="n">
        <v>10.6</v>
      </c>
      <c r="M191" s="26" t="inlineStr">
        <is>
          <t>N</t>
        </is>
      </c>
      <c r="N191" s="30" t="n">
        <v>89.8</v>
      </c>
      <c r="O191" s="28" t="n">
        <v>1327.1</v>
      </c>
      <c r="P191" s="26" t="inlineStr">
        <is>
          <t>prospectus:stated market capitalisation</t>
        </is>
      </c>
      <c r="Q191" s="31" t="n">
        <v>1.2</v>
      </c>
      <c r="R191" s="39">
        <f>IF('BBG Verify'!E191="","not filed — run on terminal",'BBG Verify'!E191)</f>
        <v/>
      </c>
      <c r="S191" s="33" t="n">
        <v>0</v>
      </c>
      <c r="T191" s="26" t="n"/>
      <c r="U191" s="30" t="n">
        <v>11.98</v>
      </c>
      <c r="V191" s="26" t="inlineStr">
        <is>
          <t>lapsed</t>
        </is>
      </c>
      <c r="W191" s="34" t="n">
        <v>-24.62</v>
      </c>
      <c r="X191" s="34" t="n">
        <v>-29.25</v>
      </c>
      <c r="Y191" s="34" t="n">
        <v>-43.68</v>
      </c>
      <c r="Z191" s="34" t="n">
        <v>-50</v>
      </c>
      <c r="AA191" s="34" t="n">
        <v>-25.29</v>
      </c>
      <c r="AB191" s="34" t="n">
        <v>-41.87</v>
      </c>
      <c r="AC191" s="34" t="n">
        <v>-1.81</v>
      </c>
      <c r="AD191" s="26" t="inlineStr">
        <is>
          <t>Hang Seng Index</t>
        </is>
      </c>
      <c r="AE191" s="34" t="n">
        <v>-58.44</v>
      </c>
      <c r="AF191" s="28" t="n">
        <v>679.9</v>
      </c>
      <c r="AG191" s="28" t="n">
        <v>58</v>
      </c>
      <c r="AH191" s="26" t="inlineStr">
        <is>
          <t>Y</t>
        </is>
      </c>
      <c r="AI191" s="35" t="n">
        <v>22.9</v>
      </c>
      <c r="AJ191" s="35" t="n">
        <v>2</v>
      </c>
      <c r="AK191" s="26" t="inlineStr">
        <is>
          <t>N</t>
        </is>
      </c>
      <c r="AL191" s="36">
        <f>IF('BBG Verify'!K191="","not filed — run on terminal",'BBG Verify'!K191)</f>
        <v/>
      </c>
      <c r="AM191" s="26" t="inlineStr">
        <is>
          <t>N/A</t>
        </is>
      </c>
      <c r="AN191" s="26" t="inlineStr">
        <is>
          <t>N/A</t>
        </is>
      </c>
      <c r="AO191" s="26" t="inlineStr">
        <is>
          <t>N/A</t>
        </is>
      </c>
      <c r="AP191" s="26" t="inlineStr">
        <is>
          <t>Jefferies Hong Kong Limited; Guotai Junan Capital Limited</t>
        </is>
      </c>
      <c r="AQ191" s="26" t="inlineStr">
        <is>
          <t>富瑞金融集團香港有限公司; 國泰君安融資有限公司</t>
        </is>
      </c>
      <c r="AR191" s="26" t="inlineStr">
        <is>
          <t>Joint Lead Managers Jefferies Hong Kong Limited; Guotai Junan Securities (Hong Kong) Limited; CCB International Capital Limited; CMB Int ernational Capital Limited; ABCI Capital Limited; SPDB International Capital Limited</t>
        </is>
      </c>
      <c r="AS191" s="26" t="inlineStr">
        <is>
          <t>農銀國際證券有限公司; 建銀國際金融有限公司; Conrad Investment Services Limited; 招銀國際金融有限公司; 國泰君安證券(香港)有限公司; 富瑞金融集團香港有限公司; 利弗莫爾證券有限公司; 軟庫中華金融服務有限公司; 浦銀國際融資有限公司</t>
        </is>
      </c>
      <c r="AT191" s="37">
        <f>HYPERLINK("https://www1.hkexnews.hk/listedco/listconews/sehk/2023/0428/2023042800147.pdf","prospectus")</f>
        <v/>
      </c>
      <c r="AU191" s="37">
        <f>HYPERLINK("https://www1.hkexnews.hk/listedco/listconews/sehk/2023/0510/2023051000024.htm","allotment")</f>
        <v/>
      </c>
      <c r="AV191" s="37">
        <f>HYPERLINK("https://www1.hkexnews.hk/listedco/listconews/sehk/2023/0604/2023060400005.pdf","stabilisation")</f>
        <v/>
      </c>
      <c r="AW191" s="26" t="inlineStr">
        <is>
          <t>intl sub: subscription level not stated in the filing · A/H: no A-share listing</t>
        </is>
      </c>
    </row>
    <row r="192">
      <c r="A192" s="25" t="inlineStr">
        <is>
          <t>9930</t>
        </is>
      </c>
      <c r="B192" s="26" t="inlineStr">
        <is>
          <t>HORIZON CD</t>
        </is>
      </c>
      <c r="C192" s="26" t="inlineStr">
        <is>
          <t>宏信建發</t>
        </is>
      </c>
      <c r="D192" s="26" t="inlineStr">
        <is>
          <t>Industrials</t>
        </is>
      </c>
      <c r="E192" s="26" t="inlineStr">
        <is>
          <t>Capital goods / machinery</t>
        </is>
      </c>
      <c r="F192" s="26" t="inlineStr">
        <is>
          <t>Standard</t>
        </is>
      </c>
      <c r="G192" s="27" t="n">
        <v>45071</v>
      </c>
      <c r="H192" s="28" t="n">
        <v>1648.4</v>
      </c>
      <c r="I192" s="26" t="inlineStr">
        <is>
          <t>gross (price x shares)</t>
        </is>
      </c>
      <c r="J192" s="29" t="n"/>
      <c r="K192" s="29" t="n">
        <v>4.8</v>
      </c>
      <c r="L192" s="29" t="n">
        <v>4.52</v>
      </c>
      <c r="M192" s="26" t="inlineStr">
        <is>
          <t>N</t>
        </is>
      </c>
      <c r="N192" s="30" t="n">
        <v>94.2</v>
      </c>
      <c r="O192" s="28" t="n">
        <v>12778.3</v>
      </c>
      <c r="P192" s="26" t="inlineStr">
        <is>
          <t>derived:deal size / offer % of enlarged capital</t>
        </is>
      </c>
      <c r="Q192" s="31" t="n">
        <v>0.12</v>
      </c>
      <c r="R192" s="32" t="n">
        <v>1.47</v>
      </c>
      <c r="S192" s="33" t="n">
        <v>23.7</v>
      </c>
      <c r="T192" s="26" t="inlineStr">
        <is>
          <t>香港東濱合勝發展有限公司; 臨工重機國際有限公司; 上海新金環企業集團有限公司; 上海普陀科技投資有限公司; Xinheng Holding Limited; 浙江鼎力機械股份有限公司; 中聯重科國際貿易(香港)有限公司</t>
        </is>
      </c>
      <c r="U192" s="30" t="n">
        <v>5.52</v>
      </c>
      <c r="V192" s="26" t="inlineStr">
        <is>
          <t>lapsed (no over-allocation)</t>
        </is>
      </c>
      <c r="W192" s="34" t="n">
        <v>-28.98</v>
      </c>
      <c r="X192" s="34" t="n">
        <v>-41.37</v>
      </c>
      <c r="Y192" s="34" t="n">
        <v>-44.69</v>
      </c>
      <c r="Z192" s="34" t="n">
        <v>-36.95</v>
      </c>
      <c r="AA192" s="34" t="n">
        <v>-22.12</v>
      </c>
      <c r="AB192" s="34" t="n">
        <v>-45.27</v>
      </c>
      <c r="AC192" s="34" t="n">
        <v>0.58</v>
      </c>
      <c r="AD192" s="26" t="inlineStr">
        <is>
          <t>Hang Seng Commerce &amp; Industry sub-index</t>
        </is>
      </c>
      <c r="AE192" s="34" t="n">
        <v>-82.08</v>
      </c>
      <c r="AF192" s="28" t="n">
        <v>8665.4</v>
      </c>
      <c r="AG192" s="28" t="n">
        <v>733.2</v>
      </c>
      <c r="AH192" s="26" t="inlineStr">
        <is>
          <t>Y</t>
        </is>
      </c>
      <c r="AI192" s="35" t="n">
        <v>17.4</v>
      </c>
      <c r="AJ192" s="35" t="n">
        <v>1.5</v>
      </c>
      <c r="AK192" s="26" t="inlineStr">
        <is>
          <t>N</t>
        </is>
      </c>
      <c r="AL192" s="36">
        <f>IF('BBG Verify'!K192="","not filed — run on terminal",'BBG Verify'!K192)</f>
        <v/>
      </c>
      <c r="AM192" s="26" t="inlineStr">
        <is>
          <t>N/A</t>
        </is>
      </c>
      <c r="AN192" s="26" t="inlineStr">
        <is>
          <t>N/A</t>
        </is>
      </c>
      <c r="AO192" s="26" t="inlineStr">
        <is>
          <t>N/A</t>
        </is>
      </c>
      <c r="AP192" s="26" t="inlineStr">
        <is>
          <t>and Sponsor-OCs Huatai Financial Holdings (Hong Kong) Limited; Citigroup Global Markets Asia Limited; CMB International Capital Limited; DBS Asia Capital Limited</t>
        </is>
      </c>
      <c r="AQ192" s="26" t="inlineStr">
        <is>
          <t>華泰金融控股(香港)有限公司; 招銀國際融資有限公司; 花旗環球金融亞洲有限公司; 星展亞洲融資有限公司</t>
        </is>
      </c>
      <c r="AR192" s="26" t="inlineStr">
        <is>
          <t>Huatai Financial Holdings (Hong Kong) Limited; Citigroup Global Markets Asia Limited; CMB International Capital Limited; DBS Asia Capital Limited; – 102 – CMB International Capital Limited; BOCI Asia Limited; Shenwan Hongyuan Securities (H.K.) Limited; Guotai Junan Securities (Hong Kong) Limited; BOCOM International Securities Limited; CCB International Capital Limited; DIRECTORS AND PARTIES INVOLVED IN THE GLOBAL OFFERING – 103 – ABCI Capital Limited; Zhongtai International Securities Limited</t>
        </is>
      </c>
      <c r="AS192" s="26" t="inlineStr">
        <is>
          <t>農銀國際證券有限公司; Beta International Securities Limited; 中銀國際亞洲有限公司; 建銀國際金融有限公司; 花旗環球金融亞洲有限公司; 招銀國際融資有限公司; 星展亞洲融資有限公司; 富途證券國際（香港）有限公司; 國泰君安證券(香港)有限公司; 華泰金融控股(香港)有限公司; 申萬宏源證券（香港）有限公司; 老虎證券（香港）環球有限公司; 華盛資本証券有限公司; 中泰國際證券有限公司</t>
        </is>
      </c>
      <c r="AT192" s="37">
        <f>HYPERLINK("https://www1.hkexnews.hk/listedco/listconews/sehk/2023/0512/2023051200007.pdf","prospectus")</f>
        <v/>
      </c>
      <c r="AU192" s="37">
        <f>HYPERLINK("https://www1.hkexnews.hk/listedco/listconews/sehk/2023/0524/2023052400046.htm","allotment")</f>
        <v/>
      </c>
      <c r="AV192" s="37">
        <f>HYPERLINK("https://www1.hkexnews.hk/listedco/listconews/sehk/2023/0619/2023061900189.pdf","stabilisation")</f>
        <v/>
      </c>
      <c r="AW192" s="26" t="inlineStr">
        <is>
          <t>A/H: no A-share listing · cornerstone: AAStocks institutional table includes non-cornerstone orders (superset) — cornerstone % is from the prospectus</t>
        </is>
      </c>
    </row>
    <row r="193">
      <c r="A193" s="25" t="inlineStr">
        <is>
          <t>2416</t>
        </is>
      </c>
      <c r="B193" s="26" t="inlineStr">
        <is>
          <t>EDIANYUN</t>
        </is>
      </c>
      <c r="C193" s="26" t="inlineStr">
        <is>
          <t>易點雲</t>
        </is>
      </c>
      <c r="D193" s="26" t="inlineStr">
        <is>
          <t>Tech/AI</t>
        </is>
      </c>
      <c r="E193" s="26" t="inlineStr">
        <is>
          <t>SaaS / enterprise software</t>
        </is>
      </c>
      <c r="F193" s="26" t="inlineStr">
        <is>
          <t>Standard</t>
        </is>
      </c>
      <c r="G193" s="27" t="n">
        <v>45071</v>
      </c>
      <c r="H193" s="28" t="n">
        <v>97</v>
      </c>
      <c r="I193" s="26" t="inlineStr">
        <is>
          <t>net proceeds</t>
        </is>
      </c>
      <c r="J193" s="29" t="n">
        <v>10</v>
      </c>
      <c r="K193" s="29" t="n">
        <v>12</v>
      </c>
      <c r="L193" s="29" t="n">
        <v>10.19</v>
      </c>
      <c r="M193" s="26" t="inlineStr">
        <is>
          <t>N</t>
        </is>
      </c>
      <c r="N193" s="30" t="n">
        <v>84.90000000000001</v>
      </c>
      <c r="O193" s="28" t="n">
        <v>5742.6</v>
      </c>
      <c r="P193" s="26" t="inlineStr">
        <is>
          <t>prospectus:stated market capitalisation</t>
        </is>
      </c>
      <c r="Q193" s="31" t="n">
        <v>0.35</v>
      </c>
      <c r="R193" s="32" t="n">
        <v>1.2</v>
      </c>
      <c r="S193" s="33" t="n">
        <v>3.51</v>
      </c>
      <c r="T193" s="26" t="inlineStr">
        <is>
          <t>成都高新策源優產股權投資基金合夥企業(有限合夥)</t>
        </is>
      </c>
      <c r="U193" s="30" t="n">
        <v>5.34</v>
      </c>
      <c r="V193" s="26" t="inlineStr">
        <is>
          <t>lapsed (no over-allocation)</t>
        </is>
      </c>
      <c r="W193" s="34" t="n">
        <v>-3.04</v>
      </c>
      <c r="X193" s="34" t="n">
        <v>7.95</v>
      </c>
      <c r="Y193" s="34" t="n">
        <v>2.65</v>
      </c>
      <c r="Z193" s="34" t="n">
        <v>-36.11</v>
      </c>
      <c r="AA193" s="34" t="n">
        <v>5.87</v>
      </c>
      <c r="AB193" s="34" t="n">
        <v>-2.7</v>
      </c>
      <c r="AC193" s="34" t="n">
        <v>5.35</v>
      </c>
      <c r="AD193" s="26" t="inlineStr">
        <is>
          <t>HSTECH (Hang Seng TECH ETF)</t>
        </is>
      </c>
      <c r="AE193" s="34" t="n">
        <v>-65.51000000000001</v>
      </c>
      <c r="AF193" s="28" t="n">
        <v>1509.1</v>
      </c>
      <c r="AG193" s="28" t="n">
        <v>-672.8</v>
      </c>
      <c r="AH193" s="26" t="inlineStr">
        <is>
          <t>N</t>
        </is>
      </c>
      <c r="AI193" s="38">
        <f>IF('BBG Verify'!O193="","not filed — run on terminal",'BBG Verify'!O193)</f>
        <v/>
      </c>
      <c r="AJ193" s="35" t="n">
        <v>3.8</v>
      </c>
      <c r="AK193" s="26" t="inlineStr">
        <is>
          <t>N</t>
        </is>
      </c>
      <c r="AL193" s="36">
        <f>IF('BBG Verify'!K193="","not filed — run on terminal",'BBG Verify'!K193)</f>
        <v/>
      </c>
      <c r="AM193" s="26" t="inlineStr">
        <is>
          <t>N/A</t>
        </is>
      </c>
      <c r="AN193" s="26" t="inlineStr">
        <is>
          <t>N/A</t>
        </is>
      </c>
      <c r="AO193" s="26" t="inlineStr">
        <is>
          <t>N/A</t>
        </is>
      </c>
      <c r="AP193" s="26" t="n"/>
      <c r="AQ193" s="26" t="inlineStr">
        <is>
          <t>中國國際金融香港證券有限公司</t>
        </is>
      </c>
      <c r="AR193" s="26" t="inlineStr">
        <is>
          <t>China International Capital Corporation Hong Kong Securities Limited; Credit Suisse (Hong Kong) Limited; CLSA Limited</t>
        </is>
      </c>
      <c r="AS193" s="26" t="inlineStr">
        <is>
          <t>中國國際金融香港證券有限公司; 中信里昂證券有限公司; 瑞士信貸（香港）有限公司; 東興證券(香港)有限公司; 富途證券國際（香港）有限公司; 老虎證券（香港）環球有限公司; 華盛資本証券有限公司</t>
        </is>
      </c>
      <c r="AT193" s="37">
        <f>HYPERLINK("https://www1.hkexnews.hk/listedco/listconews/sehk/2023/0515/2023051500005.pdf","prospectus")</f>
        <v/>
      </c>
      <c r="AU193" s="37">
        <f>HYPERLINK("https://www1.hkexnews.hk/listedco/listconews/sehk/2023/0524/2023052400060.htm","allotment")</f>
        <v/>
      </c>
      <c r="AV193" s="37">
        <f>HYPERLINK("https://www1.hkexnews.hk/listedco/listconews/sehk/2023/0618/2023061800019.pdf","stabilisation")</f>
        <v/>
      </c>
      <c r="AW193" s="26" t="inlineStr">
        <is>
          <t>P/E: n/m — loss-making at IPO (use P/S) · A/H: no A-share listing · sponsor: English name not in the filing text; AAStocks 保薦人 shown · cornerstone: AAStocks institutional table includes non-cornerstone orders (superset) — cornerstone % is from the prospectus</t>
        </is>
      </c>
    </row>
    <row r="194">
      <c r="A194" s="25" t="inlineStr">
        <is>
          <t>2487</t>
        </is>
      </c>
      <c r="B194" s="26" t="inlineStr">
        <is>
          <t>CUTIA-B</t>
        </is>
      </c>
      <c r="C194" s="26" t="inlineStr">
        <is>
          <t>科笛－Ｂ</t>
        </is>
      </c>
      <c r="D194" s="26" t="inlineStr">
        <is>
          <t>Healthcare</t>
        </is>
      </c>
      <c r="E194" s="26" t="inlineStr">
        <is>
          <t>Biotech pre-revenue (18A)</t>
        </is>
      </c>
      <c r="F194" s="26" t="inlineStr">
        <is>
          <t>18A</t>
        </is>
      </c>
      <c r="G194" s="27" t="n">
        <v>45087</v>
      </c>
      <c r="H194" s="28" t="n">
        <v>23.9</v>
      </c>
      <c r="I194" s="26" t="inlineStr">
        <is>
          <t>gross (stated)</t>
        </is>
      </c>
      <c r="J194" s="29" t="n">
        <v>20.65</v>
      </c>
      <c r="K194" s="29" t="n">
        <v>24.75</v>
      </c>
      <c r="L194" s="29" t="n">
        <v>21.85</v>
      </c>
      <c r="M194" s="26" t="inlineStr">
        <is>
          <t>N</t>
        </is>
      </c>
      <c r="N194" s="30" t="n">
        <v>88.3</v>
      </c>
      <c r="O194" s="28" t="n">
        <v>6278</v>
      </c>
      <c r="P194" s="26" t="inlineStr">
        <is>
          <t>prospectus:stated market capitalisation</t>
        </is>
      </c>
      <c r="Q194" s="31" t="n">
        <v>1.41</v>
      </c>
      <c r="R194" s="32" t="n">
        <v>1.07</v>
      </c>
      <c r="S194" s="33" t="n">
        <v>10</v>
      </c>
      <c r="T194" s="26" t="inlineStr">
        <is>
          <t>Harvest Great Bay Investment SP; So-Young Hong Kong Limited; 無錫新鴻笛創業投資合夥企業（有限合夥）</t>
        </is>
      </c>
      <c r="U194" s="30" t="n">
        <v>18.67</v>
      </c>
      <c r="V194" s="26" t="inlineStr">
        <is>
          <t>lapsed</t>
        </is>
      </c>
      <c r="W194" s="34" t="n">
        <v>0.46</v>
      </c>
      <c r="X194" s="34" t="n">
        <v>38.67</v>
      </c>
      <c r="Y194" s="34" t="n">
        <v>-1.6</v>
      </c>
      <c r="Z194" s="34" t="n">
        <v>1.37</v>
      </c>
      <c r="AA194" s="34" t="n">
        <v>-2.05</v>
      </c>
      <c r="AB194" s="34" t="n">
        <v>2.24</v>
      </c>
      <c r="AC194" s="34" t="n">
        <v>-3.84</v>
      </c>
      <c r="AD194" s="26" t="inlineStr">
        <is>
          <t>China Biotech ETF (HS biotech proxy)</t>
        </is>
      </c>
      <c r="AE194" s="34" t="n">
        <v>-89.98</v>
      </c>
      <c r="AF194" s="28" t="n">
        <v>12.5</v>
      </c>
      <c r="AG194" s="28" t="n">
        <v>-611.4</v>
      </c>
      <c r="AH194" s="26" t="inlineStr">
        <is>
          <t>N</t>
        </is>
      </c>
      <c r="AI194" s="38">
        <f>IF('BBG Verify'!O194="","not filed — run on terminal",'BBG Verify'!O194)</f>
        <v/>
      </c>
      <c r="AJ194" s="35" t="n">
        <v>502.2</v>
      </c>
      <c r="AK194" s="26" t="inlineStr">
        <is>
          <t>N</t>
        </is>
      </c>
      <c r="AL194" s="36">
        <f>IF('BBG Verify'!K194="","not filed — run on terminal",'BBG Verify'!K194)</f>
        <v/>
      </c>
      <c r="AM194" s="26" t="inlineStr">
        <is>
          <t>N/A</t>
        </is>
      </c>
      <c r="AN194" s="26" t="inlineStr">
        <is>
          <t>N/A</t>
        </is>
      </c>
      <c r="AO194" s="26" t="inlineStr">
        <is>
          <t>N/A</t>
        </is>
      </c>
      <c r="AP194" s="26" t="inlineStr">
        <is>
          <t>China International Capital Corporation Hong Kong Securities Limited</t>
        </is>
      </c>
      <c r="AQ194" s="26" t="inlineStr">
        <is>
          <t>中國國際金融香港證券有限公司</t>
        </is>
      </c>
      <c r="AR194" s="26" t="inlineStr">
        <is>
          <t>Manager China International Capital Corporation Hong Kong Securities Limited; Managers UOB Kay Hian (Hong Kong) Limited; Futu Securities International (Hong Kong) Limited; Valuable Capital Limited</t>
        </is>
      </c>
      <c r="AS194" s="26" t="inlineStr">
        <is>
          <t>中銀國際亞洲有限公司; 中國國際金融香港證券有限公司; 中信里昂證券有限公司; 招銀國際融資有限公司; 德意志銀行香港分行; 富途證券國際（香港）有限公司; 華泰金融控股(香港)有限公司; 元庫證券有限公司; 老虎證券（香港）環球有限公司; 大華繼顯(香港)有限公司; 華盛資本証券有限公司</t>
        </is>
      </c>
      <c r="AT194" s="37">
        <f>HYPERLINK("https://www1.hkexnews.hk/listedco/listconews/sehk/2023/0531/2023053100174.htm","prospectus")</f>
        <v/>
      </c>
      <c r="AU194" s="37">
        <f>HYPERLINK("https://www1.hkexnews.hk/listedco/listconews/sehk/2023/0609/2023060900016.htm","allotment")</f>
        <v/>
      </c>
      <c r="AV194" s="37">
        <f>HYPERLINK("https://www1.hkexnews.hk/listedco/listconews/sehk/2023/0705/2023070500577.pdf","stabilisation")</f>
        <v/>
      </c>
      <c r="AW194" s="26" t="inlineStr">
        <is>
          <t>P/E: n/m — loss-making at IPO (use P/S) · A/H: no A-share listing · cornerstone: AAStocks institutional table includes non-cornerstone orders (superset) — cornerstone % is from the prospectus</t>
        </is>
      </c>
    </row>
    <row r="195">
      <c r="A195" s="25" t="inlineStr">
        <is>
          <t>9885</t>
        </is>
      </c>
      <c r="B195" s="26" t="inlineStr">
        <is>
          <t>YSB</t>
        </is>
      </c>
      <c r="C195" s="26" t="inlineStr">
        <is>
          <t>藥師幫</t>
        </is>
      </c>
      <c r="D195" s="26" t="inlineStr">
        <is>
          <t>Healthcare</t>
        </is>
      </c>
      <c r="E195" s="26" t="inlineStr">
        <is>
          <t>Digital health</t>
        </is>
      </c>
      <c r="F195" s="26" t="inlineStr">
        <is>
          <t>Standard</t>
        </is>
      </c>
      <c r="G195" s="27" t="n">
        <v>45105</v>
      </c>
      <c r="H195" s="28" t="n">
        <v>316.2</v>
      </c>
      <c r="I195" s="26" t="inlineStr">
        <is>
          <t>gross (price x shares)</t>
        </is>
      </c>
      <c r="J195" s="29" t="n"/>
      <c r="K195" s="29" t="n">
        <v>20</v>
      </c>
      <c r="L195" s="29" t="n">
        <v>20</v>
      </c>
      <c r="M195" s="26" t="inlineStr">
        <is>
          <t>Y</t>
        </is>
      </c>
      <c r="N195" s="30" t="n">
        <v>100</v>
      </c>
      <c r="O195" s="28" t="n">
        <v>13309.3</v>
      </c>
      <c r="P195" s="26" t="inlineStr">
        <is>
          <t>aastocks:上市市值 at the struck price</t>
        </is>
      </c>
      <c r="Q195" s="31" t="n">
        <v>5.6</v>
      </c>
      <c r="R195" s="32" t="n">
        <v>2.08</v>
      </c>
      <c r="S195" s="33" t="n">
        <v>42.4</v>
      </c>
      <c r="T195" s="26" t="inlineStr">
        <is>
          <t>ZGC International Limited</t>
        </is>
      </c>
      <c r="U195" s="30" t="n"/>
      <c r="V195" s="26" t="inlineStr">
        <is>
          <t>partial</t>
        </is>
      </c>
      <c r="W195" s="34" t="n">
        <v>5.5</v>
      </c>
      <c r="X195" s="34" t="n">
        <v>22.5</v>
      </c>
      <c r="Y195" s="34" t="n">
        <v>147.5</v>
      </c>
      <c r="Z195" s="34" t="n">
        <v>154.5</v>
      </c>
      <c r="AA195" s="34" t="n">
        <v>134.6</v>
      </c>
      <c r="AB195" s="34" t="n">
        <v>140.71</v>
      </c>
      <c r="AC195" s="34" t="n">
        <v>6.79</v>
      </c>
      <c r="AD195" s="26" t="inlineStr">
        <is>
          <t>China Biotech ETF (HS biotech proxy)</t>
        </is>
      </c>
      <c r="AE195" s="34" t="n">
        <v>-82.33</v>
      </c>
      <c r="AF195" s="28" t="n">
        <v>15702.3</v>
      </c>
      <c r="AG195" s="28" t="n">
        <v>-1650</v>
      </c>
      <c r="AH195" s="26" t="inlineStr">
        <is>
          <t>N</t>
        </is>
      </c>
      <c r="AI195" s="38">
        <f>IF('BBG Verify'!O195="","not filed — run on terminal",'BBG Verify'!O195)</f>
        <v/>
      </c>
      <c r="AJ195" s="35" t="n">
        <v>0.8</v>
      </c>
      <c r="AK195" s="26" t="inlineStr">
        <is>
          <t>N</t>
        </is>
      </c>
      <c r="AL195" s="36">
        <f>IF('BBG Verify'!K195="","not filed — run on terminal",'BBG Verify'!K195)</f>
        <v/>
      </c>
      <c r="AM195" s="26" t="inlineStr">
        <is>
          <t>N/A</t>
        </is>
      </c>
      <c r="AN195" s="26" t="inlineStr">
        <is>
          <t>N/A</t>
        </is>
      </c>
      <c r="AO195" s="26" t="inlineStr">
        <is>
          <t>N/A</t>
        </is>
      </c>
      <c r="AP195" s="26" t="n"/>
      <c r="AQ195" s="26" t="inlineStr">
        <is>
          <t>中國國際金融香港證券有限公司</t>
        </is>
      </c>
      <c r="AR195" s="26" t="inlineStr">
        <is>
          <t>China International Capital Corporation Hong Kong Securities Limited; Central, Hong Kong CMB International Capital Limited; Central, Hong Kong ICBC International Securities Limited; ABCI Capital Limited; Fosun International Securities Limited</t>
        </is>
      </c>
      <c r="AS195" s="26" t="inlineStr">
        <is>
          <t>農銀國際證券有限公司; 中國國際金融香港證券有限公司; 招銀國際融資有限公司; 復星國際證券有限公司; 富途證券國際（香港）有限公司; 工銀國際證券有限公司; 百惠證券有限公司; 老虎證券（香港）環球有限公司; 華盛資本証券有限公司</t>
        </is>
      </c>
      <c r="AT195" s="37">
        <f>HYPERLINK("https://www1.hkexnews.hk/listedco/listconews/sehk/2023/0615/2023061500046.htm","prospectus")</f>
        <v/>
      </c>
      <c r="AU195" s="37">
        <f>HYPERLINK("https://www1.hkexnews.hk/listedco/listconews/sehk/2023/0627/2023062700054.htm","allotment")</f>
        <v/>
      </c>
      <c r="AV195" s="37">
        <f>HYPERLINK("https://www1.hkexnews.hk/listedco/listconews/sehk/2023/0720/2023072001211.pdf","stabilisation")</f>
        <v/>
      </c>
      <c r="AW195" s="26" t="inlineStr">
        <is>
          <t>P/E: n/m — loss-making at IPO (use P/S) · price range: fixed-price offering (no indicative range) · A/H: no A-share listing · sponsor: English name not in the filing text; AAStocks 保薦人 shown · market cap: estimate from stated market capitalisation disagreed with the published listing cap — published figure adopted</t>
        </is>
      </c>
    </row>
    <row r="196">
      <c r="A196" s="25" t="inlineStr">
        <is>
          <t>2105</t>
        </is>
      </c>
      <c r="B196" s="26" t="inlineStr">
        <is>
          <t>LAEKNA-B</t>
        </is>
      </c>
      <c r="C196" s="26" t="inlineStr">
        <is>
          <t>來凱醫藥－Ｂ</t>
        </is>
      </c>
      <c r="D196" s="26" t="inlineStr">
        <is>
          <t>Healthcare</t>
        </is>
      </c>
      <c r="E196" s="26" t="inlineStr">
        <is>
          <t>Biotech pre-revenue (18A)</t>
        </is>
      </c>
      <c r="F196" s="26" t="inlineStr">
        <is>
          <t>18A</t>
        </is>
      </c>
      <c r="G196" s="27" t="n">
        <v>45106</v>
      </c>
      <c r="H196" s="28" t="n">
        <v>790.9</v>
      </c>
      <c r="I196" s="26" t="inlineStr">
        <is>
          <t>gross (price x shares)</t>
        </is>
      </c>
      <c r="J196" s="29" t="n"/>
      <c r="K196" s="29" t="n">
        <v>12.41</v>
      </c>
      <c r="L196" s="29" t="n">
        <v>12.41</v>
      </c>
      <c r="M196" s="26" t="inlineStr">
        <is>
          <t>Y</t>
        </is>
      </c>
      <c r="N196" s="30" t="n">
        <v>100</v>
      </c>
      <c r="O196" s="28" t="n">
        <v>4841.1</v>
      </c>
      <c r="P196" s="26" t="inlineStr">
        <is>
          <t>prospectus:stated market capitalisation</t>
        </is>
      </c>
      <c r="Q196" s="31" t="n">
        <v>5.81</v>
      </c>
      <c r="R196" s="32" t="n">
        <v>1.09</v>
      </c>
      <c r="S196" s="33" t="n">
        <v>86</v>
      </c>
      <c r="T196" s="26" t="inlineStr">
        <is>
          <t>先進製造產業投資基金二期（有限合夥）; 寧波姚商燕創宸凱股權投資合夥企業; OrbiMed Asia Partners III, L.P; 余姚陽明股權投資基金有限公司</t>
        </is>
      </c>
      <c r="U196" s="30" t="n"/>
      <c r="V196" s="26" t="n"/>
      <c r="W196" s="34" t="n">
        <v>20.87</v>
      </c>
      <c r="X196" s="34" t="n">
        <v>22.32</v>
      </c>
      <c r="Y196" s="34" t="n">
        <v>16.52</v>
      </c>
      <c r="Z196" s="34" t="n">
        <v>10.39</v>
      </c>
      <c r="AA196" s="34" t="n">
        <v>-3.6</v>
      </c>
      <c r="AB196" s="34" t="n">
        <v>11.37</v>
      </c>
      <c r="AC196" s="34" t="n">
        <v>5.15</v>
      </c>
      <c r="AD196" s="26" t="inlineStr">
        <is>
          <t>China Biotech ETF (HS biotech proxy)</t>
        </is>
      </c>
      <c r="AE196" s="34" t="n">
        <v>-45.89</v>
      </c>
      <c r="AF196" s="28" t="n"/>
      <c r="AG196" s="28" t="n">
        <v>-859.8</v>
      </c>
      <c r="AH196" s="26" t="inlineStr">
        <is>
          <t>N</t>
        </is>
      </c>
      <c r="AI196" s="38">
        <f>IF('BBG Verify'!O196="","not filed — run on terminal",'BBG Verify'!O196)</f>
        <v/>
      </c>
      <c r="AJ196" s="35" t="n"/>
      <c r="AK196" s="26" t="inlineStr">
        <is>
          <t>N</t>
        </is>
      </c>
      <c r="AL196" s="36">
        <f>IF('BBG Verify'!K196="","not filed — run on terminal",'BBG Verify'!K196)</f>
        <v/>
      </c>
      <c r="AM196" s="26" t="inlineStr">
        <is>
          <t>N/A</t>
        </is>
      </c>
      <c r="AN196" s="26" t="inlineStr">
        <is>
          <t>N/A</t>
        </is>
      </c>
      <c r="AO196" s="26" t="inlineStr">
        <is>
          <t>N/A</t>
        </is>
      </c>
      <c r="AP196" s="26" t="inlineStr">
        <is>
          <t>China International Capital Corporation Hong Kong Securities Limited</t>
        </is>
      </c>
      <c r="AQ196" s="26" t="inlineStr">
        <is>
          <t>中國國際金融香港證券有限公司</t>
        </is>
      </c>
      <c r="AR196" s="26" t="inlineStr">
        <is>
          <t>China International Capital Corporation Hong Kong Securities Limited; Haitong International Securities Company Limited; ICBC International Securities Limited; ABCI Capital Limited</t>
        </is>
      </c>
      <c r="AS196" s="26" t="inlineStr">
        <is>
          <t>農銀國際證券有限公司; 中國國際金融香港證券有限公司; 富途證券國際（香港）有限公司; 國泰君安證券(香港)有限公司; 海通國際證券有限公司; 工銀國際證券有限公司; 華盛資本証券有限公司</t>
        </is>
      </c>
      <c r="AT196" s="37">
        <f>HYPERLINK("https://www1.hkexnews.hk/listedco/listconews/sehk/2023/0616/2023061600013.pdf","prospectus")</f>
        <v/>
      </c>
      <c r="AU196" s="37">
        <f>HYPERLINK("https://www1.hkexnews.hk/listedco/listconews/sehk/2023/0628/2023062800052.htm","allotment")</f>
        <v/>
      </c>
      <c r="AV196" s="26" t="n"/>
      <c r="AW196" s="26" t="inlineStr">
        <is>
          <t>P/E: n/m — loss-making at IPO (use P/S) · greenshoe: no over-allotment option in the offer structure · A/H: no A-share listing</t>
        </is>
      </c>
    </row>
    <row r="197">
      <c r="A197" s="25" t="inlineStr">
        <is>
          <t>9860</t>
        </is>
      </c>
      <c r="B197" s="26" t="inlineStr">
        <is>
          <t>ADICON HOLDINGS</t>
        </is>
      </c>
      <c r="C197" s="26" t="inlineStr">
        <is>
          <t>艾迪康控股</t>
        </is>
      </c>
      <c r="D197" s="26" t="inlineStr">
        <is>
          <t>Healthcare</t>
        </is>
      </c>
      <c r="E197" s="26" t="inlineStr">
        <is>
          <t>CXO / pharma services</t>
        </is>
      </c>
      <c r="F197" s="26" t="inlineStr">
        <is>
          <t>Standard</t>
        </is>
      </c>
      <c r="G197" s="27" t="n">
        <v>45107</v>
      </c>
      <c r="H197" s="28" t="n">
        <v>83.90000000000001</v>
      </c>
      <c r="I197" s="26" t="inlineStr">
        <is>
          <t>net proceeds</t>
        </is>
      </c>
      <c r="J197" s="29" t="n"/>
      <c r="K197" s="29" t="n">
        <v>12.32</v>
      </c>
      <c r="L197" s="29" t="n">
        <v>12.32</v>
      </c>
      <c r="M197" s="26" t="inlineStr">
        <is>
          <t>Y</t>
        </is>
      </c>
      <c r="N197" s="30" t="n">
        <v>100</v>
      </c>
      <c r="O197" s="41">
        <f>IF('BBG Verify'!M197="","not filed — run on terminal",'BBG Verify'!M197)</f>
        <v/>
      </c>
      <c r="P197" s="26" t="n"/>
      <c r="Q197" s="31" t="n">
        <v>1.06</v>
      </c>
      <c r="R197" s="32" t="n">
        <v>1.8</v>
      </c>
      <c r="S197" s="33" t="n">
        <v>31.9</v>
      </c>
      <c r="T197" s="26" t="inlineStr">
        <is>
          <t>Corelink Group Limited; 復星診斷科技(上海)有限公司; 邁瑞全球(香港)有限公司; 香港新產業生物有限公司; Timestar Elite Limited</t>
        </is>
      </c>
      <c r="U197" s="30" t="n">
        <v>12.45</v>
      </c>
      <c r="V197" s="26" t="inlineStr">
        <is>
          <t>partial</t>
        </is>
      </c>
      <c r="W197" s="34" t="n">
        <v>12.01</v>
      </c>
      <c r="X197" s="34" t="n">
        <v>1.62</v>
      </c>
      <c r="Y197" s="34" t="n">
        <v>0.65</v>
      </c>
      <c r="Z197" s="34" t="n">
        <v>19.97</v>
      </c>
      <c r="AA197" s="34" t="n">
        <v>-10.14</v>
      </c>
      <c r="AB197" s="34" t="n">
        <v>-5.38</v>
      </c>
      <c r="AC197" s="34" t="n">
        <v>6.03</v>
      </c>
      <c r="AD197" s="26" t="inlineStr">
        <is>
          <t>China Biotech ETF (HS biotech proxy)</t>
        </is>
      </c>
      <c r="AE197" s="34" t="n">
        <v>-70.78</v>
      </c>
      <c r="AF197" s="28" t="n">
        <v>5346.7</v>
      </c>
      <c r="AG197" s="28" t="n">
        <v>753.4</v>
      </c>
      <c r="AH197" s="26" t="inlineStr">
        <is>
          <t>Y</t>
        </is>
      </c>
      <c r="AI197" s="38">
        <f>IF('BBG Verify'!O197="","not filed — run on terminal",'BBG Verify'!O197)</f>
        <v/>
      </c>
      <c r="AJ197" s="35" t="n"/>
      <c r="AK197" s="26" t="inlineStr">
        <is>
          <t>N</t>
        </is>
      </c>
      <c r="AL197" s="36">
        <f>IF('BBG Verify'!K197="","not filed — run on terminal",'BBG Verify'!K197)</f>
        <v/>
      </c>
      <c r="AM197" s="26" t="inlineStr">
        <is>
          <t>N/A</t>
        </is>
      </c>
      <c r="AN197" s="26" t="inlineStr">
        <is>
          <t>N/A</t>
        </is>
      </c>
      <c r="AO197" s="26" t="inlineStr">
        <is>
          <t>N/A</t>
        </is>
      </c>
      <c r="AP197" s="26" t="inlineStr">
        <is>
          <t>and Sponsor-OCs Morgan Stanley Asia Limited; Jefferies Hong Kong Limited</t>
        </is>
      </c>
      <c r="AQ197" s="26" t="inlineStr">
        <is>
          <t>富瑞金融集團香港有限公司; 摩根士丹利亞洲有限公司</t>
        </is>
      </c>
      <c r="AR197" s="26"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 Managers Morgan Stanley Asia Limited</t>
        </is>
      </c>
      <c r="AS197" s="26" t="inlineStr">
        <is>
          <t>建銀國際金融有限公司; 中信里昂證券有限公司; 德意志銀行香港分行; 富途證券國際（香港）有限公司; 華泰金融控股(香港)有限公司; 海通國際證券有限公司; 香港上海匯豐銀行有限公司; 工銀國際證券有限公司; 富瑞金融集團香港有限公司; 摩根士丹利亞洲有限公司; 老虎證券（香港）環球有限公司; 華盛資本証券有限公司</t>
        </is>
      </c>
      <c r="AT197" s="37">
        <f>HYPERLINK("https://www1.hkexnews.hk/listedco/listconews/sehk/2023/0619/2023061900005.pdf","prospectus")</f>
        <v/>
      </c>
      <c r="AU197" s="37">
        <f>HYPERLINK("https://www1.hkexnews.hk/listedco/listconews/sehk/2023/0629/2023062900124.htm","allotment")</f>
        <v/>
      </c>
      <c r="AV197" s="37">
        <f>HYPERLINK("https://www1.hkexnews.hk/listedco/listconews/sehk/2023/0723/2023072300027.pdf","stabilisation")</f>
        <v/>
      </c>
      <c r="AW197" s="26" t="inlineStr">
        <is>
          <t>P/E: market cap not derivable (no share count disclosed) · A/H: no A-share listing · cornerstone: AAStocks institutional table includes non-cornerstone orders (superset) — cornerstone % is from the prospectus</t>
        </is>
      </c>
    </row>
    <row r="198">
      <c r="A198" s="25" t="inlineStr">
        <is>
          <t>2481</t>
        </is>
      </c>
      <c r="B198" s="26" t="inlineStr">
        <is>
          <t>WISE LIVING TEC</t>
        </is>
      </c>
      <c r="C198" s="26" t="inlineStr">
        <is>
          <t>雙良睿能</t>
        </is>
      </c>
      <c r="D198" s="26" t="inlineStr">
        <is>
          <t>Materials/Energy</t>
        </is>
      </c>
      <c r="E198" s="26" t="inlineStr">
        <is>
          <t>Oil &amp; gas / utilities</t>
        </is>
      </c>
      <c r="F198" s="26" t="inlineStr">
        <is>
          <t>Standard</t>
        </is>
      </c>
      <c r="G198" s="27" t="n">
        <v>45115</v>
      </c>
      <c r="H198" s="28" t="n">
        <v>272.2</v>
      </c>
      <c r="I198" s="26" t="inlineStr">
        <is>
          <t>gross (price x shares)</t>
        </is>
      </c>
      <c r="J198" s="29" t="n">
        <v>3</v>
      </c>
      <c r="K198" s="29" t="n">
        <v>4.2</v>
      </c>
      <c r="L198" s="29" t="n">
        <v>3.6</v>
      </c>
      <c r="M198" s="26" t="inlineStr">
        <is>
          <t>N</t>
        </is>
      </c>
      <c r="N198" s="30" t="n">
        <v>85.7</v>
      </c>
      <c r="O198" s="28" t="n">
        <v>979.1</v>
      </c>
      <c r="P198" s="26" t="inlineStr">
        <is>
          <t>derived:deal size / offer % of enlarged capital</t>
        </is>
      </c>
      <c r="Q198" s="31" t="n">
        <v>1.54</v>
      </c>
      <c r="R198" s="32" t="n">
        <v>1.35</v>
      </c>
      <c r="S198" s="40" t="n">
        <v>50.9</v>
      </c>
      <c r="T198" s="26" t="inlineStr">
        <is>
          <t>江港國際投資有限公司</t>
        </is>
      </c>
      <c r="U198" s="30" t="n">
        <v>15</v>
      </c>
      <c r="V198" s="26" t="inlineStr">
        <is>
          <t>lapsed (no over-allocation)</t>
        </is>
      </c>
      <c r="W198" s="34" t="n">
        <v>0</v>
      </c>
      <c r="X198" s="34" t="n">
        <v>-19.72</v>
      </c>
      <c r="Y198" s="34" t="n">
        <v>-22.22</v>
      </c>
      <c r="Z198" s="34" t="n">
        <v>-26.94</v>
      </c>
      <c r="AA198" s="34" t="n">
        <v>-22.22</v>
      </c>
      <c r="AB198" s="34" t="n">
        <v>-24.23</v>
      </c>
      <c r="AC198" s="34" t="n">
        <v>2.01</v>
      </c>
      <c r="AD198" s="26" t="inlineStr">
        <is>
          <t>Hang Seng Utilities sub-index</t>
        </is>
      </c>
      <c r="AE198" s="34" t="n">
        <v>-27.78</v>
      </c>
      <c r="AF198" s="28" t="n">
        <v>1588.1</v>
      </c>
      <c r="AG198" s="28" t="n">
        <v>154.4</v>
      </c>
      <c r="AH198" s="26" t="inlineStr">
        <is>
          <t>Y</t>
        </is>
      </c>
      <c r="AI198" s="35" t="n">
        <v>6.3</v>
      </c>
      <c r="AJ198" s="35" t="n">
        <v>0.6</v>
      </c>
      <c r="AK198" s="26" t="inlineStr">
        <is>
          <t>N</t>
        </is>
      </c>
      <c r="AL198" s="36">
        <f>IF('BBG Verify'!K198="","not filed — run on terminal",'BBG Verify'!K198)</f>
        <v/>
      </c>
      <c r="AM198" s="26" t="inlineStr">
        <is>
          <t>N/A</t>
        </is>
      </c>
      <c r="AN198" s="26" t="inlineStr">
        <is>
          <t>N/A</t>
        </is>
      </c>
      <c r="AO198" s="26" t="inlineStr">
        <is>
          <t>N/A</t>
        </is>
      </c>
      <c r="AP198" s="26" t="inlineStr">
        <is>
          <t>Guotai Junan Capital Limited</t>
        </is>
      </c>
      <c r="AQ198" s="26" t="inlineStr">
        <is>
          <t>國泰君安融資有限公司</t>
        </is>
      </c>
      <c r="AR198" s="26" t="inlineStr">
        <is>
          <t>Guotai Junan Securities (Hong Kong) Limited; Orient Securities (Hong Kong) Limited; ABCI Capital Limited; China Galaxy International Securities (Hong Kong) Co., Limited</t>
        </is>
      </c>
      <c r="AS198" s="26" t="inlineStr">
        <is>
          <t>農銀國際證券有限公司; 光銀國際資本有限公司; 中國銀河國際證券(香港)有限公司; 富強證券有限公司; 國泰君安證券(香港)有限公司; 匯富金融服務有限公司; 利弗莫爾證券有限公司; 東方證券(香港)有限公司; 永高證券有限公司</t>
        </is>
      </c>
      <c r="AT198" s="37">
        <f>HYPERLINK("https://www1.hkexnews.hk/listedco/listconews/sehk/2023/0628/2023062800029.pdf","prospectus")</f>
        <v/>
      </c>
      <c r="AU198" s="37">
        <f>HYPERLINK("https://www1.hkexnews.hk/listedco/listconews/sehk/2023/0707/2023070700062.htm","allotment")</f>
        <v/>
      </c>
      <c r="AV198" s="37">
        <f>HYPERLINK("https://www1.hkexnews.hk/listedco/listconews/sehk/2023/0802/2023080201548.pdf","stabilisation")</f>
        <v/>
      </c>
      <c r="AW198" s="26" t="inlineStr">
        <is>
          <t>A/H: no A-share listing · cornerstone: AAStocks institutional total HK$55m = 20% of deal vs 51% parsed</t>
        </is>
      </c>
    </row>
    <row r="199">
      <c r="A199" s="25" t="inlineStr">
        <is>
          <t>6990</t>
        </is>
      </c>
      <c r="B199" s="26" t="inlineStr">
        <is>
          <t>SKB BIO-B</t>
        </is>
      </c>
      <c r="C199" s="26" t="inlineStr">
        <is>
          <t>科倫博泰生物</t>
        </is>
      </c>
      <c r="D199" s="26" t="inlineStr">
        <is>
          <t>Healthcare</t>
        </is>
      </c>
      <c r="E199" s="26" t="inlineStr">
        <is>
          <t>Biotech pre-revenue (18A)</t>
        </is>
      </c>
      <c r="F199" s="26" t="inlineStr">
        <is>
          <t>18A</t>
        </is>
      </c>
      <c r="G199" s="27" t="n">
        <v>45118</v>
      </c>
      <c r="H199" s="28" t="n">
        <v>54.5</v>
      </c>
      <c r="I199" s="26" t="inlineStr">
        <is>
          <t>gross (stated)</t>
        </is>
      </c>
      <c r="J199" s="29" t="n">
        <v>60.6</v>
      </c>
      <c r="K199" s="29" t="n">
        <v>72.8</v>
      </c>
      <c r="L199" s="29" t="n">
        <v>60.6</v>
      </c>
      <c r="M199" s="26" t="inlineStr">
        <is>
          <t>N</t>
        </is>
      </c>
      <c r="N199" s="30" t="n">
        <v>83.2</v>
      </c>
      <c r="O199" s="28" t="n">
        <v>13080</v>
      </c>
      <c r="P199" s="26" t="inlineStr">
        <is>
          <t>prospectus:stated market capitalisation</t>
        </is>
      </c>
      <c r="Q199" s="31" t="n">
        <v>1.27</v>
      </c>
      <c r="R199" s="32" t="n">
        <v>3.4</v>
      </c>
      <c r="S199" s="33" t="n">
        <v>16.9</v>
      </c>
      <c r="T199" s="26" t="inlineStr">
        <is>
          <t>匯添富基金管理股份有限公司; 科倫國際發展有限公司; Laurion Capital Master Fund Ltd; RTW Master Fund, Ltd; TruMed Healthcare Master Fund and TruMed Health Innovation Fund LP</t>
        </is>
      </c>
      <c r="U199" s="30" t="n">
        <v>8.9</v>
      </c>
      <c r="V199" s="26" t="inlineStr">
        <is>
          <t>full</t>
        </is>
      </c>
      <c r="W199" s="34" t="n">
        <v>3.14</v>
      </c>
      <c r="X199" s="34" t="n">
        <v>8.91</v>
      </c>
      <c r="Y199" s="34" t="n">
        <v>19.64</v>
      </c>
      <c r="Z199" s="34" t="n">
        <v>33.66</v>
      </c>
      <c r="AA199" s="34" t="n">
        <v>16</v>
      </c>
      <c r="AB199" s="34" t="n">
        <v>19.74</v>
      </c>
      <c r="AC199" s="34" t="n">
        <v>-0.1</v>
      </c>
      <c r="AD199" s="26" t="inlineStr">
        <is>
          <t>China Biotech ETF (HS biotech proxy)</t>
        </is>
      </c>
      <c r="AE199" s="34" t="n">
        <v>795.21</v>
      </c>
      <c r="AF199" s="28" t="n">
        <v>884.3</v>
      </c>
      <c r="AG199" s="28" t="n">
        <v>-677.7</v>
      </c>
      <c r="AH199" s="26" t="inlineStr">
        <is>
          <t>N</t>
        </is>
      </c>
      <c r="AI199" s="38">
        <f>IF('BBG Verify'!O199="","not filed — run on terminal",'BBG Verify'!O199)</f>
        <v/>
      </c>
      <c r="AJ199" s="35" t="n">
        <v>14.8</v>
      </c>
      <c r="AK199" s="26" t="inlineStr">
        <is>
          <t>N</t>
        </is>
      </c>
      <c r="AL199" s="36">
        <f>IF('BBG Verify'!K199="","not filed — run on terminal",'BBG Verify'!K199)</f>
        <v/>
      </c>
      <c r="AM199" s="26" t="inlineStr">
        <is>
          <t>N/A</t>
        </is>
      </c>
      <c r="AN199" s="26" t="inlineStr">
        <is>
          <t>N/A</t>
        </is>
      </c>
      <c r="AO199" s="26" t="inlineStr">
        <is>
          <t>N/A</t>
        </is>
      </c>
      <c r="AP199" s="26" t="inlineStr">
        <is>
          <t>Goldman Sachs (Asia) L.L.C; CITIC Securities (Hong Kong) Limited</t>
        </is>
      </c>
      <c r="AQ199" s="26" t="inlineStr">
        <is>
          <t>高盛(亞洲)有限責任公司; 中信證券(香港)有限公司</t>
        </is>
      </c>
      <c r="AR199" s="26" t="inlineStr">
        <is>
          <t>Goldman Sachs (Asia) L.L.C; CLSA Limited; Citigroup Global Markets Asia Limited; Managers and Capital Market Intermediaries Goldman Sachs (Asia) L.L.C; Citigroup Global Markets Limited; – 144 – ICBC International Securities Limited; BOCOM International Securities Limited</t>
        </is>
      </c>
      <c r="AS199" s="26" t="inlineStr">
        <is>
          <t>Beta International Securities Limited; 花旗環球金融亞洲有限公司; 中信里昂證券有限公司; 高盛(亞洲)有限責任公司; 工銀國際證券有限公司</t>
        </is>
      </c>
      <c r="AT199" s="37">
        <f>HYPERLINK("https://www1.hkexnews.hk/listedco/listconews/sehk/2023/0629/2023062900043.pdf","prospectus")</f>
        <v/>
      </c>
      <c r="AU199" s="37">
        <f>HYPERLINK("https://www1.hkexnews.hk/listedco/listconews/sehk/2023/0710/2023071000008.htm","allotment")</f>
        <v/>
      </c>
      <c r="AV199" s="37">
        <f>HYPERLINK("https://www1.hkexnews.hk/listedco/listconews/sehk/2023/0803/2023080302096.pdf","stabilisation")</f>
        <v/>
      </c>
      <c r="AW199" s="26" t="inlineStr">
        <is>
          <t>P/E: n/m — loss-making at IPO (use P/S) · A/H: no A-share listing · cornerstone: AAStocks institutional table includes non-cornerstone orders (superset) — cornerstone % is from the prospectus</t>
        </is>
      </c>
    </row>
    <row r="200">
      <c r="A200" s="25" t="inlineStr">
        <is>
          <t>3650</t>
        </is>
      </c>
      <c r="B200" s="26" t="inlineStr">
        <is>
          <t>KEEP</t>
        </is>
      </c>
      <c r="C200" s="26" t="inlineStr">
        <is>
          <t>KEEP</t>
        </is>
      </c>
      <c r="D200" s="26" t="inlineStr">
        <is>
          <t>Tech/AI</t>
        </is>
      </c>
      <c r="E200" s="26" t="inlineStr">
        <is>
          <t>Internet platform / e-commerce</t>
        </is>
      </c>
      <c r="F200" s="26" t="inlineStr">
        <is>
          <t>Standard</t>
        </is>
      </c>
      <c r="G200" s="27" t="n">
        <v>45119</v>
      </c>
      <c r="H200" s="28" t="n">
        <v>313.5</v>
      </c>
      <c r="I200" s="26" t="inlineStr">
        <is>
          <t>gross (price x shares)</t>
        </is>
      </c>
      <c r="J200" s="29" t="n"/>
      <c r="K200" s="29" t="n">
        <v>28.92</v>
      </c>
      <c r="L200" s="29" t="n">
        <v>28.92</v>
      </c>
      <c r="M200" s="26" t="inlineStr">
        <is>
          <t>Y</t>
        </is>
      </c>
      <c r="N200" s="30" t="n">
        <v>100</v>
      </c>
      <c r="O200" s="28" t="n">
        <v>23755.1</v>
      </c>
      <c r="P200" s="26" t="inlineStr">
        <is>
          <t>aastocks:上市市值 at the struck price</t>
        </is>
      </c>
      <c r="Q200" s="31" t="n">
        <v>3.08</v>
      </c>
      <c r="R200" s="32" t="n">
        <v>1.37</v>
      </c>
      <c r="S200" s="33" t="n">
        <v>13.8</v>
      </c>
      <c r="T200" s="26" t="inlineStr">
        <is>
          <t>福清勝德卡路里投資有限公司; 深圳市奮達科技股份有限公司; 廈門群鑫機械工業有限公司</t>
        </is>
      </c>
      <c r="U200" s="30" t="n"/>
      <c r="V200" s="26" t="inlineStr">
        <is>
          <t>lapsed</t>
        </is>
      </c>
      <c r="W200" s="34" t="n">
        <v>0.28</v>
      </c>
      <c r="X200" s="34" t="n">
        <v>-0.24</v>
      </c>
      <c r="Y200" s="34" t="n">
        <v>9.27</v>
      </c>
      <c r="Z200" s="34" t="n">
        <v>0.62</v>
      </c>
      <c r="AA200" s="34" t="n">
        <v>8.960000000000001</v>
      </c>
      <c r="AB200" s="34" t="n">
        <v>2.04</v>
      </c>
      <c r="AC200" s="34" t="n">
        <v>7.23</v>
      </c>
      <c r="AD200" s="26" t="inlineStr">
        <is>
          <t>HSTECH (Hang Seng TECH ETF)</t>
        </is>
      </c>
      <c r="AE200" s="34" t="n">
        <v>-93.48</v>
      </c>
      <c r="AF200" s="28" t="n">
        <v>959.7</v>
      </c>
      <c r="AG200" s="28" t="n">
        <v>-115</v>
      </c>
      <c r="AH200" s="26" t="inlineStr">
        <is>
          <t>N</t>
        </is>
      </c>
      <c r="AI200" s="38">
        <f>IF('BBG Verify'!O200="","not filed — run on terminal",'BBG Verify'!O200)</f>
        <v/>
      </c>
      <c r="AJ200" s="35" t="n">
        <v>24.8</v>
      </c>
      <c r="AK200" s="26" t="inlineStr">
        <is>
          <t>N</t>
        </is>
      </c>
      <c r="AL200" s="36">
        <f>IF('BBG Verify'!K200="","not filed — run on terminal",'BBG Verify'!K200)</f>
        <v/>
      </c>
      <c r="AM200" s="26" t="inlineStr">
        <is>
          <t>N/A</t>
        </is>
      </c>
      <c r="AN200" s="26" t="inlineStr">
        <is>
          <t>N/A</t>
        </is>
      </c>
      <c r="AO200" s="26" t="inlineStr">
        <is>
          <t>N/A</t>
        </is>
      </c>
      <c r="AP200" s="26" t="inlineStr">
        <is>
          <t>Securities Limited</t>
        </is>
      </c>
      <c r="AQ200" s="26" t="inlineStr">
        <is>
          <t>中國國際金融香港證券有限公司</t>
        </is>
      </c>
      <c r="AR200" s="26" t="inlineStr">
        <is>
          <t>Managers China International Capital Corporation Hong Kong Securities Limited; GF Securities (Hong Kong) Brokerage Limited; Central, Hong Kong CCB International Capital Limited; CMB International Capital Limited; Futu Securities International (Hong Kong) Limited; Tiger Brokers (HK) Global Limited</t>
        </is>
      </c>
      <c r="AS200" s="26" t="inlineStr">
        <is>
          <t>建銀國際金融有限公司; 中國國際金融香港證券有限公司; 招銀國際融資有限公司; 富途證券國際（香港）有限公司; 廣發證券（香港）經紀有限公司; 老虎證券（香港）環球有限公司</t>
        </is>
      </c>
      <c r="AT200" s="37">
        <f>HYPERLINK("https://www1.hkexnews.hk/listedco/listconews/sehk/2023/0630/2023063000230.htm","prospectus")</f>
        <v/>
      </c>
      <c r="AU200" s="37">
        <f>HYPERLINK("https://www1.hkexnews.hk/listedco/listconews/sehk/2023/0711/2023071100048.htm","allotment")</f>
        <v/>
      </c>
      <c r="AV200" s="37">
        <f>HYPERLINK("https://www1.hkexnews.hk/listedco/listconews/sehk/2023/0804/2023080401672.pdf","stabilisation")</f>
        <v/>
      </c>
      <c r="AW200" s="26" t="inlineStr">
        <is>
          <t>P/E: n/m — loss-making at IPO (use P/S) · price range: fixed-price offering (no indicative range) · A/H: no A-share listing · market cap: estimate from stated market capitalisation disagreed with the published listing cap — published figure adopted</t>
        </is>
      </c>
    </row>
    <row r="201">
      <c r="A201" s="25" t="inlineStr">
        <is>
          <t>6683</t>
        </is>
      </c>
      <c r="B201" s="26" t="inlineStr">
        <is>
          <t>STARPLUS LEGEND</t>
        </is>
      </c>
      <c r="C201" s="26" t="inlineStr">
        <is>
          <t>巨星傳奇</t>
        </is>
      </c>
      <c r="D201" s="26" t="inlineStr">
        <is>
          <t>TMT-other</t>
        </is>
      </c>
      <c r="E201" s="26" t="inlineStr">
        <is>
          <t>Media / advertising</t>
        </is>
      </c>
      <c r="F201" s="26" t="inlineStr">
        <is>
          <t>Standard</t>
        </is>
      </c>
      <c r="G201" s="27" t="n">
        <v>45120</v>
      </c>
      <c r="H201" s="28" t="n">
        <v>245.2</v>
      </c>
      <c r="I201" s="26" t="inlineStr">
        <is>
          <t>net proceeds</t>
        </is>
      </c>
      <c r="J201" s="29" t="n"/>
      <c r="K201" s="29" t="n">
        <v>4.25</v>
      </c>
      <c r="L201" s="29" t="n">
        <v>4.25</v>
      </c>
      <c r="M201" s="26" t="inlineStr">
        <is>
          <t>Y</t>
        </is>
      </c>
      <c r="N201" s="30" t="n">
        <v>100</v>
      </c>
      <c r="O201" s="28" t="n">
        <v>10660.9</v>
      </c>
      <c r="P201" s="26" t="inlineStr">
        <is>
          <t>derived:deal size / offer % of enlarged capital</t>
        </is>
      </c>
      <c r="Q201" s="31" t="n">
        <v>12.99</v>
      </c>
      <c r="R201" s="32" t="n">
        <v>1.15</v>
      </c>
      <c r="S201" s="33" t="n">
        <v>3.3</v>
      </c>
      <c r="T201" s="26" t="inlineStr">
        <is>
          <t>Blink Field Limited; NETDRAGON WEBSOFT INC</t>
        </is>
      </c>
      <c r="U201" s="30" t="n">
        <v>17.9</v>
      </c>
      <c r="V201" s="26" t="inlineStr">
        <is>
          <t>partial</t>
        </is>
      </c>
      <c r="W201" s="34" t="n">
        <v>23.76</v>
      </c>
      <c r="X201" s="34" t="n">
        <v>67.06</v>
      </c>
      <c r="Y201" s="34" t="n">
        <v>34.35</v>
      </c>
      <c r="Z201" s="34" t="n">
        <v>102.35</v>
      </c>
      <c r="AA201" s="34" t="n">
        <v>8.56</v>
      </c>
      <c r="AB201" s="34" t="n">
        <v>34.81</v>
      </c>
      <c r="AC201" s="34" t="n">
        <v>-0.46</v>
      </c>
      <c r="AD201" s="26" t="inlineStr">
        <is>
          <t>Hang Seng Index</t>
        </is>
      </c>
      <c r="AE201" s="34" t="n">
        <v>36.47</v>
      </c>
      <c r="AF201" s="28" t="n">
        <v>401.9</v>
      </c>
      <c r="AG201" s="28" t="n">
        <v>47.2</v>
      </c>
      <c r="AH201" s="26" t="inlineStr">
        <is>
          <t>Y</t>
        </is>
      </c>
      <c r="AI201" s="35" t="n">
        <v>225.9</v>
      </c>
      <c r="AJ201" s="35" t="n">
        <v>26.5</v>
      </c>
      <c r="AK201" s="26" t="inlineStr">
        <is>
          <t>N</t>
        </is>
      </c>
      <c r="AL201" s="36">
        <f>IF('BBG Verify'!K201="","not filed — run on terminal",'BBG Verify'!K201)</f>
        <v/>
      </c>
      <c r="AM201" s="26" t="inlineStr">
        <is>
          <t>N/A</t>
        </is>
      </c>
      <c r="AN201" s="26" t="inlineStr">
        <is>
          <t>N/A</t>
        </is>
      </c>
      <c r="AO201" s="26" t="inlineStr">
        <is>
          <t>N/A</t>
        </is>
      </c>
      <c r="AP201" s="26" t="inlineStr">
        <is>
          <t>CMBC International Capital Limited</t>
        </is>
      </c>
      <c r="AQ201" s="26" t="inlineStr">
        <is>
          <t>民銀資本有限公司</t>
        </is>
      </c>
      <c r="AR201" s="26" t="inlineStr">
        <is>
          <t>ABCI Capital Limited</t>
        </is>
      </c>
      <c r="AS201" s="26" t="inlineStr">
        <is>
          <t>農銀國際證券有限公司; 源盛證券有限公司; Beta International Securities Limited; 建銀國際金融有限公司; 國農證券有限公司; 中國光大證券(香港)有限公司; 興證國際融資有限公司; 民銀證券有限公司; 安信國際證券(香港)有限公司; 艾德證券期貨有限公司; 第一上海證券有限公司; 富途證券國際（香港）有限公司; 國泰君安證券(香港)有限公司; 華福國際證券有限公司; 一盈證券有限公司; 利弗莫爾證券有限公司; 華富建業證券有限公司; 軟庫中華金融服務有限公司; 南華證券投資有限公司; 浦銀國際融資有限公司; 友信證券有限公司; 華盛資本証券有限公司; 盈寶證券國際（香港）有限公司; 浙商國際金融控股有限公司; 中泰國際證券有限公司</t>
        </is>
      </c>
      <c r="AT201" s="37">
        <f>HYPERLINK("https://www1.hkexnews.hk/listedco/listconews/sehk/2023/0630/2023063000037.pdf","prospectus")</f>
        <v/>
      </c>
      <c r="AU201" s="37">
        <f>HYPERLINK("https://www1.hkexnews.hk/listedco/listconews/sehk/2023/0712/2023071200010.htm","allotment")</f>
        <v/>
      </c>
      <c r="AV201" s="37">
        <f>HYPERLINK("https://www1.hkexnews.hk/listedco/listconews/sehk/2023/0804/2023080401278.pdf","stabilisation")</f>
        <v/>
      </c>
      <c r="AW201" s="26" t="inlineStr">
        <is>
          <t>A/H: no A-share listing · cornerstone: AAStocks institutional table includes non-cornerstone orders (superset) — cornerstone % is from the prospectus</t>
        </is>
      </c>
    </row>
    <row r="202">
      <c r="A202" s="25" t="inlineStr">
        <is>
          <t>1284</t>
        </is>
      </c>
      <c r="B202" s="26" t="inlineStr">
        <is>
          <t>NEW MEDIA LAB</t>
        </is>
      </c>
      <c r="C202" s="26" t="inlineStr">
        <is>
          <t>新傳企劃</t>
        </is>
      </c>
      <c r="D202" s="26" t="inlineStr">
        <is>
          <t>TMT-other</t>
        </is>
      </c>
      <c r="E202" s="26" t="inlineStr">
        <is>
          <t>Media / advertising</t>
        </is>
      </c>
      <c r="F202" s="26" t="inlineStr">
        <is>
          <t>Standard</t>
        </is>
      </c>
      <c r="G202" s="27" t="n">
        <v>45122</v>
      </c>
      <c r="H202" s="28" t="n">
        <v>138</v>
      </c>
      <c r="I202" s="26" t="inlineStr">
        <is>
          <t>gross (price x shares)</t>
        </is>
      </c>
      <c r="J202" s="29" t="n">
        <v>0.84</v>
      </c>
      <c r="K202" s="29" t="n">
        <v>0.92</v>
      </c>
      <c r="L202" s="29" t="n">
        <v>0.92</v>
      </c>
      <c r="M202" s="26" t="inlineStr">
        <is>
          <t>Y</t>
        </is>
      </c>
      <c r="N202" s="30" t="n">
        <v>100</v>
      </c>
      <c r="O202" s="28" t="n">
        <v>552</v>
      </c>
      <c r="P202" s="26" t="inlineStr">
        <is>
          <t>derived:deal size / offer % of enlarged capital</t>
        </is>
      </c>
      <c r="Q202" s="31" t="n">
        <v>44.2</v>
      </c>
      <c r="R202" s="32" t="n">
        <v>1.5</v>
      </c>
      <c r="S202" s="33" t="n">
        <v>0</v>
      </c>
      <c r="T202" s="26" t="n"/>
      <c r="U202" s="30" t="n"/>
      <c r="V202" s="26" t="n"/>
      <c r="W202" s="34" t="n">
        <v>1.09</v>
      </c>
      <c r="X202" s="34" t="n">
        <v>1.09</v>
      </c>
      <c r="Y202" s="34" t="n">
        <v>-38.04</v>
      </c>
      <c r="Z202" s="34" t="n">
        <v>-53.26</v>
      </c>
      <c r="AA202" s="34" t="n">
        <v>-38.71</v>
      </c>
      <c r="AB202" s="34" t="n">
        <v>-32.45</v>
      </c>
      <c r="AC202" s="34" t="n">
        <v>-5.59</v>
      </c>
      <c r="AD202" s="26" t="inlineStr">
        <is>
          <t>Hang Seng Index</t>
        </is>
      </c>
      <c r="AE202" s="34" t="n">
        <v>-47.28</v>
      </c>
      <c r="AF202" s="28" t="n">
        <v>240.7</v>
      </c>
      <c r="AG202" s="28" t="n">
        <v>39.4</v>
      </c>
      <c r="AH202" s="26" t="inlineStr">
        <is>
          <t>Y</t>
        </is>
      </c>
      <c r="AI202" s="35" t="n">
        <v>14</v>
      </c>
      <c r="AJ202" s="35" t="n">
        <v>2.3</v>
      </c>
      <c r="AK202" s="26" t="inlineStr">
        <is>
          <t>N</t>
        </is>
      </c>
      <c r="AL202" s="36">
        <f>IF('BBG Verify'!K202="","not filed — run on terminal",'BBG Verify'!K202)</f>
        <v/>
      </c>
      <c r="AM202" s="26" t="inlineStr">
        <is>
          <t>N/A</t>
        </is>
      </c>
      <c r="AN202" s="26" t="inlineStr">
        <is>
          <t>N/A</t>
        </is>
      </c>
      <c r="AO202" s="26" t="inlineStr">
        <is>
          <t>N/A</t>
        </is>
      </c>
      <c r="AP202" s="26" t="inlineStr">
        <is>
          <t>Emperor Corporate Finance Limited; Lego Corporate Finance Limited</t>
        </is>
      </c>
      <c r="AQ202" s="26" t="inlineStr">
        <is>
          <t>英皇企業融資有限公司; 力高企業融資有限公司</t>
        </is>
      </c>
      <c r="AR202" s="26" t="inlineStr">
        <is>
          <t>中國銀河國際證券(香港)有限公司; 英皇證券(香港)有限公司; 國泰君安證券(香港)有限公司; 力高證券有限公司</t>
        </is>
      </c>
      <c r="AS202" s="26" t="inlineStr">
        <is>
          <t>中國銀河國際證券(香港)有限公司; 英皇證券(香港)有限公司; 國泰君安證券(香港)有限公司; 力高證券有限公司</t>
        </is>
      </c>
      <c r="AT202" s="37">
        <f>HYPERLINK("https://www1.hkexnews.hk/listedco/listconews/sehk/2023/0630/2023063000045.pdf","prospectus")</f>
        <v/>
      </c>
      <c r="AU202" s="37">
        <f>HYPERLINK("https://www1.hkexnews.hk/listedco/listconews/sehk/2023/0714/2023071400016.htm","allotment")</f>
        <v/>
      </c>
      <c r="AV202" s="26" t="n"/>
      <c r="AW202" s="26" t="inlineStr">
        <is>
          <t>greenshoe: no over-allotment option in the offer structure · A/H: no A-share listing</t>
        </is>
      </c>
    </row>
    <row r="203">
      <c r="A203" s="25" t="inlineStr">
        <is>
          <t>2271</t>
        </is>
      </c>
      <c r="B203" s="26" t="inlineStr">
        <is>
          <t>ZHONGAN SERVICE</t>
        </is>
      </c>
      <c r="C203" s="26" t="inlineStr">
        <is>
          <t>眾安智慧生活</t>
        </is>
      </c>
      <c r="D203" s="26" t="inlineStr">
        <is>
          <t>Real Estate</t>
        </is>
      </c>
      <c r="E203" s="26" t="inlineStr">
        <is>
          <t>Property management</t>
        </is>
      </c>
      <c r="F203" s="26" t="inlineStr">
        <is>
          <t>Standard</t>
        </is>
      </c>
      <c r="G203" s="27" t="n">
        <v>45125</v>
      </c>
      <c r="H203" s="28" t="n">
        <v>21.7</v>
      </c>
      <c r="I203" s="26" t="inlineStr">
        <is>
          <t>net proceeds</t>
        </is>
      </c>
      <c r="J203" s="29" t="n">
        <v>1.18</v>
      </c>
      <c r="K203" s="29" t="n">
        <v>1.48</v>
      </c>
      <c r="L203" s="29" t="n">
        <v>1.18</v>
      </c>
      <c r="M203" s="26" t="inlineStr">
        <is>
          <t>N</t>
        </is>
      </c>
      <c r="N203" s="30" t="n">
        <v>79.7</v>
      </c>
      <c r="O203" s="28" t="n">
        <v>688.1</v>
      </c>
      <c r="P203" s="26" t="inlineStr">
        <is>
          <t>aastocks:上市市值 at the struck price</t>
        </is>
      </c>
      <c r="Q203" s="31" t="n">
        <v>1.84</v>
      </c>
      <c r="R203" s="32" t="n">
        <v>1.63</v>
      </c>
      <c r="S203" s="33" t="n">
        <v>13.8</v>
      </c>
      <c r="T203" s="26" t="inlineStr">
        <is>
          <t>禾元商貿(香港)有限公司</t>
        </is>
      </c>
      <c r="U203" s="30" t="n">
        <v>10</v>
      </c>
      <c r="V203" s="26" t="inlineStr">
        <is>
          <t>partial</t>
        </is>
      </c>
      <c r="W203" s="34" t="n">
        <v>2.54</v>
      </c>
      <c r="X203" s="34" t="n">
        <v>-10.17</v>
      </c>
      <c r="Y203" s="34" t="n">
        <v>-27.12</v>
      </c>
      <c r="Z203" s="34" t="n">
        <v>-43.22</v>
      </c>
      <c r="AA203" s="34" t="n">
        <v>-28.93</v>
      </c>
      <c r="AB203" s="34" t="n">
        <v>-19.42</v>
      </c>
      <c r="AC203" s="34" t="n">
        <v>-7.7</v>
      </c>
      <c r="AD203" s="26" t="inlineStr">
        <is>
          <t>Hang Seng Properties sub-index</t>
        </is>
      </c>
      <c r="AE203" s="34" t="n">
        <v>151.27</v>
      </c>
      <c r="AF203" s="28" t="n">
        <v>351.7</v>
      </c>
      <c r="AG203" s="28" t="n">
        <v>56</v>
      </c>
      <c r="AH203" s="26" t="inlineStr">
        <is>
          <t>Y</t>
        </is>
      </c>
      <c r="AI203" s="35" t="n">
        <v>12.3</v>
      </c>
      <c r="AJ203" s="35" t="n">
        <v>2</v>
      </c>
      <c r="AK203" s="26" t="inlineStr">
        <is>
          <t>N</t>
        </is>
      </c>
      <c r="AL203" s="36">
        <f>IF('BBG Verify'!K203="","not filed — run on terminal",'BBG Verify'!K203)</f>
        <v/>
      </c>
      <c r="AM203" s="26" t="inlineStr">
        <is>
          <t>N/A</t>
        </is>
      </c>
      <c r="AN203" s="26" t="inlineStr">
        <is>
          <t>N/A</t>
        </is>
      </c>
      <c r="AO203" s="26" t="inlineStr">
        <is>
          <t>N/A</t>
        </is>
      </c>
      <c r="AP203" s="26" t="inlineStr">
        <is>
          <t>China Merchants Securities (HK) Co., Limited; Huatai Financial Holdings (Hong Kong) Limited</t>
        </is>
      </c>
      <c r="AQ203" s="26" t="inlineStr">
        <is>
          <t>華泰金融控股(香港)有限公司; 招商證券(香港)有限公司</t>
        </is>
      </c>
      <c r="AR203" s="26" t="inlineStr">
        <is>
          <t>Managers and Capital Market Intermediaries Guotai Junan Securities (Hong Kong) Limited; Central, Hong Kong CCB International Capital Limited; Central, Hong Kong Victory Securities Company Limited</t>
        </is>
      </c>
      <c r="AS203" s="26" t="inlineStr">
        <is>
          <t>建銀國際金融有限公司; 招商證券(香港)有限公司; 國泰君安證券(香港)有限公司; 華泰金融控股(香港)有限公司; 勝利證券有限公司</t>
        </is>
      </c>
      <c r="AT203" s="37">
        <f>HYPERLINK("https://www1.hkexnews.hk/listedco/listconews/sehk/2023/0630/2023063000209.pdf","prospectus")</f>
        <v/>
      </c>
      <c r="AU203" s="37">
        <f>HYPERLINK("https://www1.hkexnews.hk/listedco/listconews/sehk/2023/0717/2023071700006.htm","allotment")</f>
        <v/>
      </c>
      <c r="AV203" s="37">
        <f>HYPERLINK("https://www1.hkexnews.hk/listedco/listconews/sehk/2023/0810/2023081001406.pdf","stabilisation")</f>
        <v/>
      </c>
      <c r="AW203" s="26"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204">
      <c r="A204" s="25" t="inlineStr">
        <is>
          <t>1541</t>
        </is>
      </c>
      <c r="B204" s="26" t="inlineStr">
        <is>
          <t>IMMUNEONCO-B</t>
        </is>
      </c>
      <c r="C204" s="26" t="inlineStr">
        <is>
          <t>宜明昂科－Ｂ</t>
        </is>
      </c>
      <c r="D204" s="26" t="inlineStr">
        <is>
          <t>Healthcare</t>
        </is>
      </c>
      <c r="E204" s="26" t="inlineStr">
        <is>
          <t>Biotech pre-revenue (18A)</t>
        </is>
      </c>
      <c r="F204" s="26" t="inlineStr">
        <is>
          <t>18A</t>
        </is>
      </c>
      <c r="G204" s="27" t="n">
        <v>45174</v>
      </c>
      <c r="H204" s="28" t="n">
        <v>318.9</v>
      </c>
      <c r="I204" s="26" t="inlineStr">
        <is>
          <t>gross (price x shares)</t>
        </is>
      </c>
      <c r="J204" s="29" t="n"/>
      <c r="K204" s="29" t="n">
        <v>18.6</v>
      </c>
      <c r="L204" s="29" t="n">
        <v>18.6</v>
      </c>
      <c r="M204" s="26" t="inlineStr">
        <is>
          <t>Y</t>
        </is>
      </c>
      <c r="N204" s="30" t="n">
        <v>100</v>
      </c>
      <c r="O204" s="28" t="n">
        <v>6132.7</v>
      </c>
      <c r="P204" s="26" t="inlineStr">
        <is>
          <t>derived:deal size / offer % of enlarged capital</t>
        </is>
      </c>
      <c r="Q204" s="43">
        <f>IF('BBG Verify'!C204="","not filed — run on terminal",'BBG Verify'!C204)</f>
        <v/>
      </c>
      <c r="R204" s="32" t="n">
        <v>1.06</v>
      </c>
      <c r="S204" s="33" t="n">
        <v>72.81</v>
      </c>
      <c r="T204" s="26" t="inlineStr">
        <is>
          <t>昆翎醫藥發展有限公司; Harvest International Premium Value (Secondary Market) Fund SPC; 榮昌生物香港有限公司; WuXi Biologics Healthcare Venture</t>
        </is>
      </c>
      <c r="U204" s="30" t="n">
        <v>5.2</v>
      </c>
      <c r="V204" s="26" t="inlineStr">
        <is>
          <t>partial</t>
        </is>
      </c>
      <c r="W204" s="34" t="n">
        <v>4.95</v>
      </c>
      <c r="X204" s="34" t="n">
        <v>34.41</v>
      </c>
      <c r="Y204" s="34" t="n">
        <v>38.17</v>
      </c>
      <c r="Z204" s="34" t="n">
        <v>52.96</v>
      </c>
      <c r="AA204" s="34" t="n">
        <v>31.65</v>
      </c>
      <c r="AB204" s="34" t="n">
        <v>35.54</v>
      </c>
      <c r="AC204" s="34" t="n">
        <v>2.63</v>
      </c>
      <c r="AD204" s="26" t="inlineStr">
        <is>
          <t>China Biotech ETF (HS biotech proxy)</t>
        </is>
      </c>
      <c r="AE204" s="34" t="n">
        <v>-80.62</v>
      </c>
      <c r="AF204" s="28" t="n">
        <v>0.3</v>
      </c>
      <c r="AG204" s="28" t="n">
        <v>-164</v>
      </c>
      <c r="AH204" s="26" t="inlineStr">
        <is>
          <t>N</t>
        </is>
      </c>
      <c r="AI204" s="38">
        <f>IF('BBG Verify'!O204="","not filed — run on terminal",'BBG Verify'!O204)</f>
        <v/>
      </c>
      <c r="AJ204" s="35" t="n">
        <v>20442.3</v>
      </c>
      <c r="AK204" s="26" t="inlineStr">
        <is>
          <t>N</t>
        </is>
      </c>
      <c r="AL204" s="36">
        <f>IF('BBG Verify'!K204="","not filed — run on terminal",'BBG Verify'!K204)</f>
        <v/>
      </c>
      <c r="AM204" s="26" t="inlineStr">
        <is>
          <t>N/A</t>
        </is>
      </c>
      <c r="AN204" s="26" t="inlineStr">
        <is>
          <t>N/A</t>
        </is>
      </c>
      <c r="AO204" s="26" t="inlineStr">
        <is>
          <t>N/A</t>
        </is>
      </c>
      <c r="AP204" s="26" t="inlineStr">
        <is>
          <t>Morgan Stanley Asia Limited; China International Capital Corporation Hong Kong Securities Limited</t>
        </is>
      </c>
      <c r="AQ204" s="26" t="inlineStr">
        <is>
          <t>中國國際金融香港證券有限公司; 摩根士丹利亞洲有限公司</t>
        </is>
      </c>
      <c r="AR204" s="26" t="inlineStr">
        <is>
          <t>Managers and Capital Market Intermediaries 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AS204" s="26" t="inlineStr">
        <is>
          <t>中銀國際亞洲有限公司; 中國國際金融香港證券有限公司; 招銀國際金融有限公司; 復星國際證券有限公司; 富途證券國際（香港）有限公司; 工銀國際證券有限公司; 摩根士丹利亞洲有限公司; 東吳證券國際經紀有限公司</t>
        </is>
      </c>
      <c r="AT204" s="37">
        <f>HYPERLINK("https://www1.hkexnews.hk/listedco/listconews/sehk/2023/0824/2023082400037.pdf","prospectus")</f>
        <v/>
      </c>
      <c r="AU204" s="37">
        <f>HYPERLINK("https://www1.hkexnews.hk/listedco/listconews/sehk/2023/0904/2023090400006.htm","allotment")</f>
        <v/>
      </c>
      <c r="AV204" s="37">
        <f>HYPERLINK("https://www1.hkexnews.hk/listedco/listconews/sehk/2023/0928/2023092802361.pdf","stabilisation")</f>
        <v/>
      </c>
      <c r="AW204" s="26" t="inlineStr">
        <is>
          <t>P/E: n/m — loss-making at IPO (use P/S) · A/H: no A-share listing</t>
        </is>
      </c>
    </row>
    <row r="205">
      <c r="A205" s="25" t="inlineStr">
        <is>
          <t>2496</t>
        </is>
      </c>
      <c r="B205" s="26" t="inlineStr">
        <is>
          <t>YZYBIO-B</t>
        </is>
      </c>
      <c r="C205" s="26" t="inlineStr">
        <is>
          <t>友芝友生物－Ｂ</t>
        </is>
      </c>
      <c r="D205" s="26" t="inlineStr">
        <is>
          <t>Healthcare</t>
        </is>
      </c>
      <c r="E205" s="26" t="inlineStr">
        <is>
          <t>Biotech pre-revenue (18A)</t>
        </is>
      </c>
      <c r="F205" s="26" t="inlineStr">
        <is>
          <t>18A</t>
        </is>
      </c>
      <c r="G205" s="27" t="n">
        <v>45192</v>
      </c>
      <c r="H205" s="28" t="n">
        <v>176</v>
      </c>
      <c r="I205" s="26" t="inlineStr">
        <is>
          <t>gross (price x shares)</t>
        </is>
      </c>
      <c r="J205" s="29" t="n">
        <v>16</v>
      </c>
      <c r="K205" s="29" t="n">
        <v>20</v>
      </c>
      <c r="L205" s="29" t="n">
        <v>16</v>
      </c>
      <c r="M205" s="26" t="inlineStr">
        <is>
          <t>N</t>
        </is>
      </c>
      <c r="N205" s="30" t="n">
        <v>80</v>
      </c>
      <c r="O205" s="28" t="n">
        <v>3087.7</v>
      </c>
      <c r="P205" s="26" t="inlineStr">
        <is>
          <t>derived:deal size / offer % of enlarged capital</t>
        </is>
      </c>
      <c r="Q205" s="31" t="n">
        <v>13.81</v>
      </c>
      <c r="R205" s="32" t="n">
        <v>1.57</v>
      </c>
      <c r="S205" s="33" t="n">
        <v>37.3</v>
      </c>
      <c r="T205" s="26" t="inlineStr">
        <is>
          <t>成都樸華凱智生物科技有限公司; 武漢市楚興友瑞大健康產業投資基金合夥企業(有限合夥); 武漢光谷健康產業投資有限公司</t>
        </is>
      </c>
      <c r="U205" s="30" t="n">
        <v>6.5</v>
      </c>
      <c r="V205" s="26" t="inlineStr">
        <is>
          <t>partial</t>
        </is>
      </c>
      <c r="W205" s="34" t="n">
        <v>21.5</v>
      </c>
      <c r="X205" s="34" t="n">
        <v>-4.5</v>
      </c>
      <c r="Y205" s="34" t="n">
        <v>-37.5</v>
      </c>
      <c r="Z205" s="34" t="n">
        <v>-43.88</v>
      </c>
      <c r="AA205" s="34" t="n">
        <v>-48.56</v>
      </c>
      <c r="AB205" s="34" t="n">
        <v>-42.73</v>
      </c>
      <c r="AC205" s="34" t="n">
        <v>5.23</v>
      </c>
      <c r="AD205" s="26" t="inlineStr">
        <is>
          <t>China Biotech ETF (HS biotech proxy)</t>
        </is>
      </c>
      <c r="AE205" s="34" t="n">
        <v>-77.5</v>
      </c>
      <c r="AF205" s="28" t="n">
        <v>2.2</v>
      </c>
      <c r="AG205" s="28" t="n">
        <v>-207.8</v>
      </c>
      <c r="AH205" s="26" t="inlineStr">
        <is>
          <t>N</t>
        </is>
      </c>
      <c r="AI205" s="38">
        <f>IF('BBG Verify'!O205="","not filed — run on terminal",'BBG Verify'!O205)</f>
        <v/>
      </c>
      <c r="AJ205" s="35" t="n">
        <v>1403.5</v>
      </c>
      <c r="AK205" s="26" t="inlineStr">
        <is>
          <t>N</t>
        </is>
      </c>
      <c r="AL205" s="36">
        <f>IF('BBG Verify'!K205="","not filed — run on terminal",'BBG Verify'!K205)</f>
        <v/>
      </c>
      <c r="AM205" s="26" t="inlineStr">
        <is>
          <t>N/A</t>
        </is>
      </c>
      <c r="AN205" s="26" t="inlineStr">
        <is>
          <t>N/A</t>
        </is>
      </c>
      <c r="AO205" s="26" t="inlineStr">
        <is>
          <t>N/A</t>
        </is>
      </c>
      <c r="AP205" s="26" t="n"/>
      <c r="AQ205" s="26" t="inlineStr">
        <is>
          <t>中信建投(國際)融資有限公司</t>
        </is>
      </c>
      <c r="AR205" s="26" t="inlineStr">
        <is>
          <t>China Securities (International) Corporate Finance Company Limited; Guotai Junan Securities (Hong Kong) Limited; CCB International Capital Limited; BOCI Asia Limited; TFI Securities and Futures Limited; China Galaxy International Securities (Hong Kong) Co., Limited</t>
        </is>
      </c>
      <c r="AS205" s="26" t="inlineStr">
        <is>
          <t>中銀國際亞洲有限公司; 建銀國際金融有限公司; 中國銀河國際證券(香港)有限公司; 中信建投(國際)融資有限公司; 富途證券國際（香港）有限公司; 國泰君安證券(香港)有限公司; 利弗莫爾證券有限公司; 天風國際證券與期貨有限公司</t>
        </is>
      </c>
      <c r="AT205" s="37">
        <f>HYPERLINK("https://www1.hkexnews.hk/listedco/listconews/sehk/2023/0913/2023091300013.pdf","prospectus")</f>
        <v/>
      </c>
      <c r="AU205" s="37">
        <f>HYPERLINK("https://www1.hkexnews.hk/listedco/listconews/sehk/2023/0922/2023092200024.htm","allotment")</f>
        <v/>
      </c>
      <c r="AV205" s="37">
        <f>HYPERLINK("https://www1.hkexnews.hk/listedco/listconews/sehk/2023/1019/2023101900003.pdf","stabilisation")</f>
        <v/>
      </c>
      <c r="AW205" s="26" t="inlineStr">
        <is>
          <t>P/E: n/m — loss-making at IPO (use P/S) · A/H: no A-share listing · sponsor: English name not in the filing text; AAStocks 保薦人 shown · cornerstone: AAStocks institutional table includes non-cornerstone orders (superset) — cornerstone % is from the prospectus</t>
        </is>
      </c>
    </row>
    <row r="206">
      <c r="A206" s="25" t="inlineStr">
        <is>
          <t>2490</t>
        </is>
      </c>
      <c r="B206" s="26" t="inlineStr">
        <is>
          <t>LC LOGISTICS</t>
        </is>
      </c>
      <c r="C206" s="26" t="inlineStr">
        <is>
          <t>樂艙物流</t>
        </is>
      </c>
      <c r="D206" s="26" t="inlineStr">
        <is>
          <t>Industrials</t>
        </is>
      </c>
      <c r="E206" s="26" t="inlineStr">
        <is>
          <t>Logistics</t>
        </is>
      </c>
      <c r="F206" s="26" t="inlineStr">
        <is>
          <t>Standard</t>
        </is>
      </c>
      <c r="G206" s="27" t="n">
        <v>45192</v>
      </c>
      <c r="H206" s="28" t="n">
        <v>5.9</v>
      </c>
      <c r="I206" s="26" t="inlineStr">
        <is>
          <t>gross (stated)</t>
        </is>
      </c>
      <c r="J206" s="29" t="n"/>
      <c r="K206" s="29" t="n">
        <v>5.55</v>
      </c>
      <c r="L206" s="29" t="n">
        <v>5.13</v>
      </c>
      <c r="M206" s="26" t="inlineStr">
        <is>
          <t>N</t>
        </is>
      </c>
      <c r="N206" s="30" t="n">
        <v>92.40000000000001</v>
      </c>
      <c r="O206" s="28" t="n">
        <v>1565</v>
      </c>
      <c r="P206" s="26" t="inlineStr">
        <is>
          <t>aastocks:上市市值 at the struck price</t>
        </is>
      </c>
      <c r="Q206" s="31" t="n">
        <v>4.77</v>
      </c>
      <c r="R206" s="32" t="n">
        <v>1.53</v>
      </c>
      <c r="S206" s="33" t="n">
        <v>0</v>
      </c>
      <c r="T206" s="26" t="n"/>
      <c r="U206" s="30" t="n">
        <v>10.66</v>
      </c>
      <c r="V206" s="26" t="inlineStr">
        <is>
          <t>partial</t>
        </is>
      </c>
      <c r="W206" s="34" t="n">
        <v>-3.7</v>
      </c>
      <c r="X206" s="34" t="n">
        <v>4.87</v>
      </c>
      <c r="Y206" s="34" t="n">
        <v>-15.01</v>
      </c>
      <c r="Z206" s="34" t="n">
        <v>0.97</v>
      </c>
      <c r="AA206" s="34" t="n">
        <v>-11.74</v>
      </c>
      <c r="AB206" s="34" t="n">
        <v>-10.7</v>
      </c>
      <c r="AC206" s="34" t="n">
        <v>-4.31</v>
      </c>
      <c r="AD206" s="26" t="inlineStr">
        <is>
          <t>Hang Seng Commerce &amp; Industry sub-index</t>
        </is>
      </c>
      <c r="AE206" s="34" t="n">
        <v>-11.99</v>
      </c>
      <c r="AF206" s="28" t="n">
        <v>5068.7</v>
      </c>
      <c r="AG206" s="28" t="n">
        <v>424.9</v>
      </c>
      <c r="AH206" s="26" t="inlineStr">
        <is>
          <t>Y</t>
        </is>
      </c>
      <c r="AI206" s="35" t="n">
        <v>3.7</v>
      </c>
      <c r="AJ206" s="35" t="n">
        <v>0.3</v>
      </c>
      <c r="AK206" s="26" t="inlineStr">
        <is>
          <t>N</t>
        </is>
      </c>
      <c r="AL206" s="36">
        <f>IF('BBG Verify'!K206="","not filed — run on terminal",'BBG Verify'!K206)</f>
        <v/>
      </c>
      <c r="AM206" s="26" t="inlineStr">
        <is>
          <t>N/A</t>
        </is>
      </c>
      <c r="AN206" s="26" t="inlineStr">
        <is>
          <t>N/A</t>
        </is>
      </c>
      <c r="AO206" s="26" t="inlineStr">
        <is>
          <t>N/A</t>
        </is>
      </c>
      <c r="AP206" s="26" t="inlineStr">
        <is>
          <t>CITIC Securities (Hong Kong) Limited; ABCI Capital Limited</t>
        </is>
      </c>
      <c r="AQ206" s="26" t="inlineStr">
        <is>
          <t>中信證券(香港)有限公司; 農銀國際融資有限公司</t>
        </is>
      </c>
      <c r="AR206" s="26"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AS206" s="26" t="inlineStr">
        <is>
          <t>農銀國際證券有限公司; Beta International Securities Limited; 中信里昂證券有限公司; 民銀證券有限公司; 招銀國際融資有限公司; 國泰君安證券(香港)有限公司; 利弗莫爾證券有限公司; 申萬宏源證券（香港）有限公司; 浦銀國際融資有限公司; 華盛資本証券有限公司</t>
        </is>
      </c>
      <c r="AT206" s="37">
        <f>HYPERLINK("https://www1.hkexnews.hk/listedco/listconews/sehk/2023/0913/2023091300017.pdf","prospectus")</f>
        <v/>
      </c>
      <c r="AU206" s="37">
        <f>HYPERLINK("https://www1.hkexnews.hk/listedco/listconews/sehk/2023/0922/2023092200056.htm","allotment")</f>
        <v/>
      </c>
      <c r="AV206" s="37">
        <f>HYPERLINK("https://www1.hkexnews.hk/listedco/listconews/sehk/2023/1018/2023101800796.pdf","stabilisation")</f>
        <v/>
      </c>
      <c r="AW206" s="26" t="inlineStr">
        <is>
          <t>A/H: no A-share listing · market cap: estimate from deal size / offer % of enlarged capital disagreed with the published listing cap — published figure adopted</t>
        </is>
      </c>
    </row>
    <row r="207">
      <c r="A207" s="25" t="inlineStr">
        <is>
          <t>9690</t>
        </is>
      </c>
      <c r="B207" s="26" t="inlineStr">
        <is>
          <t>TUHU-W</t>
        </is>
      </c>
      <c r="C207" s="26" t="inlineStr">
        <is>
          <t>途虎－Ｗ</t>
        </is>
      </c>
      <c r="D207" s="26" t="inlineStr">
        <is>
          <t>Tech/AI</t>
        </is>
      </c>
      <c r="E207" s="26" t="inlineStr">
        <is>
          <t>Internet platform / e-commerce</t>
        </is>
      </c>
      <c r="F207" s="26" t="inlineStr">
        <is>
          <t>WVR</t>
        </is>
      </c>
      <c r="G207" s="27" t="n">
        <v>45195</v>
      </c>
      <c r="H207" s="28" t="n">
        <v>173</v>
      </c>
      <c r="I207" s="26" t="inlineStr">
        <is>
          <t>net proceeds</t>
        </is>
      </c>
      <c r="J207" s="29" t="n">
        <v>28</v>
      </c>
      <c r="K207" s="29" t="n">
        <v>31</v>
      </c>
      <c r="L207" s="29" t="n">
        <v>28</v>
      </c>
      <c r="M207" s="26" t="inlineStr">
        <is>
          <t>N</t>
        </is>
      </c>
      <c r="N207" s="30" t="n">
        <v>90.3</v>
      </c>
      <c r="O207" s="28" t="n">
        <v>24157.3</v>
      </c>
      <c r="P207" s="26" t="inlineStr">
        <is>
          <t>aastocks:上市市值 at the struck price</t>
        </is>
      </c>
      <c r="Q207" s="31" t="n">
        <v>2.67</v>
      </c>
      <c r="R207" s="32" t="n">
        <v>2.3</v>
      </c>
      <c r="S207" s="33" t="n">
        <v>90</v>
      </c>
      <c r="T207" s="26" t="inlineStr">
        <is>
          <t>嘉實多控股國際有限公司; 意像架構投資（香港）有限公司; 上海紫竹高新區(集團)有限公司; 浙江零跑科技股份有限公司</t>
        </is>
      </c>
      <c r="U207" s="30" t="n">
        <v>5.7</v>
      </c>
      <c r="V207" s="26" t="inlineStr">
        <is>
          <t>partial</t>
        </is>
      </c>
      <c r="W207" s="34" t="n">
        <v>5.36</v>
      </c>
      <c r="X207" s="34" t="n">
        <v>2.5</v>
      </c>
      <c r="Y207" s="34" t="n">
        <v>25.71</v>
      </c>
      <c r="Z207" s="34" t="n">
        <v>6.96</v>
      </c>
      <c r="AA207" s="34" t="n">
        <v>19.31</v>
      </c>
      <c r="AB207" s="34" t="n">
        <v>27.86</v>
      </c>
      <c r="AC207" s="34" t="n">
        <v>-2.15</v>
      </c>
      <c r="AD207" s="26" t="inlineStr">
        <is>
          <t>HSTECH (Hang Seng TECH ETF)</t>
        </is>
      </c>
      <c r="AE207" s="34" t="n">
        <v>-58.14</v>
      </c>
      <c r="AF207" s="28" t="n">
        <v>12896.7</v>
      </c>
      <c r="AG207" s="28" t="n">
        <v>-6429.3</v>
      </c>
      <c r="AH207" s="26" t="inlineStr">
        <is>
          <t>N</t>
        </is>
      </c>
      <c r="AI207" s="38">
        <f>IF('BBG Verify'!O207="","not filed — run on terminal",'BBG Verify'!O207)</f>
        <v/>
      </c>
      <c r="AJ207" s="35" t="n">
        <v>1.9</v>
      </c>
      <c r="AK207" s="26" t="inlineStr">
        <is>
          <t>N</t>
        </is>
      </c>
      <c r="AL207" s="36">
        <f>IF('BBG Verify'!K207="","not filed — run on terminal",'BBG Verify'!K207)</f>
        <v/>
      </c>
      <c r="AM207" s="26" t="inlineStr">
        <is>
          <t>N/A</t>
        </is>
      </c>
      <c r="AN207" s="26" t="inlineStr">
        <is>
          <t>N/A</t>
        </is>
      </c>
      <c r="AO207" s="26" t="inlineStr">
        <is>
          <t>N/A</t>
        </is>
      </c>
      <c r="AP207" s="26" t="inlineStr">
        <is>
          <t>Goldman Sachs (Asia) L.L.C; China International Capital Corporation Hong Kong Securities Limited; Merrill Lynch (Asia Pacific) Limited; -Overall Coordinators Goldman Sachs (Asia) L.L.C; UBS AG Hong Kong Branch</t>
        </is>
      </c>
      <c r="AQ207" s="26" t="inlineStr">
        <is>
          <t>中國國際金融香港證券有限公司; 瑞銀證券香港有限公司; 美林(亞太)有限公司; 高盛(亞洲)有限責任公司</t>
        </is>
      </c>
      <c r="AR207" s="26" t="inlineStr">
        <is>
          <t>Goldman Sachs (Asia) L.L.C; China International Capital Corporation Hong Kong Securities Limited; UBS AG Hong Kong Branch; Merrill Lynch (Asia Pacific) Limited; CMB International Capital Limited; BOCOM International Securities Limited; ICBC International Securities Limited; ABCI Capital Limited; Futu Securities International (Hong Kong) Limited</t>
        </is>
      </c>
      <c r="AS207" s="26" t="inlineStr">
        <is>
          <t>農銀國際證券有限公司; Beta International Securities Limited; 中國國際金融香港證券有限公司; 招銀國際融資有限公司; 富途證券國際（香港）有限公司; 高盛(亞洲)有限責任公司; 工銀國際證券有限公司; 美林(亞太)有限公司; UBS AG 香港分行</t>
        </is>
      </c>
      <c r="AT207" s="37">
        <f>HYPERLINK("https://www1.hkexnews.hk/listedco/listconews/sehk/2023/0914/2023091400024.htm","prospectus")</f>
        <v/>
      </c>
      <c r="AU207" s="37">
        <f>HYPERLINK("https://www1.hkexnews.hk/listedco/listconews/sehk/2023/0925/2023092500012.htm","allotment")</f>
        <v/>
      </c>
      <c r="AV207" s="37">
        <f>HYPERLINK("https://www1.hkexnews.hk/listedco/listconews/sehk/2023/1019/2023101901082.pdf","stabilisation")</f>
        <v/>
      </c>
      <c r="AW207" s="26" t="inlineStr">
        <is>
          <t>P/E: n/m — loss-making at IPO (use P/S) · A/H: no A-share listing · market cap: estimate from stated market capitalisation disagreed with the published listing cap — published figure adopted · cornerstone: AAStocks institutional table includes non-cornerstone orders (superset) — cornerstone % is from the prospectus</t>
        </is>
      </c>
    </row>
    <row r="208">
      <c r="A208" s="25" t="inlineStr">
        <is>
          <t>9686</t>
        </is>
      </c>
      <c r="B208" s="26" t="inlineStr">
        <is>
          <t>NEUSOFT XIKANG</t>
        </is>
      </c>
      <c r="C208" s="26" t="inlineStr">
        <is>
          <t>熙康雲醫院</t>
        </is>
      </c>
      <c r="D208" s="26" t="inlineStr">
        <is>
          <t>Healthcare</t>
        </is>
      </c>
      <c r="E208" s="26" t="inlineStr">
        <is>
          <t>Digital health</t>
        </is>
      </c>
      <c r="F208" s="26" t="inlineStr">
        <is>
          <t>Standard</t>
        </is>
      </c>
      <c r="G208" s="27" t="n">
        <v>45197</v>
      </c>
      <c r="H208" s="28" t="n">
        <v>21.6</v>
      </c>
      <c r="I208" s="26" t="inlineStr">
        <is>
          <t>gross (stated)</t>
        </is>
      </c>
      <c r="J208" s="29" t="n">
        <v>4.76</v>
      </c>
      <c r="K208" s="29" t="n">
        <v>5.91</v>
      </c>
      <c r="L208" s="29" t="n">
        <v>4.76</v>
      </c>
      <c r="M208" s="26" t="inlineStr">
        <is>
          <t>N</t>
        </is>
      </c>
      <c r="N208" s="30" t="n">
        <v>80.5</v>
      </c>
      <c r="O208" s="28" t="n">
        <v>4787.1</v>
      </c>
      <c r="P208" s="26" t="inlineStr">
        <is>
          <t>aastocks:上市市值 at the struck price</t>
        </is>
      </c>
      <c r="Q208" s="31" t="n">
        <v>0.9</v>
      </c>
      <c r="R208" s="39">
        <f>IF('BBG Verify'!E208="","not filed — run on terminal",'BBG Verify'!E208)</f>
        <v/>
      </c>
      <c r="S208" s="33" t="n">
        <v>8.960000000000001</v>
      </c>
      <c r="T208" s="26" t="inlineStr">
        <is>
          <t>INFO EXPERT SERVICES LIMITED; 寧波海曙產業投資有限公司; 寧波市產業發展基金有限公司</t>
        </is>
      </c>
      <c r="U208" s="30" t="n">
        <v>17.85</v>
      </c>
      <c r="V208" s="26" t="n"/>
      <c r="W208" s="34" t="n">
        <v>-42.86</v>
      </c>
      <c r="X208" s="34" t="n">
        <v>-51.26</v>
      </c>
      <c r="Y208" s="34" t="n">
        <v>-66.39</v>
      </c>
      <c r="Z208" s="34" t="n">
        <v>-70.17</v>
      </c>
      <c r="AA208" s="34" t="n">
        <v>-41.18</v>
      </c>
      <c r="AB208" s="34" t="n">
        <v>-71.06</v>
      </c>
      <c r="AC208" s="34" t="n">
        <v>4.67</v>
      </c>
      <c r="AD208" s="26" t="inlineStr">
        <is>
          <t>China Biotech ETF (HS biotech proxy)</t>
        </is>
      </c>
      <c r="AE208" s="34" t="n">
        <v>-82.14</v>
      </c>
      <c r="AF208" s="28" t="n">
        <v>756.2</v>
      </c>
      <c r="AG208" s="28" t="n">
        <v>-267.6</v>
      </c>
      <c r="AH208" s="26" t="inlineStr">
        <is>
          <t>N</t>
        </is>
      </c>
      <c r="AI208" s="38">
        <f>IF('BBG Verify'!O208="","not filed — run on terminal",'BBG Verify'!O208)</f>
        <v/>
      </c>
      <c r="AJ208" s="35" t="n">
        <v>6.3</v>
      </c>
      <c r="AK208" s="26" t="inlineStr">
        <is>
          <t>N</t>
        </is>
      </c>
      <c r="AL208" s="36">
        <f>IF('BBG Verify'!K208="","not filed — run on terminal",'BBG Verify'!K208)</f>
        <v/>
      </c>
      <c r="AM208" s="26" t="inlineStr">
        <is>
          <t>N/A</t>
        </is>
      </c>
      <c r="AN208" s="26" t="inlineStr">
        <is>
          <t>N/A</t>
        </is>
      </c>
      <c r="AO208" s="26" t="inlineStr">
        <is>
          <t>N/A</t>
        </is>
      </c>
      <c r="AP208" s="26" t="n"/>
      <c r="AQ208" s="26" t="inlineStr">
        <is>
          <t>中國國際金融香港證券有限公司</t>
        </is>
      </c>
      <c r="AR208" s="26" t="inlineStr">
        <is>
          <t>Manager China International Capital Corporation Hong Kong Securities Limited; Managers Daiwa Capital Markets Hong Kong Limited; BOCI Asia Limited; Futu Securities International (Hong Kong) Limited; China Galaxy International Securities (Hong Kong) Co., Limited; GF Securities (Hong Kong) Brokerage Limited</t>
        </is>
      </c>
      <c r="AS208" s="26" t="inlineStr">
        <is>
          <t>中銀國際亞洲有限公司; 中國銀河國際證券(香港)有限公司; 中國國際金融香港證券有限公司; 大和資本市場香港有限公司; 富途證券國際（香港）有限公司; 廣發證券（香港）經紀有限公司; 華盛資本証券有限公司</t>
        </is>
      </c>
      <c r="AT208" s="37">
        <f>HYPERLINK("https://www1.hkexnews.hk/listedco/listconews/sehk/2023/0918/2023091800017.pdf","prospectus")</f>
        <v/>
      </c>
      <c r="AU208" s="37">
        <f>HYPERLINK("https://www1.hkexnews.hk/listedco/listconews/sehk/2023/0927/2023092700030.htm","allotment")</f>
        <v/>
      </c>
      <c r="AV208" s="26" t="n"/>
      <c r="AW208" s="26" t="inlineStr">
        <is>
          <t>intl sub: subscription level not stated in the filing · P/E: n/m — loss-making at IPO (use P/S) · greenshoe: end-of-stabilisation notice not located · A/H: no A-share listing · sponsor: English name not in the filing text; AAStocks 保薦人 shown · market cap: estimate from deal size / offer % of enlarged capital disagreed with the published listing cap — published figure adopted · cornerstone: AAStocks institutional table includes non-cornerstone orders (superset) — cornerstone % is from the prospectus</t>
        </is>
      </c>
    </row>
    <row r="209">
      <c r="A209" s="25" t="inlineStr">
        <is>
          <t>9890</t>
        </is>
      </c>
      <c r="B209" s="26" t="inlineStr">
        <is>
          <t>ZX INC</t>
        </is>
      </c>
      <c r="C209" s="26" t="inlineStr">
        <is>
          <t>貪玩</t>
        </is>
      </c>
      <c r="D209" s="26" t="inlineStr">
        <is>
          <t>TMT-other</t>
        </is>
      </c>
      <c r="E209" s="26" t="inlineStr">
        <is>
          <t>Media / advertising</t>
        </is>
      </c>
      <c r="F209" s="26" t="inlineStr">
        <is>
          <t>Standard</t>
        </is>
      </c>
      <c r="G209" s="27" t="n">
        <v>45197</v>
      </c>
      <c r="H209" s="28" t="n">
        <v>29.5</v>
      </c>
      <c r="I209" s="26" t="inlineStr">
        <is>
          <t>gross (stated)</t>
        </is>
      </c>
      <c r="J209" s="29" t="n">
        <v>11</v>
      </c>
      <c r="K209" s="29" t="n">
        <v>14</v>
      </c>
      <c r="L209" s="29" t="n">
        <v>14</v>
      </c>
      <c r="M209" s="26" t="inlineStr">
        <is>
          <t>Y</t>
        </is>
      </c>
      <c r="N209" s="30" t="n">
        <v>100</v>
      </c>
      <c r="O209" s="28" t="n">
        <v>7482.2</v>
      </c>
      <c r="P209" s="26" t="inlineStr">
        <is>
          <t>aastocks:上市市值 at the struck price</t>
        </is>
      </c>
      <c r="Q209" s="31" t="n">
        <v>104</v>
      </c>
      <c r="R209" s="32" t="n">
        <v>1.67</v>
      </c>
      <c r="S209" s="33" t="n">
        <v>24.1</v>
      </c>
      <c r="T209" s="26" t="inlineStr">
        <is>
          <t>四三九九網絡有限公司; 奧飛數據國際有限公司; 香港龍鑫有限公司; 上饒高產投</t>
        </is>
      </c>
      <c r="U209" s="30" t="n">
        <v>20</v>
      </c>
      <c r="V209" s="26" t="inlineStr">
        <is>
          <t>lapsed</t>
        </is>
      </c>
      <c r="W209" s="34" t="n">
        <v>0</v>
      </c>
      <c r="X209" s="34" t="n">
        <v>-3.86</v>
      </c>
      <c r="Y209" s="34" t="n">
        <v>-14.29</v>
      </c>
      <c r="Z209" s="34" t="n">
        <v>240.36</v>
      </c>
      <c r="AA209" s="34" t="n">
        <v>-14.29</v>
      </c>
      <c r="AB209" s="34" t="n">
        <v>-11.45</v>
      </c>
      <c r="AC209" s="34" t="n">
        <v>-2.84</v>
      </c>
      <c r="AD209" s="26" t="inlineStr">
        <is>
          <t>Hang Seng Index</t>
        </is>
      </c>
      <c r="AE209" s="34" t="n">
        <v>-30.75</v>
      </c>
      <c r="AF209" s="28" t="n">
        <v>9698.9</v>
      </c>
      <c r="AG209" s="28" t="n">
        <v>661.7</v>
      </c>
      <c r="AH209" s="26" t="inlineStr">
        <is>
          <t>Y</t>
        </is>
      </c>
      <c r="AI209" s="35" t="n">
        <v>11.3</v>
      </c>
      <c r="AJ209" s="35" t="n">
        <v>0.8</v>
      </c>
      <c r="AK209" s="26" t="inlineStr">
        <is>
          <t>N</t>
        </is>
      </c>
      <c r="AL209" s="36">
        <f>IF('BBG Verify'!K209="","not filed — run on terminal",'BBG Verify'!K209)</f>
        <v/>
      </c>
      <c r="AM209" s="26" t="inlineStr">
        <is>
          <t>N/A</t>
        </is>
      </c>
      <c r="AN209" s="26" t="inlineStr">
        <is>
          <t>N/A</t>
        </is>
      </c>
      <c r="AO209" s="26" t="inlineStr">
        <is>
          <t>N/A</t>
        </is>
      </c>
      <c r="AP209" s="26" t="n"/>
      <c r="AQ209" s="26" t="inlineStr">
        <is>
          <t>中國國際金融香港證券有限公司; 中信建投(國際)融資有限公司</t>
        </is>
      </c>
      <c r="AR209" s="26"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AS209" s="26" t="inlineStr">
        <is>
          <t>中國國際金融香港證券有限公司; 中信里昂證券有限公司; 招銀國際融資有限公司; 招商證券(香港)有限公司; 中信建投(國際)融資有限公司; 富途證券國際（香港）有限公司; 工銀國際證券有限公司; 老虎證券（香港）環球有限公司</t>
        </is>
      </c>
      <c r="AT209" s="37">
        <f>HYPERLINK("https://www1.hkexnews.hk/listedco/listconews/sehk/2023/0918/2023091800015.pdf","prospectus")</f>
        <v/>
      </c>
      <c r="AU209" s="37">
        <f>HYPERLINK("https://www1.hkexnews.hk/listedco/listconews/sehk/2023/0927/2023092700046.htm","allotment")</f>
        <v/>
      </c>
      <c r="AV209" s="37">
        <f>HYPERLINK("https://www1.hkexnews.hk/listedco/listconews/sehk/2023/1023/2023102300009.pdf","stabilisation")</f>
        <v/>
      </c>
      <c r="AW209" s="26" t="inlineStr">
        <is>
          <t>A/H: no A-share listing · sponsor: English name not in the filing text; AAStocks 保薦人 shown · market cap: estimate from stated market capitalisation disagreed with the published listing cap — published figure adopted · cornerstone: AAStocks institutional table includes non-cornerstone orders (superset) — cornerstone % is from the prospectus</t>
        </is>
      </c>
    </row>
    <row r="210">
      <c r="A210" s="25" t="inlineStr">
        <is>
          <t>6682</t>
        </is>
      </c>
      <c r="B210" s="26" t="inlineStr">
        <is>
          <t>FOURTH PARADIGM</t>
        </is>
      </c>
      <c r="C210" s="26" t="inlineStr">
        <is>
          <t>範式智能</t>
        </is>
      </c>
      <c r="D210" s="26" t="inlineStr">
        <is>
          <t>Tech/AI</t>
        </is>
      </c>
      <c r="E210" s="26" t="inlineStr">
        <is>
          <t>AI application / agent software</t>
        </is>
      </c>
      <c r="F210" s="26" t="inlineStr">
        <is>
          <t>Standard</t>
        </is>
      </c>
      <c r="G210" s="27" t="n">
        <v>45197</v>
      </c>
      <c r="H210" s="28" t="n">
        <v>1022.8</v>
      </c>
      <c r="I210" s="26" t="inlineStr">
        <is>
          <t>gross (price x shares)</t>
        </is>
      </c>
      <c r="J210" s="29" t="n">
        <v>55.6</v>
      </c>
      <c r="K210" s="29" t="n">
        <v>61.16</v>
      </c>
      <c r="L210" s="29" t="n">
        <v>55.6</v>
      </c>
      <c r="M210" s="26" t="inlineStr">
        <is>
          <t>N</t>
        </is>
      </c>
      <c r="N210" s="30" t="n">
        <v>90.90000000000001</v>
      </c>
      <c r="O210" s="28" t="n">
        <v>22578.4</v>
      </c>
      <c r="P210" s="26" t="inlineStr">
        <is>
          <t>derived:deal size / offer % of enlarged capital</t>
        </is>
      </c>
      <c r="Q210" s="31" t="n">
        <v>11.4</v>
      </c>
      <c r="R210" s="32" t="n">
        <v>1.57</v>
      </c>
      <c r="S210" s="33" t="n">
        <v>39.6</v>
      </c>
      <c r="T210" s="26" t="inlineStr">
        <is>
          <t>北京中關村科學城科技成長投資合夥企業(有限合夥); Montage Technology Holdings Company Limited; 新華資本管理有限公司</t>
        </is>
      </c>
      <c r="U210" s="30" t="n">
        <v>17.6</v>
      </c>
      <c r="V210" s="26" t="inlineStr">
        <is>
          <t>partial</t>
        </is>
      </c>
      <c r="W210" s="34" t="n">
        <v>5.22</v>
      </c>
      <c r="X210" s="34" t="n">
        <v>-2.88</v>
      </c>
      <c r="Y210" s="34" t="n">
        <v>-6.47</v>
      </c>
      <c r="Z210" s="34" t="n">
        <v>-10.79</v>
      </c>
      <c r="AA210" s="34" t="n">
        <v>-11.11</v>
      </c>
      <c r="AB210" s="34" t="n">
        <v>-4.66</v>
      </c>
      <c r="AC210" s="34" t="n">
        <v>-1.81</v>
      </c>
      <c r="AD210" s="26" t="inlineStr">
        <is>
          <t>HSTECH (Hang Seng TECH ETF)</t>
        </is>
      </c>
      <c r="AE210" s="34" t="n">
        <v>-49.78</v>
      </c>
      <c r="AF210" s="28" t="n">
        <v>0</v>
      </c>
      <c r="AG210" s="28" t="n">
        <v>-1818.8</v>
      </c>
      <c r="AH210" s="26" t="inlineStr">
        <is>
          <t>N</t>
        </is>
      </c>
      <c r="AI210" s="38">
        <f>IF('BBG Verify'!O210="","not filed — run on terminal",'BBG Verify'!O210)</f>
        <v/>
      </c>
      <c r="AJ210" s="35" t="n"/>
      <c r="AK210" s="26" t="inlineStr">
        <is>
          <t>N</t>
        </is>
      </c>
      <c r="AL210" s="36">
        <f>IF('BBG Verify'!K210="","not filed — run on terminal",'BBG Verify'!K210)</f>
        <v/>
      </c>
      <c r="AM210" s="26" t="inlineStr">
        <is>
          <t>N/A</t>
        </is>
      </c>
      <c r="AN210" s="26" t="inlineStr">
        <is>
          <t>N/A</t>
        </is>
      </c>
      <c r="AO210" s="26" t="inlineStr">
        <is>
          <t>N/A</t>
        </is>
      </c>
      <c r="AP210" s="26" t="inlineStr">
        <is>
          <t>China International Capital Corporation Hong Kong Securities Limited</t>
        </is>
      </c>
      <c r="AQ210" s="26" t="inlineStr">
        <is>
          <t>中國國際金融香港證券有限公司</t>
        </is>
      </c>
      <c r="AR210" s="26"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AS210" s="26" t="inlineStr">
        <is>
          <t>農銀國際證券有限公司; Beta International Securities Limited; 中銀國際亞洲有限公司; 建銀國際金融有限公司; 光銀國際資本有限公司; 中州國際融資有限公司; 中國光大證券(香港)有限公司; 中國國際金融香港證券有限公司; 招銀國際融資有限公司; 招商證券(香港)有限公司; 信銀（香港）資本有限公司; 華升證券（國際）有限公司; 復星國際證券有限公司; 富途證券國際（香港）有限公司; 華泰金融控股(香港)有限公司; 工銀國際證券有限公司; 北拓國際證券有限公司; 東方證券(香港)有限公司; 富明證券有限公司; 浦銀國際融資有限公司; 老虎證券（香港）環球有限公司; 華盛資本証券有限公司</t>
        </is>
      </c>
      <c r="AT210" s="37">
        <f>HYPERLINK("https://www1.hkexnews.hk/listedco/listconews/sehk/2023/0918/2023091800009.pdf","prospectus")</f>
        <v/>
      </c>
      <c r="AU210" s="37">
        <f>HYPERLINK("https://www1.hkexnews.hk/listedco/listconews/sehk/2023/0927/2023092700070.htm","allotment")</f>
        <v/>
      </c>
      <c r="AV210" s="37">
        <f>HYPERLINK("https://www1.hkexnews.hk/listedco/listconews/sehk/2023/1023/2023102300123.pdf","stabilisation")</f>
        <v/>
      </c>
      <c r="AW210" s="26" t="inlineStr">
        <is>
          <t>P/E: n/m — loss-making at IPO (use P/S) · A/H: no A line; closest listed proxy {'code': '600588.SS', 'name': 'Yonyou Network', 'rationale': 'Enterprise-software platform embedding AI into corporate decision/ERP workflows — closest A-share enterprise-AI software exposure.'} · cornerstone: AAStocks institutional table includes non-cornerstone orders (superset) — cornerstone % is from the prospectus</t>
        </is>
      </c>
    </row>
    <row r="211">
      <c r="A211" s="25" t="inlineStr">
        <is>
          <t>1973</t>
        </is>
      </c>
      <c r="B211" s="26" t="inlineStr">
        <is>
          <t>TIAN TU CAPITAL</t>
        </is>
      </c>
      <c r="C211" s="26" t="inlineStr">
        <is>
          <t>天圖投資</t>
        </is>
      </c>
      <c r="D211" s="26" t="inlineStr">
        <is>
          <t>Financials</t>
        </is>
      </c>
      <c r="E211" s="26" t="inlineStr">
        <is>
          <t>Brokers / asset management</t>
        </is>
      </c>
      <c r="F211" s="26" t="inlineStr">
        <is>
          <t>Standard</t>
        </is>
      </c>
      <c r="G211" s="27" t="n">
        <v>45205</v>
      </c>
      <c r="H211" s="28" t="n">
        <v>1126.2</v>
      </c>
      <c r="I211" s="26" t="inlineStr">
        <is>
          <t>gross (price x shares)</t>
        </is>
      </c>
      <c r="J211" s="29" t="n">
        <v>5.8</v>
      </c>
      <c r="K211" s="29" t="n">
        <v>11.4</v>
      </c>
      <c r="L211" s="29" t="n">
        <v>6.5</v>
      </c>
      <c r="M211" s="26" t="inlineStr">
        <is>
          <t>N</t>
        </is>
      </c>
      <c r="N211" s="30" t="n">
        <v>57</v>
      </c>
      <c r="O211" s="28" t="n">
        <v>6232.5</v>
      </c>
      <c r="P211" s="26" t="inlineStr">
        <is>
          <t>aastocks:上市市值 at the struck price</t>
        </is>
      </c>
      <c r="Q211" s="31" t="n">
        <v>0.26</v>
      </c>
      <c r="R211" s="32" t="n">
        <v>1.28</v>
      </c>
      <c r="S211" s="33" t="n">
        <v>44.2</v>
      </c>
      <c r="T211" s="26" t="inlineStr">
        <is>
          <t>青島海明、青島海諾及青島金融; 深圳市福田引導基金投資有限公司</t>
        </is>
      </c>
      <c r="U211" s="30" t="n">
        <v>15.21</v>
      </c>
      <c r="V211" s="26" t="inlineStr">
        <is>
          <t>lapsed (no over-allocation)</t>
        </is>
      </c>
      <c r="W211" s="34" t="n">
        <v>-24.92</v>
      </c>
      <c r="X211" s="34" t="n">
        <v>-38.46</v>
      </c>
      <c r="Y211" s="34" t="n">
        <v>-13.85</v>
      </c>
      <c r="Z211" s="34" t="n">
        <v>-20.15</v>
      </c>
      <c r="AA211" s="34" t="n">
        <v>14.74</v>
      </c>
      <c r="AB211" s="34" t="n">
        <v>-15.01</v>
      </c>
      <c r="AC211" s="34" t="n">
        <v>1.16</v>
      </c>
      <c r="AD211" s="26" t="inlineStr">
        <is>
          <t>Hang Seng Finance sub-index</t>
        </is>
      </c>
      <c r="AE211" s="34" t="n">
        <v>-69.23</v>
      </c>
      <c r="AF211" s="28" t="n">
        <v>50.6</v>
      </c>
      <c r="AG211" s="28" t="n">
        <v>175.4</v>
      </c>
      <c r="AH211" s="26" t="inlineStr">
        <is>
          <t>Y</t>
        </is>
      </c>
      <c r="AI211" s="35" t="n">
        <v>35.5</v>
      </c>
      <c r="AJ211" s="35" t="n">
        <v>123.2</v>
      </c>
      <c r="AK211" s="26" t="inlineStr">
        <is>
          <t>N</t>
        </is>
      </c>
      <c r="AL211" s="36">
        <f>IF('BBG Verify'!K211="","not filed — run on terminal",'BBG Verify'!K211)</f>
        <v/>
      </c>
      <c r="AM211" s="26" t="inlineStr">
        <is>
          <t>N/A</t>
        </is>
      </c>
      <c r="AN211" s="26" t="inlineStr">
        <is>
          <t>N/A</t>
        </is>
      </c>
      <c r="AO211" s="26" t="inlineStr">
        <is>
          <t>N/A</t>
        </is>
      </c>
      <c r="AP211" s="26" t="inlineStr">
        <is>
          <t>Huatai Financial Holdings (Hong Kong) Limited; BOCI Asia Limited</t>
        </is>
      </c>
      <c r="AQ211" s="26" t="inlineStr">
        <is>
          <t>華泰金融控股(香港)有限公司; 中銀國際亞洲有限公司</t>
        </is>
      </c>
      <c r="AR211" s="26"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AS211" s="26" t="inlineStr">
        <is>
          <t>農銀國際證券有限公司; Beta International Securities Limited; 中銀國際亞洲有限公司; 建銀國際金融有限公司; 中國銀河國際證券(香港)有限公司; 興證國際融資有限公司; 招銀國際融資有限公司; 安信國際證券(香港)有限公司; 富途證券國際（香港）有限公司; 國都證券（香港）有限公司; 華泰金融控股(香港)有限公司; 工銀國際證券有限公司; 利弗莫爾證券有限公司; 老虎證券（香港）環球有限公司; 華盛資本証券有限公司; 中泰國際證券有限公司</t>
        </is>
      </c>
      <c r="AT211" s="37">
        <f>HYPERLINK("https://www1.hkexnews.hk/listedco/listconews/sehk/2023/0925/2023092500007.pdf","prospectus")</f>
        <v/>
      </c>
      <c r="AU211" s="37">
        <f>HYPERLINK("https://www1.hkexnews.hk/listedco/listconews/sehk/2023/1005/2023100500006.htm","allotment")</f>
        <v/>
      </c>
      <c r="AV211" s="37">
        <f>HYPERLINK("https://www1.hkexnews.hk/listedco/listconews/sehk/2023/1101/2023110102578.pdf","stabilisation")</f>
        <v/>
      </c>
      <c r="AW211" s="26" t="inlineStr">
        <is>
          <t>A/H: no A-share listing · market cap: estimate from stated market capitalisation disagreed with the published listing cap — published figure adopted</t>
        </is>
      </c>
    </row>
    <row r="212">
      <c r="A212" s="25" t="inlineStr">
        <is>
          <t>2501</t>
        </is>
      </c>
      <c r="B212" s="26" t="inlineStr">
        <is>
          <t>MAIYUE TECH</t>
        </is>
      </c>
      <c r="C212" s="26" t="inlineStr">
        <is>
          <t>邁越科技</t>
        </is>
      </c>
      <c r="D212" s="26" t="inlineStr">
        <is>
          <t>Other</t>
        </is>
      </c>
      <c r="E212" s="26" t="inlineStr">
        <is>
          <t>Other / unclassified</t>
        </is>
      </c>
      <c r="F212" s="26" t="inlineStr">
        <is>
          <t>Standard</t>
        </is>
      </c>
      <c r="G212" s="27" t="n">
        <v>45210</v>
      </c>
      <c r="H212" s="28" t="n">
        <v>147.5</v>
      </c>
      <c r="I212" s="26" t="inlineStr">
        <is>
          <t>gross (price x shares)</t>
        </is>
      </c>
      <c r="J212" s="29" t="n"/>
      <c r="K212" s="29" t="n">
        <v>1.18</v>
      </c>
      <c r="L212" s="29" t="n">
        <v>1.18</v>
      </c>
      <c r="M212" s="26" t="inlineStr">
        <is>
          <t>Y</t>
        </is>
      </c>
      <c r="N212" s="30" t="n">
        <v>100</v>
      </c>
      <c r="O212" s="28" t="n">
        <v>612.5</v>
      </c>
      <c r="P212" s="26" t="inlineStr">
        <is>
          <t>aastocks:上市市值 at the struck price</t>
        </is>
      </c>
      <c r="Q212" s="31" t="n">
        <v>2.46</v>
      </c>
      <c r="R212" s="32" t="n">
        <v>1.16</v>
      </c>
      <c r="S212" s="33" t="n">
        <v>0</v>
      </c>
      <c r="T212" s="26" t="n"/>
      <c r="U212" s="30" t="n">
        <v>15</v>
      </c>
      <c r="V212" s="26" t="n"/>
      <c r="W212" s="34" t="n">
        <v>38.14</v>
      </c>
      <c r="X212" s="34" t="n">
        <v>14.41</v>
      </c>
      <c r="Y212" s="34" t="n">
        <v>11.86</v>
      </c>
      <c r="Z212" s="34" t="n">
        <v>-2.54</v>
      </c>
      <c r="AA212" s="34" t="n">
        <v>-19.02</v>
      </c>
      <c r="AB212" s="34" t="n">
        <v>14.47</v>
      </c>
      <c r="AC212" s="34" t="n">
        <v>-2.61</v>
      </c>
      <c r="AD212" s="26" t="inlineStr">
        <is>
          <t>Hang Seng Index</t>
        </is>
      </c>
      <c r="AE212" s="34" t="n">
        <v>26.27</v>
      </c>
      <c r="AF212" s="28" t="n">
        <v>267.6</v>
      </c>
      <c r="AG212" s="28" t="n">
        <v>54</v>
      </c>
      <c r="AH212" s="26" t="inlineStr">
        <is>
          <t>Y</t>
        </is>
      </c>
      <c r="AI212" s="35" t="n">
        <v>11.3</v>
      </c>
      <c r="AJ212" s="35" t="n">
        <v>2.3</v>
      </c>
      <c r="AK212" s="26" t="inlineStr">
        <is>
          <t>N</t>
        </is>
      </c>
      <c r="AL212" s="36">
        <f>IF('BBG Verify'!K212="","not filed — run on terminal",'BBG Verify'!K212)</f>
        <v/>
      </c>
      <c r="AM212" s="26" t="inlineStr">
        <is>
          <t>N/A</t>
        </is>
      </c>
      <c r="AN212" s="26" t="inlineStr">
        <is>
          <t>N/A</t>
        </is>
      </c>
      <c r="AO212" s="26" t="inlineStr">
        <is>
          <t>N/A</t>
        </is>
      </c>
      <c r="AP212" s="26" t="inlineStr">
        <is>
          <t>Quam Capital Limited</t>
        </is>
      </c>
      <c r="AQ212" s="26" t="inlineStr">
        <is>
          <t>華富嘉洛證券融資有限公司</t>
        </is>
      </c>
      <c r="AR212" s="26" t="inlineStr">
        <is>
          <t>Quam Securities Limited; ABCI Capital Limited; BOCOM International Securities Limited; China Galaxy International Securities (Hong Kong) Co., Limited; CMB International Capital Limited; Guotai Junan Securities (Hong Kong) Limited; Zhongtai International Securities Limited; DIRECTORS AND PARTIES INVOLVED IN THE GLOBAL OFFERING –7 5– ABCI Capital Limited; CMBC Securities Company Limited; Eddid Securities and Futures Limited; Innovax Securities Limited; DIRECTORS AND PARTIES INVOLVED IN THE GLOBAL OFFERING –7 6– Valuable Capital Limited</t>
        </is>
      </c>
      <c r="AS212" s="26" t="inlineStr">
        <is>
          <t>農銀國際證券有限公司; Beta International Securities Limited; 中國銀河國際證券(香港)有限公司; 民銀證券有限公司; 招銀國際融資有限公司; 艾德證券期貨有限公司; 國泰君安證券(香港)有限公司; 創陞證券有限公司; 華富建業證券有限公司; 華盛資本証券有限公司; 越秀證券有限公司; 中泰國際證券有限公司</t>
        </is>
      </c>
      <c r="AT212" s="37">
        <f>HYPERLINK("https://www1.hkexnews.hk/listedco/listconews/sehk/2023/0928/2023092800100.htm","prospectus")</f>
        <v/>
      </c>
      <c r="AU212" s="37">
        <f>HYPERLINK("https://www1.hkexnews.hk/listedco/listconews/sehk/2023/1010/2023101000016.htm","allotment")</f>
        <v/>
      </c>
      <c r="AV212" s="26" t="n"/>
      <c r="AW212" s="26" t="inlineStr">
        <is>
          <t>greenshoe: end-of-stabilisation notice not located · price range: fixed-price offering (no indicative range) · A/H: no A-share listing</t>
        </is>
      </c>
    </row>
    <row r="213">
      <c r="A213" s="25" t="inlineStr">
        <is>
          <t>9676</t>
        </is>
      </c>
      <c r="B213" s="26" t="inlineStr">
        <is>
          <t>SHIYUE DAOTIAN</t>
        </is>
      </c>
      <c r="C213" s="26" t="inlineStr">
        <is>
          <t>十月稻田</t>
        </is>
      </c>
      <c r="D213" s="26" t="inlineStr">
        <is>
          <t>Consumer</t>
        </is>
      </c>
      <c r="E213" s="26" t="inlineStr">
        <is>
          <t>Beverages / packaged food</t>
        </is>
      </c>
      <c r="F213" s="26" t="inlineStr">
        <is>
          <t>Standard</t>
        </is>
      </c>
      <c r="G213" s="27" t="n">
        <v>45211</v>
      </c>
      <c r="H213" s="28" t="n">
        <v>820.3</v>
      </c>
      <c r="I213" s="26" t="inlineStr">
        <is>
          <t>gross (price x shares)</t>
        </is>
      </c>
      <c r="J213" s="29" t="n">
        <v>13</v>
      </c>
      <c r="K213" s="29" t="n">
        <v>15.8</v>
      </c>
      <c r="L213" s="29" t="n">
        <v>15.36</v>
      </c>
      <c r="M213" s="26" t="inlineStr">
        <is>
          <t>N</t>
        </is>
      </c>
      <c r="N213" s="30" t="n">
        <v>97.2</v>
      </c>
      <c r="O213" s="28" t="n">
        <v>16406</v>
      </c>
      <c r="P213" s="26" t="inlineStr">
        <is>
          <t>derived:deal size / offer % of enlarged capital</t>
        </is>
      </c>
      <c r="Q213" s="31" t="n">
        <v>1.31</v>
      </c>
      <c r="R213" s="32" t="n">
        <v>1.26</v>
      </c>
      <c r="S213" s="33" t="n">
        <v>25.4</v>
      </c>
      <c r="T213" s="26" t="inlineStr">
        <is>
          <t>新民天時農業產業發展有限公司</t>
        </is>
      </c>
      <c r="U213" s="30" t="n"/>
      <c r="V213" s="26" t="n"/>
      <c r="W213" s="34" t="n">
        <v>22.66</v>
      </c>
      <c r="X213" s="34" t="n">
        <v>60.81</v>
      </c>
      <c r="Y213" s="34" t="n">
        <v>61.46</v>
      </c>
      <c r="Z213" s="34" t="n">
        <v>66.98999999999999</v>
      </c>
      <c r="AA213" s="34" t="n">
        <v>31.63</v>
      </c>
      <c r="AB213" s="34" t="n">
        <v>63.15</v>
      </c>
      <c r="AC213" s="34" t="n">
        <v>-1.69</v>
      </c>
      <c r="AD213" s="26" t="inlineStr">
        <is>
          <t>Hang Seng Commerce &amp; Industry sub-index</t>
        </is>
      </c>
      <c r="AE213" s="34" t="n">
        <v>-67.77</v>
      </c>
      <c r="AF213" s="28" t="n">
        <v>4986.2</v>
      </c>
      <c r="AG213" s="28" t="n">
        <v>-413.4</v>
      </c>
      <c r="AH213" s="26" t="inlineStr">
        <is>
          <t>N</t>
        </is>
      </c>
      <c r="AI213" s="38">
        <f>IF('BBG Verify'!O213="","not filed — run on terminal",'BBG Verify'!O213)</f>
        <v/>
      </c>
      <c r="AJ213" s="35" t="n">
        <v>3.3</v>
      </c>
      <c r="AK213" s="26" t="inlineStr">
        <is>
          <t>N</t>
        </is>
      </c>
      <c r="AL213" s="36">
        <f>IF('BBG Verify'!K213="","not filed — run on terminal",'BBG Verify'!K213)</f>
        <v/>
      </c>
      <c r="AM213" s="26" t="inlineStr">
        <is>
          <t>N/A</t>
        </is>
      </c>
      <c r="AN213" s="26" t="inlineStr">
        <is>
          <t>N/A</t>
        </is>
      </c>
      <c r="AO213" s="26" t="inlineStr">
        <is>
          <t>N/A</t>
        </is>
      </c>
      <c r="AP213" s="26" t="n"/>
      <c r="AQ213" s="26" t="inlineStr">
        <is>
          <t>中國國際金融香港證券有限公司; 摩根士丹利亞洲有限公司; 中信建投(國際)融資有限公司</t>
        </is>
      </c>
      <c r="AR213" s="26" t="inlineStr">
        <is>
          <t>Morgan Stanley Asia Limited; China International Capital Corporation Hong Kong Securities Limited; China Securities (International) Corporate Finance Company Limited</t>
        </is>
      </c>
      <c r="AS213" s="26" t="inlineStr">
        <is>
          <t>中國國際金融香港證券有限公司; 中信建投(國際)融資有限公司; 摩根士丹利亞洲有限公司; 老虎證券（香港）環球有限公司</t>
        </is>
      </c>
      <c r="AT213" s="37">
        <f>HYPERLINK("https://www1.hkexnews.hk/listedco/listconews/sehk/2023/0928/2023092800446.pdf","prospectus")</f>
        <v/>
      </c>
      <c r="AU213" s="37">
        <f>HYPERLINK("https://www1.hkexnews.hk/listedco/listconews/sehk/2023/1011/2023101100010.htm","allotment")</f>
        <v/>
      </c>
      <c r="AV213" s="26" t="n"/>
      <c r="AW213" s="26" t="inlineStr">
        <is>
          <t>P/E: n/m — loss-making at IPO (use P/S) · greenshoe: no over-allotment option in the offer structure · A/H: no A-share listing · sponsor: English name not in the filing text; AAStocks 保薦人 shown</t>
        </is>
      </c>
    </row>
    <row r="214">
      <c r="A214" s="25" t="inlineStr">
        <is>
          <t>2451</t>
        </is>
      </c>
      <c r="B214" s="26" t="inlineStr">
        <is>
          <t>LUYUAN GP HLDG</t>
        </is>
      </c>
      <c r="C214" s="26" t="inlineStr">
        <is>
          <t>綠源集團控股</t>
        </is>
      </c>
      <c r="D214" s="26" t="inlineStr">
        <is>
          <t>Consumer</t>
        </is>
      </c>
      <c r="E214" s="26" t="inlineStr">
        <is>
          <t>Autos (NEV OEM)</t>
        </is>
      </c>
      <c r="F214" s="26" t="inlineStr">
        <is>
          <t>Standard</t>
        </is>
      </c>
      <c r="G214" s="27" t="n">
        <v>45211</v>
      </c>
      <c r="H214" s="28" t="n">
        <v>31.5</v>
      </c>
      <c r="I214" s="26" t="inlineStr">
        <is>
          <t>gross (stated)</t>
        </is>
      </c>
      <c r="J214" s="29" t="n">
        <v>6</v>
      </c>
      <c r="K214" s="29" t="n">
        <v>8</v>
      </c>
      <c r="L214" s="29" t="n">
        <v>7.37</v>
      </c>
      <c r="M214" s="26" t="inlineStr">
        <is>
          <t>N</t>
        </is>
      </c>
      <c r="N214" s="30" t="n">
        <v>92.09999999999999</v>
      </c>
      <c r="O214" s="28" t="n">
        <v>2560</v>
      </c>
      <c r="P214" s="26" t="inlineStr">
        <is>
          <t>prospectus:stated market capitalisation</t>
        </is>
      </c>
      <c r="Q214" s="31" t="n">
        <v>7.66</v>
      </c>
      <c r="R214" s="32" t="n">
        <v>1.13</v>
      </c>
      <c r="S214" s="33" t="n">
        <v>31.1</v>
      </c>
      <c r="T214" s="26" t="inlineStr">
        <is>
          <t>重慶市大足區懷遠建設投資有限公司; 海南東方潤澤私募基金管理有限公司; 金華市產業基金有限公司; 金華金開國有資本投資有限公司; 星恒電源股份有限公司</t>
        </is>
      </c>
      <c r="U214" s="30" t="n"/>
      <c r="V214" s="26" t="n"/>
      <c r="W214" s="34" t="n">
        <v>0.95</v>
      </c>
      <c r="X214" s="34" t="n">
        <v>-1.63</v>
      </c>
      <c r="Y214" s="34" t="n">
        <v>0.54</v>
      </c>
      <c r="Z214" s="34" t="n">
        <v>-1.36</v>
      </c>
      <c r="AA214" s="34" t="n">
        <v>-0.41</v>
      </c>
      <c r="AB214" s="34" t="n">
        <v>2.23</v>
      </c>
      <c r="AC214" s="34" t="n">
        <v>-1.69</v>
      </c>
      <c r="AD214" s="26" t="inlineStr">
        <is>
          <t>Hang Seng Commerce &amp; Industry sub-index</t>
        </is>
      </c>
      <c r="AE214" s="34" t="n">
        <v>82.90000000000001</v>
      </c>
      <c r="AF214" s="28" t="n">
        <v>5261.3</v>
      </c>
      <c r="AG214" s="28" t="n">
        <v>129.8</v>
      </c>
      <c r="AH214" s="26" t="inlineStr">
        <is>
          <t>Y</t>
        </is>
      </c>
      <c r="AI214" s="35" t="n">
        <v>19.7</v>
      </c>
      <c r="AJ214" s="35" t="n">
        <v>0.5</v>
      </c>
      <c r="AK214" s="26" t="inlineStr">
        <is>
          <t>N</t>
        </is>
      </c>
      <c r="AL214" s="36">
        <f>IF('BBG Verify'!K214="","not filed — run on terminal",'BBG Verify'!K214)</f>
        <v/>
      </c>
      <c r="AM214" s="26" t="inlineStr">
        <is>
          <t>N/A</t>
        </is>
      </c>
      <c r="AN214" s="26" t="inlineStr">
        <is>
          <t>N/A</t>
        </is>
      </c>
      <c r="AO214" s="26" t="inlineStr">
        <is>
          <t>N/A</t>
        </is>
      </c>
      <c r="AP214" s="26" t="n"/>
      <c r="AQ214" s="26" t="inlineStr">
        <is>
          <t>中信建投(國際)融資有限公司</t>
        </is>
      </c>
      <c r="AR214" s="26"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AS214" s="26" t="inlineStr">
        <is>
          <t>農銀國際證券有限公司; 中國銀河國際證券(香港)有限公司; 招銀國際融資有限公司; 中信建投(國際)融資有限公司; 大和資本市場香港有限公司; 富途證券國際（香港）有限公司; 國泰君安證券(香港)有限公司; 工銀國際證券有限公司; 利弗莫爾證券有限公司; 軟庫中華金融服務有限公司; 浦銀國際融資有限公司; 天風國際證券與期貨有限公司; 華盛資本証券有限公司</t>
        </is>
      </c>
      <c r="AT214" s="37">
        <f>HYPERLINK("https://www1.hkexnews.hk/listedco/listconews/sehk/2023/0928/2023092800027.pdf","prospectus")</f>
        <v/>
      </c>
      <c r="AU214" s="37">
        <f>HYPERLINK("https://www1.hkexnews.hk/listedco/listconews/sehk/2023/1011/2023101100034.htm","allotment")</f>
        <v/>
      </c>
      <c r="AV214" s="26" t="n"/>
      <c r="AW214" s="26" t="inlineStr">
        <is>
          <t>greenshoe: no over-allotment option in the offer structure · A/H: no A-share listing · sponsor: English name not in the filing text; AAStocks 保薦人 shown · cornerstone: AAStocks institutional table includes non-cornerstone orders (superset) — cornerstone % is from the prospectus</t>
        </is>
      </c>
    </row>
    <row r="215">
      <c r="A215" s="25" t="inlineStr">
        <is>
          <t>1519</t>
        </is>
      </c>
      <c r="B215" s="26" t="inlineStr">
        <is>
          <t>J&amp;T EXPRESS-W</t>
        </is>
      </c>
      <c r="C215" s="26" t="inlineStr">
        <is>
          <t>極兔速遞－Ｗ</t>
        </is>
      </c>
      <c r="D215" s="26" t="inlineStr">
        <is>
          <t>Industrials</t>
        </is>
      </c>
      <c r="E215" s="26" t="inlineStr">
        <is>
          <t>Logistics</t>
        </is>
      </c>
      <c r="F215" s="26" t="inlineStr">
        <is>
          <t>WVR</t>
        </is>
      </c>
      <c r="G215" s="27" t="n">
        <v>45226</v>
      </c>
      <c r="H215" s="28" t="n">
        <v>3918.6</v>
      </c>
      <c r="I215" s="26" t="inlineStr">
        <is>
          <t>gross (price x shares)</t>
        </is>
      </c>
      <c r="J215" s="29" t="n"/>
      <c r="K215" s="29" t="n">
        <v>12</v>
      </c>
      <c r="L215" s="29" t="n">
        <v>12</v>
      </c>
      <c r="M215" s="26" t="inlineStr">
        <is>
          <t>Y</t>
        </is>
      </c>
      <c r="N215" s="30" t="n">
        <v>100</v>
      </c>
      <c r="O215" s="28" t="n">
        <v>105750</v>
      </c>
      <c r="P215" s="26" t="inlineStr">
        <is>
          <t>prospectus:stated market capitalisation</t>
        </is>
      </c>
      <c r="Q215" s="31" t="n">
        <v>1.36</v>
      </c>
      <c r="R215" s="32" t="n">
        <v>1.91</v>
      </c>
      <c r="S215" s="33" t="n">
        <v>39.88</v>
      </c>
      <c r="T215" s="26"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U215" s="30" t="n">
        <v>16.4</v>
      </c>
      <c r="V215" s="26" t="inlineStr">
        <is>
          <t>lapsed</t>
        </is>
      </c>
      <c r="W215" s="34" t="n">
        <v>0</v>
      </c>
      <c r="X215" s="34" t="n">
        <v>3.33</v>
      </c>
      <c r="Y215" s="34" t="n">
        <v>-1.17</v>
      </c>
      <c r="Z215" s="34" t="n">
        <v>34</v>
      </c>
      <c r="AA215" s="34" t="n">
        <v>-1.17</v>
      </c>
      <c r="AB215" s="34" t="n">
        <v>-4.04</v>
      </c>
      <c r="AC215" s="34" t="n">
        <v>2.87</v>
      </c>
      <c r="AD215" s="26" t="inlineStr">
        <is>
          <t>Hang Seng Commerce &amp; Industry sub-index</t>
        </is>
      </c>
      <c r="AE215" s="34" t="n">
        <v>-14.17</v>
      </c>
      <c r="AF215" s="28" t="n">
        <v>56685.9</v>
      </c>
      <c r="AG215" s="28" t="n">
        <v>12918.1</v>
      </c>
      <c r="AH215" s="26" t="inlineStr">
        <is>
          <t>Y</t>
        </is>
      </c>
      <c r="AI215" s="35" t="n">
        <v>8.199999999999999</v>
      </c>
      <c r="AJ215" s="35" t="n">
        <v>1.9</v>
      </c>
      <c r="AK215" s="26" t="inlineStr">
        <is>
          <t>N</t>
        </is>
      </c>
      <c r="AL215" s="36">
        <f>IF('BBG Verify'!K215="","not filed — run on terminal",'BBG Verify'!K215)</f>
        <v/>
      </c>
      <c r="AM215" s="26" t="inlineStr">
        <is>
          <t>N/A</t>
        </is>
      </c>
      <c r="AN215" s="26" t="inlineStr">
        <is>
          <t>N/A</t>
        </is>
      </c>
      <c r="AO215" s="26" t="inlineStr">
        <is>
          <t>N/A</t>
        </is>
      </c>
      <c r="AP215" s="26" t="inlineStr">
        <is>
          <t>Morgan Stanley Asia Limited; Merrill Lynch (Asia Pacific) Limited; Central, Hong Kong China International Capital Corporation Hong Kong Securities Limited</t>
        </is>
      </c>
      <c r="AQ215" s="26" t="inlineStr">
        <is>
          <t>中國國際金融香港證券有限公司; 摩根士丹利亞洲有限公司; 美林(亞太)有限公司</t>
        </is>
      </c>
      <c r="AR215" s="26" t="inlineStr">
        <is>
          <t>Managers and Capital Market Intermediaries Morgan Stanley Asia Limited; Merrill Lynch (Asia Pacific) Limited; Central, Hong Kong China International Capital Corporation Hong Kong Securities Limited; Central, Hong Kong UBS AG Hong Kong Branch; CCB International Capital Limited; Central, Hong Kong CMB International Capital Limited; Managers and Capital Market Intermediaries Huatai Financial Holdings (Hong Kong) Limited; BOCI Asia Limited; ABCI Capital Limited; ABCI Securities Company Limited</t>
        </is>
      </c>
      <c r="AS215" s="26" t="inlineStr">
        <is>
          <t>農銀國際證券有限公司; Beta International Securities Limited; 中銀國際亞洲有限公司; 建銀國際金融有限公司; 中國銀河國際證券(香港)有限公司; 中國國際金融香港證券有限公司; 招銀國際融資有限公司; 德意志銀行香港分行; 星展亞洲融資有限公司; 大和資本市場香港有限公司; 復星國際證券有限公司; 富途證券國際（香港）有限公司; 國泰君安證券(香港)有限公司; 華泰金融控股(香港)有限公司; 工銀國際證券有限公司; 美林(亞太)有限公司; 摩根士丹利亞洲有限公司; 富明證券有限公司; 老虎證券（香港）環球有限公司; UBS AG 香港分行; 華盛資本証券有限公司</t>
        </is>
      </c>
      <c r="AT215" s="37">
        <f>HYPERLINK("https://www1.hkexnews.hk/listedco/listconews/sehk/2023/1016/2023101600009.pdf","prospectus")</f>
        <v/>
      </c>
      <c r="AU215" s="37">
        <f>HYPERLINK("https://www1.hkexnews.hk/listedco/listconews/sehk/2023/1026/2023102600028.htm","allotment")</f>
        <v/>
      </c>
      <c r="AV215" s="37">
        <f>HYPERLINK("https://www1.hkexnews.hk/listedco/listconews/sehk/2023/1119/2023111900085.pdf","stabilisation")</f>
        <v/>
      </c>
      <c r="AW215" s="26" t="inlineStr">
        <is>
          <t>A/H: no A-share listing</t>
        </is>
      </c>
    </row>
    <row r="216">
      <c r="A216" s="25" t="inlineStr">
        <is>
          <t>2517</t>
        </is>
      </c>
      <c r="B216" s="26" t="inlineStr">
        <is>
          <t>GUOQUAN</t>
        </is>
      </c>
      <c r="C216" s="26" t="inlineStr">
        <is>
          <t>鍋圈</t>
        </is>
      </c>
      <c r="D216" s="26" t="inlineStr">
        <is>
          <t>Consumer</t>
        </is>
      </c>
      <c r="E216" s="26" t="inlineStr">
        <is>
          <t>Retail / distribution</t>
        </is>
      </c>
      <c r="F216" s="26" t="inlineStr">
        <is>
          <t>Standard</t>
        </is>
      </c>
      <c r="G216" s="27" t="n">
        <v>45232</v>
      </c>
      <c r="H216" s="28" t="n">
        <v>16.5</v>
      </c>
      <c r="I216" s="26" t="inlineStr">
        <is>
          <t>gross (stated)</t>
        </is>
      </c>
      <c r="J216" s="29" t="n"/>
      <c r="K216" s="29" t="n">
        <v>5.98</v>
      </c>
      <c r="L216" s="29" t="n">
        <v>5.98</v>
      </c>
      <c r="M216" s="26" t="inlineStr">
        <is>
          <t>Y</t>
        </is>
      </c>
      <c r="N216" s="30" t="n">
        <v>100</v>
      </c>
      <c r="O216" s="28" t="n">
        <v>569</v>
      </c>
      <c r="P216" s="26" t="inlineStr">
        <is>
          <t>derived:deal size / offer % of enlarged capital</t>
        </is>
      </c>
      <c r="Q216" s="31" t="n">
        <v>4.34</v>
      </c>
      <c r="R216" s="32" t="n">
        <v>1.33</v>
      </c>
      <c r="S216" s="33" t="n">
        <v>98.84</v>
      </c>
      <c r="T216" s="26" t="inlineStr">
        <is>
          <t>COFCO Capital Special Opportunity Fund 2 SP; 江蘇恆順醋業股份有限公司; 錦鼎資本管理(深圳)有限公司; 欣鑫(香港)有限公司</t>
        </is>
      </c>
      <c r="U216" s="30" t="n">
        <v>15</v>
      </c>
      <c r="V216" s="26" t="inlineStr">
        <is>
          <t>partial</t>
        </is>
      </c>
      <c r="W216" s="34" t="n">
        <v>0</v>
      </c>
      <c r="X216" s="34" t="n">
        <v>6.52</v>
      </c>
      <c r="Y216" s="34" t="n">
        <v>22.91</v>
      </c>
      <c r="Z216" s="34" t="n">
        <v>42.14</v>
      </c>
      <c r="AA216" s="34" t="n">
        <v>22.91</v>
      </c>
      <c r="AB216" s="34" t="n">
        <v>25.35</v>
      </c>
      <c r="AC216" s="34" t="n">
        <v>-2.44</v>
      </c>
      <c r="AD216" s="26" t="inlineStr">
        <is>
          <t>Hang Seng Commerce &amp; Industry sub-index</t>
        </is>
      </c>
      <c r="AE216" s="34" t="n">
        <v>-66.89</v>
      </c>
      <c r="AF216" s="28" t="n">
        <v>7890.8</v>
      </c>
      <c r="AG216" s="28" t="n">
        <v>365.2</v>
      </c>
      <c r="AH216" s="26" t="inlineStr">
        <is>
          <t>Y</t>
        </is>
      </c>
      <c r="AI216" s="35" t="n">
        <v>1.6</v>
      </c>
      <c r="AJ216" s="35" t="n">
        <v>0.1</v>
      </c>
      <c r="AK216" s="26" t="inlineStr">
        <is>
          <t>N</t>
        </is>
      </c>
      <c r="AL216" s="36">
        <f>IF('BBG Verify'!K216="","not filed — run on terminal",'BBG Verify'!K216)</f>
        <v/>
      </c>
      <c r="AM216" s="26" t="inlineStr">
        <is>
          <t>N/A</t>
        </is>
      </c>
      <c r="AN216" s="26" t="inlineStr">
        <is>
          <t>N/A</t>
        </is>
      </c>
      <c r="AO216" s="26" t="inlineStr">
        <is>
          <t>N/A</t>
        </is>
      </c>
      <c r="AP216" s="26" t="inlineStr">
        <is>
          <t>and Sponsor–Overall Coordinators Huatai Financial Holdings (Hong Kong) Limited; China International Capital Corporation Hong Kong Securities Limited</t>
        </is>
      </c>
      <c r="AQ216" s="26" t="inlineStr">
        <is>
          <t>中國國際金融香港證券有限公司; 華泰金融控股(香港)有限公司</t>
        </is>
      </c>
      <c r="AR216" s="26" t="inlineStr">
        <is>
          <t>Huatai Financial Holdings (Hong Kong) Limited; China International Capital Corporation Hong Kong Securities Limited; CMB International Capital Limited; Central China International Capital Limited</t>
        </is>
      </c>
      <c r="AS216" s="26" t="inlineStr">
        <is>
          <t>中州國際融資有限公司; 中國國際金融香港證券有限公司; 招銀國際融資有限公司; 富途證券國際（香港）有限公司; 廣發證券（香港）經紀有限公司; 華泰金融控股(香港)有限公司; 光源資本（香港）金融有限公司; 利弗莫爾證券有限公司; 元庫證券有限公司; 老虎證券（香港）環球有限公司; 勝利證券有限公司</t>
        </is>
      </c>
      <c r="AT216" s="37">
        <f>HYPERLINK("https://www1.hkexnews.hk/listedco/listconews/sehk/2023/1020/2023102000007.pdf","prospectus")</f>
        <v/>
      </c>
      <c r="AU216" s="37">
        <f>HYPERLINK("https://www1.hkexnews.hk/listedco/listconews/sehk/2023/1101/2023110100018.htm","allotment")</f>
        <v/>
      </c>
      <c r="AV216" s="37">
        <f>HYPERLINK("https://www1.hkexnews.hk/listedco/listconews/sehk/2023/1127/2023112700202.pdf","stabilisation")</f>
        <v/>
      </c>
      <c r="AW216" s="26" t="inlineStr">
        <is>
          <t>A/H: no A-share listing · cornerstone: AAStocks institutional table includes non-cornerstone orders (superset) — cornerstone % is from the prospectus</t>
        </is>
      </c>
    </row>
    <row r="217">
      <c r="A217" s="25" t="inlineStr">
        <is>
          <t>2429</t>
        </is>
      </c>
      <c r="B217" s="26" t="inlineStr">
        <is>
          <t>UBOX ONLINE</t>
        </is>
      </c>
      <c r="C217" s="26" t="inlineStr">
        <is>
          <t>友寶在線</t>
        </is>
      </c>
      <c r="D217" s="26" t="inlineStr">
        <is>
          <t>Consumer</t>
        </is>
      </c>
      <c r="E217" s="26" t="inlineStr">
        <is>
          <t>Retail / distribution</t>
        </is>
      </c>
      <c r="F217" s="26" t="inlineStr">
        <is>
          <t>Standard</t>
        </is>
      </c>
      <c r="G217" s="27" t="n">
        <v>45233</v>
      </c>
      <c r="H217" s="28" t="n">
        <v>233.7</v>
      </c>
      <c r="I217" s="26" t="inlineStr">
        <is>
          <t>gross (price x shares)</t>
        </is>
      </c>
      <c r="J217" s="29" t="n">
        <v>9.4</v>
      </c>
      <c r="K217" s="29" t="n">
        <v>11.4</v>
      </c>
      <c r="L217" s="29" t="n">
        <v>10.35</v>
      </c>
      <c r="M217" s="26" t="inlineStr">
        <is>
          <t>N</t>
        </is>
      </c>
      <c r="N217" s="30" t="n">
        <v>90.8</v>
      </c>
      <c r="O217" s="28" t="n">
        <v>7330.5</v>
      </c>
      <c r="P217" s="26" t="inlineStr">
        <is>
          <t>prospectus:stated market capitalisation</t>
        </is>
      </c>
      <c r="Q217" s="31" t="n">
        <v>11.29</v>
      </c>
      <c r="R217" s="32" t="n">
        <v>1.41</v>
      </c>
      <c r="S217" s="33" t="n">
        <v>29.4</v>
      </c>
      <c r="T217" s="26" t="inlineStr">
        <is>
          <t>奈雪的茶控股有限公司; SensePower Management Limited; 深圳馬六甲網絡科技有限公司</t>
        </is>
      </c>
      <c r="U217" s="30" t="n"/>
      <c r="V217" s="26" t="n"/>
      <c r="W217" s="34" t="n">
        <v>40.87</v>
      </c>
      <c r="X217" s="34" t="n">
        <v>20.77</v>
      </c>
      <c r="Y217" s="34" t="n">
        <v>55.94</v>
      </c>
      <c r="Z217" s="34" t="n">
        <v>79.13</v>
      </c>
      <c r="AA217" s="34" t="n">
        <v>10.7</v>
      </c>
      <c r="AB217" s="34" t="n">
        <v>60.49</v>
      </c>
      <c r="AC217" s="34" t="n">
        <v>-4.55</v>
      </c>
      <c r="AD217" s="26" t="inlineStr">
        <is>
          <t>Hang Seng Commerce &amp; Industry sub-index</t>
        </is>
      </c>
      <c r="AE217" s="34" t="n">
        <v>-81.64</v>
      </c>
      <c r="AF217" s="28" t="n">
        <v>2943.9</v>
      </c>
      <c r="AG217" s="28" t="n">
        <v>-203.1</v>
      </c>
      <c r="AH217" s="26" t="inlineStr">
        <is>
          <t>N</t>
        </is>
      </c>
      <c r="AI217" s="38">
        <f>IF('BBG Verify'!O217="","not filed — run on terminal",'BBG Verify'!O217)</f>
        <v/>
      </c>
      <c r="AJ217" s="35" t="n">
        <v>2.5</v>
      </c>
      <c r="AK217" s="26" t="inlineStr">
        <is>
          <t>N</t>
        </is>
      </c>
      <c r="AL217" s="36">
        <f>IF('BBG Verify'!K217="","not filed — run on terminal",'BBG Verify'!K217)</f>
        <v/>
      </c>
      <c r="AM217" s="26" t="inlineStr">
        <is>
          <t>N/A</t>
        </is>
      </c>
      <c r="AN217" s="26" t="inlineStr">
        <is>
          <t>N/A</t>
        </is>
      </c>
      <c r="AO217" s="26" t="inlineStr">
        <is>
          <t>N/A</t>
        </is>
      </c>
      <c r="AP217" s="26" t="inlineStr">
        <is>
          <t>China Securities (International) Corporate Finance Company Limited; Huatai Financial Holdings (Hong Kong) Limited</t>
        </is>
      </c>
      <c r="AQ217" s="26" t="inlineStr">
        <is>
          <t>華泰金融控股(香港)有限公司; 中信建投(國際)融資有限公司</t>
        </is>
      </c>
      <c r="AR217" s="26" t="inlineStr">
        <is>
          <t>Managers Huatai Financial Holdings (Hong Kong) Limited; China Securities (International) Corporate Finance Company Limited</t>
        </is>
      </c>
      <c r="AS217" s="26" t="inlineStr">
        <is>
          <t>農銀國際證券有限公司; 建銀國際金融有限公司; 中國銀河國際證券(香港)有限公司; 招銀國際融資有限公司; 中信建投(國際)融資有限公司; 華泰金融控股(香港)有限公司; 工銀國際證券有限公司; 利弗莫爾證券有限公司; 華盛資本証券有限公司</t>
        </is>
      </c>
      <c r="AT217" s="37">
        <f>HYPERLINK("https://www1.hkexnews.hk/listedco/listconews/sehk/2023/1024/2023102400007.pdf","prospectus")</f>
        <v/>
      </c>
      <c r="AU217" s="37">
        <f>HYPERLINK("https://www1.hkexnews.hk/listedco/listconews/sehk/2023/1102/2023110200032.htm","allotment")</f>
        <v/>
      </c>
      <c r="AV217" s="26" t="n"/>
      <c r="AW217" s="26" t="inlineStr">
        <is>
          <t>P/E: n/m — loss-making at IPO (use P/S) · greenshoe: no over-allotment option in the offer structure · A/H: no A-share listing · cornerstone: AAStocks institutional table includes non-cornerstone orders (superset) — cornerstone % is from the prospectus</t>
        </is>
      </c>
    </row>
    <row r="218">
      <c r="A218" s="25" t="inlineStr">
        <is>
          <t>2473</t>
        </is>
      </c>
      <c r="B218" s="26" t="inlineStr">
        <is>
          <t>XXF</t>
        </is>
      </c>
      <c r="C218" s="26" t="inlineStr">
        <is>
          <t>喜相逢集團</t>
        </is>
      </c>
      <c r="D218" s="26" t="inlineStr">
        <is>
          <t>Consumer</t>
        </is>
      </c>
      <c r="E218" s="26" t="inlineStr">
        <is>
          <t>Retail / distribution</t>
        </is>
      </c>
      <c r="F218" s="26" t="inlineStr">
        <is>
          <t>Standard</t>
        </is>
      </c>
      <c r="G218" s="27" t="n">
        <v>45239</v>
      </c>
      <c r="H218" s="28" t="n">
        <v>28.8</v>
      </c>
      <c r="I218" s="26" t="inlineStr">
        <is>
          <t>net proceeds</t>
        </is>
      </c>
      <c r="J218" s="29" t="n"/>
      <c r="K218" s="29" t="n">
        <v>1.36</v>
      </c>
      <c r="L218" s="29" t="n">
        <v>1.1</v>
      </c>
      <c r="M218" s="26" t="inlineStr">
        <is>
          <t>N</t>
        </is>
      </c>
      <c r="N218" s="30" t="n">
        <v>80.90000000000001</v>
      </c>
      <c r="O218" s="28" t="n">
        <v>670.7</v>
      </c>
      <c r="P218" s="26" t="inlineStr">
        <is>
          <t>aastocks:上市市值 at the struck price</t>
        </is>
      </c>
      <c r="Q218" s="31" t="n">
        <v>14.71</v>
      </c>
      <c r="R218" s="39">
        <f>IF('BBG Verify'!E218="","not filed — run on terminal",'BBG Verify'!E218)</f>
        <v/>
      </c>
      <c r="S218" s="33" t="n">
        <v>0</v>
      </c>
      <c r="T218" s="26" t="n"/>
      <c r="U218" s="30" t="n">
        <v>10</v>
      </c>
      <c r="V218" s="26" t="n"/>
      <c r="W218" s="34" t="n">
        <v>49.09</v>
      </c>
      <c r="X218" s="34" t="n">
        <v>46.36</v>
      </c>
      <c r="Y218" s="34" t="n">
        <v>121.82</v>
      </c>
      <c r="Z218" s="34" t="n">
        <v>166.36</v>
      </c>
      <c r="AA218" s="34" t="n">
        <v>48.78</v>
      </c>
      <c r="AB218" s="34" t="n">
        <v>131.01</v>
      </c>
      <c r="AC218" s="34" t="n">
        <v>-9.19</v>
      </c>
      <c r="AD218" s="26" t="inlineStr">
        <is>
          <t>Hang Seng Commerce &amp; Industry sub-index</t>
        </is>
      </c>
      <c r="AE218" s="34" t="n">
        <v>-59.09</v>
      </c>
      <c r="AF218" s="28" t="n">
        <v>1255.7</v>
      </c>
      <c r="AG218" s="28" t="n">
        <v>84.8</v>
      </c>
      <c r="AH218" s="26" t="inlineStr">
        <is>
          <t>Y</t>
        </is>
      </c>
      <c r="AI218" s="35" t="n">
        <v>7.9</v>
      </c>
      <c r="AJ218" s="35" t="n">
        <v>0.5</v>
      </c>
      <c r="AK218" s="26" t="inlineStr">
        <is>
          <t>N</t>
        </is>
      </c>
      <c r="AL218" s="36">
        <f>IF('BBG Verify'!K218="","not filed — run on terminal",'BBG Verify'!K218)</f>
        <v/>
      </c>
      <c r="AM218" s="26" t="inlineStr">
        <is>
          <t>N/A</t>
        </is>
      </c>
      <c r="AN218" s="26" t="inlineStr">
        <is>
          <t>N/A</t>
        </is>
      </c>
      <c r="AO218" s="26" t="inlineStr">
        <is>
          <t>N/A</t>
        </is>
      </c>
      <c r="AP218" s="26" t="inlineStr">
        <is>
          <t>Quam Capital Limited</t>
        </is>
      </c>
      <c r="AQ218" s="26" t="inlineStr">
        <is>
          <t>華富嘉洛證券融資有限公司</t>
        </is>
      </c>
      <c r="AR218" s="26" t="inlineStr">
        <is>
          <t>Quam Securities Limited; Managers and Capital Market Intermediaries 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AS218" s="26" t="inlineStr">
        <is>
          <t>建銀國際金融有限公司; 中國銀河國際證券(香港)有限公司; 招銀國際融資有限公司; 艾德證券期貨有限公司; 富強證券有限公司; 創陞證券有限公司; 六福證券(香港)有限公司; 利弗莫爾證券有限公司; 華富建業證券有限公司; 申萬宏源證券（香港）有限公司; 浦銀國際融資有限公司; 中募金融資管有限公司</t>
        </is>
      </c>
      <c r="AT218" s="37">
        <f>HYPERLINK("https://www1.hkexnews.hk/listedco/listconews/sehk/2023/1030/2023103000013.pdf","prospectus")</f>
        <v/>
      </c>
      <c r="AU218" s="37">
        <f>HYPERLINK("https://www1.hkexnews.hk/listedco/listconews/sehk/2023/1108/2023110800016.htm","allotment")</f>
        <v/>
      </c>
      <c r="AV218" s="26" t="n"/>
      <c r="AW218" s="26" t="inlineStr">
        <is>
          <t>intl sub: subscription level not stated in the filing · greenshoe: end-of-stabilisation notice not located · A/H: no A-share listing · market cap: estimate from deal size / offer % of enlarged capital disagreed with the published listing cap — published figure adopted</t>
        </is>
      </c>
    </row>
    <row r="219">
      <c r="A219" s="25" t="inlineStr">
        <is>
          <t>1111</t>
        </is>
      </c>
      <c r="B219" s="26" t="inlineStr">
        <is>
          <t>HUASHI GROUP</t>
        </is>
      </c>
      <c r="C219" s="26" t="inlineStr">
        <is>
          <t>華視集團控股</t>
        </is>
      </c>
      <c r="D219" s="26" t="inlineStr">
        <is>
          <t>Industrials</t>
        </is>
      </c>
      <c r="E219" s="26" t="inlineStr">
        <is>
          <t>Construction / engineering</t>
        </is>
      </c>
      <c r="F219" s="26" t="inlineStr">
        <is>
          <t>Standard</t>
        </is>
      </c>
      <c r="G219" s="27" t="n">
        <v>45240</v>
      </c>
      <c r="H219" s="28" t="n">
        <v>7.8</v>
      </c>
      <c r="I219" s="26" t="inlineStr">
        <is>
          <t>gross (stated)</t>
        </is>
      </c>
      <c r="J219" s="29" t="n"/>
      <c r="K219" s="29" t="n">
        <v>1.04</v>
      </c>
      <c r="L219" s="29" t="n">
        <v>1.04</v>
      </c>
      <c r="M219" s="26" t="inlineStr">
        <is>
          <t>Y</t>
        </is>
      </c>
      <c r="N219" s="30" t="n">
        <v>100</v>
      </c>
      <c r="O219" s="28" t="n">
        <v>739.9</v>
      </c>
      <c r="P219" s="26" t="inlineStr">
        <is>
          <t>aastocks:上市市值 at the struck price</t>
        </is>
      </c>
      <c r="Q219" s="31" t="n">
        <v>12.62</v>
      </c>
      <c r="R219" s="32" t="n">
        <v>1.09</v>
      </c>
      <c r="S219" s="33" t="n"/>
      <c r="T219" s="26" t="n"/>
      <c r="U219" s="30" t="n"/>
      <c r="V219" s="26" t="n"/>
      <c r="W219" s="34" t="n">
        <v>55.77</v>
      </c>
      <c r="X219" s="34" t="n">
        <v>84.62</v>
      </c>
      <c r="Y219" s="34" t="n">
        <v>100</v>
      </c>
      <c r="Z219" s="34" t="n">
        <v>-60.1</v>
      </c>
      <c r="AA219" s="34" t="n">
        <v>28.39</v>
      </c>
      <c r="AB219" s="34" t="n">
        <v>110.02</v>
      </c>
      <c r="AC219" s="34" t="n">
        <v>-10.02</v>
      </c>
      <c r="AD219" s="26" t="inlineStr">
        <is>
          <t>Hang Seng Commerce &amp; Industry sub-index</t>
        </is>
      </c>
      <c r="AE219" s="34" t="n">
        <v>-76.63</v>
      </c>
      <c r="AF219" s="28" t="n">
        <v>227.9</v>
      </c>
      <c r="AG219" s="28" t="n">
        <v>50.2</v>
      </c>
      <c r="AH219" s="26" t="inlineStr">
        <is>
          <t>Y</t>
        </is>
      </c>
      <c r="AI219" s="35" t="n">
        <v>14.7</v>
      </c>
      <c r="AJ219" s="35" t="n">
        <v>3.2</v>
      </c>
      <c r="AK219" s="26" t="inlineStr">
        <is>
          <t>N</t>
        </is>
      </c>
      <c r="AL219" s="36">
        <f>IF('BBG Verify'!K219="","not filed — run on terminal",'BBG Verify'!K219)</f>
        <v/>
      </c>
      <c r="AM219" s="26" t="inlineStr">
        <is>
          <t>N/A</t>
        </is>
      </c>
      <c r="AN219" s="26" t="inlineStr">
        <is>
          <t>N/A</t>
        </is>
      </c>
      <c r="AO219" s="26" t="inlineStr">
        <is>
          <t>N/A</t>
        </is>
      </c>
      <c r="AP219" s="26" t="n"/>
      <c r="AQ219" s="26" t="inlineStr">
        <is>
          <t>浤博資本有限公司</t>
        </is>
      </c>
      <c r="AR219" s="26" t="inlineStr">
        <is>
          <t>農銀國際融資有限公司; 農銀國際證券有限公司; 建銀國際金融有限公司; 光銀國際資本有限公司; 信達國際融資有限公司; 招銀國際融資有限公司</t>
        </is>
      </c>
      <c r="AS219" s="26" t="inlineStr">
        <is>
          <t>農銀國際融資有限公司; 農銀國際證券有限公司; 建銀國際金融有限公司; 光銀國際資本有限公司; 信達國際融資有限公司; 招銀國際融資有限公司; 復星國際證券有限公司; 金聯證券有限公司; 利弗莫爾證券有限公司; 浤博資本有限公司; 元庫證券有限公司; 申萬宏源證券（香港）有限公司; 浦銀國際融資有限公司; 東吳證券國際經紀有限公司; 華盛資本証券有限公司; 中泰國際證券有限公司; 中佳證券有限公司</t>
        </is>
      </c>
      <c r="AT219" s="37">
        <f>HYPERLINK("https://www1.hkexnews.hk/listedco/listconews/sehk/2023/1031/2023103100019.pdf","prospectus")</f>
        <v/>
      </c>
      <c r="AU219" s="37">
        <f>HYPERLINK("https://www1.hkexnews.hk/listedco/listconews/sehk/2023/1109/2023110900026.htm","allotment")</f>
        <v/>
      </c>
      <c r="AV219" s="26" t="n"/>
      <c r="AW219" s="26" t="inlineStr">
        <is>
          <t>greenshoe: no over-allotment option in the offer structure · price range: fixed-price offering (no indicative range) · A/H: no A-share listing · sponsor: English name not in the filing text; AAStocks 保薦人 shown</t>
        </is>
      </c>
    </row>
    <row r="220">
      <c r="A220" s="25" t="inlineStr">
        <is>
          <t>2499</t>
        </is>
      </c>
      <c r="B220" s="26" t="inlineStr">
        <is>
          <t>FOLANGSI</t>
        </is>
      </c>
      <c r="C220" s="26" t="inlineStr">
        <is>
          <t>佛朗斯股份</t>
        </is>
      </c>
      <c r="D220" s="26" t="inlineStr">
        <is>
          <t>Industrials</t>
        </is>
      </c>
      <c r="E220" s="26" t="inlineStr">
        <is>
          <t>Capital goods / machinery</t>
        </is>
      </c>
      <c r="F220" s="26" t="inlineStr">
        <is>
          <t>Standard</t>
        </is>
      </c>
      <c r="G220" s="27" t="n">
        <v>45240</v>
      </c>
      <c r="H220" s="28" t="n">
        <v>173.3</v>
      </c>
      <c r="I220" s="26" t="inlineStr">
        <is>
          <t>gross (price x shares)</t>
        </is>
      </c>
      <c r="J220" s="29" t="n">
        <v>14.18</v>
      </c>
      <c r="K220" s="29" t="n">
        <v>16.18</v>
      </c>
      <c r="L220" s="29" t="n">
        <v>14.28</v>
      </c>
      <c r="M220" s="26" t="inlineStr">
        <is>
          <t>N</t>
        </is>
      </c>
      <c r="N220" s="30" t="n">
        <v>88.3</v>
      </c>
      <c r="O220" s="28" t="n">
        <v>4935</v>
      </c>
      <c r="P220" s="26" t="inlineStr">
        <is>
          <t>prospectus:stated market capitalisation</t>
        </is>
      </c>
      <c r="Q220" s="31" t="n">
        <v>15</v>
      </c>
      <c r="R220" s="32" t="n">
        <v>1.37</v>
      </c>
      <c r="S220" s="40" t="n">
        <v>69.90000000000001</v>
      </c>
      <c r="T220" s="26" t="inlineStr">
        <is>
          <t>柳工機械香港有限公司</t>
        </is>
      </c>
      <c r="U220" s="30" t="n">
        <v>15</v>
      </c>
      <c r="V220" s="26" t="inlineStr">
        <is>
          <t>lapsed (no over-allocation)</t>
        </is>
      </c>
      <c r="W220" s="34" t="n">
        <v>3.36</v>
      </c>
      <c r="X220" s="34" t="n">
        <v>3.78</v>
      </c>
      <c r="Y220" s="34" t="n">
        <v>2.66</v>
      </c>
      <c r="Z220" s="34" t="n">
        <v>0.14</v>
      </c>
      <c r="AA220" s="34" t="n">
        <v>-0.68</v>
      </c>
      <c r="AB220" s="34" t="n">
        <v>12.68</v>
      </c>
      <c r="AC220" s="34" t="n">
        <v>-10.02</v>
      </c>
      <c r="AD220" s="26" t="inlineStr">
        <is>
          <t>Hang Seng Commerce &amp; Industry sub-index</t>
        </is>
      </c>
      <c r="AE220" s="34" t="n">
        <v>-59.24</v>
      </c>
      <c r="AF220" s="28" t="n">
        <v>2.2</v>
      </c>
      <c r="AG220" s="28" t="n">
        <v>39</v>
      </c>
      <c r="AH220" s="26" t="inlineStr">
        <is>
          <t>Y</t>
        </is>
      </c>
      <c r="AI220" s="35" t="n">
        <v>126.5</v>
      </c>
      <c r="AJ220" s="35" t="n">
        <v>2243.2</v>
      </c>
      <c r="AK220" s="26" t="inlineStr">
        <is>
          <t>N</t>
        </is>
      </c>
      <c r="AL220" s="36">
        <f>IF('BBG Verify'!K220="","not filed — run on terminal",'BBG Verify'!K220)</f>
        <v/>
      </c>
      <c r="AM220" s="26" t="inlineStr">
        <is>
          <t>N/A</t>
        </is>
      </c>
      <c r="AN220" s="26" t="inlineStr">
        <is>
          <t>N/A</t>
        </is>
      </c>
      <c r="AO220" s="26" t="inlineStr">
        <is>
          <t>N/A</t>
        </is>
      </c>
      <c r="AP220" s="26" t="inlineStr">
        <is>
          <t>Haitong International Capital Limited; -Overall Coordinator Haitong International Securities Company Limited</t>
        </is>
      </c>
      <c r="AQ220" s="26" t="inlineStr">
        <is>
          <t>海通國際資本有限公司</t>
        </is>
      </c>
      <c r="AR220" s="26" t="inlineStr">
        <is>
          <t>Haitong International Securities Company Limited; GF Securities (Hong Kong) Brokerage Limited; Huatai Financial Holdings (Hong Kong) Limited</t>
        </is>
      </c>
      <c r="AS220" s="26" t="inlineStr">
        <is>
          <t>廣發證券（香港）經紀有限公司; 華泰金融控股(香港)有限公司; 海通國際證券有限公司</t>
        </is>
      </c>
      <c r="AT220" s="37">
        <f>HYPERLINK("https://www1.hkexnews.hk/listedco/listconews/sehk/2023/1031/2023103100017.pdf","prospectus")</f>
        <v/>
      </c>
      <c r="AU220" s="37">
        <f>HYPERLINK("https://www1.hkexnews.hk/listedco/listconews/sehk/2023/1109/2023110900052.htm","allotment")</f>
        <v/>
      </c>
      <c r="AV220" s="37">
        <f>HYPERLINK("https://www1.hkexnews.hk/listedco/listconews/sehk/2023/1204/2023120400033.pdf","stabilisation")</f>
        <v/>
      </c>
      <c r="AW220" s="26" t="inlineStr">
        <is>
          <t>A/H: no A-share listing · cornerstone: AAStocks institutional total HK$0m = 0% of deal vs 70% parsed</t>
        </is>
      </c>
    </row>
    <row r="221">
      <c r="A221" s="25" t="inlineStr">
        <is>
          <t>2268</t>
        </is>
      </c>
      <c r="B221" s="26" t="inlineStr">
        <is>
          <t>WUXI XDC</t>
        </is>
      </c>
      <c r="C221" s="26" t="inlineStr">
        <is>
          <t>藥明合聯</t>
        </is>
      </c>
      <c r="D221" s="26" t="inlineStr">
        <is>
          <t>Healthcare</t>
        </is>
      </c>
      <c r="E221" s="26" t="inlineStr">
        <is>
          <t>CXO / pharma services</t>
        </is>
      </c>
      <c r="F221" s="26" t="inlineStr">
        <is>
          <t>Standard</t>
        </is>
      </c>
      <c r="G221" s="27" t="n">
        <v>45247</v>
      </c>
      <c r="H221" s="28" t="n">
        <v>3676</v>
      </c>
      <c r="I221" s="26" t="inlineStr">
        <is>
          <t>gross (price x shares)</t>
        </is>
      </c>
      <c r="J221" s="29" t="n"/>
      <c r="K221" s="29" t="n">
        <v>20.6</v>
      </c>
      <c r="L221" s="29" t="n">
        <v>20.6</v>
      </c>
      <c r="M221" s="26" t="inlineStr">
        <is>
          <t>Y</t>
        </is>
      </c>
      <c r="N221" s="30" t="n">
        <v>100</v>
      </c>
      <c r="O221" s="28" t="n">
        <v>24251.5</v>
      </c>
      <c r="P221" s="26" t="inlineStr">
        <is>
          <t>aastocks:上市市值 at the struck price</t>
        </is>
      </c>
      <c r="Q221" s="31" t="n">
        <v>49.96</v>
      </c>
      <c r="R221" s="32" t="n">
        <v>19.6</v>
      </c>
      <c r="S221" s="33" t="n">
        <v>70</v>
      </c>
      <c r="T221" s="26" t="inlineStr">
        <is>
          <t>Al-Rayyan Holding LLC; General Atlantic Singapore SPV 64 Pte. Ltd; HSG Growth VII Holdco, Ltd; Invesco Advisers, Inc; Lake Bleu Prime Healthcare Master Fund Limited; Novo Holdings A/S; UBS Asset Management (Singapore) Ltd</t>
        </is>
      </c>
      <c r="U221" s="30" t="n"/>
      <c r="V221" s="26" t="n"/>
      <c r="W221" s="34" t="n">
        <v>35.92</v>
      </c>
      <c r="X221" s="34" t="n">
        <v>40.78</v>
      </c>
      <c r="Y221" s="34" t="n">
        <v>51.21</v>
      </c>
      <c r="Z221" s="34" t="n">
        <v>-10</v>
      </c>
      <c r="AA221" s="34" t="n">
        <v>11.25</v>
      </c>
      <c r="AB221" s="34" t="n">
        <v>58.49</v>
      </c>
      <c r="AC221" s="34" t="n">
        <v>-7.28</v>
      </c>
      <c r="AD221" s="26" t="inlineStr">
        <is>
          <t>China Biotech ETF (HS biotech proxy)</t>
        </is>
      </c>
      <c r="AE221" s="34" t="n">
        <v>239.08</v>
      </c>
      <c r="AF221" s="28" t="n">
        <v>1089.5</v>
      </c>
      <c r="AG221" s="28" t="n">
        <v>171.3</v>
      </c>
      <c r="AH221" s="26" t="inlineStr">
        <is>
          <t>Y</t>
        </is>
      </c>
      <c r="AI221" s="35" t="n">
        <v>141.6</v>
      </c>
      <c r="AJ221" s="35" t="n">
        <v>22.3</v>
      </c>
      <c r="AK221" s="26" t="inlineStr">
        <is>
          <t>N</t>
        </is>
      </c>
      <c r="AL221" s="36">
        <f>IF('BBG Verify'!K221="","not filed — run on terminal",'BBG Verify'!K221)</f>
        <v/>
      </c>
      <c r="AM221" s="26" t="inlineStr">
        <is>
          <t>N/A</t>
        </is>
      </c>
      <c r="AN221" s="26" t="inlineStr">
        <is>
          <t>N/A</t>
        </is>
      </c>
      <c r="AO221" s="26" t="inlineStr">
        <is>
          <t>N/A</t>
        </is>
      </c>
      <c r="AP221" s="26" t="inlineStr">
        <is>
          <t>Morgan Stanley; Goldman Sachs; J.P. Morgan</t>
        </is>
      </c>
      <c r="AQ221" s="26" t="inlineStr">
        <is>
          <t>摩根士丹利亞洲有限公司; J.P. Morgan Securities (Far East) Limited; 高盛(亞洲)有限責任公司</t>
        </is>
      </c>
      <c r="AR221" s="26" t="inlineStr">
        <is>
          <t>花旗環球金融亞洲有限公司; 中國國際金融香港證券有限公司; 高盛(亞洲)有限責任公司; 華泰金融控股(香港)有限公司; J.P. Morgan Securities (Asia Pacific) Limited; 摩根士丹利亞洲有限公司</t>
        </is>
      </c>
      <c r="AS221" s="26" t="inlineStr">
        <is>
          <t>花旗環球金融亞洲有限公司; 中國國際金融香港證券有限公司; 高盛(亞洲)有限責任公司; 華泰金融控股(香港)有限公司; J.P. Morgan Securities (Asia Pacific) Limited; 摩根士丹利亞洲有限公司</t>
        </is>
      </c>
      <c r="AT221" s="37">
        <f>HYPERLINK("https://www1.hkexnews.hk/listedco/listconews/sehk/2023/1107/2023110700021.pdf","prospectus")</f>
        <v/>
      </c>
      <c r="AU221" s="37">
        <f>HYPERLINK("https://www1.hkexnews.hk/listedco/listconews/sehk/2023/1116/2023111600008.htm","allotment")</f>
        <v/>
      </c>
      <c r="AV221" s="26" t="n"/>
      <c r="AW221" s="26" t="inlineStr">
        <is>
          <t>greenshoe: no over-allotment option in the offer structure · price range: fixed-price offering (no indicative range) · A/H: no A-share listing</t>
        </is>
      </c>
    </row>
    <row r="222">
      <c r="A222" s="25" t="inlineStr">
        <is>
          <t>2520</t>
        </is>
      </c>
      <c r="B222" s="26" t="inlineStr">
        <is>
          <t>SHANXI INSTALL</t>
        </is>
      </c>
      <c r="C222" s="26" t="inlineStr">
        <is>
          <t>山西安裝</t>
        </is>
      </c>
      <c r="D222" s="26" t="inlineStr">
        <is>
          <t>Industrials</t>
        </is>
      </c>
      <c r="E222" s="26" t="inlineStr">
        <is>
          <t>Construction / engineering</t>
        </is>
      </c>
      <c r="F222" s="26" t="inlineStr">
        <is>
          <t>Standard</t>
        </is>
      </c>
      <c r="G222" s="27" t="n">
        <v>45252</v>
      </c>
      <c r="H222" s="28" t="n">
        <v>726.7</v>
      </c>
      <c r="I222" s="26" t="inlineStr">
        <is>
          <t>gross (price x shares)</t>
        </is>
      </c>
      <c r="J222" s="29" t="n">
        <v>2.1</v>
      </c>
      <c r="K222" s="29" t="n">
        <v>2.36</v>
      </c>
      <c r="L222" s="29" t="n">
        <v>2.18</v>
      </c>
      <c r="M222" s="26" t="inlineStr">
        <is>
          <t>N</t>
        </is>
      </c>
      <c r="N222" s="30" t="n">
        <v>92.40000000000001</v>
      </c>
      <c r="O222" s="28" t="n">
        <v>2520</v>
      </c>
      <c r="P222" s="26" t="inlineStr">
        <is>
          <t>prospectus:stated market capitalisation</t>
        </is>
      </c>
      <c r="Q222" s="31" t="n">
        <v>0.6</v>
      </c>
      <c r="R222" s="32" t="n">
        <v>1.33</v>
      </c>
      <c r="S222" s="33" t="n">
        <v>23</v>
      </c>
      <c r="T222" s="26" t="inlineStr">
        <is>
          <t>明陽智慧能源集團股份公司</t>
        </is>
      </c>
      <c r="U222" s="30" t="n">
        <v>19.5</v>
      </c>
      <c r="V222" s="26" t="inlineStr">
        <is>
          <t>partial</t>
        </is>
      </c>
      <c r="W222" s="34" t="n">
        <v>0</v>
      </c>
      <c r="X222" s="34" t="n">
        <v>-5.5</v>
      </c>
      <c r="Y222" s="34" t="n">
        <v>-17.43</v>
      </c>
      <c r="Z222" s="34" t="n">
        <v>-11.47</v>
      </c>
      <c r="AA222" s="34" t="n">
        <v>-17.43</v>
      </c>
      <c r="AB222" s="34" t="n">
        <v>-9.460000000000001</v>
      </c>
      <c r="AC222" s="34" t="n">
        <v>-7.97</v>
      </c>
      <c r="AD222" s="26" t="inlineStr">
        <is>
          <t>Hang Seng Commerce &amp; Industry sub-index</t>
        </is>
      </c>
      <c r="AE222" s="34" t="n">
        <v>4.36</v>
      </c>
      <c r="AF222" s="28" t="n">
        <v>14129.3</v>
      </c>
      <c r="AG222" s="28" t="n">
        <v>220.5</v>
      </c>
      <c r="AH222" s="26" t="inlineStr">
        <is>
          <t>Y</t>
        </is>
      </c>
      <c r="AI222" s="35" t="n">
        <v>11.4</v>
      </c>
      <c r="AJ222" s="35" t="n">
        <v>0.2</v>
      </c>
      <c r="AK222" s="26" t="inlineStr">
        <is>
          <t>N</t>
        </is>
      </c>
      <c r="AL222" s="36">
        <f>IF('BBG Verify'!K222="","not filed — run on terminal",'BBG Verify'!K222)</f>
        <v/>
      </c>
      <c r="AM222" s="26" t="inlineStr">
        <is>
          <t>N/A</t>
        </is>
      </c>
      <c r="AN222" s="26" t="inlineStr">
        <is>
          <t>N/A</t>
        </is>
      </c>
      <c r="AO222" s="26" t="inlineStr">
        <is>
          <t>N/A</t>
        </is>
      </c>
      <c r="AP222" s="26" t="inlineStr">
        <is>
          <t>Huatai Financial Holdings (Hong Kong) Limited; Shanxi Securities International Capital Limited</t>
        </is>
      </c>
      <c r="AQ222" s="26" t="inlineStr">
        <is>
          <t>華泰金融控股(香港)有限公司; 山證國際融資有限公司</t>
        </is>
      </c>
      <c r="AR222" s="26" t="inlineStr">
        <is>
          <t>Managers BOCOM International Securities Limited; China Everbright Securities (HK) Limited; CMB International Capital Limited; ICBC International Capital Limited; Zhongtai International Securities Limited</t>
        </is>
      </c>
      <c r="AS222" s="26" t="inlineStr">
        <is>
          <t>Beta International Securities Limited; 中國光大證券(香港)有限公司; 招銀國際融資有限公司; 艾德證券期貨有限公司; 富途證券國際（香港）有限公司; 華泰金融控股(香港)有限公司; 工銀國際融資有限公司; 百惠證券有限公司; 山證國際證券有限公司; 勝利證券有限公司; 中泰國際證券有限公司; 中募金融資管有限公司</t>
        </is>
      </c>
      <c r="AT222" s="37">
        <f>HYPERLINK("https://www1.hkexnews.hk/listedco/listconews/sehk/2023/1110/2023111000017.pdf","prospectus")</f>
        <v/>
      </c>
      <c r="AU222" s="37">
        <f>HYPERLINK("https://www1.hkexnews.hk/listedco/listconews/sehk/2023/1121/2023112100014.htm","allotment")</f>
        <v/>
      </c>
      <c r="AV222" s="37">
        <f>HYPERLINK("https://www1.hkexnews.hk/listedco/listconews/sehk/2023/1215/2023121501152.pdf","stabilisation")</f>
        <v/>
      </c>
      <c r="AW222" s="26" t="inlineStr">
        <is>
          <t>A/H: no A-share listing</t>
        </is>
      </c>
    </row>
    <row r="223">
      <c r="A223" s="25" t="inlineStr">
        <is>
          <t>2521</t>
        </is>
      </c>
      <c r="B223" s="26" t="inlineStr">
        <is>
          <t>SHENGHUI CLEAN</t>
        </is>
      </c>
      <c r="C223" s="26" t="inlineStr">
        <is>
          <t>升輝清潔</t>
        </is>
      </c>
      <c r="D223" s="26" t="inlineStr">
        <is>
          <t>Real Estate</t>
        </is>
      </c>
      <c r="E223" s="26" t="inlineStr">
        <is>
          <t>Property management</t>
        </is>
      </c>
      <c r="F223" s="26" t="inlineStr">
        <is>
          <t>Standard</t>
        </is>
      </c>
      <c r="G223" s="27" t="n">
        <v>45265</v>
      </c>
      <c r="H223" s="28" t="n">
        <v>119.6</v>
      </c>
      <c r="I223" s="26" t="inlineStr">
        <is>
          <t>gross (stated)</t>
        </is>
      </c>
      <c r="J223" s="29" t="n">
        <v>0.32</v>
      </c>
      <c r="K223" s="29" t="n">
        <v>0.4</v>
      </c>
      <c r="L223" s="29" t="n">
        <v>0.32</v>
      </c>
      <c r="M223" s="26" t="inlineStr">
        <is>
          <t>N</t>
        </is>
      </c>
      <c r="N223" s="30" t="n">
        <v>80</v>
      </c>
      <c r="O223" s="28" t="n">
        <v>520</v>
      </c>
      <c r="P223" s="26" t="inlineStr">
        <is>
          <t>derived:price x shares upon listing</t>
        </is>
      </c>
      <c r="Q223" s="31" t="n">
        <v>33.35</v>
      </c>
      <c r="R223" s="32" t="n">
        <v>1.33</v>
      </c>
      <c r="S223" s="33" t="n"/>
      <c r="T223" s="26" t="n"/>
      <c r="U223" s="30" t="n"/>
      <c r="V223" s="26" t="n"/>
      <c r="W223" s="34" t="n">
        <v>3.12</v>
      </c>
      <c r="X223" s="34" t="n">
        <v>15.63</v>
      </c>
      <c r="Y223" s="34" t="n">
        <v>10.94</v>
      </c>
      <c r="Z223" s="34" t="n">
        <v>-18.75</v>
      </c>
      <c r="AA223" s="34" t="n">
        <v>7.58</v>
      </c>
      <c r="AB223" s="34" t="n">
        <v>11.51</v>
      </c>
      <c r="AC223" s="34" t="n">
        <v>-0.57</v>
      </c>
      <c r="AD223" s="26" t="inlineStr">
        <is>
          <t>Hang Seng Properties sub-index</t>
        </is>
      </c>
      <c r="AE223" s="34" t="n">
        <v>212.5</v>
      </c>
      <c r="AF223" s="28" t="n">
        <v>653.6</v>
      </c>
      <c r="AG223" s="28" t="n">
        <v>37.8</v>
      </c>
      <c r="AH223" s="26" t="inlineStr">
        <is>
          <t>Y</t>
        </is>
      </c>
      <c r="AI223" s="35" t="n">
        <v>13.8</v>
      </c>
      <c r="AJ223" s="35" t="n">
        <v>0.8</v>
      </c>
      <c r="AK223" s="26" t="inlineStr">
        <is>
          <t>N</t>
        </is>
      </c>
      <c r="AL223" s="36">
        <f>IF('BBG Verify'!K223="","not filed — run on terminal",'BBG Verify'!K223)</f>
        <v/>
      </c>
      <c r="AM223" s="26" t="inlineStr">
        <is>
          <t>N/A</t>
        </is>
      </c>
      <c r="AN223" s="26" t="inlineStr">
        <is>
          <t>N/A</t>
        </is>
      </c>
      <c r="AO223" s="26" t="inlineStr">
        <is>
          <t>N/A</t>
        </is>
      </c>
      <c r="AP223" s="26" t="n"/>
      <c r="AQ223" s="26" t="inlineStr">
        <is>
          <t>信達國際融資有限公司</t>
        </is>
      </c>
      <c r="AR223" s="26" t="inlineStr">
        <is>
          <t>Cinda International Capital Limited; ICBC International Securities Limited; CCB International Capital Limited; Central, Hong Kong Yuen Meta (International) Securities Limited</t>
        </is>
      </c>
      <c r="AS223" s="26" t="inlineStr">
        <is>
          <t>農銀國際證券有限公司; 建銀國際金融有限公司; 光銀國際資本有限公司; 中國光大證券(香港)有限公司; 信達國際融資有限公司; 興證國際融資有限公司; 民銀證券有限公司; 招銀國際融資有限公司; 華升證券（國際）有限公司; 艾德證券期貨有限公司; 中毅資本有限公司; 基業證券投資有限公司; 工銀國際證券有限公司; 利弗莫爾證券有限公司; 偉祿亞太證券有限公司; 軟庫中華金融服務有限公司; 浦銀國際融資有限公司; 東吳證券國際經紀有限公司; 元宇宙（國際）證券有限公司; 浙商國際金融控股有限公司; 中泰國際證券有限公司</t>
        </is>
      </c>
      <c r="AT223" s="37">
        <f>HYPERLINK("https://www1.hkexnews.hk/listedco/listconews/sehk/2023/1127/2023112700086.pdf","prospectus")</f>
        <v/>
      </c>
      <c r="AU223" s="37">
        <f>HYPERLINK("https://www1.hkexnews.hk/listedco/listconews/sehk/2023/1204/2023120402525.pdf","allotment")</f>
        <v/>
      </c>
      <c r="AV223" s="26" t="n"/>
      <c r="AW223" s="26" t="inlineStr">
        <is>
          <t>greenshoe: no over-allotment option in the offer structure · A/H: no A-share listing · sponsor: English name not in the filing text; AAStocks 保薦人 shown</t>
        </is>
      </c>
    </row>
    <row r="224">
      <c r="A224" s="25" t="inlineStr">
        <is>
          <t>9663</t>
        </is>
      </c>
      <c r="B224" s="26" t="inlineStr">
        <is>
          <t>SINOSYNERGY</t>
        </is>
      </c>
      <c r="C224" s="26" t="inlineStr">
        <is>
          <t>國鴻氫能</t>
        </is>
      </c>
      <c r="D224" s="26" t="inlineStr">
        <is>
          <t>Industrials</t>
        </is>
      </c>
      <c r="E224" s="26" t="inlineStr">
        <is>
          <t>Batteries / energy storage</t>
        </is>
      </c>
      <c r="F224" s="26" t="inlineStr">
        <is>
          <t>Standard</t>
        </is>
      </c>
      <c r="G224" s="27" t="n">
        <v>45265</v>
      </c>
      <c r="H224" s="28" t="n">
        <v>1563.4</v>
      </c>
      <c r="I224" s="26" t="inlineStr">
        <is>
          <t>gross (price x shares)</t>
        </is>
      </c>
      <c r="J224" s="29" t="n"/>
      <c r="K224" s="29" t="n">
        <v>21.35</v>
      </c>
      <c r="L224" s="29" t="n">
        <v>19.66</v>
      </c>
      <c r="M224" s="26" t="inlineStr">
        <is>
          <t>N</t>
        </is>
      </c>
      <c r="N224" s="30" t="n">
        <v>92.09999999999999</v>
      </c>
      <c r="O224" s="28" t="n">
        <v>10184.7</v>
      </c>
      <c r="P224" s="26" t="inlineStr">
        <is>
          <t>derived:price x shares upon listing</t>
        </is>
      </c>
      <c r="Q224" s="31" t="n">
        <v>1.18</v>
      </c>
      <c r="R224" s="32" t="n">
        <v>1.13</v>
      </c>
      <c r="S224" s="33" t="n">
        <v>0</v>
      </c>
      <c r="T224" s="26" t="n"/>
      <c r="U224" s="30" t="n"/>
      <c r="V224" s="26" t="n"/>
      <c r="W224" s="34" t="n">
        <v>0.71</v>
      </c>
      <c r="X224" s="34" t="n">
        <v>-22.38</v>
      </c>
      <c r="Y224" s="34" t="n">
        <v>-19.13</v>
      </c>
      <c r="Z224" s="34" t="n">
        <v>-5.9</v>
      </c>
      <c r="AA224" s="34" t="n">
        <v>-19.7</v>
      </c>
      <c r="AB224" s="34" t="n">
        <v>-14.97</v>
      </c>
      <c r="AC224" s="34" t="n">
        <v>-4.16</v>
      </c>
      <c r="AD224" s="26" t="inlineStr">
        <is>
          <t>Hang Seng Commerce &amp; Industry sub-index</t>
        </is>
      </c>
      <c r="AE224" s="34" t="n">
        <v>-88.05</v>
      </c>
      <c r="AF224" s="28" t="n">
        <v>823.3</v>
      </c>
      <c r="AG224" s="28" t="n">
        <v>-308.2</v>
      </c>
      <c r="AH224" s="26" t="inlineStr">
        <is>
          <t>N</t>
        </is>
      </c>
      <c r="AI224" s="38">
        <f>IF('BBG Verify'!O224="","not filed — run on terminal",'BBG Verify'!O224)</f>
        <v/>
      </c>
      <c r="AJ224" s="35" t="n">
        <v>12.4</v>
      </c>
      <c r="AK224" s="26" t="inlineStr">
        <is>
          <t>N</t>
        </is>
      </c>
      <c r="AL224" s="36">
        <f>IF('BBG Verify'!K224="","not filed — run on terminal",'BBG Verify'!K224)</f>
        <v/>
      </c>
      <c r="AM224" s="26" t="inlineStr">
        <is>
          <t>N/A</t>
        </is>
      </c>
      <c r="AN224" s="26" t="inlineStr">
        <is>
          <t>N/A</t>
        </is>
      </c>
      <c r="AO224" s="26" t="inlineStr">
        <is>
          <t>N/A</t>
        </is>
      </c>
      <c r="AP224" s="26" t="inlineStr">
        <is>
          <t>and Sponsor-Overall Coordinator Huatai Financial Holdings (Hong Kong) Limited</t>
        </is>
      </c>
      <c r="AQ224" s="26" t="inlineStr">
        <is>
          <t>華泰金融控股(香港)有限公司</t>
        </is>
      </c>
      <c r="AR224" s="26" t="inlineStr">
        <is>
          <t>Huatai Financial Holdings (Hong Kong) Limited; Managers Huatai Financial Holdings (Hong Kong) Limited; CMB International Capital Limited; GF Securities (Hong Kong) Brokerage Limited; Haitong International Securities Company Limited; Livermore Holdings Limited</t>
        </is>
      </c>
      <c r="AS224" s="26" t="inlineStr">
        <is>
          <t>招銀國際融資有限公司; 廣發證券（香港）經紀有限公司; 華泰金融控股(香港)有限公司; 海通國際證券有限公司; 利弗莫爾證券有限公司</t>
        </is>
      </c>
      <c r="AT224" s="37">
        <f>HYPERLINK("https://www1.hkexnews.hk/listedco/listconews/sehk/2023/1127/2023112700007.pdf","prospectus")</f>
        <v/>
      </c>
      <c r="AU224" s="37">
        <f>HYPERLINK("https://www1.hkexnews.hk/listedco/listconews/sehk/2023/1204/2023120402568.htm","allotment")</f>
        <v/>
      </c>
      <c r="AV224" s="26" t="n"/>
      <c r="AW224" s="26" t="inlineStr">
        <is>
          <t>P/E: n/m — loss-making at IPO (use P/S) · greenshoe: no over-allotment option in the offer structure · A/H: no A-share listing</t>
        </is>
      </c>
    </row>
    <row r="225">
      <c r="A225" s="25" t="inlineStr">
        <is>
          <t>2483</t>
        </is>
      </c>
      <c r="B225" s="26" t="inlineStr">
        <is>
          <t>K CASH</t>
        </is>
      </c>
      <c r="C225" s="26" t="inlineStr">
        <is>
          <t>Ｋ ＣＡＳＨ集團</t>
        </is>
      </c>
      <c r="D225" s="26" t="inlineStr">
        <is>
          <t>Financials</t>
        </is>
      </c>
      <c r="E225" s="26" t="inlineStr">
        <is>
          <t>Payments / lending (non-platform)</t>
        </is>
      </c>
      <c r="F225" s="26" t="inlineStr">
        <is>
          <t>Standard</t>
        </is>
      </c>
      <c r="G225" s="27" t="n">
        <v>45265</v>
      </c>
      <c r="H225" s="28" t="n">
        <v>225</v>
      </c>
      <c r="I225" s="26" t="inlineStr">
        <is>
          <t>gross (price x shares)</t>
        </is>
      </c>
      <c r="J225" s="29" t="n"/>
      <c r="K225" s="29" t="n">
        <v>1.96</v>
      </c>
      <c r="L225" s="29" t="n">
        <v>1.8</v>
      </c>
      <c r="M225" s="26" t="inlineStr">
        <is>
          <t>N</t>
        </is>
      </c>
      <c r="N225" s="30" t="n">
        <v>91.8</v>
      </c>
      <c r="O225" s="28" t="n">
        <v>900</v>
      </c>
      <c r="P225" s="26" t="inlineStr">
        <is>
          <t>derived:price x shares upon listing</t>
        </is>
      </c>
      <c r="Q225" s="31" t="n">
        <v>18.93</v>
      </c>
      <c r="R225" s="32" t="n">
        <v>1.24</v>
      </c>
      <c r="S225" s="33" t="n">
        <v>24.7</v>
      </c>
      <c r="T225" s="26" t="n"/>
      <c r="U225" s="30" t="n">
        <v>5</v>
      </c>
      <c r="V225" s="26" t="inlineStr">
        <is>
          <t>lapsed</t>
        </is>
      </c>
      <c r="W225" s="34" t="n">
        <v>-0.5600000000000001</v>
      </c>
      <c r="X225" s="34" t="n">
        <v>-5</v>
      </c>
      <c r="Y225" s="34" t="n">
        <v>-5</v>
      </c>
      <c r="Z225" s="34" t="n">
        <v>-5</v>
      </c>
      <c r="AA225" s="34" t="n">
        <v>-4.47</v>
      </c>
      <c r="AB225" s="34" t="n">
        <v>-3.95</v>
      </c>
      <c r="AC225" s="34" t="n">
        <v>-1.05</v>
      </c>
      <c r="AD225" s="26" t="inlineStr">
        <is>
          <t>Hang Seng Finance sub-index</t>
        </is>
      </c>
      <c r="AE225" s="34" t="n">
        <v>-1.11</v>
      </c>
      <c r="AF225" s="28" t="n">
        <v>2</v>
      </c>
      <c r="AG225" s="28" t="n">
        <v>0.1</v>
      </c>
      <c r="AH225" s="26" t="inlineStr">
        <is>
          <t>Y</t>
        </is>
      </c>
      <c r="AI225" s="35" t="n">
        <v>9000</v>
      </c>
      <c r="AJ225" s="35" t="n">
        <v>450</v>
      </c>
      <c r="AK225" s="26" t="inlineStr">
        <is>
          <t>N</t>
        </is>
      </c>
      <c r="AL225" s="36">
        <f>IF('BBG Verify'!K225="","not filed — run on terminal",'BBG Verify'!K225)</f>
        <v/>
      </c>
      <c r="AM225" s="26" t="inlineStr">
        <is>
          <t>N/A</t>
        </is>
      </c>
      <c r="AN225" s="26" t="inlineStr">
        <is>
          <t>N/A</t>
        </is>
      </c>
      <c r="AO225" s="26" t="inlineStr">
        <is>
          <t>N/A</t>
        </is>
      </c>
      <c r="AP225" s="26" t="inlineStr">
        <is>
          <t>DBS Asia Capital Limited; Ping An of China Capital (Hong Kong) Company Limited</t>
        </is>
      </c>
      <c r="AQ225" s="26" t="inlineStr">
        <is>
          <t>中國平安資本（香港）有限公司; 星展亞洲融資有限公司</t>
        </is>
      </c>
      <c r="AR225" s="26" t="inlineStr">
        <is>
          <t>Managers and CMIs CCB International Capital Limited; Elstone Securities Limited; Valuable Capital Limited</t>
        </is>
      </c>
      <c r="AS225" s="26" t="inlineStr">
        <is>
          <t>建銀國際金融有限公司; 平證證券（香港）有限公司; 星展亞洲融資有限公司; 千里碩證券有限公司; 艾德證券期貨有限公司; 創陞證券有限公司; 華盛資本証券有限公司; 中泰國際證券有限公司</t>
        </is>
      </c>
      <c r="AT225" s="37">
        <f>HYPERLINK("https://www1.hkexnews.hk/listedco/listconews/sehk/2023/1127/2023112700082.pdf","prospectus")</f>
        <v/>
      </c>
      <c r="AU225" s="37">
        <f>HYPERLINK("https://www1.hkexnews.hk/listedco/listconews/sehk/2023/1204/2023120402869.pdf","allotment")</f>
        <v/>
      </c>
      <c r="AV225" s="37">
        <f>HYPERLINK("https://www1.hkexnews.hk/listedco/listconews/sehk/2024/0102/2024010200039.pdf","stabilisation")</f>
        <v/>
      </c>
      <c r="AW225" s="26" t="inlineStr">
        <is>
          <t>A/H: no A-share listing</t>
        </is>
      </c>
    </row>
    <row r="226">
      <c r="A226" s="25" t="inlineStr">
        <is>
          <t>2419</t>
        </is>
      </c>
      <c r="B226" s="26" t="inlineStr">
        <is>
          <t>DEKON AGR</t>
        </is>
      </c>
      <c r="C226" s="26" t="inlineStr">
        <is>
          <t>德康農牧</t>
        </is>
      </c>
      <c r="D226" s="26" t="inlineStr">
        <is>
          <t>Consumer</t>
        </is>
      </c>
      <c r="E226" s="26" t="inlineStr">
        <is>
          <t>Beverages / packaged food</t>
        </is>
      </c>
      <c r="F226" s="26" t="inlineStr">
        <is>
          <t>Standard</t>
        </is>
      </c>
      <c r="G226" s="27" t="n">
        <v>45266</v>
      </c>
      <c r="H226" s="28" t="n">
        <v>994.4</v>
      </c>
      <c r="I226" s="26" t="inlineStr">
        <is>
          <t>gross (price x shares)</t>
        </is>
      </c>
      <c r="J226" s="29" t="n">
        <v>30.35</v>
      </c>
      <c r="K226" s="29" t="n">
        <v>36.95</v>
      </c>
      <c r="L226" s="29" t="n">
        <v>36.95</v>
      </c>
      <c r="M226" s="26" t="inlineStr">
        <is>
          <t>Y</t>
        </is>
      </c>
      <c r="N226" s="30" t="n">
        <v>100</v>
      </c>
      <c r="O226" s="28" t="n">
        <v>14369</v>
      </c>
      <c r="P226" s="26" t="inlineStr">
        <is>
          <t>derived:price x shares upon listing</t>
        </is>
      </c>
      <c r="Q226" s="31" t="n">
        <v>1.88</v>
      </c>
      <c r="R226" s="32" t="n">
        <v>1.13</v>
      </c>
      <c r="S226" s="33" t="n">
        <v>3.88</v>
      </c>
      <c r="T226" s="26" t="inlineStr">
        <is>
          <t>貴陽市農業農墾投資發展集團有限公司; 渠縣匯興產投實業有限公司; 秀山縣欣之園市場管理股份有限公司</t>
        </is>
      </c>
      <c r="U226" s="30" t="n"/>
      <c r="V226" s="26" t="n"/>
      <c r="W226" s="34" t="n">
        <v>1.49</v>
      </c>
      <c r="X226" s="34" t="n">
        <v>2.17</v>
      </c>
      <c r="Y226" s="34" t="n">
        <v>59.68</v>
      </c>
      <c r="Z226" s="34" t="n">
        <v>18.94</v>
      </c>
      <c r="AA226" s="34" t="n">
        <v>57.34</v>
      </c>
      <c r="AB226" s="34" t="n">
        <v>62.72</v>
      </c>
      <c r="AC226" s="34" t="n">
        <v>-3.04</v>
      </c>
      <c r="AD226" s="26" t="inlineStr">
        <is>
          <t>Hang Seng Commerce &amp; Industry sub-index</t>
        </is>
      </c>
      <c r="AE226" s="34" t="n">
        <v>43.44</v>
      </c>
      <c r="AF226" s="28" t="n">
        <v>16540.7</v>
      </c>
      <c r="AG226" s="28" t="n">
        <v>1092.2</v>
      </c>
      <c r="AH226" s="26" t="inlineStr">
        <is>
          <t>Y</t>
        </is>
      </c>
      <c r="AI226" s="35" t="n">
        <v>13.2</v>
      </c>
      <c r="AJ226" s="35" t="n">
        <v>0.9</v>
      </c>
      <c r="AK226" s="26" t="inlineStr">
        <is>
          <t>N</t>
        </is>
      </c>
      <c r="AL226" s="36">
        <f>IF('BBG Verify'!K226="","not filed — run on terminal",'BBG Verify'!K226)</f>
        <v/>
      </c>
      <c r="AM226" s="26" t="inlineStr">
        <is>
          <t>N/A</t>
        </is>
      </c>
      <c r="AN226" s="26" t="inlineStr">
        <is>
          <t>N/A</t>
        </is>
      </c>
      <c r="AO226" s="26" t="inlineStr">
        <is>
          <t>N/A</t>
        </is>
      </c>
      <c r="AP226" s="26" t="inlineStr">
        <is>
          <t>China International Capital Corporation Hong Kong Securities Limited; Citigroup Global Markets Asia Limited</t>
        </is>
      </c>
      <c r="AQ226" s="26" t="inlineStr">
        <is>
          <t>中國國際金融香港證券有限公司; 花旗環球金融亞洲有限公司</t>
        </is>
      </c>
      <c r="AR226" s="26" t="inlineStr">
        <is>
          <t>China International Capital Corporation Hong Kong Securities Limited; Citigroup Global Markets Asia Limited; Central Hong Kong Citigroup Global Markets Limited; Canary Wharf London E14 5LB United Kingdom China Everbright Securities (HK) Limited; BOCI Asia Limited; Central, Hong Kong ABCI Capital Limited; China Galaxy International Securities (Hong Kong) Co., Limited; ICBC International Securities Limited; CMB International Capital Limited; Citrus Securities Limited; Valuable Capital Limited</t>
        </is>
      </c>
      <c r="AS226" s="26" t="inlineStr">
        <is>
          <t>農銀國際證券有限公司; 中銀國際亞洲有限公司; 中國光大證券(香港)有限公司; 中國銀河國際證券(香港)有限公司; 花旗環球金融亞洲有限公司; 中國國際金融香港證券有限公司; 鉅誠證券有限公司; 民銀證券有限公司; 招銀國際融資有限公司; 工銀國際證券有限公司; 元庫證券有限公司; 華盛資本証券有限公司</t>
        </is>
      </c>
      <c r="AT226" s="37">
        <f>HYPERLINK("https://www1.hkexnews.hk/listedco/listconews/sehk/2023/1127/2023112700009.pdf","prospectus")</f>
        <v/>
      </c>
      <c r="AU226" s="37">
        <f>HYPERLINK("https://www1.hkexnews.hk/listedco/listconews/sehk/2023/1205/2023120502409.pdf","allotment")</f>
        <v/>
      </c>
      <c r="AV226" s="26" t="n"/>
      <c r="AW226" s="26" t="inlineStr">
        <is>
          <t>greenshoe: no over-allotment option in the offer structure · A/H: no A-share listing · cornerstone: AAStocks institutional table includes non-cornerstone orders (superset) — cornerstone % is from the prospectus</t>
        </is>
      </c>
    </row>
    <row r="227">
      <c r="A227" s="25" t="inlineStr">
        <is>
          <t>1497</t>
        </is>
      </c>
      <c r="B227" s="26" t="inlineStr">
        <is>
          <t>YAN PALACE</t>
        </is>
      </c>
      <c r="C227" s="26" t="inlineStr">
        <is>
          <t>燕之屋</t>
        </is>
      </c>
      <c r="D227" s="26" t="inlineStr">
        <is>
          <t>Consumer</t>
        </is>
      </c>
      <c r="E227" s="26" t="inlineStr">
        <is>
          <t>Beverages / packaged food</t>
        </is>
      </c>
      <c r="F227" s="26" t="inlineStr">
        <is>
          <t>Standard</t>
        </is>
      </c>
      <c r="G227" s="27" t="n">
        <v>45272</v>
      </c>
      <c r="H227" s="28" t="n">
        <v>310.4</v>
      </c>
      <c r="I227" s="26" t="inlineStr">
        <is>
          <t>gross (price x shares)</t>
        </is>
      </c>
      <c r="J227" s="29" t="n">
        <v>8.800000000000001</v>
      </c>
      <c r="K227" s="29" t="n">
        <v>11</v>
      </c>
      <c r="L227" s="29" t="n">
        <v>9.699999999999999</v>
      </c>
      <c r="M227" s="26" t="inlineStr">
        <is>
          <t>N</t>
        </is>
      </c>
      <c r="N227" s="30" t="n">
        <v>88.2</v>
      </c>
      <c r="O227" s="28" t="n">
        <v>4515.4</v>
      </c>
      <c r="P227" s="26" t="inlineStr">
        <is>
          <t>derived:price x shares upon listing</t>
        </is>
      </c>
      <c r="Q227" s="31" t="n">
        <v>83.63</v>
      </c>
      <c r="R227" s="32" t="n">
        <v>1.27</v>
      </c>
      <c r="S227" s="33" t="n">
        <v>40.16</v>
      </c>
      <c r="T227" s="26" t="inlineStr">
        <is>
          <t>PT Esta Indonesia; PT Niaga Cakrawala Sukses; PT. Anugerah Citra Walet Indonesia; Value Partners Hong Kong Limited及Value Partners Limited</t>
        </is>
      </c>
      <c r="U227" s="30" t="n">
        <v>15</v>
      </c>
      <c r="V227" s="26" t="inlineStr">
        <is>
          <t>lapsed</t>
        </is>
      </c>
      <c r="W227" s="34" t="n">
        <v>0</v>
      </c>
      <c r="X227" s="34" t="n">
        <v>-5.15</v>
      </c>
      <c r="Y227" s="34" t="n">
        <v>-0.72</v>
      </c>
      <c r="Z227" s="34" t="n">
        <v>3.09</v>
      </c>
      <c r="AA227" s="34" t="n">
        <v>-0.72</v>
      </c>
      <c r="AB227" s="34" t="n">
        <v>0.47</v>
      </c>
      <c r="AC227" s="34" t="n">
        <v>-1.19</v>
      </c>
      <c r="AD227" s="26" t="inlineStr">
        <is>
          <t>Hang Seng Commerce &amp; Industry sub-index</t>
        </is>
      </c>
      <c r="AE227" s="34" t="n">
        <v>-43.3</v>
      </c>
      <c r="AF227" s="28" t="n">
        <v>1902.9</v>
      </c>
      <c r="AG227" s="28" t="n">
        <v>226.5</v>
      </c>
      <c r="AH227" s="26" t="inlineStr">
        <is>
          <t>Y</t>
        </is>
      </c>
      <c r="AI227" s="35" t="n">
        <v>19.9</v>
      </c>
      <c r="AJ227" s="35" t="n">
        <v>2.4</v>
      </c>
      <c r="AK227" s="26" t="inlineStr">
        <is>
          <t>N</t>
        </is>
      </c>
      <c r="AL227" s="36">
        <f>IF('BBG Verify'!K227="","not filed — run on terminal",'BBG Verify'!K227)</f>
        <v/>
      </c>
      <c r="AM227" s="26" t="inlineStr">
        <is>
          <t>N/A</t>
        </is>
      </c>
      <c r="AN227" s="26" t="inlineStr">
        <is>
          <t>N/A</t>
        </is>
      </c>
      <c r="AO227" s="26" t="inlineStr">
        <is>
          <t>N/A</t>
        </is>
      </c>
      <c r="AP227" s="26" t="inlineStr">
        <is>
          <t>China International Capital Corporation Hong Kong Securities Limited; GF Capital (Hong Kong) Limited</t>
        </is>
      </c>
      <c r="AQ227" s="26" t="inlineStr">
        <is>
          <t>中國國際金融香港證券有限公司; 廣發融資（香港）有限公司</t>
        </is>
      </c>
      <c r="AR227" s="26" t="inlineStr">
        <is>
          <t>China International Capital Corporation Hong Kong Securities Limited; GF Securities (Hong Kong) Brokerage Limited; Citigroup Global Markets Asia Limited; Citigroup Global Markets Limited; London E14 5LB United Kingdom Valuable Capital Limited</t>
        </is>
      </c>
      <c r="AS227" s="26" t="inlineStr">
        <is>
          <t>花旗環球金融亞洲有限公司; 中國國際金融香港證券有限公司; 富途證券國際（香港）有限公司; 廣發證券（香港）經紀有限公司; 老虎證券（香港）環球有限公司; 華盛資本証券有限公司</t>
        </is>
      </c>
      <c r="AT227" s="37">
        <f>HYPERLINK("https://www1.hkexnews.hk/listedco/listconews/sehk/2023/1130/2023113000061.pdf","prospectus")</f>
        <v/>
      </c>
      <c r="AU227" s="37">
        <f>HYPERLINK("https://www1.hkexnews.hk/listedco/listconews/sehk/2023/1211/2023121101204.pdf","allotment")</f>
        <v/>
      </c>
      <c r="AV227" s="37">
        <f>HYPERLINK("https://www1.hkexnews.hk/listedco/listconews/sehk/2024/0108/2024010800315.pdf","stabilisation")</f>
        <v/>
      </c>
      <c r="AW227" s="26" t="inlineStr">
        <is>
          <t>A/H: no A-share listing</t>
        </is>
      </c>
    </row>
    <row r="228">
      <c r="A228" s="25" t="inlineStr">
        <is>
          <t>0666</t>
        </is>
      </c>
      <c r="B228" s="26" t="inlineStr">
        <is>
          <t>REPT BATTERO</t>
        </is>
      </c>
      <c r="C228" s="26" t="inlineStr">
        <is>
          <t>瑞浦蘭鈞</t>
        </is>
      </c>
      <c r="D228" s="26" t="inlineStr">
        <is>
          <t>Industrials</t>
        </is>
      </c>
      <c r="E228" s="26" t="inlineStr">
        <is>
          <t>Batteries / energy storage</t>
        </is>
      </c>
      <c r="F228" s="26" t="inlineStr">
        <is>
          <t>Standard</t>
        </is>
      </c>
      <c r="G228" s="27" t="n">
        <v>45278</v>
      </c>
      <c r="H228" s="28" t="n">
        <v>2124.1</v>
      </c>
      <c r="I228" s="26" t="inlineStr">
        <is>
          <t>gross (price x shares)</t>
        </is>
      </c>
      <c r="J228" s="29" t="n"/>
      <c r="K228" s="29" t="n">
        <v>18.3</v>
      </c>
      <c r="L228" s="29" t="n">
        <v>18.3</v>
      </c>
      <c r="M228" s="26" t="inlineStr">
        <is>
          <t>Y</t>
        </is>
      </c>
      <c r="N228" s="30" t="n">
        <v>100</v>
      </c>
      <c r="O228" s="28" t="n">
        <v>41666.8</v>
      </c>
      <c r="P228" s="26" t="inlineStr">
        <is>
          <t>derived:price x shares upon listing</t>
        </is>
      </c>
      <c r="Q228" s="31" t="n">
        <v>1.27</v>
      </c>
      <c r="R228" s="32" t="n">
        <v>1.21</v>
      </c>
      <c r="S228" s="33" t="n"/>
      <c r="T228" s="26" t="n"/>
      <c r="U228" s="30" t="n"/>
      <c r="V228" s="26" t="n"/>
      <c r="W228" s="34" t="n">
        <v>2.62</v>
      </c>
      <c r="X228" s="34" t="n">
        <v>0.77</v>
      </c>
      <c r="Y228" s="34" t="n">
        <v>3.39</v>
      </c>
      <c r="Z228" s="34" t="n">
        <v>-21.09</v>
      </c>
      <c r="AA228" s="34" t="n">
        <v>0.75</v>
      </c>
      <c r="AB228" s="34" t="n">
        <v>13.42</v>
      </c>
      <c r="AC228" s="34" t="n">
        <v>-10.03</v>
      </c>
      <c r="AD228" s="26" t="inlineStr">
        <is>
          <t>Hang Seng Commerce &amp; Industry sub-index</t>
        </is>
      </c>
      <c r="AE228" s="34" t="n">
        <v>-39.89</v>
      </c>
      <c r="AF228" s="28" t="n">
        <v>16112.6</v>
      </c>
      <c r="AG228" s="28" t="n">
        <v>-389.5</v>
      </c>
      <c r="AH228" s="26" t="inlineStr">
        <is>
          <t>N</t>
        </is>
      </c>
      <c r="AI228" s="38">
        <f>IF('BBG Verify'!O228="","not filed — run on terminal",'BBG Verify'!O228)</f>
        <v/>
      </c>
      <c r="AJ228" s="35" t="n">
        <v>2.6</v>
      </c>
      <c r="AK228" s="26" t="inlineStr">
        <is>
          <t>N</t>
        </is>
      </c>
      <c r="AL228" s="36">
        <f>IF('BBG Verify'!K228="","not filed — run on terminal",'BBG Verify'!K228)</f>
        <v/>
      </c>
      <c r="AM228" s="26" t="inlineStr">
        <is>
          <t>N/A</t>
        </is>
      </c>
      <c r="AN228" s="26" t="inlineStr">
        <is>
          <t>N/A</t>
        </is>
      </c>
      <c r="AO228" s="26" t="inlineStr">
        <is>
          <t>N/A</t>
        </is>
      </c>
      <c r="AP228" s="26" t="n"/>
      <c r="AQ228" s="26" t="inlineStr">
        <is>
          <t>摩根士丹利亞洲有限公司; 中信證券(香港)有限公司</t>
        </is>
      </c>
      <c r="AR228" s="26" t="inlineStr">
        <is>
          <t>農銀國際證券有限公司; 中銀國際亞洲有限公司; 中國銀河國際證券(香港)有限公司; 中國國際金融香港證券有限公司; 中信里昂證券有限公司; 招銀國際融資有限公司</t>
        </is>
      </c>
      <c r="AS228" s="26" t="inlineStr">
        <is>
          <t>農銀國際證券有限公司; 中銀國際亞洲有限公司; 中國銀河國際證券(香港)有限公司; 中國國際金融香港證券有限公司; 中信里昂證券有限公司; 招銀國際融資有限公司; 星展亞洲融資有限公司; 富途證券國際（香港）有限公司; 國泰君安證券(香港)有限公司; 香港上海匯豐銀行有限公司; 摩根士丹利亞洲有限公司; 老虎證券（香港）環球有限公司; 華盛資本証券有限公司</t>
        </is>
      </c>
      <c r="AT228" s="37">
        <f>HYPERLINK("https://www1.hkexnews.hk/listedco/listconews/sehk/2023/1208/2023120800019.pdf","prospectus")</f>
        <v/>
      </c>
      <c r="AU228" s="37">
        <f>HYPERLINK("https://www1.hkexnews.hk/listedco/listconews/sehk/2023/1215/2023121501598.pdf","allotment")</f>
        <v/>
      </c>
      <c r="AV228" s="26" t="n"/>
      <c r="AW228" s="26" t="inlineStr">
        <is>
          <t>P/E: n/m — loss-making at IPO (use P/S) · greenshoe: no over-allotment option in the offer structure · price range: fixed-price offering (no indicative range) · A/H: no A-share listing · sponsor: English name not in the filing text; AAStocks 保薦人 shown</t>
        </is>
      </c>
    </row>
    <row r="229">
      <c r="A229" s="25" t="inlineStr">
        <is>
          <t>2502</t>
        </is>
      </c>
      <c r="B229" s="26" t="inlineStr">
        <is>
          <t>JINYUAN HCHEM</t>
        </is>
      </c>
      <c r="C229" s="26" t="inlineStr">
        <is>
          <t>金源氫化</t>
        </is>
      </c>
      <c r="D229" s="26" t="inlineStr">
        <is>
          <t>Materials/Energy</t>
        </is>
      </c>
      <c r="E229" s="26" t="inlineStr">
        <is>
          <t>Chemicals</t>
        </is>
      </c>
      <c r="F229" s="26" t="inlineStr">
        <is>
          <t>Standard</t>
        </is>
      </c>
      <c r="G229" s="27" t="n">
        <v>45280</v>
      </c>
      <c r="H229" s="28" t="n">
        <v>286.69</v>
      </c>
      <c r="I229" s="26" t="inlineStr">
        <is>
          <t>gross (stated)</t>
        </is>
      </c>
      <c r="J229" s="29" t="n">
        <v>1.1</v>
      </c>
      <c r="K229" s="29" t="n">
        <v>1.5</v>
      </c>
      <c r="L229" s="29" t="n">
        <v>1.2</v>
      </c>
      <c r="M229" s="26" t="inlineStr">
        <is>
          <t>N</t>
        </is>
      </c>
      <c r="N229" s="30" t="n">
        <v>80</v>
      </c>
      <c r="O229" s="28" t="n">
        <v>1146.8</v>
      </c>
      <c r="P229" s="26" t="inlineStr">
        <is>
          <t>derived:price x shares upon listing</t>
        </is>
      </c>
      <c r="Q229" s="31" t="n">
        <v>42.82</v>
      </c>
      <c r="R229" s="32" t="n">
        <v>1.07</v>
      </c>
      <c r="S229" s="33" t="n">
        <v>54.7</v>
      </c>
      <c r="T229" s="26" t="inlineStr">
        <is>
          <t>香港創始夢有限公司; 興盛集團控股有限公司; Prosperity Steel United Singapore Pte. Ltd; 中升集團有限公司</t>
        </is>
      </c>
      <c r="U229" s="30" t="n">
        <v>5</v>
      </c>
      <c r="V229" s="26" t="inlineStr">
        <is>
          <t>lapsed</t>
        </is>
      </c>
      <c r="W229" s="34" t="n">
        <v>-27.5</v>
      </c>
      <c r="X229" s="34" t="n">
        <v>-20.83</v>
      </c>
      <c r="Y229" s="34" t="n">
        <v>-28.33</v>
      </c>
      <c r="Z229" s="34" t="n">
        <v>-37.5</v>
      </c>
      <c r="AA229" s="34" t="n">
        <v>-1.14</v>
      </c>
      <c r="AB229" s="34" t="n">
        <v>-25.92</v>
      </c>
      <c r="AC229" s="34" t="n">
        <v>-2.41</v>
      </c>
      <c r="AD229" s="26" t="inlineStr">
        <is>
          <t>Hang Seng Utilities sub-index</t>
        </is>
      </c>
      <c r="AE229" s="34" t="n">
        <v>-52.92</v>
      </c>
      <c r="AF229" s="28" t="n">
        <v>2480</v>
      </c>
      <c r="AG229" s="28" t="n">
        <v>213.5</v>
      </c>
      <c r="AH229" s="26" t="inlineStr">
        <is>
          <t>Y</t>
        </is>
      </c>
      <c r="AI229" s="35" t="n">
        <v>5.4</v>
      </c>
      <c r="AJ229" s="35" t="n">
        <v>0.5</v>
      </c>
      <c r="AK229" s="26" t="inlineStr">
        <is>
          <t>N</t>
        </is>
      </c>
      <c r="AL229" s="36">
        <f>IF('BBG Verify'!K229="","not filed — run on terminal",'BBG Verify'!K229)</f>
        <v/>
      </c>
      <c r="AM229" s="26" t="inlineStr">
        <is>
          <t>N/A</t>
        </is>
      </c>
      <c r="AN229" s="26" t="inlineStr">
        <is>
          <t>N/A</t>
        </is>
      </c>
      <c r="AO229" s="26" t="inlineStr">
        <is>
          <t>N/A</t>
        </is>
      </c>
      <c r="AP229" s="26" t="inlineStr">
        <is>
          <t>Haitong International Capital Limited</t>
        </is>
      </c>
      <c r="AQ229" s="26" t="inlineStr">
        <is>
          <t>海通國際資本有限公司</t>
        </is>
      </c>
      <c r="AR229" s="26" t="inlineStr">
        <is>
          <t>Managers ABCI Capital Limited; ABCI Securities Company Limited</t>
        </is>
      </c>
      <c r="AS229" s="26" t="inlineStr">
        <is>
          <t>農銀國際證券有限公司; 建銀國際金融有限公司; 中州國際融資有限公司; 中國光大證券(香港)有限公司; 中國銀河國際證券(香港)有限公司; 招銀國際融資有限公司; 海通國際證券有限公司; 華安證券（香港）經紀有限公司; 工銀國際證券有限公司; 利弗莫爾證券有限公司; 邁時資本有限公司; 申萬宏源證券（香港）有限公司; 大華繼顯(香港)有限公司</t>
        </is>
      </c>
      <c r="AT229" s="37">
        <f>HYPERLINK("https://www1.hkexnews.hk/listedco/listconews/sehk/2023/1212/2023121200021.pdf","prospectus")</f>
        <v/>
      </c>
      <c r="AU229" s="37">
        <f>HYPERLINK("https://www1.hkexnews.hk/listedco/listconews/sehk/2023/1219/2023121901110.pdf","allotment")</f>
        <v/>
      </c>
      <c r="AV229" s="37">
        <f>HYPERLINK("https://www1.hkexnews.hk/listedco/listconews/sehk/2024/0115/2024011500035.pdf","stabilisation")</f>
        <v/>
      </c>
      <c r="AW229" s="26" t="inlineStr">
        <is>
          <t>A/H: no A-share listing</t>
        </is>
      </c>
    </row>
    <row r="230">
      <c r="A230" s="25" t="inlineStr">
        <is>
          <t>1274</t>
        </is>
      </c>
      <c r="B230" s="26" t="inlineStr">
        <is>
          <t>IMOTIONAUTOTECH</t>
        </is>
      </c>
      <c r="C230" s="26" t="inlineStr">
        <is>
          <t>知行科技</t>
        </is>
      </c>
      <c r="D230" s="26" t="inlineStr">
        <is>
          <t>Tech/AI</t>
        </is>
      </c>
      <c r="E230" s="26" t="inlineStr">
        <is>
          <t>Robotics &amp; autonomous driving</t>
        </is>
      </c>
      <c r="F230" s="26" t="inlineStr">
        <is>
          <t>Standard</t>
        </is>
      </c>
      <c r="G230" s="27" t="n">
        <v>45280</v>
      </c>
      <c r="H230" s="28" t="n">
        <v>655.7</v>
      </c>
      <c r="I230" s="26" t="inlineStr">
        <is>
          <t>gross (price x shares)</t>
        </is>
      </c>
      <c r="J230" s="29" t="n"/>
      <c r="K230" s="29" t="n">
        <v>29.65</v>
      </c>
      <c r="L230" s="29" t="n">
        <v>29.65</v>
      </c>
      <c r="M230" s="26" t="inlineStr">
        <is>
          <t>Y</t>
        </is>
      </c>
      <c r="N230" s="30" t="n">
        <v>100</v>
      </c>
      <c r="O230" s="28" t="n">
        <v>6710.7</v>
      </c>
      <c r="P230" s="26" t="inlineStr">
        <is>
          <t>derived:price x shares upon listing</t>
        </is>
      </c>
      <c r="Q230" s="31" t="n">
        <v>6.46</v>
      </c>
      <c r="R230" s="32" t="n">
        <v>1.07</v>
      </c>
      <c r="S230" s="33" t="n">
        <v>79.09999999999999</v>
      </c>
      <c r="T230" s="26" t="inlineStr">
        <is>
          <t>Harvest International Premium Value (Secondary Market) Fund SPC; SilkyWater Absolute Return LPF; 蘇州工業園區產業投資基金(有限合夥); 浙江七新智行信息技術有限公司</t>
        </is>
      </c>
      <c r="U230" s="30" t="n"/>
      <c r="V230" s="26" t="n"/>
      <c r="W230" s="34" t="n">
        <v>-12.82</v>
      </c>
      <c r="X230" s="34" t="n">
        <v>13.66</v>
      </c>
      <c r="Y230" s="34" t="n">
        <v>59.36</v>
      </c>
      <c r="Z230" s="34" t="n">
        <v>171.5</v>
      </c>
      <c r="AA230" s="34" t="n">
        <v>82.79000000000001</v>
      </c>
      <c r="AB230" s="34" t="n">
        <v>74.64</v>
      </c>
      <c r="AC230" s="34" t="n">
        <v>-15.28</v>
      </c>
      <c r="AD230" s="26" t="inlineStr">
        <is>
          <t>HSTECH (Hang Seng TECH ETF)</t>
        </is>
      </c>
      <c r="AE230" s="34" t="n">
        <v>-90.02</v>
      </c>
      <c r="AF230" s="28" t="n">
        <v>1458.5</v>
      </c>
      <c r="AG230" s="28" t="n">
        <v>-376.6</v>
      </c>
      <c r="AH230" s="26" t="inlineStr">
        <is>
          <t>N</t>
        </is>
      </c>
      <c r="AI230" s="38">
        <f>IF('BBG Verify'!O230="","not filed — run on terminal",'BBG Verify'!O230)</f>
        <v/>
      </c>
      <c r="AJ230" s="35" t="n">
        <v>4.6</v>
      </c>
      <c r="AK230" s="26" t="inlineStr">
        <is>
          <t>N</t>
        </is>
      </c>
      <c r="AL230" s="36">
        <f>IF('BBG Verify'!K230="","not filed — run on terminal",'BBG Verify'!K230)</f>
        <v/>
      </c>
      <c r="AM230" s="26" t="inlineStr">
        <is>
          <t>N/A</t>
        </is>
      </c>
      <c r="AN230" s="26" t="inlineStr">
        <is>
          <t>N/A</t>
        </is>
      </c>
      <c r="AO230" s="26" t="inlineStr">
        <is>
          <t>N/A</t>
        </is>
      </c>
      <c r="AP230" s="26" t="inlineStr">
        <is>
          <t>and Sponsor-Overall Coordinators Citigroup Global Markets Asia Limited; Huatai Financial Holdings (Hong Kong) Limited; CCB International Capital Limited</t>
        </is>
      </c>
      <c r="AQ230" s="26" t="inlineStr">
        <is>
          <t>建銀國際金融有限公司; 華泰金融控股(香港)有限公司; 花旗環球金融亞洲有限公司</t>
        </is>
      </c>
      <c r="AR230" s="26"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AS230" s="26" t="inlineStr">
        <is>
          <t>建銀國際金融有限公司; 花旗環球金融亞洲有限公司; 招銀國際融資有限公司; 星展亞洲融資有限公司; 金聯證券有限公司; 華泰金融控股(香港)有限公司; 利弗莫爾證券有限公司; 海盈證券有限公司; 東吳證券國際經紀有限公司</t>
        </is>
      </c>
      <c r="AT230" s="37">
        <f>HYPERLINK("https://www1.hkexnews.hk/listedco/listconews/sehk/2023/1212/2023121200019.pdf","prospectus")</f>
        <v/>
      </c>
      <c r="AU230" s="37">
        <f>HYPERLINK("https://www1.hkexnews.hk/listedco/listconews/sehk/2023/1219/2023121901176.pdf","allotment")</f>
        <v/>
      </c>
      <c r="AV230" s="26" t="n"/>
      <c r="AW230" s="26" t="inlineStr">
        <is>
          <t>P/E: n/m — loss-making at IPO (use P/S) · greenshoe: no over-allotment option in the offer structure · A/H: no A-share listing</t>
        </is>
      </c>
    </row>
    <row r="231">
      <c r="A231" s="25" t="inlineStr">
        <is>
          <t>2516</t>
        </is>
      </c>
      <c r="B231" s="26" t="inlineStr">
        <is>
          <t>FAR INTL</t>
        </is>
      </c>
      <c r="C231" s="26" t="inlineStr">
        <is>
          <t>泛遠國際</t>
        </is>
      </c>
      <c r="D231" s="26" t="inlineStr">
        <is>
          <t>Industrials</t>
        </is>
      </c>
      <c r="E231" s="26" t="inlineStr">
        <is>
          <t>Logistics</t>
        </is>
      </c>
      <c r="F231" s="26" t="inlineStr">
        <is>
          <t>Standard</t>
        </is>
      </c>
      <c r="G231" s="27" t="n">
        <v>45282</v>
      </c>
      <c r="H231" s="28" t="n">
        <v>126</v>
      </c>
      <c r="I231" s="26" t="inlineStr">
        <is>
          <t>gross (price x shares)</t>
        </is>
      </c>
      <c r="J231" s="29" t="n"/>
      <c r="K231" s="29" t="n">
        <v>0.9</v>
      </c>
      <c r="L231" s="29" t="n">
        <v>0.9</v>
      </c>
      <c r="M231" s="26" t="inlineStr">
        <is>
          <t>Y</t>
        </is>
      </c>
      <c r="N231" s="30" t="n">
        <v>100</v>
      </c>
      <c r="O231" s="28" t="n">
        <v>702</v>
      </c>
      <c r="P231" s="26" t="inlineStr">
        <is>
          <t>derived:price x shares upon listing</t>
        </is>
      </c>
      <c r="Q231" s="31" t="n">
        <v>14.49</v>
      </c>
      <c r="R231" s="39">
        <f>IF('BBG Verify'!E231="","not filed — run on terminal",'BBG Verify'!E231)</f>
        <v/>
      </c>
      <c r="S231" s="33" t="n">
        <v>39.68</v>
      </c>
      <c r="T231" s="26" t="inlineStr">
        <is>
          <t>Liu Liyun / 劉莉筠; Yang Yingwu / 楊英武; Guo Shaojun / 郭少俊; Listing Top</t>
        </is>
      </c>
      <c r="U231" s="30" t="n">
        <v>7.12</v>
      </c>
      <c r="V231" s="26" t="inlineStr">
        <is>
          <t>lapsed (no over-allocation)</t>
        </is>
      </c>
      <c r="W231" s="34" t="n">
        <v>11.11</v>
      </c>
      <c r="X231" s="34" t="n">
        <v>6.67</v>
      </c>
      <c r="Y231" s="34" t="n">
        <v>-7.78</v>
      </c>
      <c r="Z231" s="34" t="n">
        <v>-36.67</v>
      </c>
      <c r="AA231" s="34" t="n">
        <v>-17</v>
      </c>
      <c r="AB231" s="34" t="n">
        <v>-4.31</v>
      </c>
      <c r="AC231" s="34" t="n">
        <v>-3.47</v>
      </c>
      <c r="AD231" s="26" t="inlineStr">
        <is>
          <t>Hang Seng Commerce &amp; Industry sub-index</t>
        </is>
      </c>
      <c r="AE231" s="34" t="n">
        <v>-14.44</v>
      </c>
      <c r="AF231" s="28" t="n">
        <v>1377.2</v>
      </c>
      <c r="AG231" s="28" t="n">
        <v>28.4</v>
      </c>
      <c r="AH231" s="26" t="inlineStr">
        <is>
          <t>Y</t>
        </is>
      </c>
      <c r="AI231" s="35" t="n">
        <v>24.7</v>
      </c>
      <c r="AJ231" s="35" t="n">
        <v>0.5</v>
      </c>
      <c r="AK231" s="26" t="inlineStr">
        <is>
          <t>N</t>
        </is>
      </c>
      <c r="AL231" s="36">
        <f>IF('BBG Verify'!K231="","not filed — run on terminal",'BBG Verify'!K231)</f>
        <v/>
      </c>
      <c r="AM231" s="26" t="inlineStr">
        <is>
          <t>N/A</t>
        </is>
      </c>
      <c r="AN231" s="26" t="inlineStr">
        <is>
          <t>N/A</t>
        </is>
      </c>
      <c r="AO231" s="26" t="inlineStr">
        <is>
          <t>N/A</t>
        </is>
      </c>
      <c r="AP231" s="26" t="inlineStr">
        <is>
          <t>Grand Moore Capital Limited</t>
        </is>
      </c>
      <c r="AQ231" s="26" t="inlineStr">
        <is>
          <t>中毅資本有限公司</t>
        </is>
      </c>
      <c r="AR231" s="26" t="inlineStr">
        <is>
          <t>Grand Moore Capital Limited; Valuable Capital Limited</t>
        </is>
      </c>
      <c r="AS231" s="26" t="inlineStr">
        <is>
          <t>民銀證券有限公司; 平證證券（香港）有限公司; 中毅資本有限公司; 工銀國際證券有限公司; 申萬宏源證券（香港）有限公司; 華盛資本証券有限公司</t>
        </is>
      </c>
      <c r="AT231" s="37">
        <f>HYPERLINK("https://www1.hkexnews.hk/listedco/listconews/sehk/2023/1212/2023121200092.htm","prospectus")</f>
        <v/>
      </c>
      <c r="AU231" s="37">
        <f>HYPERLINK("https://www1.hkexnews.hk/listedco/listconews/sehk/2023/1221/2023122101228.pdf","allotment")</f>
        <v/>
      </c>
      <c r="AV231" s="37">
        <f>HYPERLINK("https://www1.hkexnews.hk/listedco/listconews/sehk/2024/0118/2024011800257.pdf","stabilisation")</f>
        <v/>
      </c>
      <c r="AW231" s="26" t="inlineStr">
        <is>
          <t>intl sub: subscription level not stated in the filing · price range: fixed-price offering (no indicative range) · A/H: no A-share listing</t>
        </is>
      </c>
    </row>
    <row r="232">
      <c r="A232" s="25" t="inlineStr">
        <is>
          <t>2489</t>
        </is>
      </c>
      <c r="B232" s="26" t="inlineStr">
        <is>
          <t>PERSISTENCE RES</t>
        </is>
      </c>
      <c r="C232" s="26" t="inlineStr">
        <is>
          <t>集海黃金</t>
        </is>
      </c>
      <c r="D232" s="26" t="inlineStr">
        <is>
          <t>Materials/Energy</t>
        </is>
      </c>
      <c r="E232" s="26" t="inlineStr">
        <is>
          <t>Mining / metals</t>
        </is>
      </c>
      <c r="F232" s="26" t="inlineStr">
        <is>
          <t>Standard</t>
        </is>
      </c>
      <c r="G232" s="27" t="n">
        <v>45282</v>
      </c>
      <c r="H232" s="28" t="n">
        <v>275</v>
      </c>
      <c r="I232" s="26" t="inlineStr">
        <is>
          <t>gross (price x shares)</t>
        </is>
      </c>
      <c r="J232" s="29" t="n">
        <v>0.55</v>
      </c>
      <c r="K232" s="29" t="n">
        <v>0.75</v>
      </c>
      <c r="L232" s="29" t="n">
        <v>0.55</v>
      </c>
      <c r="M232" s="26" t="inlineStr">
        <is>
          <t>N</t>
        </is>
      </c>
      <c r="N232" s="30" t="n">
        <v>73.3</v>
      </c>
      <c r="O232" s="28" t="n">
        <v>1100</v>
      </c>
      <c r="P232" s="26" t="inlineStr">
        <is>
          <t>derived:price x shares upon listing</t>
        </is>
      </c>
      <c r="Q232" s="31" t="n">
        <v>8.76</v>
      </c>
      <c r="R232" s="32" t="n">
        <v>1.03</v>
      </c>
      <c r="S232" s="33" t="n">
        <v>39.6</v>
      </c>
      <c r="T232" s="26" t="inlineStr">
        <is>
          <t>東方金業（香港）有限公司</t>
        </is>
      </c>
      <c r="U232" s="30" t="n">
        <v>15</v>
      </c>
      <c r="V232" s="26" t="inlineStr">
        <is>
          <t>lapsed</t>
        </is>
      </c>
      <c r="W232" s="34" t="n">
        <v>1.82</v>
      </c>
      <c r="X232" s="34" t="n">
        <v>0</v>
      </c>
      <c r="Y232" s="34" t="n">
        <v>1.82</v>
      </c>
      <c r="Z232" s="34" t="n">
        <v>12.73</v>
      </c>
      <c r="AA232" s="34" t="n">
        <v>0</v>
      </c>
      <c r="AB232" s="34" t="n">
        <v>0.22</v>
      </c>
      <c r="AC232" s="34" t="n">
        <v>1.6</v>
      </c>
      <c r="AD232" s="26" t="inlineStr">
        <is>
          <t>Hang Seng Utilities sub-index</t>
        </is>
      </c>
      <c r="AE232" s="34" t="n">
        <v>59.09</v>
      </c>
      <c r="AF232" s="28" t="n">
        <v>460.3</v>
      </c>
      <c r="AG232" s="28" t="n">
        <v>133.1</v>
      </c>
      <c r="AH232" s="26" t="inlineStr">
        <is>
          <t>Y</t>
        </is>
      </c>
      <c r="AI232" s="35" t="n">
        <v>8.300000000000001</v>
      </c>
      <c r="AJ232" s="35" t="n">
        <v>2.4</v>
      </c>
      <c r="AK232" s="26" t="inlineStr">
        <is>
          <t>N</t>
        </is>
      </c>
      <c r="AL232" s="36">
        <f>IF('BBG Verify'!K232="","not filed — run on terminal",'BBG Verify'!K232)</f>
        <v/>
      </c>
      <c r="AM232" s="26" t="inlineStr">
        <is>
          <t>N/A</t>
        </is>
      </c>
      <c r="AN232" s="26" t="inlineStr">
        <is>
          <t>N/A</t>
        </is>
      </c>
      <c r="AO232" s="26" t="inlineStr">
        <is>
          <t>N/A</t>
        </is>
      </c>
      <c r="AP232" s="26" t="inlineStr">
        <is>
          <t>Innovax Capital Limited</t>
        </is>
      </c>
      <c r="AQ232" s="26" t="inlineStr">
        <is>
          <t>創陞融資有限公司</t>
        </is>
      </c>
      <c r="AR232" s="26" t="inlineStr">
        <is>
          <t>Managers and CMIs Innovax Securities Limited; CCB International Capital Limited; Central, Hong Kong BOCOM International Securities Limited; SPDB International Capital Limited; Citrus Securities Limited; DIRECTORS AND PARTIES INVOLVED IN THE GLOBAL OFFERING – 99 – Quam Securities Limited; Valuable Capital Limited; CMBC Securities Company Limited; First Shanghai Securities Limited; and CMI ABCI Capital Limited</t>
        </is>
      </c>
      <c r="AS232" s="26" t="inlineStr">
        <is>
          <t>農銀國際證券有限公司; 阿仕特朗資本管理有限公司; Beta International Securities Limited; 建銀國際金融有限公司; 鉅誠證券有限公司; 民銀證券有限公司; 華升證券（國際）有限公司; 千里碩證券有限公司; 艾德證券期貨有限公司; 第一上海證券有限公司; 富途證券國際（香港）有限公司; 創陞證券有限公司; 利弗莫爾證券有限公司; 太平基業證券有限公司; 華富建業證券有限公司; 軟庫中華金融服務有限公司; 浦銀國際融資有限公司; 老虎證券（香港）環球有限公司; 華盛資本証券有限公司; 越秀證券有限公司; 中泰國際證券有限公司; 中募金融資管有限公司</t>
        </is>
      </c>
      <c r="AT232" s="37">
        <f>HYPERLINK("https://www1.hkexnews.hk/listedco/listconews/sehk/2023/1214/2023121400088.htm","prospectus")</f>
        <v/>
      </c>
      <c r="AU232" s="37">
        <f>HYPERLINK("https://www1.hkexnews.hk/listedco/listconews/sehk/2023/1221/2023122101236.pdf","allotment")</f>
        <v/>
      </c>
      <c r="AV232" s="37">
        <f>HYPERLINK("https://www1.hkexnews.hk/listedco/listconews/sehk/2024/0119/2024011900977.pdf","stabilisation")</f>
        <v/>
      </c>
      <c r="AW232" s="26" t="inlineStr">
        <is>
          <t>A/H: no A-share listing</t>
        </is>
      </c>
    </row>
    <row r="233">
      <c r="A233" s="25" t="inlineStr">
        <is>
          <t>2511</t>
        </is>
      </c>
      <c r="B233" s="26" t="inlineStr">
        <is>
          <t>HIGHTIDE-B</t>
        </is>
      </c>
      <c r="C233" s="26" t="inlineStr">
        <is>
          <t>君聖泰醫藥－Ｂ</t>
        </is>
      </c>
      <c r="D233" s="26" t="inlineStr">
        <is>
          <t>Healthcare</t>
        </is>
      </c>
      <c r="E233" s="26" t="inlineStr">
        <is>
          <t>Biotech pre-revenue (18A)</t>
        </is>
      </c>
      <c r="F233" s="26" t="inlineStr">
        <is>
          <t>18A</t>
        </is>
      </c>
      <c r="G233" s="27" t="n">
        <v>45282</v>
      </c>
      <c r="H233" s="28" t="n">
        <v>278.2</v>
      </c>
      <c r="I233" s="26" t="inlineStr">
        <is>
          <t>gross (price x shares)</t>
        </is>
      </c>
      <c r="J233" s="29" t="n"/>
      <c r="K233" s="29" t="n">
        <v>11.5</v>
      </c>
      <c r="L233" s="29" t="n">
        <v>11.5</v>
      </c>
      <c r="M233" s="26" t="inlineStr">
        <is>
          <t>Y</t>
        </is>
      </c>
      <c r="N233" s="30" t="n">
        <v>100</v>
      </c>
      <c r="O233" s="28" t="n">
        <v>5919.9</v>
      </c>
      <c r="P233" s="26" t="inlineStr">
        <is>
          <t>derived:price x shares upon listing</t>
        </is>
      </c>
      <c r="Q233" s="31" t="n">
        <v>32.22</v>
      </c>
      <c r="R233" s="32" t="n">
        <v>1.25</v>
      </c>
      <c r="S233" s="33" t="n">
        <v>39.21</v>
      </c>
      <c r="T233" s="26" t="inlineStr">
        <is>
          <t>滄州創融股權投資基金有限公司</t>
        </is>
      </c>
      <c r="U233" s="30" t="n"/>
      <c r="V233" s="26" t="n"/>
      <c r="W233" s="34" t="n">
        <v>7.65</v>
      </c>
      <c r="X233" s="34" t="n">
        <v>1.91</v>
      </c>
      <c r="Y233" s="34" t="n">
        <v>5.22</v>
      </c>
      <c r="Z233" s="34" t="n">
        <v>-50.61</v>
      </c>
      <c r="AA233" s="34" t="n">
        <v>-2.26</v>
      </c>
      <c r="AB233" s="34" t="n">
        <v>13.58</v>
      </c>
      <c r="AC233" s="34" t="n">
        <v>-8.359999999999999</v>
      </c>
      <c r="AD233" s="26" t="inlineStr">
        <is>
          <t>China Biotech ETF (HS biotech proxy)</t>
        </is>
      </c>
      <c r="AE233" s="34" t="n">
        <v>-72.17</v>
      </c>
      <c r="AF233" s="28" t="n"/>
      <c r="AG233" s="28" t="n">
        <v>-243.3</v>
      </c>
      <c r="AH233" s="26" t="inlineStr">
        <is>
          <t>N</t>
        </is>
      </c>
      <c r="AI233" s="38">
        <f>IF('BBG Verify'!O233="","not filed — run on terminal",'BBG Verify'!O233)</f>
        <v/>
      </c>
      <c r="AJ233" s="35" t="n"/>
      <c r="AK233" s="26" t="inlineStr">
        <is>
          <t>N</t>
        </is>
      </c>
      <c r="AL233" s="36">
        <f>IF('BBG Verify'!K233="","not filed — run on terminal",'BBG Verify'!K233)</f>
        <v/>
      </c>
      <c r="AM233" s="26" t="inlineStr">
        <is>
          <t>N/A</t>
        </is>
      </c>
      <c r="AN233" s="26" t="inlineStr">
        <is>
          <t>N/A</t>
        </is>
      </c>
      <c r="AO233" s="26" t="inlineStr">
        <is>
          <t>N/A</t>
        </is>
      </c>
      <c r="AP233" s="26" t="n"/>
      <c r="AQ233" s="26" t="inlineStr">
        <is>
          <t>瑞銀證券香港有限公司; 華泰金融控股(香港)有限公司</t>
        </is>
      </c>
      <c r="AR233" s="26" t="inlineStr">
        <is>
          <t>sa nd Joint Lead Managers UBS AG Hon g Kong Branch; CapitalM arket Interme diarie s UBS AG Hon g Kong Branch</t>
        </is>
      </c>
      <c r="AS233" s="26" t="inlineStr">
        <is>
          <t>Beta International Securities Limited; 建銀國際金融有限公司; 中信里昂證券有限公司; 招銀國際融資有限公司; 復星國際證券有限公司; 金聯證券有限公司; 華泰金融控股(香港)有限公司; 一盈證券有限公司; 申萬宏源證券（香港）有限公司; UBS AG 香港分行; 友信證券有限公司; 盈寶證券國際（香港）有限公司; 越秀證券有限公司</t>
        </is>
      </c>
      <c r="AT233" s="37">
        <f>HYPERLINK("https://www1.hkexnews.hk/listedco/listconews/sehk/2023/1214/2023121400045.pdf","prospectus")</f>
        <v/>
      </c>
      <c r="AU233" s="37">
        <f>HYPERLINK("https://www1.hkexnews.hk/listedco/listconews/sehk/2023/1221/2023122101298.pdf","allotment")</f>
        <v/>
      </c>
      <c r="AV233" s="26" t="n"/>
      <c r="AW233" s="26" t="inlineStr">
        <is>
          <t>P/E: n/m — loss-making at IPO (use P/S) · greenshoe: no over-allotment option in the offer structure · A/H: no A-share listing · sponsor: English name not in the filing text; AAStocks 保薦人 shown</t>
        </is>
      </c>
    </row>
    <row r="234">
      <c r="A234" s="25" t="inlineStr">
        <is>
          <t>6911</t>
        </is>
      </c>
      <c r="B234" s="26" t="inlineStr">
        <is>
          <t>LANCANG TEA</t>
        </is>
      </c>
      <c r="C234" s="26" t="inlineStr">
        <is>
          <t>瀾滄古茶</t>
        </is>
      </c>
      <c r="D234" s="26" t="inlineStr">
        <is>
          <t>Consumer</t>
        </is>
      </c>
      <c r="E234" s="26" t="inlineStr">
        <is>
          <t>Beverages / packaged food</t>
        </is>
      </c>
      <c r="F234" s="26" t="inlineStr">
        <is>
          <t>Standard</t>
        </is>
      </c>
      <c r="G234" s="27" t="n">
        <v>45282</v>
      </c>
      <c r="H234" s="28" t="n">
        <v>224.7</v>
      </c>
      <c r="I234" s="26" t="inlineStr">
        <is>
          <t>gross (price x shares)</t>
        </is>
      </c>
      <c r="J234" s="29" t="n">
        <v>10.4</v>
      </c>
      <c r="K234" s="29" t="n">
        <v>14.16</v>
      </c>
      <c r="L234" s="29" t="n">
        <v>10.7</v>
      </c>
      <c r="M234" s="26" t="inlineStr">
        <is>
          <t>N</t>
        </is>
      </c>
      <c r="N234" s="30" t="n">
        <v>75.59999999999999</v>
      </c>
      <c r="O234" s="28" t="n">
        <v>898.8</v>
      </c>
      <c r="P234" s="26" t="inlineStr">
        <is>
          <t>derived:price x shares upon listing</t>
        </is>
      </c>
      <c r="Q234" s="31" t="n">
        <v>13.23</v>
      </c>
      <c r="R234" s="32" t="n">
        <v>1.32</v>
      </c>
      <c r="S234" s="33" t="n">
        <v>50.31</v>
      </c>
      <c r="T234" s="26" t="inlineStr">
        <is>
          <t>中國海景集團有限公司; 嘉實國際投資有限公司; 瀾滄綠色資源投資有限公司; 興日投資有限公司</t>
        </is>
      </c>
      <c r="U234" s="30" t="n">
        <v>2.6</v>
      </c>
      <c r="V234" s="26" t="inlineStr">
        <is>
          <t>lapsed</t>
        </is>
      </c>
      <c r="W234" s="34" t="n">
        <v>21.96</v>
      </c>
      <c r="X234" s="34" t="n">
        <v>50</v>
      </c>
      <c r="Y234" s="34" t="n">
        <v>27.85</v>
      </c>
      <c r="Z234" s="34" t="n">
        <v>54.21</v>
      </c>
      <c r="AA234" s="34" t="n">
        <v>4.83</v>
      </c>
      <c r="AB234" s="34" t="n">
        <v>31.32</v>
      </c>
      <c r="AC234" s="34" t="n">
        <v>-3.47</v>
      </c>
      <c r="AD234" s="26" t="inlineStr">
        <is>
          <t>Hang Seng Commerce &amp; Industry sub-index</t>
        </is>
      </c>
      <c r="AE234" s="34" t="n">
        <v>-78.13</v>
      </c>
      <c r="AF234" s="28" t="n">
        <v>509.2</v>
      </c>
      <c r="AG234" s="28" t="n">
        <v>77.5</v>
      </c>
      <c r="AH234" s="26" t="inlineStr">
        <is>
          <t>Y</t>
        </is>
      </c>
      <c r="AI234" s="35" t="n">
        <v>11.6</v>
      </c>
      <c r="AJ234" s="35" t="n">
        <v>1.8</v>
      </c>
      <c r="AK234" s="26" t="inlineStr">
        <is>
          <t>N</t>
        </is>
      </c>
      <c r="AL234" s="36">
        <f>IF('BBG Verify'!K234="","not filed — run on terminal",'BBG Verify'!K234)</f>
        <v/>
      </c>
      <c r="AM234" s="26" t="inlineStr">
        <is>
          <t>N/A</t>
        </is>
      </c>
      <c r="AN234" s="26" t="inlineStr">
        <is>
          <t>N/A</t>
        </is>
      </c>
      <c r="AO234" s="26" t="inlineStr">
        <is>
          <t>N/A</t>
        </is>
      </c>
      <c r="AP234" s="26" t="inlineStr">
        <is>
          <t>China Securities (International) Corporate Finance Company Limited; China Merchants Securities (HK) Co., Limited</t>
        </is>
      </c>
      <c r="AQ234" s="26" t="inlineStr">
        <is>
          <t>中信建投(國際)融資有限公司; 招商證券(香港)有限公司</t>
        </is>
      </c>
      <c r="AR234" s="26"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AS234" s="26" t="inlineStr">
        <is>
          <t>農銀國際證券有限公司; 招銀國際融資有限公司; 招商證券(香港)有限公司; 中信建投(國際)融資有限公司; 艾德證券期貨有限公司; 富途證券國際（香港）有限公司; 海通國際證券有限公司; 工銀國際證券有限公司; 利弗莫爾證券有限公司; 申萬宏源證券（香港）有限公司; 華盛資本証券有限公司; 中泰國際證券有限公司</t>
        </is>
      </c>
      <c r="AT234" s="37">
        <f>HYPERLINK("https://www1.hkexnews.hk/listedco/listconews/sehk/2023/1214/2023121400011.pdf","prospectus")</f>
        <v/>
      </c>
      <c r="AU234" s="37">
        <f>HYPERLINK("https://www1.hkexnews.hk/listedco/listconews/sehk/2023/1221/2023122101314.pdf","allotment")</f>
        <v/>
      </c>
      <c r="AV234" s="37">
        <f>HYPERLINK("https://www1.hkexnews.hk/listedco/listconews/sehk/2024/0118/2024011800501.pdf","stabilisation")</f>
        <v/>
      </c>
      <c r="AW234" s="26" t="inlineStr">
        <is>
          <t>A/H: no A-share listing</t>
        </is>
      </c>
    </row>
    <row r="235">
      <c r="A235" s="25" t="inlineStr">
        <is>
          <t>2149</t>
        </is>
      </c>
      <c r="B235" s="26" t="inlineStr">
        <is>
          <t>BATELAB</t>
        </is>
      </c>
      <c r="C235" s="26" t="inlineStr">
        <is>
          <t>貝克微</t>
        </is>
      </c>
      <c r="D235" s="26" t="inlineStr">
        <is>
          <t>Tech/AI</t>
        </is>
      </c>
      <c r="E235" s="26" t="inlineStr">
        <is>
          <t>AI chips &amp; semis</t>
        </is>
      </c>
      <c r="F235" s="26" t="inlineStr">
        <is>
          <t>Standard</t>
        </is>
      </c>
      <c r="G235" s="27" t="n">
        <v>45288</v>
      </c>
      <c r="H235" s="28" t="n">
        <v>412.1</v>
      </c>
      <c r="I235" s="26" t="inlineStr">
        <is>
          <t>gross (price x shares)</t>
        </is>
      </c>
      <c r="J235" s="29" t="n"/>
      <c r="K235" s="29" t="n">
        <v>38.45</v>
      </c>
      <c r="L235" s="29" t="n">
        <v>27.47</v>
      </c>
      <c r="M235" s="26" t="inlineStr">
        <is>
          <t>N</t>
        </is>
      </c>
      <c r="N235" s="30" t="n">
        <v>71.40000000000001</v>
      </c>
      <c r="O235" s="28" t="n">
        <v>1648.2</v>
      </c>
      <c r="P235" s="26" t="inlineStr">
        <is>
          <t>derived:price x shares upon listing</t>
        </is>
      </c>
      <c r="Q235" s="31" t="n">
        <v>1.34</v>
      </c>
      <c r="R235" s="32" t="n">
        <v>1.36</v>
      </c>
      <c r="S235" s="33" t="n">
        <v>0</v>
      </c>
      <c r="T235" s="26" t="n"/>
      <c r="U235" s="30" t="n">
        <v>13.2</v>
      </c>
      <c r="V235" s="26" t="inlineStr">
        <is>
          <t>lapsed (no over-allocation)</t>
        </is>
      </c>
      <c r="W235" s="34" t="n">
        <v>-17.36</v>
      </c>
      <c r="X235" s="34" t="n">
        <v>-8.630000000000001</v>
      </c>
      <c r="Y235" s="34" t="n">
        <v>-25.74</v>
      </c>
      <c r="Z235" s="34" t="n">
        <v>-13.36</v>
      </c>
      <c r="AA235" s="34" t="n">
        <v>-10.14</v>
      </c>
      <c r="AB235" s="34" t="n">
        <v>-13.87</v>
      </c>
      <c r="AC235" s="34" t="n">
        <v>-11.87</v>
      </c>
      <c r="AD235" s="26" t="inlineStr">
        <is>
          <t>HSTECH (Hang Seng TECH ETF)</t>
        </is>
      </c>
      <c r="AE235" s="34" t="n">
        <v>14.67</v>
      </c>
      <c r="AF235" s="28" t="n">
        <v>510.3</v>
      </c>
      <c r="AG235" s="28" t="n">
        <v>104.8</v>
      </c>
      <c r="AH235" s="26" t="inlineStr">
        <is>
          <t>Y</t>
        </is>
      </c>
      <c r="AI235" s="35" t="n">
        <v>15.7</v>
      </c>
      <c r="AJ235" s="35" t="n">
        <v>3.2</v>
      </c>
      <c r="AK235" s="26" t="inlineStr">
        <is>
          <t>N</t>
        </is>
      </c>
      <c r="AL235" s="36">
        <f>IF('BBG Verify'!K235="","not filed — run on terminal",'BBG Verify'!K235)</f>
        <v/>
      </c>
      <c r="AM235" s="26" t="inlineStr">
        <is>
          <t>N/A</t>
        </is>
      </c>
      <c r="AN235" s="26" t="inlineStr">
        <is>
          <t>N/A</t>
        </is>
      </c>
      <c r="AO235" s="26" t="inlineStr">
        <is>
          <t>N/A</t>
        </is>
      </c>
      <c r="AP235" s="26" t="n"/>
      <c r="AQ235" s="26" t="inlineStr">
        <is>
          <t>中國國際金融香港證券有限公司</t>
        </is>
      </c>
      <c r="AR235" s="26" t="inlineStr">
        <is>
          <t>China International Capital Corporation Hong Kong Securities Limited; Central, Hong Kong China Galaxy International Securities (Hong Kong) Co., Limited; CMB International Capital Limited; Central, Hong Kong GF Securities (Hong Kong) Brokerage Limited; Guotai Junan Securities (Hong Kong) Limited; (Hong Kong) Co., Limited; ABCI Capital Limited; ICBC International Securities Limited; Soochow Securities International Brokerage Limited</t>
        </is>
      </c>
      <c r="AS235" s="26" t="inlineStr">
        <is>
          <t>農銀國際證券有限公司; 中國銀河國際證券(香港)有限公司; 中國國際金融香港證券有限公司; 招銀國際融資有限公司; 富途證券國際（香港）有限公司; 廣發證券（香港）經紀有限公司; 國泰君安證券(香港)有限公司; 工銀國際證券有限公司; 利弗莫爾證券有限公司; 元庫證券有限公司; 東吳證券國際經紀有限公司; 老虎證券（香港）環球有限公司; 華盛資本証券有限公司</t>
        </is>
      </c>
      <c r="AT235" s="37">
        <f>HYPERLINK("https://www1.hkexnews.hk/listedco/listconews/sehk/2023/1218/2023121800007.pdf","prospectus")</f>
        <v/>
      </c>
      <c r="AU235" s="37">
        <f>HYPERLINK("https://www1.hkexnews.hk/listedco/listconews/sehk/2023/1227/2023122701489.pdf","allotment")</f>
        <v/>
      </c>
      <c r="AV235" s="37">
        <f>HYPERLINK("https://www1.hkexnews.hk/listedco/listconews/sehk/2024/0122/2024012200299.pdf","stabilisation")</f>
        <v/>
      </c>
      <c r="AW235" s="26" t="inlineStr">
        <is>
          <t>A/H: no A-share listing · sponsor: English name not in the filing text; AAStocks 保薦人 shown</t>
        </is>
      </c>
    </row>
    <row r="236">
      <c r="A236" s="25" t="inlineStr">
        <is>
          <t>9880</t>
        </is>
      </c>
      <c r="B236" s="26" t="inlineStr">
        <is>
          <t>UBTECH ROBOTICS</t>
        </is>
      </c>
      <c r="C236" s="26" t="inlineStr">
        <is>
          <t>優必選</t>
        </is>
      </c>
      <c r="D236" s="26" t="inlineStr">
        <is>
          <t>Tech/AI</t>
        </is>
      </c>
      <c r="E236" s="26" t="inlineStr">
        <is>
          <t>Robotics &amp; autonomous driving</t>
        </is>
      </c>
      <c r="F236" s="26" t="inlineStr">
        <is>
          <t>Standard</t>
        </is>
      </c>
      <c r="G236" s="27" t="n">
        <v>45289</v>
      </c>
      <c r="H236" s="28" t="n">
        <v>1015.38</v>
      </c>
      <c r="I236" s="26" t="inlineStr">
        <is>
          <t>gross (stated)</t>
        </is>
      </c>
      <c r="J236" s="29" t="n"/>
      <c r="K236" s="29" t="n">
        <v>116</v>
      </c>
      <c r="L236" s="29" t="n">
        <v>90</v>
      </c>
      <c r="M236" s="26" t="inlineStr">
        <is>
          <t>N</t>
        </is>
      </c>
      <c r="N236" s="30" t="n">
        <v>77.59999999999999</v>
      </c>
      <c r="O236" s="28" t="n">
        <v>37606.6</v>
      </c>
      <c r="P236" s="26" t="inlineStr">
        <is>
          <t>derived:price x shares upon listing</t>
        </is>
      </c>
      <c r="Q236" s="31" t="n">
        <v>5.16</v>
      </c>
      <c r="R236" s="39">
        <f>IF('BBG Verify'!E236="","not filed — run on terminal",'BBG Verify'!E236)</f>
        <v/>
      </c>
      <c r="S236" s="33" t="n">
        <v>10</v>
      </c>
      <c r="T236" s="26" t="inlineStr">
        <is>
          <t>亦莊國際控股(香港)有限公司</t>
        </is>
      </c>
      <c r="U236" s="30" t="n">
        <v>15</v>
      </c>
      <c r="V236" s="26" t="inlineStr">
        <is>
          <t>partial</t>
        </is>
      </c>
      <c r="W236" s="34" t="n">
        <v>0.9399999999999999</v>
      </c>
      <c r="X236" s="34" t="n">
        <v>-2.22</v>
      </c>
      <c r="Y236" s="34" t="n">
        <v>0</v>
      </c>
      <c r="Z236" s="34" t="n">
        <v>143.78</v>
      </c>
      <c r="AA236" s="34" t="n">
        <v>-0.93</v>
      </c>
      <c r="AB236" s="34" t="n">
        <v>17.95</v>
      </c>
      <c r="AC236" s="34" t="n">
        <v>-17.95</v>
      </c>
      <c r="AD236" s="26" t="inlineStr">
        <is>
          <t>HSTECH (Hang Seng TECH ETF)</t>
        </is>
      </c>
      <c r="AE236" s="34" t="n">
        <v>5.33</v>
      </c>
      <c r="AF236" s="28" t="n">
        <v>1109.1</v>
      </c>
      <c r="AG236" s="28" t="n">
        <v>-1086.1</v>
      </c>
      <c r="AH236" s="26" t="inlineStr">
        <is>
          <t>N</t>
        </is>
      </c>
      <c r="AI236" s="38">
        <f>IF('BBG Verify'!O236="","not filed — run on terminal",'BBG Verify'!O236)</f>
        <v/>
      </c>
      <c r="AJ236" s="35" t="n">
        <v>33.9</v>
      </c>
      <c r="AK236" s="26" t="inlineStr">
        <is>
          <t>N</t>
        </is>
      </c>
      <c r="AL236" s="36">
        <f>IF('BBG Verify'!K236="","not filed — run on terminal",'BBG Verify'!K236)</f>
        <v/>
      </c>
      <c r="AM236" s="26" t="inlineStr">
        <is>
          <t>N/A</t>
        </is>
      </c>
      <c r="AN236" s="26" t="inlineStr">
        <is>
          <t>N/A</t>
        </is>
      </c>
      <c r="AO236" s="26" t="inlineStr">
        <is>
          <t>N/A</t>
        </is>
      </c>
      <c r="AP236" s="44" t="inlineStr">
        <is>
          <t>Guotai Junan Capital Limited</t>
        </is>
      </c>
      <c r="AQ236" s="26" t="inlineStr">
        <is>
          <t>國泰君安融資有限公司</t>
        </is>
      </c>
      <c r="AR236" s="26" t="inlineStr">
        <is>
          <t>ABCI Securities Company Limited</t>
        </is>
      </c>
      <c r="AS236" s="26" t="inlineStr">
        <is>
          <t>農銀國際證券有限公司; 法國巴黎證券（亞洲）有限公司; 中銀國際亞洲有限公司; 建銀國際金融有限公司; 中信里昂證券有限公司; 民銀證券有限公司; 招銀國際融資有限公司; 中信建投(國際)融資有限公司; 富途證券國際（香港）有限公司; 廣發證券（香港）經紀有限公司; 國泰君安證券(香港)有限公司; 國信證券(香港)融資有限公司; 華泰金融控股(香港)有限公司; 工銀國際證券有限公司; 利弗莫爾證券有限公司; 百惠證券有限公司; 申萬宏源證券（香港）有限公司; TradeGo Markets Limited; 華盛資本証券有限公司</t>
        </is>
      </c>
      <c r="AT236" s="37">
        <f>HYPERLINK("https://www1.hkexnews.hk/listedco/listconews/sehk/2023/1219/2023121900021.pdf","prospectus")</f>
        <v/>
      </c>
      <c r="AU236" s="37">
        <f>HYPERLINK("https://www1.hkexnews.hk/listedco/listconews/sehk/2023/1228/2023122801642.pdf","allotment")</f>
        <v/>
      </c>
      <c r="AV236" s="37">
        <f>HYPERLINK("https://www1.hkexnews.hk/listedco/listconews/sehk/2024/0122/2024012200015.pdf","stabilisation")</f>
        <v/>
      </c>
      <c r="AW236" s="26" t="inlineStr">
        <is>
          <t>intl sub: subscription level not stated in the filing · P/E: n/m — loss-making at IPO (use P/S) · A/H: no A-share listing · cornerstone: AAStocks institutional table includes non-cornerstone orders (superset) — cornerstone % is from the prospectus</t>
        </is>
      </c>
    </row>
    <row r="237">
      <c r="A237" s="25" t="inlineStr">
        <is>
          <t>2498</t>
        </is>
      </c>
      <c r="B237" s="26" t="inlineStr">
        <is>
          <t>ROBOSENSE</t>
        </is>
      </c>
      <c r="C237" s="26" t="inlineStr">
        <is>
          <t>速騰聚創</t>
        </is>
      </c>
      <c r="D237" s="26" t="inlineStr">
        <is>
          <t>Tech/AI</t>
        </is>
      </c>
      <c r="E237" s="26" t="inlineStr">
        <is>
          <t>Robotics &amp; autonomous driving</t>
        </is>
      </c>
      <c r="F237" s="26" t="inlineStr">
        <is>
          <t>Standard</t>
        </is>
      </c>
      <c r="G237" s="27" t="n">
        <v>45296</v>
      </c>
      <c r="H237" s="28" t="n">
        <v>985.1</v>
      </c>
      <c r="I237" s="26" t="inlineStr">
        <is>
          <t>gross (price x shares)</t>
        </is>
      </c>
      <c r="J237" s="29" t="n"/>
      <c r="K237" s="29" t="n">
        <v>43</v>
      </c>
      <c r="L237" s="29" t="n">
        <v>43</v>
      </c>
      <c r="M237" s="26" t="inlineStr">
        <is>
          <t>Y</t>
        </is>
      </c>
      <c r="N237" s="30" t="n">
        <v>100</v>
      </c>
      <c r="O237" s="41">
        <f>IF('BBG Verify'!M237="","not filed — run on terminal",'BBG Verify'!M237)</f>
        <v/>
      </c>
      <c r="P237" s="26" t="n"/>
      <c r="Q237" s="31" t="n">
        <v>0.58</v>
      </c>
      <c r="R237" s="32" t="n">
        <v>1.28</v>
      </c>
      <c r="S237" s="33" t="n">
        <v>88.3</v>
      </c>
      <c r="T237" s="26" t="inlineStr">
        <is>
          <t>深圳市南山戰略新興產業投資有限公司</t>
        </is>
      </c>
      <c r="U237" s="30" t="n">
        <v>12.5</v>
      </c>
      <c r="V237" s="26" t="inlineStr">
        <is>
          <t>partial</t>
        </is>
      </c>
      <c r="W237" s="34" t="n">
        <v>0</v>
      </c>
      <c r="X237" s="34" t="n">
        <v>0</v>
      </c>
      <c r="Y237" s="34" t="n">
        <v>-9.300000000000001</v>
      </c>
      <c r="Z237" s="34" t="n">
        <v>-1.16</v>
      </c>
      <c r="AA237" s="34" t="n">
        <v>-9.300000000000001</v>
      </c>
      <c r="AB237" s="34" t="n">
        <v>7.66</v>
      </c>
      <c r="AC237" s="34" t="n">
        <v>-16.96</v>
      </c>
      <c r="AD237" s="26" t="inlineStr">
        <is>
          <t>HSTECH (Hang Seng TECH ETF)</t>
        </is>
      </c>
      <c r="AE237" s="34" t="n">
        <v>-48.09</v>
      </c>
      <c r="AF237" s="28" t="n">
        <v>583.4</v>
      </c>
      <c r="AG237" s="28" t="n">
        <v>-2294.7</v>
      </c>
      <c r="AH237" s="26" t="inlineStr">
        <is>
          <t>N</t>
        </is>
      </c>
      <c r="AI237" s="38">
        <f>IF('BBG Verify'!O237="","not filed — run on terminal",'BBG Verify'!O237)</f>
        <v/>
      </c>
      <c r="AJ237" s="35" t="n"/>
      <c r="AK237" s="26" t="inlineStr">
        <is>
          <t>N</t>
        </is>
      </c>
      <c r="AL237" s="36">
        <f>IF('BBG Verify'!K237="","not filed — run on terminal",'BBG Verify'!K237)</f>
        <v/>
      </c>
      <c r="AM237" s="26" t="inlineStr">
        <is>
          <t>N/A</t>
        </is>
      </c>
      <c r="AN237" s="26" t="inlineStr">
        <is>
          <t>N/A</t>
        </is>
      </c>
      <c r="AO237" s="26" t="inlineStr">
        <is>
          <t>N/A</t>
        </is>
      </c>
      <c r="AP237" s="26" t="inlineStr">
        <is>
          <t>J.P. Morgan Securities (Far East) Limited; China Renaissance Securities (Hong Kong) Limited</t>
        </is>
      </c>
      <c r="AQ237" s="26" t="inlineStr">
        <is>
          <t>J.P. Morgan Securities (Far East) Limited; 華興資本證券(香港)有限公司</t>
        </is>
      </c>
      <c r="AR237" s="26" t="inlineStr">
        <is>
          <t>J.P. Morgan Securities (Asia Pacific) Limited; J.P. Morgan Securities plc; China International Capital Corporation Hong Kong Securities Limited; Central, Hong Kong CCB International Capital Limited; Central, Hong Kong Essence International Securities (Hong Kong) Limited; Central, Hong Kong Fosun International Securities Limited; Central, Hong Kong CMB International Capital Limited; ABCI Capital Limited</t>
        </is>
      </c>
      <c r="AS237" s="26" t="inlineStr">
        <is>
          <t>農銀國際證券有限公司; 建銀國際金融有限公司; 中國國際金融香港證券有限公司; 招銀國際融資有限公司; 華興資本證券(香港)有限公司; 安信國際證券(香港)有限公司; 復星國際證券有限公司; J.P. Morgan Securities (Asia Pacific) Limited; 利弗莫爾證券有限公司</t>
        </is>
      </c>
      <c r="AT237" s="37">
        <f>HYPERLINK("https://www1.hkexnews.hk/listedco/listconews/sehk/2023/1227/2023122700027.pdf","prospectus")</f>
        <v/>
      </c>
      <c r="AU237" s="37">
        <f>HYPERLINK("https://www1.hkexnews.hk/listedco/listconews/sehk/2024/0104/2024010401780.pdf","allotment")</f>
        <v/>
      </c>
      <c r="AV237" s="37">
        <f>HYPERLINK("https://www1.hkexnews.hk/listedco/listconews/sehk/2024/0201/2024020103564.pdf","stabilisation")</f>
        <v/>
      </c>
      <c r="AW237" s="26" t="inlineStr">
        <is>
          <t>P/E: n/m — loss-making at IPO (use P/S) · A/H: no A-share listing</t>
        </is>
      </c>
    </row>
    <row r="238">
      <c r="A238" s="25" t="inlineStr">
        <is>
          <t>2453</t>
        </is>
      </c>
      <c r="B238" s="26" t="inlineStr">
        <is>
          <t>CONCORD HC GP</t>
        </is>
      </c>
      <c r="C238" s="26" t="inlineStr">
        <is>
          <t>美中嘉和</t>
        </is>
      </c>
      <c r="D238" s="26" t="inlineStr">
        <is>
          <t>Healthcare</t>
        </is>
      </c>
      <c r="E238" s="26" t="inlineStr">
        <is>
          <t>Hospitals / clinics</t>
        </is>
      </c>
      <c r="F238" s="26" t="inlineStr">
        <is>
          <t>Standard</t>
        </is>
      </c>
      <c r="G238" s="27" t="n">
        <v>45300</v>
      </c>
      <c r="H238" s="28" t="n">
        <v>562.9</v>
      </c>
      <c r="I238" s="26" t="inlineStr">
        <is>
          <t>gross (price x shares)</t>
        </is>
      </c>
      <c r="J238" s="29" t="n">
        <v>14.1</v>
      </c>
      <c r="K238" s="29" t="n">
        <v>16.4</v>
      </c>
      <c r="L238" s="29" t="n">
        <v>14.28</v>
      </c>
      <c r="M238" s="26" t="inlineStr">
        <is>
          <t>N</t>
        </is>
      </c>
      <c r="N238" s="30" t="n">
        <v>87.09999999999999</v>
      </c>
      <c r="O238" s="28" t="n">
        <v>10229.3</v>
      </c>
      <c r="P238" s="26" t="inlineStr">
        <is>
          <t>derived:price x shares upon listing</t>
        </is>
      </c>
      <c r="Q238" s="31" t="n">
        <v>1.99</v>
      </c>
      <c r="R238" s="32" t="n">
        <v>1.02</v>
      </c>
      <c r="S238" s="33" t="n">
        <v>0</v>
      </c>
      <c r="T238" s="26" t="n"/>
      <c r="U238" s="30" t="n"/>
      <c r="V238" s="26" t="n"/>
      <c r="W238" s="34" t="n">
        <v>-22.41</v>
      </c>
      <c r="X238" s="34" t="n">
        <v>-2.24</v>
      </c>
      <c r="Y238" s="34" t="n">
        <v>-9.1</v>
      </c>
      <c r="Z238" s="34" t="n">
        <v>61.06</v>
      </c>
      <c r="AA238" s="34" t="n">
        <v>17.15</v>
      </c>
      <c r="AB238" s="34" t="n">
        <v>1.68</v>
      </c>
      <c r="AC238" s="34" t="n">
        <v>-10.78</v>
      </c>
      <c r="AD238" s="26" t="inlineStr">
        <is>
          <t>China Biotech ETF (HS biotech proxy)</t>
        </is>
      </c>
      <c r="AE238" s="34" t="n">
        <v>-94.19</v>
      </c>
      <c r="AF238" s="28" t="n">
        <v>2.2</v>
      </c>
      <c r="AG238" s="28" t="n">
        <v>-700.9</v>
      </c>
      <c r="AH238" s="26" t="inlineStr">
        <is>
          <t>N</t>
        </is>
      </c>
      <c r="AI238" s="38">
        <f>IF('BBG Verify'!O238="","not filed — run on terminal",'BBG Verify'!O238)</f>
        <v/>
      </c>
      <c r="AJ238" s="35" t="n">
        <v>4649.7</v>
      </c>
      <c r="AK238" s="26" t="inlineStr">
        <is>
          <t>N</t>
        </is>
      </c>
      <c r="AL238" s="36">
        <f>IF('BBG Verify'!K238="","not filed — run on terminal",'BBG Verify'!K238)</f>
        <v/>
      </c>
      <c r="AM238" s="26" t="inlineStr">
        <is>
          <t>N/A</t>
        </is>
      </c>
      <c r="AN238" s="26" t="inlineStr">
        <is>
          <t>N/A</t>
        </is>
      </c>
      <c r="AO238" s="26" t="inlineStr">
        <is>
          <t>N/A</t>
        </is>
      </c>
      <c r="AP238" s="26" t="inlineStr">
        <is>
          <t>China International Capital Corporation Hong Kong Securities Limited; Haitong International Capital Limited</t>
        </is>
      </c>
      <c r="AQ238" s="26" t="inlineStr">
        <is>
          <t>海通國際資本有限公司; 中國國際金融(香港)有限公司</t>
        </is>
      </c>
      <c r="AR238" s="26" t="inlineStr">
        <is>
          <t>China International Capital Corporation Hong Kong Securities Limited; Haitong International Securities Company Limited; Central, Hong Kong CCB International Capital Limited; Central, Hong Kong China Everbright Securities (HK) Limited; Wan Chai, Hong Kong CMB International Capital Limited; Central, Hong Kong Fosun International Securities Limited; Central, Hong Kong Futu Securities International (Hong Kong) Limited; Livermore Holdings Limited; Mouette Securities Company Limited; Tiger Brokers (HK) Global Limited</t>
        </is>
      </c>
      <c r="AS238" s="26" t="inlineStr">
        <is>
          <t>農銀國際證券有限公司; 建銀國際金融有限公司; 中國光大證券(香港)有限公司; 中國國際金融香港證券有限公司; 中信里昂證券有限公司; 招銀國際融資有限公司; 復星國際證券有限公司; 富途證券國際（香港）有限公司; 海通國際證券有限公司; 利弗莫爾證券有限公司; 海盈證券有限公司; 浦銀國際融資有限公司; 老虎證券（香港）環球有限公司; 華盛資本証券有限公司</t>
        </is>
      </c>
      <c r="AT238" s="37">
        <f>HYPERLINK("https://www1.hkexnews.hk/listedco/listconews/sehk/2023/1229/2023122900023.pdf","prospectus")</f>
        <v/>
      </c>
      <c r="AU238" s="37">
        <f>HYPERLINK("https://www1.hkexnews.hk/listedco/listconews/sehk/2024/0108/2024010801006.pdf","allotment")</f>
        <v/>
      </c>
      <c r="AV238" s="26" t="n"/>
      <c r="AW238" s="26" t="inlineStr">
        <is>
          <t>P/E: n/m — loss-making at IPO (use P/S) · greenshoe: no over-allotment option in the offer structure · A/H: no A-share listing</t>
        </is>
      </c>
    </row>
    <row r="239">
      <c r="A239" s="25" t="inlineStr">
        <is>
          <t>2503</t>
        </is>
      </c>
      <c r="B239" s="26" t="inlineStr">
        <is>
          <t>ZHONGSHENJIANYE</t>
        </is>
      </c>
      <c r="C239" s="26" t="inlineStr">
        <is>
          <t>中深建業</t>
        </is>
      </c>
      <c r="D239" s="26" t="inlineStr">
        <is>
          <t>Industrials</t>
        </is>
      </c>
      <c r="E239" s="26" t="inlineStr">
        <is>
          <t>Construction / engineering</t>
        </is>
      </c>
      <c r="F239" s="26" t="inlineStr">
        <is>
          <t>Standard</t>
        </is>
      </c>
      <c r="G239" s="27" t="n">
        <v>45300</v>
      </c>
      <c r="H239" s="28" t="n">
        <v>128.7</v>
      </c>
      <c r="I239" s="26" t="inlineStr">
        <is>
          <t>gross (stated)</t>
        </is>
      </c>
      <c r="J239" s="29" t="n"/>
      <c r="K239" s="29" t="n">
        <v>1</v>
      </c>
      <c r="L239" s="29" t="n">
        <v>1</v>
      </c>
      <c r="M239" s="26" t="inlineStr">
        <is>
          <t>Y</t>
        </is>
      </c>
      <c r="N239" s="30" t="n">
        <v>100</v>
      </c>
      <c r="O239" s="28" t="n">
        <v>514.8</v>
      </c>
      <c r="P239" s="26" t="inlineStr">
        <is>
          <t>derived:price x shares upon listing</t>
        </is>
      </c>
      <c r="Q239" s="31" t="n">
        <v>58.44</v>
      </c>
      <c r="R239" s="32" t="n">
        <v>1.09</v>
      </c>
      <c r="S239" s="33" t="n">
        <v>0</v>
      </c>
      <c r="T239" s="26" t="n"/>
      <c r="U239" s="30" t="n"/>
      <c r="V239" s="26" t="n"/>
      <c r="W239" s="34" t="n">
        <v>-28</v>
      </c>
      <c r="X239" s="34" t="n">
        <v>5</v>
      </c>
      <c r="Y239" s="34" t="n">
        <v>16</v>
      </c>
      <c r="Z239" s="34" t="n">
        <v>-24</v>
      </c>
      <c r="AA239" s="34" t="n">
        <v>61.11</v>
      </c>
      <c r="AB239" s="34" t="n">
        <v>17.75</v>
      </c>
      <c r="AC239" s="34" t="n">
        <v>-1.75</v>
      </c>
      <c r="AD239" s="26" t="inlineStr">
        <is>
          <t>Hang Seng Commerce &amp; Industry sub-index</t>
        </is>
      </c>
      <c r="AE239" s="34" t="n">
        <v>-74.5</v>
      </c>
      <c r="AF239" s="28" t="n">
        <v>1515.9</v>
      </c>
      <c r="AG239" s="28" t="n">
        <v>42.1</v>
      </c>
      <c r="AH239" s="26" t="inlineStr">
        <is>
          <t>Y</t>
        </is>
      </c>
      <c r="AI239" s="35" t="n">
        <v>12.2</v>
      </c>
      <c r="AJ239" s="35" t="n">
        <v>0.3</v>
      </c>
      <c r="AK239" s="26" t="inlineStr">
        <is>
          <t>N</t>
        </is>
      </c>
      <c r="AL239" s="36">
        <f>IF('BBG Verify'!K239="","not filed — run on terminal",'BBG Verify'!K239)</f>
        <v/>
      </c>
      <c r="AM239" s="26" t="inlineStr">
        <is>
          <t>N/A</t>
        </is>
      </c>
      <c r="AN239" s="26" t="inlineStr">
        <is>
          <t>N/A</t>
        </is>
      </c>
      <c r="AO239" s="26" t="inlineStr">
        <is>
          <t>N/A</t>
        </is>
      </c>
      <c r="AP239" s="26" t="inlineStr">
        <is>
          <t>Kingsway Capital Limited</t>
        </is>
      </c>
      <c r="AQ239" s="26" t="inlineStr">
        <is>
          <t>匯富融資有限公司</t>
        </is>
      </c>
      <c r="AR239" s="26" t="inlineStr">
        <is>
          <t>Managers Kingsway Financial Services Group Limited; Beta International Securities Limited; Valuable Capital Limited</t>
        </is>
      </c>
      <c r="AS239" s="26" t="inlineStr">
        <is>
          <t>Beta International Securities Limited; 華盛資本証券有限公司</t>
        </is>
      </c>
      <c r="AT239" s="37">
        <f>HYPERLINK("https://www1.hkexnews.hk/listedco/listconews/sehk/2023/1228/2023122800045.pdf","prospectus")</f>
        <v/>
      </c>
      <c r="AU239" s="37">
        <f>HYPERLINK("https://www1.hkexnews.hk/listedco/listconews/sehk/2024/0108/2024010801008.pdf","allotment")</f>
        <v/>
      </c>
      <c r="AV239" s="26" t="n"/>
      <c r="AW239" s="26" t="inlineStr">
        <is>
          <t>greenshoe: no over-allotment option in the offer structure · A/H: no A-share listing</t>
        </is>
      </c>
    </row>
    <row r="240">
      <c r="A240" s="25" t="inlineStr">
        <is>
          <t>6959</t>
        </is>
      </c>
      <c r="B240" s="26" t="inlineStr">
        <is>
          <t>CHANGJIU HLDGS</t>
        </is>
      </c>
      <c r="C240" s="26" t="inlineStr">
        <is>
          <t>長久股份</t>
        </is>
      </c>
      <c r="D240" s="26" t="inlineStr">
        <is>
          <t>Tech/AI</t>
        </is>
      </c>
      <c r="E240" s="26" t="inlineStr">
        <is>
          <t>SaaS / enterprise software</t>
        </is>
      </c>
      <c r="F240" s="26" t="inlineStr">
        <is>
          <t>Standard</t>
        </is>
      </c>
      <c r="G240" s="27" t="n">
        <v>45300</v>
      </c>
      <c r="H240" s="28" t="n">
        <v>300.71</v>
      </c>
      <c r="I240" s="26" t="inlineStr">
        <is>
          <t>gross (stated)</t>
        </is>
      </c>
      <c r="J240" s="29" t="n"/>
      <c r="K240" s="29" t="n">
        <v>7.9</v>
      </c>
      <c r="L240" s="29" t="n">
        <v>5.95</v>
      </c>
      <c r="M240" s="26" t="inlineStr">
        <is>
          <t>N</t>
        </is>
      </c>
      <c r="N240" s="30" t="n">
        <v>75.3</v>
      </c>
      <c r="O240" s="28" t="n">
        <v>1202.9</v>
      </c>
      <c r="P240" s="26" t="inlineStr">
        <is>
          <t>derived:price x shares upon listing</t>
        </is>
      </c>
      <c r="Q240" s="31" t="n">
        <v>11.67</v>
      </c>
      <c r="R240" s="32" t="n">
        <v>1.07</v>
      </c>
      <c r="S240" s="33" t="n">
        <v>0</v>
      </c>
      <c r="T240" s="26" t="n"/>
      <c r="U240" s="30" t="n"/>
      <c r="V240" s="26" t="n"/>
      <c r="W240" s="34" t="n">
        <v>16.13</v>
      </c>
      <c r="X240" s="34" t="n">
        <v>24.71</v>
      </c>
      <c r="Y240" s="34" t="n">
        <v>28.4</v>
      </c>
      <c r="Z240" s="34" t="n">
        <v>562.1799999999999</v>
      </c>
      <c r="AA240" s="34" t="n">
        <v>10.57</v>
      </c>
      <c r="AB240" s="34" t="n">
        <v>36.95</v>
      </c>
      <c r="AC240" s="34" t="n">
        <v>-8.550000000000001</v>
      </c>
      <c r="AD240" s="26" t="inlineStr">
        <is>
          <t>HSTECH (Hang Seng TECH ETF)</t>
        </is>
      </c>
      <c r="AE240" s="34" t="n">
        <v>-41.51</v>
      </c>
      <c r="AF240" s="28" t="n">
        <v>602.7</v>
      </c>
      <c r="AG240" s="28" t="n">
        <v>105.5</v>
      </c>
      <c r="AH240" s="26" t="inlineStr">
        <is>
          <t>Y</t>
        </is>
      </c>
      <c r="AI240" s="35" t="n">
        <v>11.4</v>
      </c>
      <c r="AJ240" s="35" t="n">
        <v>2</v>
      </c>
      <c r="AK240" s="26" t="inlineStr">
        <is>
          <t>N</t>
        </is>
      </c>
      <c r="AL240" s="36">
        <f>IF('BBG Verify'!K240="","not filed — run on terminal",'BBG Verify'!K240)</f>
        <v/>
      </c>
      <c r="AM240" s="26" t="inlineStr">
        <is>
          <t>N/A</t>
        </is>
      </c>
      <c r="AN240" s="26" t="inlineStr">
        <is>
          <t>N/A</t>
        </is>
      </c>
      <c r="AO240" s="26" t="inlineStr">
        <is>
          <t>N/A</t>
        </is>
      </c>
      <c r="AP240" s="26" t="inlineStr">
        <is>
          <t>CITIC Securities (Hong Kong) Limited; ICBC International Capital Limited</t>
        </is>
      </c>
      <c r="AQ240" s="26" t="inlineStr">
        <is>
          <t>中信證券(香港)有限公司; 工銀國際融資有限公司</t>
        </is>
      </c>
      <c r="AR240" s="26" t="inlineStr">
        <is>
          <t>CLSA Limited; ICBC International Securities Limited</t>
        </is>
      </c>
      <c r="AS240" s="26" t="inlineStr">
        <is>
          <t>交銀國際證券有限公司; 光銀國際資本有限公司; 中信里昂證券有限公司; 招銀國際融資有限公司; 工銀國際證券有限公司; 利弗莫爾證券有限公司; 百惠證券有限公司; 浦銀國際融資有限公司; 老虎證券（香港）環球有限公司; 大華繼顯(香港)有限公司; 華盛資本証券有限公司; 中泰國際證券有限公司</t>
        </is>
      </c>
      <c r="AT240" s="37">
        <f>HYPERLINK("https://www1.hkexnews.hk/listedco/listconews/sehk/2023/1229/2023122900027.pdf","prospectus")</f>
        <v/>
      </c>
      <c r="AU240" s="37">
        <f>HYPERLINK("https://www1.hkexnews.hk/listedco/listconews/sehk/2024/0108/2024010801108.pdf","allotment")</f>
        <v/>
      </c>
      <c r="AV240" s="26" t="n"/>
      <c r="AW240" s="26" t="inlineStr">
        <is>
          <t>greenshoe: no over-allotment option in the offer structure · A/H: no A-share listing</t>
        </is>
      </c>
    </row>
    <row r="241">
      <c r="A241" s="25" t="inlineStr">
        <is>
          <t>2477</t>
        </is>
      </c>
      <c r="B241" s="26" t="inlineStr">
        <is>
          <t>WELLCELL HOLD</t>
        </is>
      </c>
      <c r="C241" s="26" t="inlineStr">
        <is>
          <t>經緯天地</t>
        </is>
      </c>
      <c r="D241" s="26" t="inlineStr">
        <is>
          <t>Healthcare</t>
        </is>
      </c>
      <c r="E241" s="26" t="inlineStr">
        <is>
          <t>Biopharma commercial</t>
        </is>
      </c>
      <c r="F241" s="26" t="inlineStr">
        <is>
          <t>Standard</t>
        </is>
      </c>
      <c r="G241" s="27" t="n">
        <v>45303</v>
      </c>
      <c r="H241" s="28" t="n">
        <v>125</v>
      </c>
      <c r="I241" s="26" t="inlineStr">
        <is>
          <t>gross (price x shares)</t>
        </is>
      </c>
      <c r="J241" s="29" t="n">
        <v>1</v>
      </c>
      <c r="K241" s="29" t="n">
        <v>1.3</v>
      </c>
      <c r="L241" s="29" t="n">
        <v>1</v>
      </c>
      <c r="M241" s="26" t="inlineStr">
        <is>
          <t>N</t>
        </is>
      </c>
      <c r="N241" s="30" t="n">
        <v>76.90000000000001</v>
      </c>
      <c r="O241" s="28" t="n">
        <v>500</v>
      </c>
      <c r="P241" s="26" t="inlineStr">
        <is>
          <t>derived:price x shares upon listing</t>
        </is>
      </c>
      <c r="Q241" s="31" t="n">
        <v>28.64</v>
      </c>
      <c r="R241" s="32" t="n">
        <v>0.97</v>
      </c>
      <c r="S241" s="33" t="n">
        <v>0</v>
      </c>
      <c r="T241" s="26" t="n"/>
      <c r="U241" s="30" t="n">
        <v>20</v>
      </c>
      <c r="V241" s="26" t="inlineStr">
        <is>
          <t>lapsed (no over-allocation)</t>
        </is>
      </c>
      <c r="W241" s="34" t="n">
        <v>164</v>
      </c>
      <c r="X241" s="34" t="n">
        <v>250</v>
      </c>
      <c r="Y241" s="34" t="n">
        <v>230</v>
      </c>
      <c r="Z241" s="34" t="n">
        <v>232</v>
      </c>
      <c r="AA241" s="34" t="n">
        <v>25</v>
      </c>
      <c r="AB241" s="34" t="n">
        <v>244.15</v>
      </c>
      <c r="AC241" s="34" t="n">
        <v>-14.15</v>
      </c>
      <c r="AD241" s="26" t="inlineStr">
        <is>
          <t>China Biotech ETF (HS biotech proxy)</t>
        </is>
      </c>
      <c r="AE241" s="34" t="n">
        <v>-74</v>
      </c>
      <c r="AF241" s="28" t="n">
        <v>249.2</v>
      </c>
      <c r="AG241" s="28" t="n">
        <v>26.7</v>
      </c>
      <c r="AH241" s="26" t="inlineStr">
        <is>
          <t>Y</t>
        </is>
      </c>
      <c r="AI241" s="35" t="n">
        <v>18.7</v>
      </c>
      <c r="AJ241" s="35" t="n">
        <v>2</v>
      </c>
      <c r="AK241" s="26" t="inlineStr">
        <is>
          <t>N</t>
        </is>
      </c>
      <c r="AL241" s="36">
        <f>IF('BBG Verify'!K241="","not filed — run on terminal",'BBG Verify'!K241)</f>
        <v/>
      </c>
      <c r="AM241" s="26" t="inlineStr">
        <is>
          <t>N/A</t>
        </is>
      </c>
      <c r="AN241" s="26" t="inlineStr">
        <is>
          <t>N/A</t>
        </is>
      </c>
      <c r="AO241" s="26" t="inlineStr">
        <is>
          <t>N/A</t>
        </is>
      </c>
      <c r="AP241" s="26" t="inlineStr">
        <is>
          <t>Halcyon Capital Limited; Central, Hong Kong Eddid Capital Limited</t>
        </is>
      </c>
      <c r="AQ241" s="26" t="inlineStr">
        <is>
          <t>鎧盛資本有限公司; 艾德資本有限公司</t>
        </is>
      </c>
      <c r="AR241" s="26" t="inlineStr">
        <is>
          <t>Eddid Securities and Futures Limited; Central, Hong Kong Halcyon Securities Limited; Wan Chai, Hong Kong Beta International S ecurities Limited; Sheung Wan, Hong Kong CMBC Securities Company Limited; Central, Hong Kong China PA Securities (Hong Kong) Company Limited; Quam Securities Limited; Central, Hong Kong China Everbright Securities (HK) Limited</t>
        </is>
      </c>
      <c r="AS241" s="26" t="inlineStr">
        <is>
          <t>Beta International Securities Limited; 中國光大證券(香港)有限公司; 信達國際融資有限公司; 民銀證券有限公司; 平證證券（香港）有限公司; 艾德證券期貨有限公司; 金聯證券有限公司; 鎧盛證券有限公司; 創陞證券有限公司; 邁時資本有限公司; 百惠證券有限公司; 華富建業證券有限公司; 軟庫中華金融服務有限公司; 浦銀國際融資有限公司; 中募金融資管有限公司</t>
        </is>
      </c>
      <c r="AT241" s="37">
        <f>HYPERLINK("https://www1.hkexnews.hk/listedco/listconews/sehk/2023/1228/2023122800033.pdf","prospectus")</f>
        <v/>
      </c>
      <c r="AU241" s="37">
        <f>HYPERLINK("https://www1.hkexnews.hk/listedco/listconews/sehk/2024/0111/2024011101058.pdf","allotment")</f>
        <v/>
      </c>
      <c r="AV241" s="37">
        <f>HYPERLINK("https://www1.hkexnews.hk/listedco/listconews/sehk/2024/0208/2024020800426.pdf","stabilisation")</f>
        <v/>
      </c>
      <c r="AW241" s="26" t="inlineStr">
        <is>
          <t>A/H: no A-share listing</t>
        </is>
      </c>
    </row>
    <row r="242">
      <c r="A242" s="25" t="inlineStr">
        <is>
          <t>2535</t>
        </is>
      </c>
      <c r="B242" s="26" t="inlineStr">
        <is>
          <t>WK GROUP</t>
        </is>
      </c>
      <c r="C242" s="26" t="inlineStr">
        <is>
          <t>泓基集團</t>
        </is>
      </c>
      <c r="D242" s="26" t="inlineStr">
        <is>
          <t>Industrials</t>
        </is>
      </c>
      <c r="E242" s="26" t="inlineStr">
        <is>
          <t>Construction / engineering</t>
        </is>
      </c>
      <c r="F242" s="26" t="inlineStr">
        <is>
          <t>Standard</t>
        </is>
      </c>
      <c r="G242" s="27" t="n">
        <v>45359</v>
      </c>
      <c r="H242" s="28" t="n">
        <v>125</v>
      </c>
      <c r="I242" s="26" t="inlineStr">
        <is>
          <t>gross (stated)</t>
        </is>
      </c>
      <c r="J242" s="29" t="n"/>
      <c r="K242" s="29" t="n">
        <v>0.27</v>
      </c>
      <c r="L242" s="29" t="n">
        <v>0.25</v>
      </c>
      <c r="M242" s="26" t="inlineStr">
        <is>
          <t>N</t>
        </is>
      </c>
      <c r="N242" s="30" t="n">
        <v>92.59999999999999</v>
      </c>
      <c r="O242" s="28" t="n">
        <v>500</v>
      </c>
      <c r="P242" s="26" t="inlineStr">
        <is>
          <t>derived:price x shares upon listing</t>
        </is>
      </c>
      <c r="Q242" s="31" t="n">
        <v>70.48</v>
      </c>
      <c r="R242" s="32" t="n">
        <v>0.98</v>
      </c>
      <c r="S242" s="33" t="n">
        <v>0</v>
      </c>
      <c r="T242" s="26" t="n"/>
      <c r="U242" s="30" t="n">
        <v>15</v>
      </c>
      <c r="V242" s="26" t="inlineStr">
        <is>
          <t>lapsed</t>
        </is>
      </c>
      <c r="W242" s="34" t="n">
        <v>136</v>
      </c>
      <c r="X242" s="34" t="n">
        <v>156</v>
      </c>
      <c r="Y242" s="34" t="n">
        <v>156</v>
      </c>
      <c r="Z242" s="34" t="n">
        <v>132</v>
      </c>
      <c r="AA242" s="34" t="n">
        <v>8.470000000000001</v>
      </c>
      <c r="AB242" s="34" t="n">
        <v>147.36</v>
      </c>
      <c r="AC242" s="34" t="n">
        <v>8.640000000000001</v>
      </c>
      <c r="AD242" s="26" t="inlineStr">
        <is>
          <t>Hang Seng Commerce &amp; Industry sub-index</t>
        </is>
      </c>
      <c r="AE242" s="34" t="n">
        <v>120</v>
      </c>
      <c r="AF242" s="28" t="n">
        <v>336.4</v>
      </c>
      <c r="AG242" s="28" t="n">
        <v>39.3</v>
      </c>
      <c r="AH242" s="26" t="inlineStr">
        <is>
          <t>Y</t>
        </is>
      </c>
      <c r="AI242" s="35" t="n">
        <v>12.7</v>
      </c>
      <c r="AJ242" s="35" t="n">
        <v>1.5</v>
      </c>
      <c r="AK242" s="26" t="inlineStr">
        <is>
          <t>N</t>
        </is>
      </c>
      <c r="AL242" s="36">
        <f>IF('BBG Verify'!K242="","not filed — run on terminal",'BBG Verify'!K242)</f>
        <v/>
      </c>
      <c r="AM242" s="26" t="inlineStr">
        <is>
          <t>N/A</t>
        </is>
      </c>
      <c r="AN242" s="26" t="inlineStr">
        <is>
          <t>N/A</t>
        </is>
      </c>
      <c r="AO242" s="26" t="inlineStr">
        <is>
          <t>N/A</t>
        </is>
      </c>
      <c r="AP242" s="26" t="n"/>
      <c r="AQ242" s="26" t="inlineStr">
        <is>
          <t>均富融資有限公司</t>
        </is>
      </c>
      <c r="AR242" s="26" t="inlineStr">
        <is>
          <t>艾德證券期貨有限公司; 富中證券有限公司; 華業證券有限公司; 均富融資有限公司; 利高證券有限公司; 利弗莫爾證券有限公司</t>
        </is>
      </c>
      <c r="AS242" s="26" t="inlineStr">
        <is>
          <t>艾德證券期貨有限公司; 富中證券有限公司; 華業證券有限公司; 均富融資有限公司; 利高證券有限公司; 利弗莫爾證券有限公司; 華富建業證券有限公司; 軟庫中華金融服務有限公司; 勝利證券有限公司; 元宇宙（國際）證券有限公司</t>
        </is>
      </c>
      <c r="AT242" s="37">
        <f>HYPERLINK("https://www1.hkexnews.hk/listedco/listconews/sehk/2024/0229/2024022900018.htm","prospectus")</f>
        <v/>
      </c>
      <c r="AU242" s="37">
        <f>HYPERLINK("https://www1.hkexnews.hk/listedco/listconews/sehk/2024/0307/2024030700933.pdf","allotment")</f>
        <v/>
      </c>
      <c r="AV242" s="37">
        <f>HYPERLINK("https://www1.hkexnews.hk/listedco/listconews/sehk/2024/0405/2024040501467.pdf","stabilisation")</f>
        <v/>
      </c>
      <c r="AW242" s="26" t="inlineStr">
        <is>
          <t>A/H: no A-share listing · sponsor: English name not in the filing text; AAStocks 保薦人 shown</t>
        </is>
      </c>
    </row>
    <row r="243">
      <c r="A243" s="25" t="inlineStr">
        <is>
          <t>2540</t>
        </is>
      </c>
      <c r="B243" s="26" t="inlineStr">
        <is>
          <t>LESI GROUP</t>
        </is>
      </c>
      <c r="C243" s="26" t="inlineStr">
        <is>
          <t>樂思集團</t>
        </is>
      </c>
      <c r="D243" s="26" t="inlineStr">
        <is>
          <t>TMT-other</t>
        </is>
      </c>
      <c r="E243" s="26" t="inlineStr">
        <is>
          <t>Media / advertising</t>
        </is>
      </c>
      <c r="F243" s="26" t="inlineStr">
        <is>
          <t>Standard</t>
        </is>
      </c>
      <c r="G243" s="27" t="n">
        <v>45359</v>
      </c>
      <c r="H243" s="28" t="n">
        <v>137.5</v>
      </c>
      <c r="I243" s="26" t="inlineStr">
        <is>
          <t>gross (price x shares)</t>
        </is>
      </c>
      <c r="J243" s="29" t="n"/>
      <c r="K243" s="29" t="n">
        <v>1.1</v>
      </c>
      <c r="L243" s="29" t="n">
        <v>1.1</v>
      </c>
      <c r="M243" s="26" t="inlineStr">
        <is>
          <t>Y</t>
        </is>
      </c>
      <c r="N243" s="30" t="n">
        <v>100</v>
      </c>
      <c r="O243" s="28" t="n">
        <v>550</v>
      </c>
      <c r="P243" s="26" t="inlineStr">
        <is>
          <t>derived:price x shares upon listing</t>
        </is>
      </c>
      <c r="Q243" s="31" t="n">
        <v>22.35</v>
      </c>
      <c r="R243" s="32" t="n">
        <v>1.46</v>
      </c>
      <c r="S243" s="33" t="n">
        <v>0</v>
      </c>
      <c r="T243" s="26" t="n"/>
      <c r="U243" s="30" t="n">
        <v>20</v>
      </c>
      <c r="V243" s="26" t="inlineStr">
        <is>
          <t>lapsed (no over-allocation)</t>
        </is>
      </c>
      <c r="W243" s="34" t="n">
        <v>36.36</v>
      </c>
      <c r="X243" s="34" t="n">
        <v>166.36</v>
      </c>
      <c r="Y243" s="34" t="n">
        <v>219.09</v>
      </c>
      <c r="Z243" s="34" t="n">
        <v>90.91</v>
      </c>
      <c r="AA243" s="34" t="n">
        <v>134.01</v>
      </c>
      <c r="AB243" s="34" t="n">
        <v>213.76</v>
      </c>
      <c r="AC243" s="34" t="n">
        <v>5.33</v>
      </c>
      <c r="AD243" s="26" t="inlineStr">
        <is>
          <t>Hang Seng Index</t>
        </is>
      </c>
      <c r="AE243" s="34" t="n">
        <v>-30.91</v>
      </c>
      <c r="AF243" s="28" t="n">
        <v>541.8</v>
      </c>
      <c r="AG243" s="28" t="n">
        <v>75.09999999999999</v>
      </c>
      <c r="AH243" s="26" t="inlineStr">
        <is>
          <t>Y</t>
        </is>
      </c>
      <c r="AI243" s="35" t="n">
        <v>7.3</v>
      </c>
      <c r="AJ243" s="35" t="n">
        <v>1</v>
      </c>
      <c r="AK243" s="26" t="inlineStr">
        <is>
          <t>N</t>
        </is>
      </c>
      <c r="AL243" s="36">
        <f>IF('BBG Verify'!K243="","not filed — run on terminal",'BBG Verify'!K243)</f>
        <v/>
      </c>
      <c r="AM243" s="26" t="inlineStr">
        <is>
          <t>N/A</t>
        </is>
      </c>
      <c r="AN243" s="26" t="inlineStr">
        <is>
          <t>N/A</t>
        </is>
      </c>
      <c r="AO243" s="26" t="inlineStr">
        <is>
          <t>N/A</t>
        </is>
      </c>
      <c r="AP243" s="26" t="inlineStr">
        <is>
          <t>China Sunrise Capital Limited</t>
        </is>
      </c>
      <c r="AQ243" s="26" t="inlineStr">
        <is>
          <t>華升資本有限公司</t>
        </is>
      </c>
      <c r="AR243" s="26" t="inlineStr">
        <is>
          <t>China Sunrise Securities (International) Limited; China Sunrise S ecurities (International) Limited; ABCI Capital Limited; BOCI Asia Limited; BOCOM International S ecurities Limited; CEB International Capital Corporation Limited</t>
        </is>
      </c>
      <c r="AS243" s="26" t="inlineStr">
        <is>
          <t>農銀國際證券有限公司; 中銀國際亞洲有限公司; 交銀國際證券有限公司; 光銀國際資本有限公司; 中國銀河國際證券(香港)有限公司; 華升證券（國際）有限公司; 長橋證券（香港）有限公司; 東方證券(香港)有限公司; 東吳證券國際經紀有限公司; 華盛資本証券有限公司</t>
        </is>
      </c>
      <c r="AT243" s="37">
        <f>HYPERLINK("https://www1.hkexnews.hk/listedco/listconews/sehk/2024/0229/2024022900168.pdf","prospectus")</f>
        <v/>
      </c>
      <c r="AU243" s="37">
        <f>HYPERLINK("https://www1.hkexnews.hk/listedco/listconews/sehk/2024/0307/2024030700935.pdf","allotment")</f>
        <v/>
      </c>
      <c r="AV243" s="37">
        <f>HYPERLINK("https://www1.hkexnews.hk/listedco/listconews/sehk/2024/0405/2024040500023.pdf","stabilisation")</f>
        <v/>
      </c>
      <c r="AW243" s="26" t="inlineStr">
        <is>
          <t>price range: fixed-price offering (no indicative range) · A/H: no A-share listing</t>
        </is>
      </c>
    </row>
    <row r="244">
      <c r="A244" s="25" t="inlineStr">
        <is>
          <t>2509</t>
        </is>
      </c>
      <c r="B244" s="26" t="inlineStr">
        <is>
          <t>QYUNS-B</t>
        </is>
      </c>
      <c r="C244" s="26" t="inlineStr">
        <is>
          <t>荃信生物－Ｂ</t>
        </is>
      </c>
      <c r="D244" s="26" t="inlineStr">
        <is>
          <t>Healthcare</t>
        </is>
      </c>
      <c r="E244" s="26" t="inlineStr">
        <is>
          <t>Biotech pre-revenue (18A)</t>
        </is>
      </c>
      <c r="F244" s="26" t="inlineStr">
        <is>
          <t>18A</t>
        </is>
      </c>
      <c r="G244" s="27" t="n">
        <v>45371</v>
      </c>
      <c r="H244" s="28" t="n">
        <v>238.5</v>
      </c>
      <c r="I244" s="26" t="inlineStr">
        <is>
          <t>gross (price x shares)</t>
        </is>
      </c>
      <c r="J244" s="29" t="n">
        <v>19.8</v>
      </c>
      <c r="K244" s="29" t="n">
        <v>20.2</v>
      </c>
      <c r="L244" s="29" t="n">
        <v>19.8</v>
      </c>
      <c r="M244" s="26" t="inlineStr">
        <is>
          <t>N</t>
        </is>
      </c>
      <c r="N244" s="30" t="n">
        <v>98</v>
      </c>
      <c r="O244" s="28" t="n">
        <v>4397</v>
      </c>
      <c r="P244" s="26" t="inlineStr">
        <is>
          <t>derived:price x shares upon listing</t>
        </is>
      </c>
      <c r="Q244" s="31" t="n">
        <v>163.15</v>
      </c>
      <c r="R244" s="32" t="n">
        <v>0.9965000000000001</v>
      </c>
      <c r="S244" s="33" t="n">
        <v>17.77</v>
      </c>
      <c r="T244" s="26" t="inlineStr">
        <is>
          <t>蜂投資本有限公司; 華東醫藥投資控股(香港)有限公司; 健鑫醫藥科技有限公司</t>
        </is>
      </c>
      <c r="U244" s="30" t="n"/>
      <c r="V244" s="26" t="n"/>
      <c r="W244" s="34" t="n">
        <v>23.74</v>
      </c>
      <c r="X244" s="34" t="n">
        <v>20.96</v>
      </c>
      <c r="Y244" s="34" t="n">
        <v>20.71</v>
      </c>
      <c r="Z244" s="34" t="n">
        <v>39.65</v>
      </c>
      <c r="AA244" s="34" t="n">
        <v>-2.45</v>
      </c>
      <c r="AB244" s="34" t="n">
        <v>27.75</v>
      </c>
      <c r="AC244" s="34" t="n">
        <v>-7.04</v>
      </c>
      <c r="AD244" s="26" t="inlineStr">
        <is>
          <t>China Biotech ETF (HS biotech proxy)</t>
        </is>
      </c>
      <c r="AE244" s="34" t="n">
        <v>-11.21</v>
      </c>
      <c r="AF244" s="28" t="n">
        <v>81.2</v>
      </c>
      <c r="AG244" s="28" t="n">
        <v>-226.5</v>
      </c>
      <c r="AH244" s="26" t="inlineStr">
        <is>
          <t>N</t>
        </is>
      </c>
      <c r="AI244" s="38">
        <f>IF('BBG Verify'!O244="","not filed — run on terminal",'BBG Verify'!O244)</f>
        <v/>
      </c>
      <c r="AJ244" s="35" t="n">
        <v>54.2</v>
      </c>
      <c r="AK244" s="26" t="inlineStr">
        <is>
          <t>N</t>
        </is>
      </c>
      <c r="AL244" s="36">
        <f>IF('BBG Verify'!K244="","not filed — run on terminal",'BBG Verify'!K244)</f>
        <v/>
      </c>
      <c r="AM244" s="26" t="inlineStr">
        <is>
          <t>N/A</t>
        </is>
      </c>
      <c r="AN244" s="26" t="inlineStr">
        <is>
          <t>N/A</t>
        </is>
      </c>
      <c r="AO244" s="26" t="inlineStr">
        <is>
          <t>N/A</t>
        </is>
      </c>
      <c r="AP244" s="26" t="n"/>
      <c r="AQ244" s="26" t="inlineStr">
        <is>
          <t>中國國際金融香港證券有限公司</t>
        </is>
      </c>
      <c r="AR244" s="26"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AS244" s="26" t="inlineStr">
        <is>
          <t>中國銀河國際證券(香港)有限公司; 中國國際金融香港證券有限公司; 興證國際融資有限公司; 鉅誠證券有限公司; 安信國際證券(香港)有限公司; 復星國際證券有限公司; 國泰君安證券(香港)有限公司; 華泰金融控股(香港)有限公司; 洪泰證券有限公司; 利弗莫爾證券有限公司; 浦銀國際融資有限公司; 老虎證券（香港）環球有限公司</t>
        </is>
      </c>
      <c r="AT244" s="37">
        <f>HYPERLINK("https://www1.hkexnews.hk/listedco/listconews/sehk/2024/0312/2024031200007.pdf","prospectus")</f>
        <v/>
      </c>
      <c r="AU244" s="37">
        <f>HYPERLINK("https://www1.hkexnews.hk/listedco/listconews/sehk/2024/0319/2024031901351.pdf","allotment")</f>
        <v/>
      </c>
      <c r="AV244" s="26" t="n"/>
      <c r="AW244" s="26" t="inlineStr">
        <is>
          <t>P/E: n/m — loss-making at IPO (use P/S) · greenshoe: no over-allotment option in the offer structure · A/H: no A-share listing · sponsor: English name not in the filing text; AAStocks 保薦人 shown · cornerstone: AAStocks institutional table includes non-cornerstone orders (superset) — cornerstone % is from the prospectus</t>
        </is>
      </c>
    </row>
    <row r="245">
      <c r="A245" s="25" t="inlineStr">
        <is>
          <t>9879</t>
        </is>
      </c>
      <c r="B245" s="26" t="inlineStr">
        <is>
          <t>MIGAO GROUP</t>
        </is>
      </c>
      <c r="C245" s="26" t="inlineStr">
        <is>
          <t>米高集團</t>
        </is>
      </c>
      <c r="D245" s="26" t="inlineStr">
        <is>
          <t>Materials/Energy</t>
        </is>
      </c>
      <c r="E245" s="26" t="inlineStr">
        <is>
          <t>Chemicals</t>
        </is>
      </c>
      <c r="F245" s="26" t="inlineStr">
        <is>
          <t>Standard</t>
        </is>
      </c>
      <c r="G245" s="27" t="n">
        <v>45372</v>
      </c>
      <c r="H245" s="28" t="n">
        <v>918</v>
      </c>
      <c r="I245" s="26" t="inlineStr">
        <is>
          <t>gross (price x shares)</t>
        </is>
      </c>
      <c r="J245" s="29" t="n"/>
      <c r="K245" s="29" t="n">
        <v>4.3</v>
      </c>
      <c r="L245" s="29" t="n">
        <v>4.08</v>
      </c>
      <c r="M245" s="26" t="inlineStr">
        <is>
          <t>N</t>
        </is>
      </c>
      <c r="N245" s="30" t="n">
        <v>94.90000000000001</v>
      </c>
      <c r="O245" s="28" t="n">
        <v>3672</v>
      </c>
      <c r="P245" s="26" t="inlineStr">
        <is>
          <t>derived:price x shares upon listing</t>
        </is>
      </c>
      <c r="Q245" s="31" t="n">
        <v>9.789999999999999</v>
      </c>
      <c r="R245" s="32" t="n">
        <v>1.28</v>
      </c>
      <c r="S245" s="33" t="n">
        <v>45.58</v>
      </c>
      <c r="T245" s="26" t="inlineStr">
        <is>
          <t>Harvest; Mega Dynamic Group Limited; 新化科技有限公司; 瀋陽信昌糧食貿易有限公司</t>
        </is>
      </c>
      <c r="U245" s="30" t="n">
        <v>10</v>
      </c>
      <c r="V245" s="26" t="inlineStr">
        <is>
          <t>partial</t>
        </is>
      </c>
      <c r="W245" s="34" t="n">
        <v>0.25</v>
      </c>
      <c r="X245" s="34" t="n">
        <v>-0</v>
      </c>
      <c r="Y245" s="34" t="n">
        <v>31.13</v>
      </c>
      <c r="Z245" s="34" t="n">
        <v>98.53</v>
      </c>
      <c r="AA245" s="34" t="n">
        <v>30.8</v>
      </c>
      <c r="AB245" s="34" t="n">
        <v>31.11</v>
      </c>
      <c r="AC245" s="34" t="n">
        <v>0.02</v>
      </c>
      <c r="AD245" s="26" t="inlineStr">
        <is>
          <t>Hang Seng Utilities sub-index</t>
        </is>
      </c>
      <c r="AE245" s="34" t="n">
        <v>132.72</v>
      </c>
      <c r="AF245" s="28" t="n">
        <v>5195</v>
      </c>
      <c r="AG245" s="28" t="n">
        <v>6</v>
      </c>
      <c r="AH245" s="26" t="inlineStr">
        <is>
          <t>Y</t>
        </is>
      </c>
      <c r="AI245" s="35" t="n">
        <v>612</v>
      </c>
      <c r="AJ245" s="35" t="n">
        <v>0.7</v>
      </c>
      <c r="AK245" s="26" t="inlineStr">
        <is>
          <t>N</t>
        </is>
      </c>
      <c r="AL245" s="36">
        <f>IF('BBG Verify'!K245="","not filed — run on terminal",'BBG Verify'!K245)</f>
        <v/>
      </c>
      <c r="AM245" s="26" t="inlineStr">
        <is>
          <t>N/A</t>
        </is>
      </c>
      <c r="AN245" s="26" t="inlineStr">
        <is>
          <t>N/A</t>
        </is>
      </c>
      <c r="AO245" s="26" t="inlineStr">
        <is>
          <t>N/A</t>
        </is>
      </c>
      <c r="AP245" s="26" t="inlineStr">
        <is>
          <t>GF Capital (Hong Kong) Limited</t>
        </is>
      </c>
      <c r="AQ245" s="26" t="inlineStr">
        <is>
          <t>廣發融資（香港）有限公司</t>
        </is>
      </c>
      <c r="AR245" s="26"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AS245" s="26" t="inlineStr">
        <is>
          <t>農銀國際證券有限公司; 中國光大證券(香港)有限公司; 招銀國際融資有限公司; 招商證券(香港)有限公司; 安信國際證券(香港)有限公司; 廣發證券（香港）經紀有限公司; 利弗莫爾證券有限公司; 東方證券(香港)有限公司; 申萬宏源證券（香港）有限公司; 東吳證券國際經紀有限公司</t>
        </is>
      </c>
      <c r="AT245" s="37">
        <f>HYPERLINK("https://www1.hkexnews.hk/listedco/listconews/sehk/2024/0313/2024031300019.pdf","prospectus")</f>
        <v/>
      </c>
      <c r="AU245" s="37">
        <f>HYPERLINK("https://www1.hkexnews.hk/listedco/listconews/sehk/2024/0320/2024032001597.pdf","allotment")</f>
        <v/>
      </c>
      <c r="AV245" s="37">
        <f>HYPERLINK("https://www1.hkexnews.hk/listedco/listconews/sehk/2024/0417/2024041701556.pdf","stabilisation")</f>
        <v/>
      </c>
      <c r="AW245" s="26" t="inlineStr">
        <is>
          <t>A/H: no A-share listing</t>
        </is>
      </c>
    </row>
    <row r="246">
      <c r="A246" s="25" t="inlineStr">
        <is>
          <t>2536</t>
        </is>
      </c>
      <c r="B246" s="26" t="inlineStr">
        <is>
          <t>PALASINO</t>
        </is>
      </c>
      <c r="C246" s="26" t="inlineStr">
        <is>
          <t>百樂皇宮</t>
        </is>
      </c>
      <c r="D246" s="26" t="inlineStr">
        <is>
          <t>Consumer</t>
        </is>
      </c>
      <c r="E246" s="26" t="inlineStr">
        <is>
          <t>Consumer services / education</t>
        </is>
      </c>
      <c r="F246" s="26" t="inlineStr">
        <is>
          <t>Standard</t>
        </is>
      </c>
      <c r="G246" s="27" t="n">
        <v>45377</v>
      </c>
      <c r="H246" s="28" t="n"/>
      <c r="I246" s="26" t="n"/>
      <c r="J246" s="29" t="n"/>
      <c r="K246" s="29" t="n">
        <v>2.6</v>
      </c>
      <c r="L246" s="29" t="n">
        <v>2.6</v>
      </c>
      <c r="M246" s="26" t="inlineStr">
        <is>
          <t>Y</t>
        </is>
      </c>
      <c r="N246" s="30" t="n">
        <v>100</v>
      </c>
      <c r="O246" s="28" t="n">
        <v>2080</v>
      </c>
      <c r="P246" s="26" t="inlineStr">
        <is>
          <t>prospectus:stated market capitalisation</t>
        </is>
      </c>
      <c r="Q246" s="31" t="n">
        <v>16</v>
      </c>
      <c r="R246" s="45" t="n">
        <v>0.23</v>
      </c>
      <c r="S246" s="33" t="n">
        <v>18.8</v>
      </c>
      <c r="T246" s="26" t="inlineStr">
        <is>
          <t>向上國際科技股份有限公司</t>
        </is>
      </c>
      <c r="U246" s="30" t="n">
        <v>8.93</v>
      </c>
      <c r="V246" s="26" t="inlineStr">
        <is>
          <t>partial</t>
        </is>
      </c>
      <c r="W246" s="34" t="n">
        <v>15.38</v>
      </c>
      <c r="X246" s="34" t="n">
        <v>111.54</v>
      </c>
      <c r="Y246" s="34" t="n">
        <v>111.92</v>
      </c>
      <c r="Z246" s="34" t="n">
        <v>129.62</v>
      </c>
      <c r="AA246" s="34" t="n">
        <v>83.67</v>
      </c>
      <c r="AB246" s="34" t="n">
        <v>103.81</v>
      </c>
      <c r="AC246" s="34" t="n">
        <v>8.109999999999999</v>
      </c>
      <c r="AD246" s="26" t="inlineStr">
        <is>
          <t>Hang Seng Commerce &amp; Industry sub-index</t>
        </is>
      </c>
      <c r="AE246" s="34" t="n">
        <v>-67.69</v>
      </c>
      <c r="AF246" s="28" t="n">
        <v>0</v>
      </c>
      <c r="AG246" s="28" t="n">
        <v>44.2</v>
      </c>
      <c r="AH246" s="26" t="inlineStr">
        <is>
          <t>Y</t>
        </is>
      </c>
      <c r="AI246" s="35" t="n">
        <v>47.1</v>
      </c>
      <c r="AJ246" s="35" t="n"/>
      <c r="AK246" s="26" t="inlineStr">
        <is>
          <t>N</t>
        </is>
      </c>
      <c r="AL246" s="36">
        <f>IF('BBG Verify'!K246="","not filed — run on terminal",'BBG Verify'!K246)</f>
        <v/>
      </c>
      <c r="AM246" s="26" t="inlineStr">
        <is>
          <t>N/A</t>
        </is>
      </c>
      <c r="AN246" s="26" t="inlineStr">
        <is>
          <t>N/A</t>
        </is>
      </c>
      <c r="AO246" s="26" t="inlineStr">
        <is>
          <t>N/A</t>
        </is>
      </c>
      <c r="AP246" s="26" t="inlineStr">
        <is>
          <t>Guotai Junan Capital Limited</t>
        </is>
      </c>
      <c r="AQ246" s="26" t="inlineStr">
        <is>
          <t>國泰君安融資有限公司</t>
        </is>
      </c>
      <c r="AR246" s="26"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AS246" s="26" t="inlineStr">
        <is>
          <t>建銀國際金融有限公司; 招銀國際融資有限公司; 國泰君安證券(香港)有限公司; 國信證券(香港)融資有限公司; 長橋證券（香港）有限公司; 利弗莫爾證券有限公司; 大華繼顯(香港)有限公司; 中泰國際證券有限公司</t>
        </is>
      </c>
      <c r="AT246" s="37">
        <f>HYPERLINK("https://www1.hkexnews.hk/listedco/listconews/sehk/2024/0318/2024031800024.pdf","prospectus")</f>
        <v/>
      </c>
      <c r="AU246" s="37">
        <f>HYPERLINK("https://www1.hkexnews.hk/listedco/listconews/sehk/2024/0325/2024032501621.pdf","allotment")</f>
        <v/>
      </c>
      <c r="AV246" s="37">
        <f>HYPERLINK("https://www1.hkexnews.hk/listedco/listconews/sehk/2024/0422/2024042200005.pdf","stabilisation")</f>
        <v/>
      </c>
      <c r="AW246" s="26" t="inlineStr">
        <is>
          <t>intl sub: 0.23x is implausible for a deal struck at the cap with the public tranche 16x subscribed — likely a percentage read as a multiple; check CP037 · A/H: no A-share listing</t>
        </is>
      </c>
    </row>
    <row r="247">
      <c r="A247" s="25" t="inlineStr">
        <is>
          <t>2497</t>
        </is>
      </c>
      <c r="B247" s="26" t="inlineStr">
        <is>
          <t>FUJING HOLDINGS</t>
        </is>
      </c>
      <c r="C247" s="26" t="inlineStr">
        <is>
          <t>富景中國控股</t>
        </is>
      </c>
      <c r="D247" s="26" t="inlineStr">
        <is>
          <t>Consumer</t>
        </is>
      </c>
      <c r="E247" s="26" t="inlineStr">
        <is>
          <t>Beverages / packaged food</t>
        </is>
      </c>
      <c r="F247" s="26" t="inlineStr">
        <is>
          <t>Standard</t>
        </is>
      </c>
      <c r="G247" s="27" t="n">
        <v>45379</v>
      </c>
      <c r="H247" s="28" t="n">
        <v>108</v>
      </c>
      <c r="I247" s="26" t="inlineStr">
        <is>
          <t>gross (price x shares)</t>
        </is>
      </c>
      <c r="J247" s="29" t="n"/>
      <c r="K247" s="29" t="n">
        <v>1.28</v>
      </c>
      <c r="L247" s="29" t="n">
        <v>1.08</v>
      </c>
      <c r="M247" s="26" t="inlineStr">
        <is>
          <t>N</t>
        </is>
      </c>
      <c r="N247" s="30" t="n">
        <v>84.40000000000001</v>
      </c>
      <c r="O247" s="28" t="n">
        <v>540</v>
      </c>
      <c r="P247" s="26" t="inlineStr">
        <is>
          <t>derived:price x shares upon listing</t>
        </is>
      </c>
      <c r="Q247" s="31" t="n">
        <v>294.13</v>
      </c>
      <c r="R247" s="32" t="n">
        <v>0.96</v>
      </c>
      <c r="S247" s="33" t="n">
        <v>0</v>
      </c>
      <c r="T247" s="26" t="n"/>
      <c r="U247" s="30" t="n">
        <v>15</v>
      </c>
      <c r="V247" s="26" t="inlineStr">
        <is>
          <t>lapsed (no over-allocation)</t>
        </is>
      </c>
      <c r="W247" s="34" t="n">
        <v>37.04</v>
      </c>
      <c r="X247" s="34" t="n">
        <v>14.81</v>
      </c>
      <c r="Y247" s="34" t="n">
        <v>-3.7</v>
      </c>
      <c r="Z247" s="34" t="n">
        <v>-4.63</v>
      </c>
      <c r="AA247" s="34" t="n">
        <v>-29.73</v>
      </c>
      <c r="AB247" s="34" t="n">
        <v>-15.03</v>
      </c>
      <c r="AC247" s="34" t="n">
        <v>11.33</v>
      </c>
      <c r="AD247" s="26" t="inlineStr">
        <is>
          <t>Hang Seng Commerce &amp; Industry sub-index</t>
        </is>
      </c>
      <c r="AE247" s="34" t="n">
        <v>-40.74</v>
      </c>
      <c r="AF247" s="28" t="n">
        <v>139.4</v>
      </c>
      <c r="AG247" s="28" t="n">
        <v>35</v>
      </c>
      <c r="AH247" s="26" t="inlineStr">
        <is>
          <t>Y</t>
        </is>
      </c>
      <c r="AI247" s="35" t="n">
        <v>15.4</v>
      </c>
      <c r="AJ247" s="35" t="n">
        <v>3.9</v>
      </c>
      <c r="AK247" s="26" t="inlineStr">
        <is>
          <t>N</t>
        </is>
      </c>
      <c r="AL247" s="36">
        <f>IF('BBG Verify'!K247="","not filed — run on terminal",'BBG Verify'!K247)</f>
        <v/>
      </c>
      <c r="AM247" s="26" t="inlineStr">
        <is>
          <t>N/A</t>
        </is>
      </c>
      <c r="AN247" s="26" t="inlineStr">
        <is>
          <t>N/A</t>
        </is>
      </c>
      <c r="AO247" s="26" t="inlineStr">
        <is>
          <t>N/A</t>
        </is>
      </c>
      <c r="AP247" s="26" t="inlineStr">
        <is>
          <t>Grande Capital Limited</t>
        </is>
      </c>
      <c r="AQ247" s="26" t="inlineStr">
        <is>
          <t>均富融資有限公司</t>
        </is>
      </c>
      <c r="AR247" s="26" t="inlineStr">
        <is>
          <t>Joint Lead Managers CMBC Securities Company Limited; Grande Capital Limited; Cinda International Capital Limited; CCB International Capital Limited; Central, Hong Kong ICBC International Securities Limited; Central, Hong Kong Haitong International Securities Company Limited; China Galaxy International Securities (Hong Kong) Co., Limited; Central, Hong Kong Eddid Securities and Futures Limited; Central, Hong Kong Alliance Capital Partners Limited; Caitong International Securities Company Limited; Ruibang Securities Limited</t>
        </is>
      </c>
      <c r="AS247" s="26" t="inlineStr">
        <is>
          <t>農銀國際證券有限公司; 同人融資有限公司; 交銀國際證券有限公司; 財通國際證券有限公司; 建銀國際金融有限公司; 中國銀河國際證券(香港)有限公司; 信達國際融資有限公司; 民銀證券有限公司; 艾德證券期貨有限公司; 復星國際證券有限公司; 均富融資有限公司; 海通國際證券有限公司; 工銀國際證券有限公司; 百惠證券有限公司; 瑞邦證券有限公司; 軟庫中華金融服務有限公司; 盛源證券有限公司; 勝利證券有限公司; 中泰國際證券有限公司</t>
        </is>
      </c>
      <c r="AT247" s="37">
        <f>HYPERLINK("https://www1.hkexnews.hk/listedco/listconews/sehk/2024/0320/2024032000093.pdf","prospectus")</f>
        <v/>
      </c>
      <c r="AU247" s="37">
        <f>HYPERLINK("https://www1.hkexnews.hk/listedco/listconews/sehk/2024/0327/2024032702279.pdf","allotment")</f>
        <v/>
      </c>
      <c r="AV247" s="37">
        <f>HYPERLINK("https://www1.hkexnews.hk/listedco/listconews/sehk/2024/0424/2024042400463.pdf","stabilisation")</f>
        <v/>
      </c>
      <c r="AW247" s="26" t="inlineStr">
        <is>
          <t>A/H: no A-share listing</t>
        </is>
      </c>
    </row>
    <row r="248">
      <c r="A248" s="25" t="inlineStr">
        <is>
          <t>2598</t>
        </is>
      </c>
      <c r="B248" s="26" t="inlineStr">
        <is>
          <t>LIANLIAN</t>
        </is>
      </c>
      <c r="C248" s="26" t="inlineStr">
        <is>
          <t>連連數字</t>
        </is>
      </c>
      <c r="D248" s="26" t="inlineStr">
        <is>
          <t>Tech/AI</t>
        </is>
      </c>
      <c r="E248" s="26" t="inlineStr">
        <is>
          <t>Fintech platform</t>
        </is>
      </c>
      <c r="F248" s="26" t="inlineStr">
        <is>
          <t>Standard</t>
        </is>
      </c>
      <c r="G248" s="27" t="n">
        <v>45379</v>
      </c>
      <c r="H248" s="28" t="n">
        <v>657.1</v>
      </c>
      <c r="I248" s="26" t="inlineStr">
        <is>
          <t>gross (price x shares)</t>
        </is>
      </c>
      <c r="J248" s="29" t="n">
        <v>10.21</v>
      </c>
      <c r="K248" s="29" t="n">
        <v>10.95</v>
      </c>
      <c r="L248" s="29" t="n">
        <v>10.22</v>
      </c>
      <c r="M248" s="26" t="inlineStr">
        <is>
          <t>N</t>
        </is>
      </c>
      <c r="N248" s="30" t="n">
        <v>93.3</v>
      </c>
      <c r="O248" s="28" t="n">
        <v>11028</v>
      </c>
      <c r="P248" s="26" t="inlineStr">
        <is>
          <t>derived:price x shares upon listing</t>
        </is>
      </c>
      <c r="Q248" s="31" t="n">
        <v>16.94</v>
      </c>
      <c r="R248" s="32" t="n">
        <v>1.89</v>
      </c>
      <c r="S248" s="33" t="n">
        <v>10</v>
      </c>
      <c r="T248" s="26" t="inlineStr">
        <is>
          <t>杭州高新創業投資有限公司; 杭州城投產業發展投資合夥企業</t>
        </is>
      </c>
      <c r="U248" s="30" t="n">
        <v>15</v>
      </c>
      <c r="V248" s="26" t="inlineStr">
        <is>
          <t>lapsed</t>
        </is>
      </c>
      <c r="W248" s="34" t="n">
        <v>-7.63</v>
      </c>
      <c r="X248" s="34" t="n">
        <v>-4.79</v>
      </c>
      <c r="Y248" s="34" t="n">
        <v>-5.48</v>
      </c>
      <c r="Z248" s="34" t="n">
        <v>-7.05</v>
      </c>
      <c r="AA248" s="34" t="n">
        <v>2.33</v>
      </c>
      <c r="AB248" s="34" t="n">
        <v>-19.48</v>
      </c>
      <c r="AC248" s="34" t="n">
        <v>14</v>
      </c>
      <c r="AD248" s="26" t="inlineStr">
        <is>
          <t>HSTECH (Hang Seng TECH ETF)</t>
        </is>
      </c>
      <c r="AE248" s="34" t="n">
        <v>-63.21</v>
      </c>
      <c r="AF248" s="28" t="n">
        <v>0.8</v>
      </c>
      <c r="AG248" s="28" t="n">
        <v>-1008.6</v>
      </c>
      <c r="AH248" s="26" t="inlineStr">
        <is>
          <t>N</t>
        </is>
      </c>
      <c r="AI248" s="38">
        <f>IF('BBG Verify'!O248="","not filed — run on terminal",'BBG Verify'!O248)</f>
        <v/>
      </c>
      <c r="AJ248" s="35" t="n">
        <v>13785</v>
      </c>
      <c r="AK248" s="26" t="inlineStr">
        <is>
          <t>N</t>
        </is>
      </c>
      <c r="AL248" s="36">
        <f>IF('BBG Verify'!K248="","not filed — run on terminal",'BBG Verify'!K248)</f>
        <v/>
      </c>
      <c r="AM248" s="26" t="inlineStr">
        <is>
          <t>N/A</t>
        </is>
      </c>
      <c r="AN248" s="26" t="inlineStr">
        <is>
          <t>N/A</t>
        </is>
      </c>
      <c r="AO248" s="26" t="inlineStr">
        <is>
          <t>N/A</t>
        </is>
      </c>
      <c r="AP248" s="26" t="inlineStr">
        <is>
          <t>China International Capital Corporation Hong Kong Securities Limited; J.P. Morgan Securities (Far East) Limited</t>
        </is>
      </c>
      <c r="AQ248" s="26" t="inlineStr">
        <is>
          <t>中國國際金融香港證券有限公司; J.P. Morgan Securities (Far East) Limited</t>
        </is>
      </c>
      <c r="AR248" s="26"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AS248" s="26" t="inlineStr">
        <is>
          <t>農銀國際證券有限公司; 法國巴黎證券（亞洲）有限公司; 財通國際證券有限公司; 中國銀河國際證券(香港)有限公司; 中國國際金融香港證券有限公司; 德意志銀行香港分行; 富途證券國際（香港）有限公司; 廣發證券（香港）經紀有限公司; 國泰君安證券(香港)有限公司; 工銀國際證券有限公司; J.P. Morgan Securities (Asia Pacific) Limited; 老虎證券（香港）環球有限公司; 中泰國際證券有限公司</t>
        </is>
      </c>
      <c r="AT248" s="37">
        <f>HYPERLINK("https://www1.hkexnews.hk/listedco/listconews/sehk/2024/0320/2024032000031.pdf","prospectus")</f>
        <v/>
      </c>
      <c r="AU248" s="37">
        <f>HYPERLINK("https://www1.hkexnews.hk/listedco/listconews/sehk/2024/0327/2024032703063.pdf","allotment")</f>
        <v/>
      </c>
      <c r="AV248" s="37">
        <f>HYPERLINK("https://www1.hkexnews.hk/listedco/listconews/sehk/2024/0424/2024042402304.pdf","stabilisation")</f>
        <v/>
      </c>
      <c r="AW248" s="26" t="inlineStr">
        <is>
          <t>P/E: n/m — loss-making at IPO (use P/S) · A/H: no A-share listing · cornerstone: AAStocks institutional table includes non-cornerstone orders (superset) — cornerstone % is from the prospectus</t>
        </is>
      </c>
    </row>
    <row r="249">
      <c r="A249" s="25" t="inlineStr">
        <is>
          <t>2515</t>
        </is>
      </c>
      <c r="B249" s="26" t="inlineStr">
        <is>
          <t>TJCD</t>
        </is>
      </c>
      <c r="C249" s="26" t="inlineStr">
        <is>
          <t>天津建發</t>
        </is>
      </c>
      <c r="D249" s="26" t="inlineStr">
        <is>
          <t>Industrials</t>
        </is>
      </c>
      <c r="E249" s="26" t="inlineStr">
        <is>
          <t>Construction / engineering</t>
        </is>
      </c>
      <c r="F249" s="26" t="inlineStr">
        <is>
          <t>Standard</t>
        </is>
      </c>
      <c r="G249" s="27" t="n">
        <v>45405</v>
      </c>
      <c r="H249" s="28" t="n">
        <v>134.88</v>
      </c>
      <c r="I249" s="26" t="inlineStr">
        <is>
          <t>gross (stated)</t>
        </is>
      </c>
      <c r="J249" s="29" t="n"/>
      <c r="K249" s="29" t="n">
        <v>2.9</v>
      </c>
      <c r="L249" s="29" t="n">
        <v>2.5</v>
      </c>
      <c r="M249" s="26" t="inlineStr">
        <is>
          <t>N</t>
        </is>
      </c>
      <c r="N249" s="30" t="n">
        <v>86.2</v>
      </c>
      <c r="O249" s="28" t="n">
        <v>539.5</v>
      </c>
      <c r="P249" s="26" t="inlineStr">
        <is>
          <t>derived:price x shares upon listing</t>
        </is>
      </c>
      <c r="Q249" s="31" t="n">
        <v>433.06</v>
      </c>
      <c r="R249" s="32" t="n">
        <v>1.02</v>
      </c>
      <c r="S249" s="33" t="n"/>
      <c r="T249" s="26" t="inlineStr">
        <is>
          <t>Ms. Dou</t>
        </is>
      </c>
      <c r="U249" s="30" t="n">
        <v>20</v>
      </c>
      <c r="V249" s="26" t="inlineStr">
        <is>
          <t>lapsed (no over-allocation)</t>
        </is>
      </c>
      <c r="W249" s="34" t="n">
        <v>-39.2</v>
      </c>
      <c r="X249" s="34" t="n">
        <v>-39.2</v>
      </c>
      <c r="Y249" s="34" t="n">
        <v>-50</v>
      </c>
      <c r="Z249" s="34" t="n">
        <v>-52.4</v>
      </c>
      <c r="AA249" s="34" t="n">
        <v>-17.76</v>
      </c>
      <c r="AB249" s="34" t="n">
        <v>-60.33</v>
      </c>
      <c r="AC249" s="34" t="n">
        <v>10.33</v>
      </c>
      <c r="AD249" s="26" t="inlineStr">
        <is>
          <t>Hang Seng Commerce &amp; Industry sub-index</t>
        </is>
      </c>
      <c r="AE249" s="34" t="n">
        <v>-7</v>
      </c>
      <c r="AF249" s="28" t="n">
        <v>351.4</v>
      </c>
      <c r="AG249" s="28" t="n">
        <v>45.6</v>
      </c>
      <c r="AH249" s="26" t="inlineStr">
        <is>
          <t>Y</t>
        </is>
      </c>
      <c r="AI249" s="35" t="n">
        <v>11.8</v>
      </c>
      <c r="AJ249" s="35" t="n">
        <v>1.5</v>
      </c>
      <c r="AK249" s="26" t="inlineStr">
        <is>
          <t>N</t>
        </is>
      </c>
      <c r="AL249" s="36">
        <f>IF('BBG Verify'!K249="","not filed — run on terminal",'BBG Verify'!K249)</f>
        <v/>
      </c>
      <c r="AM249" s="26" t="inlineStr">
        <is>
          <t>N/A</t>
        </is>
      </c>
      <c r="AN249" s="26" t="inlineStr">
        <is>
          <t>N/A</t>
        </is>
      </c>
      <c r="AO249" s="26" t="inlineStr">
        <is>
          <t>N/A</t>
        </is>
      </c>
      <c r="AP249" s="26" t="inlineStr">
        <is>
          <t>China Everbright Capital Limited</t>
        </is>
      </c>
      <c r="AQ249" s="26" t="inlineStr">
        <is>
          <t>中國光大融資有限公司</t>
        </is>
      </c>
      <c r="AR249" s="26"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AS249" s="26" t="inlineStr">
        <is>
          <t>農銀國際證券有限公司; Beta International Securities Limited; 交銀國際證券有限公司; 建銀國際金融有限公司; 光銀國際資本有限公司; 中國光大證券(香港)有限公司; 鉅誠證券有限公司; 民銀證券有限公司; 富中證券有限公司; 華業證券有限公司; 長橋證券（香港）有限公司; 利弗莫爾證券有限公司; 偉祿亞太證券有限公司; 浦銀國際融資有限公司</t>
        </is>
      </c>
      <c r="AT249" s="37">
        <f>HYPERLINK("https://www1.hkexnews.hk/listedco/listconews/sehk/2024/0415/2024041500009.pdf","prospectus")</f>
        <v/>
      </c>
      <c r="AU249" s="37">
        <f>HYPERLINK("https://www1.hkexnews.hk/listedco/listconews/sehk/2024/0422/2024042201767.pdf","allotment")</f>
        <v/>
      </c>
      <c r="AV249" s="37">
        <f>HYPERLINK("https://www1.hkexnews.hk/listedco/listconews/sehk/2024/0520/2024052000007.pdf","stabilisation")</f>
        <v/>
      </c>
      <c r="AW249" s="26" t="inlineStr">
        <is>
          <t>A/H: no A-share listing</t>
        </is>
      </c>
    </row>
    <row r="250">
      <c r="A250" s="25" t="inlineStr">
        <is>
          <t>2555</t>
        </is>
      </c>
      <c r="B250" s="26" t="inlineStr">
        <is>
          <t>CHABAIDAO</t>
        </is>
      </c>
      <c r="C250" s="26" t="inlineStr">
        <is>
          <t>茶百道</t>
        </is>
      </c>
      <c r="D250" s="26" t="inlineStr">
        <is>
          <t>Consumer</t>
        </is>
      </c>
      <c r="E250" s="26" t="inlineStr">
        <is>
          <t>F&amp;B chains / restaurants</t>
        </is>
      </c>
      <c r="F250" s="26" t="inlineStr">
        <is>
          <t>Standard</t>
        </is>
      </c>
      <c r="G250" s="27" t="n">
        <v>45405</v>
      </c>
      <c r="H250" s="28" t="n">
        <v>2585.86</v>
      </c>
      <c r="I250" s="26" t="inlineStr">
        <is>
          <t>gross (stated)</t>
        </is>
      </c>
      <c r="J250" s="29" t="n"/>
      <c r="K250" s="29" t="n">
        <v>17.5</v>
      </c>
      <c r="L250" s="29" t="n">
        <v>17.5</v>
      </c>
      <c r="M250" s="26" t="inlineStr">
        <is>
          <t>Y</t>
        </is>
      </c>
      <c r="N250" s="30" t="n">
        <v>100</v>
      </c>
      <c r="O250" s="28" t="n">
        <v>25860</v>
      </c>
      <c r="P250" s="26" t="inlineStr">
        <is>
          <t>prospectus:stated market capitalisation</t>
        </is>
      </c>
      <c r="Q250" s="31" t="n">
        <v>0.5</v>
      </c>
      <c r="R250" s="32" t="n">
        <v>1.11</v>
      </c>
      <c r="S250" s="33" t="n">
        <v>0</v>
      </c>
      <c r="T250" s="26" t="n"/>
      <c r="U250" s="30" t="n">
        <v>2.1</v>
      </c>
      <c r="V250" s="26" t="inlineStr">
        <is>
          <t>lapsed</t>
        </is>
      </c>
      <c r="W250" s="34" t="n">
        <v>-26.86</v>
      </c>
      <c r="X250" s="34" t="n">
        <v>-34.63</v>
      </c>
      <c r="Y250" s="34" t="n">
        <v>-37.83</v>
      </c>
      <c r="Z250" s="34" t="n">
        <v>-48.06</v>
      </c>
      <c r="AA250" s="34" t="n">
        <v>-15</v>
      </c>
      <c r="AB250" s="34" t="n">
        <v>-48.16</v>
      </c>
      <c r="AC250" s="34" t="n">
        <v>10.33</v>
      </c>
      <c r="AD250" s="26" t="inlineStr">
        <is>
          <t>Hang Seng Commerce &amp; Industry sub-index</t>
        </is>
      </c>
      <c r="AE250" s="34" t="n">
        <v>-73.14</v>
      </c>
      <c r="AF250" s="28" t="n">
        <v>2.2</v>
      </c>
      <c r="AG250" s="28" t="n">
        <v>1265.9</v>
      </c>
      <c r="AH250" s="26" t="inlineStr">
        <is>
          <t>Y</t>
        </is>
      </c>
      <c r="AI250" s="35" t="n">
        <v>20.4</v>
      </c>
      <c r="AJ250" s="35" t="n">
        <v>11754.5</v>
      </c>
      <c r="AK250" s="26" t="inlineStr">
        <is>
          <t>N</t>
        </is>
      </c>
      <c r="AL250" s="36">
        <f>IF('BBG Verify'!K250="","not filed — run on terminal",'BBG Verify'!K250)</f>
        <v/>
      </c>
      <c r="AM250" s="26" t="inlineStr">
        <is>
          <t>N/A</t>
        </is>
      </c>
      <c r="AN250" s="26" t="inlineStr">
        <is>
          <t>N/A</t>
        </is>
      </c>
      <c r="AO250" s="26" t="inlineStr">
        <is>
          <t>N/A</t>
        </is>
      </c>
      <c r="AP250" s="26" t="n"/>
      <c r="AQ250" s="26" t="inlineStr">
        <is>
          <t>中國國際金融香港證券有限公司</t>
        </is>
      </c>
      <c r="AR250" s="26"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AS250" s="26" t="inlineStr">
        <is>
          <t>建銀國際金融有限公司; 花旗環球金融亞洲有限公司; 中國國際金融香港證券有限公司; 招銀國際融資有限公司; 招商證券(香港)有限公司; 復星國際證券有限公司; 富途證券國際（香港）有限公司; 邁時資本有限公司; 申萬宏源證券（香港）有限公司; 恆宇證券有限公司; 老虎證券（香港）環球有限公司</t>
        </is>
      </c>
      <c r="AT250" s="37">
        <f>HYPERLINK("https://www1.hkexnews.hk/listedco/listconews/sehk/2024/0415/2024041500022.pdf","prospectus")</f>
        <v/>
      </c>
      <c r="AU250" s="37">
        <f>HYPERLINK("https://www1.hkexnews.hk/listedco/listconews/sehk/2024/0422/2024042202135.pdf","allotment")</f>
        <v/>
      </c>
      <c r="AV250" s="37">
        <f>HYPERLINK("https://www1.hkexnews.hk/listedco/listconews/sehk/2024/0520/2024052000035.pdf","stabilisation")</f>
        <v/>
      </c>
      <c r="AW250" s="26" t="inlineStr">
        <is>
          <t>A/H: no A-share listing · sponsor: English name not in the filing text; AAStocks 保薦人 shown</t>
        </is>
      </c>
    </row>
    <row r="251">
      <c r="A251" s="25" t="inlineStr">
        <is>
          <t>2438</t>
        </is>
      </c>
      <c r="B251" s="26" t="inlineStr">
        <is>
          <t>MOBVOI</t>
        </is>
      </c>
      <c r="C251" s="26" t="inlineStr">
        <is>
          <t>出門問問</t>
        </is>
      </c>
      <c r="D251" s="26" t="inlineStr">
        <is>
          <t>Tech/AI</t>
        </is>
      </c>
      <c r="E251" s="26" t="inlineStr">
        <is>
          <t>AI application / agent software</t>
        </is>
      </c>
      <c r="F251" s="26" t="inlineStr">
        <is>
          <t>Standard</t>
        </is>
      </c>
      <c r="G251" s="27" t="n">
        <v>45406</v>
      </c>
      <c r="H251" s="28" t="n">
        <v>321.4</v>
      </c>
      <c r="I251" s="26" t="inlineStr">
        <is>
          <t>gross (price x shares)</t>
        </is>
      </c>
      <c r="J251" s="29" t="n">
        <v>3.7</v>
      </c>
      <c r="K251" s="29" t="n">
        <v>4.1</v>
      </c>
      <c r="L251" s="29" t="n">
        <v>3.8</v>
      </c>
      <c r="M251" s="26" t="inlineStr">
        <is>
          <t>N</t>
        </is>
      </c>
      <c r="N251" s="30" t="n">
        <v>92.7</v>
      </c>
      <c r="O251" s="28" t="n">
        <v>6113.9</v>
      </c>
      <c r="P251" s="26" t="inlineStr">
        <is>
          <t>aastocks:上市市值 at the struck price</t>
        </is>
      </c>
      <c r="Q251" s="31" t="n">
        <v>117.39</v>
      </c>
      <c r="R251" s="32" t="n">
        <v>1.58</v>
      </c>
      <c r="S251" s="33" t="n">
        <v>40.6</v>
      </c>
      <c r="T251" s="26" t="inlineStr">
        <is>
          <t>南京經開聚智科創投資合夥企業(有限合夥); 中關村國際有限公司</t>
        </is>
      </c>
      <c r="U251" s="30" t="n">
        <v>15</v>
      </c>
      <c r="V251" s="26" t="inlineStr">
        <is>
          <t>partial</t>
        </is>
      </c>
      <c r="W251" s="34" t="n">
        <v>-3.16</v>
      </c>
      <c r="X251" s="34" t="n">
        <v>1.32</v>
      </c>
      <c r="Y251" s="34" t="n">
        <v>-5.26</v>
      </c>
      <c r="Z251" s="34" t="n">
        <v>-69.73999999999999</v>
      </c>
      <c r="AA251" s="34" t="n">
        <v>-2.17</v>
      </c>
      <c r="AB251" s="34" t="n">
        <v>-17.57</v>
      </c>
      <c r="AC251" s="34" t="n">
        <v>12.31</v>
      </c>
      <c r="AD251" s="26" t="inlineStr">
        <is>
          <t>HSTECH (Hang Seng TECH ETF)</t>
        </is>
      </c>
      <c r="AE251" s="34" t="n">
        <v>-91.05</v>
      </c>
      <c r="AF251" s="28" t="n">
        <v>557.8</v>
      </c>
      <c r="AG251" s="28" t="n">
        <v>-882.9</v>
      </c>
      <c r="AH251" s="26" t="inlineStr">
        <is>
          <t>N</t>
        </is>
      </c>
      <c r="AI251" s="38">
        <f>IF('BBG Verify'!O251="","not filed — run on terminal",'BBG Verify'!O251)</f>
        <v/>
      </c>
      <c r="AJ251" s="35" t="n">
        <v>11</v>
      </c>
      <c r="AK251" s="26" t="inlineStr">
        <is>
          <t>N</t>
        </is>
      </c>
      <c r="AL251" s="36">
        <f>IF('BBG Verify'!K251="","not filed — run on terminal",'BBG Verify'!K251)</f>
        <v/>
      </c>
      <c r="AM251" s="26" t="inlineStr">
        <is>
          <t>N/A</t>
        </is>
      </c>
      <c r="AN251" s="26" t="inlineStr">
        <is>
          <t>N/A</t>
        </is>
      </c>
      <c r="AO251" s="26" t="inlineStr">
        <is>
          <t>N/A</t>
        </is>
      </c>
      <c r="AP251" s="26" t="inlineStr">
        <is>
          <t>Central, Hong Kong CMB International Capital Limited</t>
        </is>
      </c>
      <c r="AQ251" s="26" t="inlineStr">
        <is>
          <t>中國國際金融香港證券有限公司; 招銀國際融資有限公司</t>
        </is>
      </c>
      <c r="AR251" s="26" t="inlineStr">
        <is>
          <t>Managers China International Capital Corporation Hong Kong Securities Limited; Central, Hong Kong CMB International Capital Limited; Haitong International Securities Company Limited; Zhongtai International Securities Limited; ICBC International Securities Limited; Central, Hong Kong China Galaxy International Securities (Hong Kong) Co., Limited; CMBC Securities Company Limited; Central, Hong Kong SPDB International Capital Limited; BOCOM International Securities Limited; Tiger Brokers (HK) Global Limited; Sheung Wan, Hong Kong Livermore Holdings Limited</t>
        </is>
      </c>
      <c r="AS251" s="26" t="inlineStr">
        <is>
          <t>交銀國際證券有限公司; 中國銀河國際證券(香港)有限公司; 中國國際金融香港證券有限公司; 民銀證券有限公司; 招銀國際融資有限公司; 富途證券國際（香港）有限公司; 海通國際證券有限公司; 工銀國際證券有限公司; 利弗莫爾證券有限公司; 申萬宏源證券（香港）有限公司; 浦銀國際融資有限公司; 老虎證券（香港）環球有限公司; 中泰國際證券有限公司</t>
        </is>
      </c>
      <c r="AT251" s="37">
        <f>HYPERLINK("https://www1.hkexnews.hk/listedco/listconews/sehk/2024/0416/2024041600025.pdf","prospectus")</f>
        <v/>
      </c>
      <c r="AU251" s="37">
        <f>HYPERLINK("https://www1.hkexnews.hk/listedco/listconews/sehk/2024/0423/2024042301690.pdf","allotment")</f>
        <v/>
      </c>
      <c r="AV251" s="37">
        <f>HYPERLINK("https://www1.hkexnews.hk/listedco/listconews/sehk/2024/0519/2024051900005.pdf","stabilisation")</f>
        <v/>
      </c>
      <c r="AW251" s="26" t="inlineStr">
        <is>
          <t>P/E: n/m — loss-making at IPO (use P/S) · A/H: no A-share listing · market cap: estimate from deal size / offer % of enlarged capital disagreed with the published listing cap — published figure adopted</t>
        </is>
      </c>
    </row>
    <row r="252">
      <c r="A252" s="25" t="inlineStr">
        <is>
          <t>2556</t>
        </is>
      </c>
      <c r="B252" s="26" t="inlineStr">
        <is>
          <t>MARKETINGFORCE</t>
        </is>
      </c>
      <c r="C252" s="26" t="inlineStr">
        <is>
          <t>邁富時</t>
        </is>
      </c>
      <c r="D252" s="26" t="inlineStr">
        <is>
          <t>Tech/AI</t>
        </is>
      </c>
      <c r="E252" s="26" t="inlineStr">
        <is>
          <t>SaaS / enterprise software</t>
        </is>
      </c>
      <c r="F252" s="26" t="inlineStr">
        <is>
          <t>Standard</t>
        </is>
      </c>
      <c r="G252" s="27" t="n">
        <v>45428</v>
      </c>
      <c r="H252" s="28" t="n">
        <v>259.4</v>
      </c>
      <c r="I252" s="26" t="inlineStr">
        <is>
          <t>gross (price x shares)</t>
        </is>
      </c>
      <c r="J252" s="29" t="n">
        <v>42</v>
      </c>
      <c r="K252" s="29" t="n">
        <v>45</v>
      </c>
      <c r="L252" s="29" t="n">
        <v>43.6</v>
      </c>
      <c r="M252" s="26" t="inlineStr">
        <is>
          <t>N</t>
        </is>
      </c>
      <c r="N252" s="30" t="n">
        <v>96.90000000000001</v>
      </c>
      <c r="O252" s="28" t="n">
        <v>10253.2</v>
      </c>
      <c r="P252" s="26" t="inlineStr">
        <is>
          <t>derived:price x shares upon listing</t>
        </is>
      </c>
      <c r="Q252" s="31" t="n">
        <v>5.95</v>
      </c>
      <c r="R252" s="32" t="n">
        <v>1.03</v>
      </c>
      <c r="S252" s="33" t="n">
        <v>17.3</v>
      </c>
      <c r="T252" s="26" t="inlineStr">
        <is>
          <t>剛信貿易有限公司; 維港南昌東湖產業有限合夥基金</t>
        </is>
      </c>
      <c r="U252" s="30" t="n"/>
      <c r="V252" s="26" t="n"/>
      <c r="W252" s="34" t="n">
        <v>18.46</v>
      </c>
      <c r="X252" s="34" t="n">
        <v>40.02</v>
      </c>
      <c r="Y252" s="34" t="n">
        <v>90.25</v>
      </c>
      <c r="Z252" s="34" t="n">
        <v>125.34</v>
      </c>
      <c r="AA252" s="34" t="n">
        <v>60.6</v>
      </c>
      <c r="AB252" s="34" t="n">
        <v>98.18000000000001</v>
      </c>
      <c r="AC252" s="34" t="n">
        <v>-7.93</v>
      </c>
      <c r="AD252" s="26" t="inlineStr">
        <is>
          <t>HSTECH (Hang Seng TECH ETF)</t>
        </is>
      </c>
      <c r="AE252" s="34" t="n">
        <v>8.029999999999999</v>
      </c>
      <c r="AF252" s="28" t="n">
        <v>1355.3</v>
      </c>
      <c r="AG252" s="28" t="n">
        <v>-186.4</v>
      </c>
      <c r="AH252" s="26" t="inlineStr">
        <is>
          <t>N</t>
        </is>
      </c>
      <c r="AI252" s="38">
        <f>IF('BBG Verify'!O252="","not filed — run on terminal",'BBG Verify'!O252)</f>
        <v/>
      </c>
      <c r="AJ252" s="35" t="n">
        <v>7.6</v>
      </c>
      <c r="AK252" s="26" t="inlineStr">
        <is>
          <t>N</t>
        </is>
      </c>
      <c r="AL252" s="36">
        <f>IF('BBG Verify'!K252="","not filed — run on terminal",'BBG Verify'!K252)</f>
        <v/>
      </c>
      <c r="AM252" s="26" t="inlineStr">
        <is>
          <t>N/A</t>
        </is>
      </c>
      <c r="AN252" s="26" t="inlineStr">
        <is>
          <t>N/A</t>
        </is>
      </c>
      <c r="AO252" s="26" t="inlineStr">
        <is>
          <t>N/A</t>
        </is>
      </c>
      <c r="AP252" s="26" t="inlineStr">
        <is>
          <t>CCB International Capital Limited</t>
        </is>
      </c>
      <c r="AQ252" s="26" t="inlineStr">
        <is>
          <t>建銀國際金融有限公司; 中國國際金融(香港)有限公司</t>
        </is>
      </c>
      <c r="AR252" s="26" t="inlineStr">
        <is>
          <t>Beta International Securities Limited; 建銀國際金融有限公司; 光銀國際資本有限公司; 中國國際金融香港證券有限公司; 鉅誠證券有限公司; 民銀證券有限公司</t>
        </is>
      </c>
      <c r="AS252" s="26" t="inlineStr">
        <is>
          <t>Beta International Securities Limited; 建銀國際金融有限公司; 光銀國際資本有限公司; 中國國際金融香港證券有限公司; 鉅誠證券有限公司; 民銀證券有限公司; 招銀國際融資有限公司; 華升證券（國際）有限公司; 富途證券國際（香港）有限公司; 海通國際證券有限公司; 工銀國際證券有限公司; 利弗莫爾證券有限公司; 北拓國際證券有限公司; 路華證券有限公司; 申萬宏源證券（香港）有限公司; 浦銀國際融資有限公司; 老虎證券（香港）環球有限公司; TradeGo Markets Limited; 友信證券有限公司; 浙商國際金融控股有限公司</t>
        </is>
      </c>
      <c r="AT252" s="37">
        <f>HYPERLINK("https://www1.hkexnews.hk/listedco/listconews/sehk/2024/0507/2024050700011.pdf","prospectus")</f>
        <v/>
      </c>
      <c r="AU252" s="37">
        <f>HYPERLINK("https://www1.hkexnews.hk/listedco/listconews/sehk/2024/0514/2024051401235.pdf","allotment")</f>
        <v/>
      </c>
      <c r="AV252" s="26" t="n"/>
      <c r="AW252" s="26" t="inlineStr">
        <is>
          <t>P/E: n/m — loss-making at IPO (use P/S) · greenshoe: no over-allotment option in the offer structure · A/H: no A-share listing</t>
        </is>
      </c>
    </row>
    <row r="253">
      <c r="A253" s="25" t="inlineStr">
        <is>
          <t>2529</t>
        </is>
      </c>
      <c r="B253" s="26" t="inlineStr">
        <is>
          <t>HOLLWIN URBAN</t>
        </is>
      </c>
      <c r="C253" s="26" t="inlineStr">
        <is>
          <t>泓盈城市服務</t>
        </is>
      </c>
      <c r="D253" s="26" t="inlineStr">
        <is>
          <t>Real Estate</t>
        </is>
      </c>
      <c r="E253" s="26" t="inlineStr">
        <is>
          <t>Property management</t>
        </is>
      </c>
      <c r="F253" s="26" t="inlineStr">
        <is>
          <t>Standard</t>
        </is>
      </c>
      <c r="G253" s="27" t="n">
        <v>45429</v>
      </c>
      <c r="H253" s="28" t="n">
        <v>128</v>
      </c>
      <c r="I253" s="26" t="inlineStr">
        <is>
          <t>gross (price x shares)</t>
        </is>
      </c>
      <c r="J253" s="29" t="n"/>
      <c r="K253" s="29" t="n">
        <v>3.6</v>
      </c>
      <c r="L253" s="29" t="n">
        <v>3.2</v>
      </c>
      <c r="M253" s="26" t="inlineStr">
        <is>
          <t>N</t>
        </is>
      </c>
      <c r="N253" s="30" t="n">
        <v>88.90000000000001</v>
      </c>
      <c r="O253" s="28" t="n">
        <v>512</v>
      </c>
      <c r="P253" s="26" t="inlineStr">
        <is>
          <t>derived:price x shares upon listing</t>
        </is>
      </c>
      <c r="Q253" s="31" t="n">
        <v>47.59</v>
      </c>
      <c r="R253" s="32" t="n">
        <v>1.2</v>
      </c>
      <c r="S253" s="33" t="n">
        <v>52.34</v>
      </c>
      <c r="T253" s="26" t="inlineStr">
        <is>
          <t>香港嘉港貿易有限公司; 藍思科技(香港)有限公司; 利亞德(香港)有限公司; 三安國際控股有限公司; 湘正投資有限公司</t>
        </is>
      </c>
      <c r="U253" s="30" t="n"/>
      <c r="V253" s="26" t="n"/>
      <c r="W253" s="34" t="n">
        <v>0.31</v>
      </c>
      <c r="X253" s="34" t="n">
        <v>-19.38</v>
      </c>
      <c r="Y253" s="34" t="n">
        <v>-7.81</v>
      </c>
      <c r="Z253" s="34" t="n">
        <v>-12.5</v>
      </c>
      <c r="AA253" s="34" t="n">
        <v>-8.09</v>
      </c>
      <c r="AB253" s="34" t="n">
        <v>6.84</v>
      </c>
      <c r="AC253" s="34" t="n">
        <v>-14.65</v>
      </c>
      <c r="AD253" s="26" t="inlineStr">
        <is>
          <t>Hang Seng Properties sub-index</t>
        </is>
      </c>
      <c r="AE253" s="34" t="n">
        <v>-12.5</v>
      </c>
      <c r="AF253" s="28" t="n">
        <v>717.1</v>
      </c>
      <c r="AG253" s="28" t="n">
        <v>77.2</v>
      </c>
      <c r="AH253" s="26" t="inlineStr">
        <is>
          <t>Y</t>
        </is>
      </c>
      <c r="AI253" s="35" t="n">
        <v>6.6</v>
      </c>
      <c r="AJ253" s="35" t="n">
        <v>0.7</v>
      </c>
      <c r="AK253" s="26" t="inlineStr">
        <is>
          <t>N</t>
        </is>
      </c>
      <c r="AL253" s="36">
        <f>IF('BBG Verify'!K253="","not filed — run on terminal",'BBG Verify'!K253)</f>
        <v/>
      </c>
      <c r="AM253" s="26" t="inlineStr">
        <is>
          <t>N/A</t>
        </is>
      </c>
      <c r="AN253" s="26" t="inlineStr">
        <is>
          <t>N/A</t>
        </is>
      </c>
      <c r="AO253" s="26" t="inlineStr">
        <is>
          <t>N/A</t>
        </is>
      </c>
      <c r="AP253" s="26" t="n"/>
      <c r="AQ253" s="26" t="inlineStr">
        <is>
          <t>中國國際金融香港證券有限公司</t>
        </is>
      </c>
      <c r="AR253" s="26"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AS253" s="26" t="inlineStr">
        <is>
          <t>農銀國際證券有限公司; 光銀國際資本有限公司; 中國國際金融香港證券有限公司; 信達國際融資有限公司; 民銀證券有限公司; 招銀國際融資有限公司; 華升證券（國際）有限公司; 工銀國際證券有限公司; 利弗莫爾證券有限公司; 大華繼顯(香港)有限公司; 中泰國際證券有限公司</t>
        </is>
      </c>
      <c r="AT253" s="37">
        <f>HYPERLINK("https://www1.hkexnews.hk/listedco/listconews/sehk/2024/0508/2024050800029.pdf","prospectus")</f>
        <v/>
      </c>
      <c r="AU253" s="37">
        <f>HYPERLINK("https://www1.hkexnews.hk/listedco/listconews/sehk/2024/0516/2024051601339.pdf","allotment")</f>
        <v/>
      </c>
      <c r="AV253" s="26" t="n"/>
      <c r="AW253" s="26" t="inlineStr">
        <is>
          <t>greenshoe: no over-allotment option in the offer structure · A/H: no A-share listing · sponsor: English name not in the filing text; AAStocks 保薦人 shown</t>
        </is>
      </c>
    </row>
    <row r="254">
      <c r="A254" s="25" t="inlineStr">
        <is>
          <t>2898</t>
        </is>
      </c>
      <c r="B254" s="26" t="inlineStr">
        <is>
          <t>SUNHO BIO-B</t>
        </is>
      </c>
      <c r="C254" s="26" t="inlineStr">
        <is>
          <t>盛禾生物－Ｂ</t>
        </is>
      </c>
      <c r="D254" s="26" t="inlineStr">
        <is>
          <t>Healthcare</t>
        </is>
      </c>
      <c r="E254" s="26" t="inlineStr">
        <is>
          <t>Biotech pre-revenue (18A)</t>
        </is>
      </c>
      <c r="F254" s="26" t="inlineStr">
        <is>
          <t>18A</t>
        </is>
      </c>
      <c r="G254" s="27" t="n">
        <v>45436</v>
      </c>
      <c r="H254" s="28" t="n">
        <v>461</v>
      </c>
      <c r="I254" s="26" t="inlineStr">
        <is>
          <t>gross (price x shares)</t>
        </is>
      </c>
      <c r="J254" s="29" t="n"/>
      <c r="K254" s="29" t="n">
        <v>13.5</v>
      </c>
      <c r="L254" s="29" t="n">
        <v>13.5</v>
      </c>
      <c r="M254" s="26" t="inlineStr">
        <is>
          <t>Y</t>
        </is>
      </c>
      <c r="N254" s="30" t="n">
        <v>100</v>
      </c>
      <c r="O254" s="28" t="n">
        <v>2115</v>
      </c>
      <c r="P254" s="26" t="inlineStr">
        <is>
          <t>derived:price x shares upon listing</t>
        </is>
      </c>
      <c r="Q254" s="31" t="n">
        <v>10.08</v>
      </c>
      <c r="R254" s="32" t="n">
        <v>1.27</v>
      </c>
      <c r="S254" s="33" t="n">
        <v>9.07</v>
      </c>
      <c r="T254" s="26" t="inlineStr">
        <is>
          <t>南京經開未來科技產業投資合夥企業(有限合夥)</t>
        </is>
      </c>
      <c r="U254" s="30" t="n"/>
      <c r="V254" s="26" t="n"/>
      <c r="W254" s="34" t="n">
        <v>7.56</v>
      </c>
      <c r="X254" s="34" t="n">
        <v>-47.41</v>
      </c>
      <c r="Y254" s="34" t="n">
        <v>-60</v>
      </c>
      <c r="Z254" s="34" t="n">
        <v>-49.63</v>
      </c>
      <c r="AA254" s="34" t="n">
        <v>-62.81</v>
      </c>
      <c r="AB254" s="34" t="n">
        <v>-53.58</v>
      </c>
      <c r="AC254" s="34" t="n">
        <v>-6.42</v>
      </c>
      <c r="AD254" s="26" t="inlineStr">
        <is>
          <t>China Biotech ETF (HS biotech proxy)</t>
        </is>
      </c>
      <c r="AE254" s="34" t="n">
        <v>-52.67</v>
      </c>
      <c r="AF254" s="28" t="n"/>
      <c r="AG254" s="28" t="n">
        <v>-146</v>
      </c>
      <c r="AH254" s="26" t="inlineStr">
        <is>
          <t>N</t>
        </is>
      </c>
      <c r="AI254" s="38">
        <f>IF('BBG Verify'!O254="","not filed — run on terminal",'BBG Verify'!O254)</f>
        <v/>
      </c>
      <c r="AJ254" s="35" t="n"/>
      <c r="AK254" s="26" t="inlineStr">
        <is>
          <t>N</t>
        </is>
      </c>
      <c r="AL254" s="36">
        <f>IF('BBG Verify'!K254="","not filed — run on terminal",'BBG Verify'!K254)</f>
        <v/>
      </c>
      <c r="AM254" s="26" t="inlineStr">
        <is>
          <t>N/A</t>
        </is>
      </c>
      <c r="AN254" s="26" t="inlineStr">
        <is>
          <t>N/A</t>
        </is>
      </c>
      <c r="AO254" s="26" t="inlineStr">
        <is>
          <t>N/A</t>
        </is>
      </c>
      <c r="AP254" s="26" t="n"/>
      <c r="AQ254" s="26" t="inlineStr">
        <is>
          <t>中國國際金融香港證券有限公司</t>
        </is>
      </c>
      <c r="AR254" s="26" t="inlineStr">
        <is>
          <t>農銀國際證券有限公司; 中國銀河國際證券(香港)有限公司; 中國國際金融香港證券有限公司; 鉅誠證券有限公司; 招銀國際金融有限公司; 富途證券國際（香港）有限公司</t>
        </is>
      </c>
      <c r="AS254" s="26" t="inlineStr">
        <is>
          <t>農銀國際證券有限公司; 中國銀河國際證券(香港)有限公司; 中國國際金融香港證券有限公司; 鉅誠證券有限公司; 招銀國際金融有限公司; 富途證券國際（香港）有限公司; 華業證券有限公司; 工銀國際證券有限公司; 老虎證券（香港）環球有限公司; 勝利證券有限公司; 中泰國際證券有限公司</t>
        </is>
      </c>
      <c r="AT254" s="37">
        <f>HYPERLINK("https://www1.hkexnews.hk/listedco/listconews/sehk/2024/0516/2024051600013.pdf","prospectus")</f>
        <v/>
      </c>
      <c r="AU254" s="37">
        <f>HYPERLINK("https://www1.hkexnews.hk/listedco/listconews/sehk/2024/0523/2024052301621.pdf","allotment")</f>
        <v/>
      </c>
      <c r="AV254" s="26" t="n"/>
      <c r="AW254" s="26" t="inlineStr">
        <is>
          <t>P/E: n/m — loss-making at IPO (use P/S) · greenshoe: no over-allotment option in the offer structure · price range: fixed-price offering (no indicative range) · A/H: no A-share listing · sponsor: English name not in the filing text; AAStocks 保薦人 shown</t>
        </is>
      </c>
    </row>
    <row r="255">
      <c r="A255" s="25" t="inlineStr">
        <is>
          <t>0917</t>
        </is>
      </c>
      <c r="B255" s="26" t="inlineStr">
        <is>
          <t>QUNABOX GROUP</t>
        </is>
      </c>
      <c r="C255" s="26" t="inlineStr">
        <is>
          <t>趣致集團</t>
        </is>
      </c>
      <c r="D255" s="26" t="inlineStr">
        <is>
          <t>Other</t>
        </is>
      </c>
      <c r="E255" s="26" t="inlineStr">
        <is>
          <t>Other / unclassified</t>
        </is>
      </c>
      <c r="F255" s="26" t="inlineStr">
        <is>
          <t>Standard</t>
        </is>
      </c>
      <c r="G255" s="27" t="n">
        <v>45439</v>
      </c>
      <c r="H255" s="28" t="n">
        <v>492.6</v>
      </c>
      <c r="I255" s="26" t="inlineStr">
        <is>
          <t>gross (stated)</t>
        </is>
      </c>
      <c r="J255" s="29" t="n"/>
      <c r="K255" s="29" t="n">
        <v>25</v>
      </c>
      <c r="L255" s="29" t="n">
        <v>25</v>
      </c>
      <c r="M255" s="26" t="inlineStr">
        <is>
          <t>Y</t>
        </is>
      </c>
      <c r="N255" s="30" t="n">
        <v>100</v>
      </c>
      <c r="O255" s="28" t="n">
        <v>6567.6</v>
      </c>
      <c r="P255" s="26" t="inlineStr">
        <is>
          <t>derived:price x shares upon listing</t>
        </is>
      </c>
      <c r="Q255" s="31" t="n">
        <v>12.05</v>
      </c>
      <c r="R255" s="32" t="n">
        <v>1.11</v>
      </c>
      <c r="S255" s="33" t="n">
        <v>20</v>
      </c>
      <c r="T255" s="26" t="inlineStr">
        <is>
          <t>金利富通有限合夥基金</t>
        </is>
      </c>
      <c r="U255" s="30" t="n"/>
      <c r="V255" s="26" t="n"/>
      <c r="W255" s="34" t="n">
        <v>40</v>
      </c>
      <c r="X255" s="34" t="n">
        <v>58.8</v>
      </c>
      <c r="Y255" s="34" t="n">
        <v>110.6</v>
      </c>
      <c r="Z255" s="34" t="n">
        <v>105.8</v>
      </c>
      <c r="AA255" s="34" t="n">
        <v>50.43</v>
      </c>
      <c r="AB255" s="34" t="n">
        <v>113.39</v>
      </c>
      <c r="AC255" s="34" t="n">
        <v>-2.79</v>
      </c>
      <c r="AD255" s="26" t="inlineStr">
        <is>
          <t>Hang Seng Index</t>
        </is>
      </c>
      <c r="AE255" s="34" t="n">
        <v>-69.64</v>
      </c>
      <c r="AF255" s="28" t="n">
        <v>1107.4</v>
      </c>
      <c r="AG255" s="28" t="n">
        <v>144</v>
      </c>
      <c r="AH255" s="26" t="inlineStr">
        <is>
          <t>Y</t>
        </is>
      </c>
      <c r="AI255" s="35" t="n">
        <v>45.6</v>
      </c>
      <c r="AJ255" s="35" t="n">
        <v>5.9</v>
      </c>
      <c r="AK255" s="26" t="inlineStr">
        <is>
          <t>N</t>
        </is>
      </c>
      <c r="AL255" s="36">
        <f>IF('BBG Verify'!K255="","not filed — run on terminal",'BBG Verify'!K255)</f>
        <v/>
      </c>
      <c r="AM255" s="26" t="inlineStr">
        <is>
          <t>N/A</t>
        </is>
      </c>
      <c r="AN255" s="26" t="inlineStr">
        <is>
          <t>N/A</t>
        </is>
      </c>
      <c r="AO255" s="26" t="inlineStr">
        <is>
          <t>N/A</t>
        </is>
      </c>
      <c r="AP255" s="26" t="n"/>
      <c r="AQ255" s="26" t="inlineStr">
        <is>
          <t>海通國際資本有限公司</t>
        </is>
      </c>
      <c r="AR255" s="26" t="inlineStr">
        <is>
          <t>農銀國際證券有限公司; 交銀國際證券有限公司; 建銀國際金融有限公司; 復星國際證券有限公司; 富途證券國際（香港）有限公司; 海通國際證券有限公司</t>
        </is>
      </c>
      <c r="AS255" s="26" t="inlineStr">
        <is>
          <t>農銀國際證券有限公司; 交銀國際證券有限公司; 建銀國際金融有限公司; 復星國際證券有限公司; 富途證券國際（香港）有限公司; 海通國際證券有限公司; 利弗莫爾證券有限公司; 華富建業證券有限公司; 浦銀國際融資有限公司; 中泰國際證券有限公司</t>
        </is>
      </c>
      <c r="AT255" s="37">
        <f>HYPERLINK("https://www1.hkexnews.hk/listedco/listconews/sehk/2024/0517/2024051700009.pdf","prospectus")</f>
        <v/>
      </c>
      <c r="AU255" s="37">
        <f>HYPERLINK("https://www1.hkexnews.hk/listedco/listconews/sehk/2024/0524/2024052401848.pdf","allotment")</f>
        <v/>
      </c>
      <c r="AV255" s="26" t="n"/>
      <c r="AW255" s="26" t="inlineStr">
        <is>
          <t>greenshoe: no over-allotment option in the offer structure · price range: fixed-price offering (no indicative range) · A/H: no A-share listing · sponsor: English name not in the filing text; AAStocks 保薦人 shown</t>
        </is>
      </c>
    </row>
    <row r="256">
      <c r="A256" s="25" t="inlineStr">
        <is>
          <t>2505</t>
        </is>
      </c>
      <c r="B256" s="26" t="inlineStr">
        <is>
          <t>EDA GROUP HLDGS</t>
        </is>
      </c>
      <c r="C256" s="26" t="inlineStr">
        <is>
          <t>ＥＤＡ集團控股</t>
        </is>
      </c>
      <c r="D256" s="26" t="inlineStr">
        <is>
          <t>Industrials</t>
        </is>
      </c>
      <c r="E256" s="26" t="inlineStr">
        <is>
          <t>Logistics</t>
        </is>
      </c>
      <c r="F256" s="26" t="inlineStr">
        <is>
          <t>Standard</t>
        </is>
      </c>
      <c r="G256" s="27" t="n">
        <v>45440</v>
      </c>
      <c r="H256" s="28" t="n"/>
      <c r="I256" s="26" t="n"/>
      <c r="J256" s="29" t="n">
        <v>2.28</v>
      </c>
      <c r="K256" s="29" t="n">
        <v>3.06</v>
      </c>
      <c r="L256" s="29" t="n">
        <v>2.28</v>
      </c>
      <c r="M256" s="26" t="inlineStr">
        <is>
          <t>N</t>
        </is>
      </c>
      <c r="N256" s="30" t="n">
        <v>74.5</v>
      </c>
      <c r="O256" s="28" t="n">
        <v>1174.7</v>
      </c>
      <c r="P256" s="26" t="inlineStr">
        <is>
          <t>aastocks:上市市值 at the struck price</t>
        </is>
      </c>
      <c r="Q256" s="31" t="n">
        <v>103.44</v>
      </c>
      <c r="R256" s="32" t="n">
        <v>0.35</v>
      </c>
      <c r="S256" s="33" t="n">
        <v>35.8</v>
      </c>
      <c r="T256" s="26" t="inlineStr">
        <is>
          <t>中國太保投資管理(香港)有限公司; The Reynold Lemkins Group (Asia) Limited</t>
        </is>
      </c>
      <c r="U256" s="30" t="n"/>
      <c r="V256" s="26" t="inlineStr">
        <is>
          <t>lapsed (no over-allocation)</t>
        </is>
      </c>
      <c r="W256" s="34" t="n">
        <v>84.20999999999999</v>
      </c>
      <c r="X256" s="34" t="n">
        <v>35.09</v>
      </c>
      <c r="Y256" s="34" t="n">
        <v>84.20999999999999</v>
      </c>
      <c r="Z256" s="34" t="n">
        <v>49.12</v>
      </c>
      <c r="AA256" s="34" t="n">
        <v>0</v>
      </c>
      <c r="AB256" s="34" t="n">
        <v>89.48999999999999</v>
      </c>
      <c r="AC256" s="34" t="n">
        <v>-5.28</v>
      </c>
      <c r="AD256" s="26" t="inlineStr">
        <is>
          <t>Hang Seng Commerce &amp; Industry sub-index</t>
        </is>
      </c>
      <c r="AE256" s="34" t="n">
        <v>-71.48999999999999</v>
      </c>
      <c r="AF256" s="28" t="n">
        <v>1330.2</v>
      </c>
      <c r="AG256" s="28" t="n">
        <v>76.3</v>
      </c>
      <c r="AH256" s="26" t="inlineStr">
        <is>
          <t>Y</t>
        </is>
      </c>
      <c r="AI256" s="35" t="n">
        <v>15.4</v>
      </c>
      <c r="AJ256" s="35" t="n">
        <v>0.9</v>
      </c>
      <c r="AK256" s="26" t="inlineStr">
        <is>
          <t>N</t>
        </is>
      </c>
      <c r="AL256" s="36">
        <f>IF('BBG Verify'!K256="","not filed — run on terminal",'BBG Verify'!K256)</f>
        <v/>
      </c>
      <c r="AM256" s="26" t="inlineStr">
        <is>
          <t>N/A</t>
        </is>
      </c>
      <c r="AN256" s="26" t="inlineStr">
        <is>
          <t>N/A</t>
        </is>
      </c>
      <c r="AO256" s="26" t="inlineStr">
        <is>
          <t>N/A</t>
        </is>
      </c>
      <c r="AP256" s="26" t="inlineStr">
        <is>
          <t>CMB International Capital Limited</t>
        </is>
      </c>
      <c r="AQ256" s="26" t="inlineStr">
        <is>
          <t>招銀國際金融有限公司</t>
        </is>
      </c>
      <c r="AR256" s="26" t="inlineStr">
        <is>
          <t>Managers and Capital Market Intermediaries CMB International Capital Limited; ABCI Capital Limited; ABCI Securities Company Limited</t>
        </is>
      </c>
      <c r="AS256" s="26" t="inlineStr">
        <is>
          <t>農銀國際證券有限公司; 中銀國際亞洲有限公司; 光銀國際資本有限公司; 中國銀河國際證券(香港)有限公司; 招銀國際融資有限公司; 艾德證券期貨有限公司; 富途證券國際（香港）有限公司; 百惠證券有限公司; 嘉洛證券有限公司; 瑞邦證券有限公司; 老虎證券（香港）環球有限公司</t>
        </is>
      </c>
      <c r="AT256" s="37">
        <f>HYPERLINK("https://www1.hkexnews.hk/listedco/listconews/sehk/2024/0519/2024051900044.htm","prospectus")</f>
        <v/>
      </c>
      <c r="AU256" s="37">
        <f>HYPERLINK("https://www1.hkexnews.hk/listedco/listconews/sehk/2024/0527/2024052701491.pdf","allotment")</f>
        <v/>
      </c>
      <c r="AV256" s="37">
        <f>HYPERLINK("https://www1.hkexnews.hk/listedco/listconews/sehk/2024/0624/2024062401055.pdf","stabilisation")</f>
        <v/>
      </c>
      <c r="AW256" s="26" t="inlineStr">
        <is>
          <t>A/H: no A-share listing</t>
        </is>
      </c>
    </row>
    <row r="257">
      <c r="A257" s="25" t="inlineStr">
        <is>
          <t>2443</t>
        </is>
      </c>
      <c r="B257" s="26" t="inlineStr">
        <is>
          <t>AUTOSTREETS</t>
        </is>
      </c>
      <c r="C257" s="26" t="inlineStr">
        <is>
          <t>汽車街</t>
        </is>
      </c>
      <c r="D257" s="26" t="inlineStr">
        <is>
          <t>Consumer</t>
        </is>
      </c>
      <c r="E257" s="26" t="inlineStr">
        <is>
          <t>Retail / distribution</t>
        </is>
      </c>
      <c r="F257" s="26" t="inlineStr">
        <is>
          <t>Standard</t>
        </is>
      </c>
      <c r="G257" s="27" t="n">
        <v>45443</v>
      </c>
      <c r="H257" s="28" t="n">
        <v>153</v>
      </c>
      <c r="I257" s="26" t="inlineStr">
        <is>
          <t>gross (stated)</t>
        </is>
      </c>
      <c r="J257" s="29" t="n"/>
      <c r="K257" s="29" t="n">
        <v>10.2</v>
      </c>
      <c r="L257" s="29" t="n">
        <v>10.2</v>
      </c>
      <c r="M257" s="26" t="inlineStr">
        <is>
          <t>Y</t>
        </is>
      </c>
      <c r="N257" s="30" t="n">
        <v>100</v>
      </c>
      <c r="O257" s="28" t="n">
        <v>8500</v>
      </c>
      <c r="P257" s="26" t="inlineStr">
        <is>
          <t>derived:deal size / offer % of enlarged capital</t>
        </is>
      </c>
      <c r="Q257" s="31" t="n">
        <v>433.34</v>
      </c>
      <c r="R257" s="32" t="n">
        <v>0.98</v>
      </c>
      <c r="S257" s="33" t="n">
        <v>0</v>
      </c>
      <c r="T257" s="26" t="n"/>
      <c r="U257" s="30" t="n"/>
      <c r="V257" s="26" t="n"/>
      <c r="W257" s="34" t="n">
        <v>26.86</v>
      </c>
      <c r="X257" s="34" t="n">
        <v>12.55</v>
      </c>
      <c r="Y257" s="34" t="n">
        <v>-20.59</v>
      </c>
      <c r="Z257" s="34" t="n">
        <v>-48.92</v>
      </c>
      <c r="AA257" s="34" t="n">
        <v>-37.4</v>
      </c>
      <c r="AB257" s="34" t="n">
        <v>-20.17</v>
      </c>
      <c r="AC257" s="34" t="n">
        <v>-0.42</v>
      </c>
      <c r="AD257" s="26" t="inlineStr">
        <is>
          <t>Hang Seng Commerce &amp; Industry sub-index</t>
        </is>
      </c>
      <c r="AE257" s="34" t="n">
        <v>-85.78</v>
      </c>
      <c r="AF257" s="28" t="n">
        <v>541.2</v>
      </c>
      <c r="AG257" s="28" t="n">
        <v>-17.1</v>
      </c>
      <c r="AH257" s="26" t="inlineStr">
        <is>
          <t>N</t>
        </is>
      </c>
      <c r="AI257" s="38">
        <f>IF('BBG Verify'!O257="","not filed — run on terminal",'BBG Verify'!O257)</f>
        <v/>
      </c>
      <c r="AJ257" s="35" t="n">
        <v>15.7</v>
      </c>
      <c r="AK257" s="26" t="inlineStr">
        <is>
          <t>N</t>
        </is>
      </c>
      <c r="AL257" s="36">
        <f>IF('BBG Verify'!K257="","not filed — run on terminal",'BBG Verify'!K257)</f>
        <v/>
      </c>
      <c r="AM257" s="26" t="inlineStr">
        <is>
          <t>N/A</t>
        </is>
      </c>
      <c r="AN257" s="26" t="inlineStr">
        <is>
          <t>N/A</t>
        </is>
      </c>
      <c r="AO257" s="26" t="inlineStr">
        <is>
          <t>N/A</t>
        </is>
      </c>
      <c r="AP257" s="26" t="inlineStr">
        <is>
          <t>CITIC Securities (Hong Kong) Limited; Haitong International Capital Limited</t>
        </is>
      </c>
      <c r="AQ257" s="26" t="inlineStr">
        <is>
          <t>海通國際資本有限公司; 中信證券(香港)有限公司</t>
        </is>
      </c>
      <c r="AR257" s="26" t="inlineStr">
        <is>
          <t>Managers CLSA Limited; Haitong International S ecurities Company Limited; Fosun International Securities Limited; Central Hong Kong China Galaxy International Securities (Hong Kong) Co., Limited; Central Hong Kong CMB International Capital Limited; Central, Hong Kong ABCI Securities Company Limited; Central, Hong Kong BOCI Asia Limited; Central, Hong Kong Futu Securities Internat ional (Hong Kong) Limited; No. 95 Queensway Admiralty, Hong Kong Livermore Holdings Limited; Patrons Securities Limited; Sheung Wan, Hong Kong Ruibang Securities Limited; Central Hong Kong SPDB International Capital Limited</t>
        </is>
      </c>
      <c r="AS257" s="26" t="inlineStr">
        <is>
          <t>農銀國際證券有限公司; 中銀國際亞洲有限公司; 中國銀河國際證券(香港)有限公司; 中信里昂證券有限公司; 招銀國際融資有限公司; 復星國際證券有限公司; 富途證券國際（香港）有限公司; 海通國際證券有限公司; 利弗莫爾證券有限公司; 百惠證券有限公司; 瑞邦證券有限公司; 浦銀國際融資有限公司</t>
        </is>
      </c>
      <c r="AT257" s="37">
        <f>HYPERLINK("https://www1.hkexnews.hk/listedco/listconews/sehk/2024/0523/2024052300042.htm","prospectus")</f>
        <v/>
      </c>
      <c r="AU257" s="37">
        <f>HYPERLINK("https://www1.hkexnews.hk/listedco/listconews/sehk/2024/0530/2024053001320.pdf","allotment")</f>
        <v/>
      </c>
      <c r="AV257" s="26" t="n"/>
      <c r="AW257" s="26" t="inlineStr">
        <is>
          <t>P/E: n/m — loss-making at IPO (use P/S) · greenshoe: no over-allotment option in the offer structure · price range: fixed-price offering (no indicative range) · A/H: no A-share listing</t>
        </is>
      </c>
    </row>
    <row r="258">
      <c r="A258" s="25" t="inlineStr">
        <is>
          <t>2522</t>
        </is>
      </c>
      <c r="B258" s="26" t="inlineStr">
        <is>
          <t>RIMAG GROUP</t>
        </is>
      </c>
      <c r="C258" s="26" t="inlineStr">
        <is>
          <t>一脈陽光</t>
        </is>
      </c>
      <c r="D258" s="26" t="inlineStr">
        <is>
          <t>Healthcare</t>
        </is>
      </c>
      <c r="E258" s="26" t="inlineStr">
        <is>
          <t>Hospitals / clinics</t>
        </is>
      </c>
      <c r="F258" s="26" t="inlineStr">
        <is>
          <t>Standard</t>
        </is>
      </c>
      <c r="G258" s="27" t="n">
        <v>45450</v>
      </c>
      <c r="H258" s="28" t="n">
        <v>266.9</v>
      </c>
      <c r="I258" s="26" t="inlineStr">
        <is>
          <t>gross (price x shares)</t>
        </is>
      </c>
      <c r="J258" s="29" t="n">
        <v>14.6</v>
      </c>
      <c r="K258" s="29" t="n">
        <v>16.8</v>
      </c>
      <c r="L258" s="29" t="n">
        <v>14.98</v>
      </c>
      <c r="M258" s="26" t="inlineStr">
        <is>
          <t>N</t>
        </is>
      </c>
      <c r="N258" s="30" t="n">
        <v>89.2</v>
      </c>
      <c r="O258" s="28" t="n">
        <v>5337.6</v>
      </c>
      <c r="P258" s="26" t="inlineStr">
        <is>
          <t>derived:price x shares upon listing</t>
        </is>
      </c>
      <c r="Q258" s="31" t="n">
        <v>336.33</v>
      </c>
      <c r="R258" s="32" t="n">
        <v>1.24</v>
      </c>
      <c r="S258" s="33" t="n">
        <v>44.97</v>
      </c>
      <c r="T258" s="26" t="inlineStr">
        <is>
          <t>中國新銳醫藥控股有限公司; 卓投企業管理(香港)有限公司; 聯影醫療科技香港有限公司</t>
        </is>
      </c>
      <c r="U258" s="30" t="n"/>
      <c r="V258" s="26" t="n"/>
      <c r="W258" s="34" t="n">
        <v>0.13</v>
      </c>
      <c r="X258" s="34" t="n">
        <v>28.3</v>
      </c>
      <c r="Y258" s="34" t="n">
        <v>15.09</v>
      </c>
      <c r="Z258" s="34" t="n">
        <v>34.18</v>
      </c>
      <c r="AA258" s="34" t="n">
        <v>14.94</v>
      </c>
      <c r="AB258" s="34" t="n">
        <v>23.08</v>
      </c>
      <c r="AC258" s="34" t="n">
        <v>-7.99</v>
      </c>
      <c r="AD258" s="26" t="inlineStr">
        <is>
          <t>China Biotech ETF (HS biotech proxy)</t>
        </is>
      </c>
      <c r="AE258" s="34" t="n">
        <v>-69.09</v>
      </c>
      <c r="AF258" s="28" t="n">
        <v>1021.8</v>
      </c>
      <c r="AG258" s="28" t="n">
        <v>40.2</v>
      </c>
      <c r="AH258" s="26" t="inlineStr">
        <is>
          <t>Y</t>
        </is>
      </c>
      <c r="AI258" s="35" t="n">
        <v>132.8</v>
      </c>
      <c r="AJ258" s="35" t="n">
        <v>5.2</v>
      </c>
      <c r="AK258" s="26" t="inlineStr">
        <is>
          <t>N</t>
        </is>
      </c>
      <c r="AL258" s="36">
        <f>IF('BBG Verify'!K258="","not filed — run on terminal",'BBG Verify'!K258)</f>
        <v/>
      </c>
      <c r="AM258" s="26" t="inlineStr">
        <is>
          <t>N/A</t>
        </is>
      </c>
      <c r="AN258" s="26" t="inlineStr">
        <is>
          <t>N/A</t>
        </is>
      </c>
      <c r="AO258" s="26" t="inlineStr">
        <is>
          <t>N/A</t>
        </is>
      </c>
      <c r="AP258" s="26" t="inlineStr">
        <is>
          <t>CITIC Securities (Hong Kong) Limited; -Overall Coordinator CLSA Limited</t>
        </is>
      </c>
      <c r="AQ258" s="26" t="inlineStr">
        <is>
          <t>中信證券(香港)有限公司</t>
        </is>
      </c>
      <c r="AR258" s="26" t="inlineStr">
        <is>
          <t>CLSA Limited; CMB International Capital Limited; Huatai Financial Holdings (Hong Kong) Limited; Fosun International Securities Limited; Central, Hong Kong ABCI Capital Limited; China Galaxy International Securities (Hong Kong) Co., Limited; Sheung Wan, Hong Kong Futu Securities International (Hong Kong) Limited; No. 95 Queensway Admiralty, Hong Kong ICBC International Securities Limited; Patrons Securities Limited; Sheung Wan, Hong Kong Quam Securities Limited; TradeGo Markets Limited; Holdings Limited</t>
        </is>
      </c>
      <c r="AS258" s="26" t="inlineStr">
        <is>
          <t>農銀國際證券有限公司; 中國銀河國際證券(香港)有限公司; 中信里昂證券有限公司; 招銀國際融資有限公司; 復星國際證券有限公司; 富途證券國際（香港）有限公司; 華泰金融控股(香港)有限公司; 工銀國際證券有限公司; 百惠證券有限公司; 華富建業證券有限公司; 浦銀國際融資有限公司; TradeGo Markets Limited; 維港國際金融控股有限公司; 越秀證券有限公司; 中泰國際證券有限公司</t>
        </is>
      </c>
      <c r="AT258" s="37">
        <f>HYPERLINK("https://www1.hkexnews.hk/listedco/listconews/sehk/2024/0530/2024053000044.pdf","prospectus")</f>
        <v/>
      </c>
      <c r="AU258" s="37">
        <f>HYPERLINK("https://www1.hkexnews.hk/listedco/listconews/sehk/2024/0606/2024060602117.pdf","allotment")</f>
        <v/>
      </c>
      <c r="AV258" s="26" t="n"/>
      <c r="AW258" s="26" t="inlineStr">
        <is>
          <t>greenshoe: no over-allotment option in the offer structure · A/H: no A-share listing</t>
        </is>
      </c>
    </row>
    <row r="259">
      <c r="A259" s="25" t="inlineStr">
        <is>
          <t>2550</t>
        </is>
      </c>
      <c r="B259" s="26" t="inlineStr">
        <is>
          <t>EASOU TECH</t>
        </is>
      </c>
      <c r="C259" s="26" t="inlineStr">
        <is>
          <t>宜搜科技</t>
        </is>
      </c>
      <c r="D259" s="26" t="inlineStr">
        <is>
          <t>Tech/AI</t>
        </is>
      </c>
      <c r="E259" s="26" t="inlineStr">
        <is>
          <t>Internet platform / e-commerce</t>
        </is>
      </c>
      <c r="F259" s="26" t="inlineStr">
        <is>
          <t>Standard</t>
        </is>
      </c>
      <c r="G259" s="27" t="n">
        <v>45450</v>
      </c>
      <c r="H259" s="28" t="n">
        <v>85.90000000000001</v>
      </c>
      <c r="I259" s="26" t="inlineStr">
        <is>
          <t>gross (price x shares)</t>
        </is>
      </c>
      <c r="J259" s="29" t="n"/>
      <c r="K259" s="29" t="n">
        <v>8</v>
      </c>
      <c r="L259" s="29" t="n">
        <v>5.8</v>
      </c>
      <c r="M259" s="26" t="inlineStr">
        <is>
          <t>N</t>
        </is>
      </c>
      <c r="N259" s="30" t="n">
        <v>72.5</v>
      </c>
      <c r="O259" s="28" t="n">
        <v>1907.8</v>
      </c>
      <c r="P259" s="26" t="inlineStr">
        <is>
          <t>derived:price x shares upon listing</t>
        </is>
      </c>
      <c r="Q259" s="31" t="n">
        <v>114.59</v>
      </c>
      <c r="R259" s="32" t="n">
        <v>0.98</v>
      </c>
      <c r="S259" s="33" t="n">
        <v>0</v>
      </c>
      <c r="T259" s="26" t="n"/>
      <c r="U259" s="30" t="n">
        <v>15</v>
      </c>
      <c r="V259" s="26" t="n"/>
      <c r="W259" s="34" t="n">
        <v>91.72</v>
      </c>
      <c r="X259" s="34" t="n">
        <v>191.03</v>
      </c>
      <c r="Y259" s="34" t="n">
        <v>200</v>
      </c>
      <c r="Z259" s="34" t="n">
        <v>223.79</v>
      </c>
      <c r="AA259" s="34" t="n">
        <v>56.48</v>
      </c>
      <c r="AB259" s="34" t="n">
        <v>206.06</v>
      </c>
      <c r="AC259" s="34" t="n">
        <v>-6.06</v>
      </c>
      <c r="AD259" s="26" t="inlineStr">
        <is>
          <t>HSTECH (Hang Seng TECH ETF)</t>
        </is>
      </c>
      <c r="AE259" s="34" t="n">
        <v>-66.38</v>
      </c>
      <c r="AF259" s="28" t="n">
        <v>614.9</v>
      </c>
      <c r="AG259" s="28" t="n">
        <v>27.5</v>
      </c>
      <c r="AH259" s="26" t="inlineStr">
        <is>
          <t>Y</t>
        </is>
      </c>
      <c r="AI259" s="35" t="n">
        <v>69.40000000000001</v>
      </c>
      <c r="AJ259" s="35" t="n">
        <v>3.1</v>
      </c>
      <c r="AK259" s="26" t="inlineStr">
        <is>
          <t>N</t>
        </is>
      </c>
      <c r="AL259" s="36">
        <f>IF('BBG Verify'!K259="","not filed — run on terminal",'BBG Verify'!K259)</f>
        <v/>
      </c>
      <c r="AM259" s="26" t="inlineStr">
        <is>
          <t>N/A</t>
        </is>
      </c>
      <c r="AN259" s="26" t="inlineStr">
        <is>
          <t>N/A</t>
        </is>
      </c>
      <c r="AO259" s="26" t="inlineStr">
        <is>
          <t>N/A</t>
        </is>
      </c>
      <c r="AP259" s="26" t="n"/>
      <c r="AQ259" s="26" t="inlineStr">
        <is>
          <t>中銀國際亞洲有限公司</t>
        </is>
      </c>
      <c r="AR259" s="26" t="inlineStr">
        <is>
          <t>BOCI Asia Limited; Central, Hong Kong Guotai Junan Securities (Hong Kong) Limited; BOCOM International Securities Limited; Wanchai, Hong Kong Citrus Securities Limited; Wanchai, Hong Kong Guosen Securities (HK) Capital Company Limited; ICBC International Securities Limited; Livermore Holdings Limited; Shenwan Hongyuan Securities (H.K.) Limited; SPDB International Capital Limited; Tiger Brokers (HK) Global Limited; Wanchai, Hong Kong Zhongtai International Securities Limited</t>
        </is>
      </c>
      <c r="AS259" s="26" t="inlineStr">
        <is>
          <t>中銀國際亞洲有限公司; 交銀國際證券有限公司; 中國光大證券(香港)有限公司; 鉅誠證券有限公司; 國泰君安證券(香港)有限公司; 國信證券(香港)融資有限公司; 工銀國際證券有限公司; 利弗莫爾證券有限公司; 申萬宏源證券（香港）有限公司; 浦銀國際融資有限公司; 老虎證券（香港）環球有限公司; 越秀證券有限公司; 中泰國際證券有限公司</t>
        </is>
      </c>
      <c r="AT259" s="37">
        <f>HYPERLINK("https://www1.hkexnews.hk/listedco/listconews/sehk/2024/0530/2024053000009.pdf","prospectus")</f>
        <v/>
      </c>
      <c r="AU259" s="37">
        <f>HYPERLINK("https://www1.hkexnews.hk/listedco/listconews/sehk/2024/0606/2024060602135.pdf","allotment")</f>
        <v/>
      </c>
      <c r="AV259" s="26" t="n"/>
      <c r="AW259" s="26" t="inlineStr">
        <is>
          <t>greenshoe: end-of-stabilisation notice not located · A/H: no A-share listing · sponsor: English name not in the filing text; AAStocks 保薦人 shown</t>
        </is>
      </c>
    </row>
    <row r="260">
      <c r="A260" s="25" t="inlineStr">
        <is>
          <t>2228</t>
        </is>
      </c>
      <c r="B260" s="26" t="inlineStr">
        <is>
          <t>QUANTUMPH-P</t>
        </is>
      </c>
      <c r="C260" s="26" t="inlineStr">
        <is>
          <t>晶泰控股</t>
        </is>
      </c>
      <c r="D260" s="26" t="inlineStr">
        <is>
          <t>Tech/AI</t>
        </is>
      </c>
      <c r="E260" s="26" t="inlineStr">
        <is>
          <t>AI application / agent software</t>
        </is>
      </c>
      <c r="F260" s="26" t="inlineStr">
        <is>
          <t>18C</t>
        </is>
      </c>
      <c r="G260" s="27" t="n">
        <v>45456</v>
      </c>
      <c r="H260" s="28" t="n">
        <v>989.3</v>
      </c>
      <c r="I260" s="26" t="inlineStr">
        <is>
          <t>gross (price x shares)</t>
        </is>
      </c>
      <c r="J260" s="29" t="n"/>
      <c r="K260" s="29" t="n">
        <v>5.28</v>
      </c>
      <c r="L260" s="29" t="n">
        <v>5.28</v>
      </c>
      <c r="M260" s="26" t="inlineStr">
        <is>
          <t>Y</t>
        </is>
      </c>
      <c r="N260" s="30" t="n">
        <v>100</v>
      </c>
      <c r="O260" s="28" t="n">
        <v>18888.1</v>
      </c>
      <c r="P260" s="26" t="inlineStr">
        <is>
          <t>aastocks:上市市值 at the struck price</t>
        </is>
      </c>
      <c r="Q260" s="31" t="n">
        <v>103.35</v>
      </c>
      <c r="R260" s="32" t="n">
        <v>2.13</v>
      </c>
      <c r="S260" s="33" t="n">
        <v>5</v>
      </c>
      <c r="T260" s="26" t="inlineStr">
        <is>
          <t>海棠壹號有限合夥基金; 百奧賽圖（北京）醫藥科技股份有限公司; Bradley Lether Pentelute; FaaS Capital Longevity Limited; Ginkgo Capital Global Fund SPC-Ginkgo Capital Global Fund I SP; IntelliMed One Investment Limited; Mammoth Medical Solutions; Successful Lotus Limited</t>
        </is>
      </c>
      <c r="U260" s="30" t="n">
        <v>15</v>
      </c>
      <c r="V260" s="26" t="n"/>
      <c r="W260" s="34" t="n">
        <v>9.85</v>
      </c>
      <c r="X260" s="34" t="n">
        <v>0.38</v>
      </c>
      <c r="Y260" s="34" t="n">
        <v>9.85</v>
      </c>
      <c r="Z260" s="34" t="n">
        <v>165.91</v>
      </c>
      <c r="AA260" s="34" t="n">
        <v>0</v>
      </c>
      <c r="AB260" s="34" t="n">
        <v>10.62</v>
      </c>
      <c r="AC260" s="34" t="n">
        <v>-0.77</v>
      </c>
      <c r="AD260" s="26" t="inlineStr">
        <is>
          <t>HSTECH (Hang Seng TECH ETF)</t>
        </is>
      </c>
      <c r="AE260" s="34" t="n">
        <v>42.05</v>
      </c>
      <c r="AF260" s="28" t="n">
        <v>191.9</v>
      </c>
      <c r="AG260" s="28" t="n">
        <v>-2105.8</v>
      </c>
      <c r="AH260" s="26" t="inlineStr">
        <is>
          <t>N</t>
        </is>
      </c>
      <c r="AI260" s="38">
        <f>IF('BBG Verify'!O260="","not filed — run on terminal",'BBG Verify'!O260)</f>
        <v/>
      </c>
      <c r="AJ260" s="35" t="n">
        <v>98.40000000000001</v>
      </c>
      <c r="AK260" s="26" t="inlineStr">
        <is>
          <t>N</t>
        </is>
      </c>
      <c r="AL260" s="36">
        <f>IF('BBG Verify'!K260="","not filed — run on terminal",'BBG Verify'!K260)</f>
        <v/>
      </c>
      <c r="AM260" s="26" t="inlineStr">
        <is>
          <t>N/A</t>
        </is>
      </c>
      <c r="AN260" s="26" t="inlineStr">
        <is>
          <t>N/A</t>
        </is>
      </c>
      <c r="AO260" s="26" t="inlineStr">
        <is>
          <t>N/A</t>
        </is>
      </c>
      <c r="AP260" s="26" t="n"/>
      <c r="AQ260" s="26" t="inlineStr">
        <is>
          <t>中信證券(香港)有限公司</t>
        </is>
      </c>
      <c r="AR260" s="26" t="inlineStr">
        <is>
          <t>農銀國際證券有限公司; 中銀國際亞洲有限公司; 建銀國際金融有限公司; 中國國際金融香港證券有限公司; 中信里昂證券有限公司; 招銀國際融資有限公司</t>
        </is>
      </c>
      <c r="AS260" s="26" t="inlineStr">
        <is>
          <t>農銀國際證券有限公司; 中銀國際亞洲有限公司; 建銀國際金融有限公司; 中國國際金融香港證券有限公司; 中信里昂證券有限公司; 招銀國際融資有限公司; 德意志銀行香港分行; 復星國際證券有限公司; 富途證券國際（香港）有限公司; 國信證券(香港)融資有限公司; 工銀國際證券有限公司; 富瑞金融集團香港有限公司; 利弗莫爾證券有限公司; 浦銀國際融資有限公司; TradeGo Markets Limited</t>
        </is>
      </c>
      <c r="AT260" s="37">
        <f>HYPERLINK("https://www1.hkexnews.hk/listedco/listconews/sehk/2024/0604/2024060400065.pdf","prospectus")</f>
        <v/>
      </c>
      <c r="AU260" s="37">
        <f>HYPERLINK("https://www1.hkexnews.hk/listedco/listconews/sehk/2024/0612/2024061201745.pdf","allotment")</f>
        <v/>
      </c>
      <c r="AV260" s="26" t="n"/>
      <c r="AW260" s="26" t="inlineStr">
        <is>
          <t>P/E: n/m — loss-making at IPO (use P/S) · greenshoe: end-of-stabilisation notice not located · price range: fixed-price offering (no indicative range) · A/H: no A-share listing · sponsor: English name not in the filing text; AAStocks 保薦人 shown · cornerstone: AAStocks institutional table includes non-cornerstone orders (superset) — cornerstone % is from the prospectus</t>
        </is>
      </c>
    </row>
    <row r="261">
      <c r="A261" s="25" t="inlineStr">
        <is>
          <t>2512</t>
        </is>
      </c>
      <c r="B261" s="26" t="inlineStr">
        <is>
          <t>CLOUD FACTORY</t>
        </is>
      </c>
      <c r="C261" s="26" t="inlineStr">
        <is>
          <t>雲工場</t>
        </is>
      </c>
      <c r="D261" s="26" t="inlineStr">
        <is>
          <t>Tech/AI</t>
        </is>
      </c>
      <c r="E261" s="26" t="inlineStr">
        <is>
          <t>Data center / cloud infra</t>
        </is>
      </c>
      <c r="F261" s="26" t="inlineStr">
        <is>
          <t>Standard</t>
        </is>
      </c>
      <c r="G261" s="27" t="n">
        <v>45457</v>
      </c>
      <c r="H261" s="28" t="n">
        <v>133.9</v>
      </c>
      <c r="I261" s="26" t="inlineStr">
        <is>
          <t>net proceeds</t>
        </is>
      </c>
      <c r="J261" s="29" t="n"/>
      <c r="K261" s="29" t="n">
        <v>4.6</v>
      </c>
      <c r="L261" s="29" t="n">
        <v>4.6</v>
      </c>
      <c r="M261" s="26" t="inlineStr">
        <is>
          <t>Y</t>
        </is>
      </c>
      <c r="N261" s="30" t="n">
        <v>100</v>
      </c>
      <c r="O261" s="28" t="n">
        <v>2116</v>
      </c>
      <c r="P261" s="26" t="inlineStr">
        <is>
          <t>derived:price x shares upon listing</t>
        </is>
      </c>
      <c r="Q261" s="31" t="n">
        <v>25.79</v>
      </c>
      <c r="R261" s="32" t="n">
        <v>1.09</v>
      </c>
      <c r="S261" s="33" t="n">
        <v>0</v>
      </c>
      <c r="T261" s="26" t="n"/>
      <c r="U261" s="30" t="n">
        <v>15</v>
      </c>
      <c r="V261" s="26" t="inlineStr">
        <is>
          <t>lapsed</t>
        </is>
      </c>
      <c r="W261" s="34" t="n">
        <v>-17.39</v>
      </c>
      <c r="X261" s="34" t="n">
        <v>-17.39</v>
      </c>
      <c r="Y261" s="34" t="n">
        <v>-17.39</v>
      </c>
      <c r="Z261" s="34" t="n">
        <v>-21.96</v>
      </c>
      <c r="AA261" s="34" t="n">
        <v>0</v>
      </c>
      <c r="AB261" s="34" t="n">
        <v>-14.45</v>
      </c>
      <c r="AC261" s="34" t="n">
        <v>-2.94</v>
      </c>
      <c r="AD261" s="26" t="inlineStr">
        <is>
          <t>HSTECH (Hang Seng TECH ETF)</t>
        </is>
      </c>
      <c r="AE261" s="34" t="n">
        <v>-40.11</v>
      </c>
      <c r="AF261" s="28" t="n">
        <v>765.5</v>
      </c>
      <c r="AG261" s="28" t="n">
        <v>15.6</v>
      </c>
      <c r="AH261" s="26" t="inlineStr">
        <is>
          <t>Y</t>
        </is>
      </c>
      <c r="AI261" s="35" t="n">
        <v>135.6</v>
      </c>
      <c r="AJ261" s="35" t="n">
        <v>2.8</v>
      </c>
      <c r="AK261" s="26" t="inlineStr">
        <is>
          <t>N</t>
        </is>
      </c>
      <c r="AL261" s="36">
        <f>IF('BBG Verify'!K261="","not filed — run on terminal",'BBG Verify'!K261)</f>
        <v/>
      </c>
      <c r="AM261" s="26" t="inlineStr">
        <is>
          <t>N/A</t>
        </is>
      </c>
      <c r="AN261" s="26" t="inlineStr">
        <is>
          <t>N/A</t>
        </is>
      </c>
      <c r="AO261" s="26" t="inlineStr">
        <is>
          <t>N/A</t>
        </is>
      </c>
      <c r="AP261" s="26" t="n"/>
      <c r="AQ261" s="26" t="inlineStr">
        <is>
          <t>浦銀國際融資有限公司</t>
        </is>
      </c>
      <c r="AR261" s="26" t="inlineStr">
        <is>
          <t>Managers and CMIs SPDB International Capital Limited; CMB International Capital Limited; Managers and CMIs CLSA Limited; Managers and CMIs CEB International Capital Corporation Limited; Livermore Holdings Limited; Essence International Secu rities (Hong Kong) Limited; First Shanghai Securities Limited; CMBC Securities Company Limited; CCB International Capital Limited; Fosun International Securities Limited; Central, Hong Kong Futu Securities International (Hong Kong) Limited</t>
        </is>
      </c>
      <c r="AS261" s="26" t="inlineStr">
        <is>
          <t>建銀國際金融有限公司; 光銀國際資本有限公司; 中信里昂證券有限公司; 民銀證券有限公司; 招銀國際融資有限公司; 安信國際證券(香港)有限公司; 復星國際證券有限公司; 第一上海證券有限公司; 富途證券國際（香港）有限公司; 利弗莫爾證券有限公司; 浦銀國際融資有限公司</t>
        </is>
      </c>
      <c r="AT261" s="37">
        <f>HYPERLINK("https://www1.hkexnews.hk/listedco/listconews/sehk/2024/0605/2024060500041.pdf","prospectus")</f>
        <v/>
      </c>
      <c r="AU261" s="37">
        <f>HYPERLINK("https://www1.hkexnews.hk/listedco/listconews/sehk/2024/0613/2024061301165.pdf","allotment")</f>
        <v/>
      </c>
      <c r="AV261" s="37">
        <f>HYPERLINK("https://www1.hkexnews.hk/listedco/listconews/sehk/2024/0711/2024071100781.pdf","stabilisation")</f>
        <v/>
      </c>
      <c r="AW261" s="26" t="inlineStr">
        <is>
          <t>A/H: no A-share listing · sponsor: English name not in the filing text; AAStocks 保薦人 shown</t>
        </is>
      </c>
    </row>
    <row r="262">
      <c r="A262" s="25" t="inlineStr">
        <is>
          <t>2881</t>
        </is>
      </c>
      <c r="B262" s="26" t="inlineStr">
        <is>
          <t>WUHAN YOUJI</t>
        </is>
      </c>
      <c r="C262" s="26" t="inlineStr">
        <is>
          <t>武漢有機</t>
        </is>
      </c>
      <c r="D262" s="26" t="inlineStr">
        <is>
          <t>Materials/Energy</t>
        </is>
      </c>
      <c r="E262" s="26" t="inlineStr">
        <is>
          <t>Chemicals</t>
        </is>
      </c>
      <c r="F262" s="26" t="inlineStr">
        <is>
          <t>Standard</t>
        </is>
      </c>
      <c r="G262" s="27" t="n">
        <v>45461</v>
      </c>
      <c r="H262" s="28" t="n">
        <v>100.7</v>
      </c>
      <c r="I262" s="26" t="inlineStr">
        <is>
          <t>gross (price x shares)</t>
        </is>
      </c>
      <c r="J262" s="29" t="n"/>
      <c r="K262" s="29" t="n">
        <v>8.5</v>
      </c>
      <c r="L262" s="29" t="n">
        <v>5.5</v>
      </c>
      <c r="M262" s="26" t="inlineStr">
        <is>
          <t>N</t>
        </is>
      </c>
      <c r="N262" s="30" t="n">
        <v>64.7</v>
      </c>
      <c r="O262" s="46" t="n">
        <v>513.1</v>
      </c>
      <c r="P262" s="26" t="inlineStr">
        <is>
          <t>derived:price x shares upon listing</t>
        </is>
      </c>
      <c r="Q262" s="31" t="n">
        <v>337.57</v>
      </c>
      <c r="R262" s="32" t="n">
        <v>0.92</v>
      </c>
      <c r="S262" s="33" t="n">
        <v>0</v>
      </c>
      <c r="T262" s="26" t="n"/>
      <c r="U262" s="30" t="n">
        <v>17.7</v>
      </c>
      <c r="V262" s="26" t="inlineStr">
        <is>
          <t>lapsed (no over-allocation)</t>
        </is>
      </c>
      <c r="W262" s="34" t="n">
        <v>27.64</v>
      </c>
      <c r="X262" s="34" t="n">
        <v>12.73</v>
      </c>
      <c r="Y262" s="34" t="n">
        <v>-13.64</v>
      </c>
      <c r="Z262" s="34" t="n">
        <v>-23.64</v>
      </c>
      <c r="AA262" s="34" t="n">
        <v>-32.34</v>
      </c>
      <c r="AB262" s="34" t="n">
        <v>-17.81</v>
      </c>
      <c r="AC262" s="34" t="n">
        <v>4.17</v>
      </c>
      <c r="AD262" s="26" t="inlineStr">
        <is>
          <t>Hang Seng Utilities sub-index</t>
        </is>
      </c>
      <c r="AE262" s="34" t="n">
        <v>82.91</v>
      </c>
      <c r="AF262" s="28" t="n">
        <v>2944.8</v>
      </c>
      <c r="AG262" s="28" t="n">
        <v>80.2</v>
      </c>
      <c r="AH262" s="26" t="inlineStr">
        <is>
          <t>Y</t>
        </is>
      </c>
      <c r="AI262" s="35" t="n">
        <v>6.4</v>
      </c>
      <c r="AJ262" s="35" t="n">
        <v>0.2</v>
      </c>
      <c r="AK262" s="26" t="inlineStr">
        <is>
          <t>N</t>
        </is>
      </c>
      <c r="AL262" s="36">
        <f>IF('BBG Verify'!K262="","not filed — run on terminal",'BBG Verify'!K262)</f>
        <v/>
      </c>
      <c r="AM262" s="26" t="inlineStr">
        <is>
          <t>N/A</t>
        </is>
      </c>
      <c r="AN262" s="26" t="inlineStr">
        <is>
          <t>N/A</t>
        </is>
      </c>
      <c r="AO262" s="26" t="inlineStr">
        <is>
          <t>N/A</t>
        </is>
      </c>
      <c r="AP262" s="26" t="inlineStr">
        <is>
          <t>BOCOM International (Asia) Limited</t>
        </is>
      </c>
      <c r="AQ262" s="26" t="inlineStr">
        <is>
          <t>交銀國際（亞洲）有限公司</t>
        </is>
      </c>
      <c r="AR262" s="26"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AS262" s="26" t="inlineStr">
        <is>
          <t>農銀國際證券有限公司; 交銀國際證券有限公司; 建銀國際金融有限公司; 光銀國際資本有限公司; 中國光大證券(香港)有限公司; 興證國際融資有限公司; 民銀證券有限公司; 中國北方證券集團有限公司; 華升證券（國際）有限公司; 安信國際證券(香港)有限公司; 富中證券有限公司; 富途證券國際（香港）有限公司; 工銀國際證券有限公司; 邁時資本有限公司; 輝立証券（香港）有限公司; 華富建業證券有限公司; 佳富達證券有限公司; 浦銀國際融資有限公司; 越秀證券有限公司; 中泰國際證券有限公司</t>
        </is>
      </c>
      <c r="AT262" s="37">
        <f>HYPERLINK("https://www1.hkexnews.hk/listedco/listconews/sehk/2024/0607/2024060700013.pdf","prospectus")</f>
        <v/>
      </c>
      <c r="AU262" s="37">
        <f>HYPERLINK("https://www1.hkexnews.hk/listedco/listconews/sehk/2024/0617/2024061701156.pdf","allotment")</f>
        <v/>
      </c>
      <c r="AV262" s="37">
        <f>HYPERLINK("https://www1.hkexnews.hk/listedco/listconews/sehk/2024/0715/2024071500250.pdf","stabilisation")</f>
        <v/>
      </c>
      <c r="AW262" s="26" t="inlineStr">
        <is>
          <t>A/H: no A-share listing · market cap: AAStocks lists HK$694m at listing vs HK$513m derived here</t>
        </is>
      </c>
    </row>
    <row r="263">
      <c r="A263" s="25" t="inlineStr">
        <is>
          <t>2559</t>
        </is>
      </c>
      <c r="B263" s="26" t="inlineStr">
        <is>
          <t>DIDA INC</t>
        </is>
      </c>
      <c r="C263" s="26" t="inlineStr">
        <is>
          <t>嘀嗒出行</t>
        </is>
      </c>
      <c r="D263" s="26" t="inlineStr">
        <is>
          <t>Tech/AI</t>
        </is>
      </c>
      <c r="E263" s="26" t="inlineStr">
        <is>
          <t>Internet platform / e-commerce</t>
        </is>
      </c>
      <c r="F263" s="26" t="inlineStr">
        <is>
          <t>Standard</t>
        </is>
      </c>
      <c r="G263" s="27" t="n">
        <v>45471</v>
      </c>
      <c r="H263" s="28" t="n">
        <v>234.5</v>
      </c>
      <c r="I263" s="26" t="inlineStr">
        <is>
          <t>gross (price x shares)</t>
        </is>
      </c>
      <c r="J263" s="29" t="n"/>
      <c r="K263" s="29" t="n">
        <v>7</v>
      </c>
      <c r="L263" s="29" t="n">
        <v>6</v>
      </c>
      <c r="M263" s="26" t="inlineStr">
        <is>
          <t>N</t>
        </is>
      </c>
      <c r="N263" s="30" t="n">
        <v>85.7</v>
      </c>
      <c r="O263" s="28" t="n">
        <v>5963.9</v>
      </c>
      <c r="P263" s="26" t="inlineStr">
        <is>
          <t>derived:price x shares upon listing</t>
        </is>
      </c>
      <c r="Q263" s="31" t="n">
        <v>112.9</v>
      </c>
      <c r="R263" s="32" t="n">
        <v>1.28</v>
      </c>
      <c r="S263" s="33" t="n">
        <v>0</v>
      </c>
      <c r="T263" s="26" t="n"/>
      <c r="U263" s="30" t="n">
        <v>15</v>
      </c>
      <c r="V263" s="26" t="inlineStr">
        <is>
          <t>lapsed</t>
        </is>
      </c>
      <c r="W263" s="34" t="n">
        <v>-22.5</v>
      </c>
      <c r="X263" s="34" t="n">
        <v>-51.33</v>
      </c>
      <c r="Y263" s="34" t="n">
        <v>-51.17</v>
      </c>
      <c r="Z263" s="34" t="n">
        <v>-54</v>
      </c>
      <c r="AA263" s="34" t="n">
        <v>-36.99</v>
      </c>
      <c r="AB263" s="34" t="n">
        <v>-46.58</v>
      </c>
      <c r="AC263" s="34" t="n">
        <v>-4.59</v>
      </c>
      <c r="AD263" s="26" t="inlineStr">
        <is>
          <t>HSTECH (Hang Seng TECH ETF)</t>
        </is>
      </c>
      <c r="AE263" s="34" t="n">
        <v>-77.08</v>
      </c>
      <c r="AF263" s="28" t="n">
        <v>896.6</v>
      </c>
      <c r="AG263" s="28" t="n">
        <v>0.2</v>
      </c>
      <c r="AH263" s="26" t="inlineStr">
        <is>
          <t>Y</t>
        </is>
      </c>
      <c r="AI263" s="35" t="n">
        <v>29819.5</v>
      </c>
      <c r="AJ263" s="35" t="n">
        <v>6.7</v>
      </c>
      <c r="AK263" s="26" t="inlineStr">
        <is>
          <t>N</t>
        </is>
      </c>
      <c r="AL263" s="36">
        <f>IF('BBG Verify'!K263="","not filed — run on terminal",'BBG Verify'!K263)</f>
        <v/>
      </c>
      <c r="AM263" s="26" t="inlineStr">
        <is>
          <t>N/A</t>
        </is>
      </c>
      <c r="AN263" s="26" t="inlineStr">
        <is>
          <t>N/A</t>
        </is>
      </c>
      <c r="AO263" s="26" t="inlineStr">
        <is>
          <t>N/A</t>
        </is>
      </c>
      <c r="AP263" s="26" t="inlineStr">
        <is>
          <t>China International Capital Corporation Hong Kong Securities Limited; Haitong International Capital Limited; Nomura International (Hong Kong) Limited</t>
        </is>
      </c>
      <c r="AQ263" s="26" t="inlineStr">
        <is>
          <t>中國國際金融香港證券有限公司; 海通國際資本有限公司; 野村國際(香港)有限公司</t>
        </is>
      </c>
      <c r="AR263" s="26"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AS263" s="26" t="inlineStr">
        <is>
          <t>農銀國際證券有限公司; 中銀國際亞洲有限公司; 建銀國際金融有限公司; 中國銀河國際證券(香港)有限公司; 中國國際金融香港證券有限公司; 民銀證券有限公司; 招銀國際融資有限公司; 富途證券國際（香港）有限公司; 海通國際證券有限公司; 工銀國際證券有限公司; 利弗莫爾證券有限公司; 野村國際(香港)有限公司; 老虎證券（香港）環球有限公司</t>
        </is>
      </c>
      <c r="AT263" s="37">
        <f>HYPERLINK("https://www1.hkexnews.hk/listedco/listconews/sehk/2024/0620/2024062000015.pdf","prospectus")</f>
        <v/>
      </c>
      <c r="AU263" s="37">
        <f>HYPERLINK("https://www1.hkexnews.hk/listedco/listconews/sehk/2024/0627/2024062701882.pdf","allotment")</f>
        <v/>
      </c>
      <c r="AV263" s="37">
        <f>HYPERLINK("https://www1.hkexnews.hk/listedco/listconews/sehk/2024/0725/2024072501042.pdf","stabilisation")</f>
        <v/>
      </c>
      <c r="AW263" s="26" t="inlineStr">
        <is>
          <t>A/H: no A-share listing</t>
        </is>
      </c>
    </row>
    <row r="264">
      <c r="A264" s="25" t="inlineStr">
        <is>
          <t>2479</t>
        </is>
      </c>
      <c r="B264" s="26" t="inlineStr">
        <is>
          <t>TIANJUDIHE</t>
        </is>
      </c>
      <c r="C264" s="26" t="inlineStr">
        <is>
          <t>天聚地合</t>
        </is>
      </c>
      <c r="D264" s="26" t="inlineStr">
        <is>
          <t>Tech/AI</t>
        </is>
      </c>
      <c r="E264" s="26" t="inlineStr">
        <is>
          <t>SaaS / enterprise software</t>
        </is>
      </c>
      <c r="F264" s="26" t="inlineStr">
        <is>
          <t>Standard</t>
        </is>
      </c>
      <c r="G264" s="27" t="n">
        <v>45471</v>
      </c>
      <c r="H264" s="28" t="n">
        <v>401.5</v>
      </c>
      <c r="I264" s="26" t="inlineStr">
        <is>
          <t>gross (price x shares)</t>
        </is>
      </c>
      <c r="J264" s="29" t="n"/>
      <c r="K264" s="29" t="n">
        <v>83.33</v>
      </c>
      <c r="L264" s="29" t="n">
        <v>83.33</v>
      </c>
      <c r="M264" s="26" t="inlineStr">
        <is>
          <t>Y</t>
        </is>
      </c>
      <c r="N264" s="30" t="n">
        <v>100</v>
      </c>
      <c r="O264" s="28" t="n">
        <v>4176.3</v>
      </c>
      <c r="P264" s="26" t="inlineStr">
        <is>
          <t>derived:price x shares upon listing</t>
        </is>
      </c>
      <c r="Q264" s="31" t="n">
        <v>602.87</v>
      </c>
      <c r="R264" s="45" t="n">
        <v>0.99</v>
      </c>
      <c r="S264" s="33" t="n">
        <v>79.62</v>
      </c>
      <c r="T264" s="26" t="inlineStr">
        <is>
          <t>Gold Wings Holdings Limited; Reynold Lemkins Group (Asia) Limited; 園豐國際有限公司; 徐州經濟技術開發區（香港）投資有限公司</t>
        </is>
      </c>
      <c r="U264" s="30" t="n"/>
      <c r="V264" s="26" t="n"/>
      <c r="W264" s="34" t="n">
        <v>-27.82</v>
      </c>
      <c r="X264" s="34" t="n">
        <v>-22</v>
      </c>
      <c r="Y264" s="34" t="n">
        <v>-12.4</v>
      </c>
      <c r="Z264" s="34" t="n">
        <v>-23.14</v>
      </c>
      <c r="AA264" s="34" t="n">
        <v>21.36</v>
      </c>
      <c r="AB264" s="34" t="n">
        <v>-7.81</v>
      </c>
      <c r="AC264" s="34" t="n">
        <v>-4.59</v>
      </c>
      <c r="AD264" s="26" t="inlineStr">
        <is>
          <t>HSTECH (Hang Seng TECH ETF)</t>
        </is>
      </c>
      <c r="AE264" s="34" t="n">
        <v>-22</v>
      </c>
      <c r="AF264" s="28" t="n">
        <v>485.2</v>
      </c>
      <c r="AG264" s="28" t="n">
        <v>38.6</v>
      </c>
      <c r="AH264" s="26" t="inlineStr">
        <is>
          <t>Y</t>
        </is>
      </c>
      <c r="AI264" s="35" t="n">
        <v>108.2</v>
      </c>
      <c r="AJ264" s="35" t="n">
        <v>8.6</v>
      </c>
      <c r="AK264" s="26" t="inlineStr">
        <is>
          <t>N</t>
        </is>
      </c>
      <c r="AL264" s="36">
        <f>IF('BBG Verify'!K264="","not filed — run on terminal",'BBG Verify'!K264)</f>
        <v/>
      </c>
      <c r="AM264" s="26" t="inlineStr">
        <is>
          <t>N/A</t>
        </is>
      </c>
      <c r="AN264" s="26" t="inlineStr">
        <is>
          <t>N/A</t>
        </is>
      </c>
      <c r="AO264" s="26" t="inlineStr">
        <is>
          <t>N/A</t>
        </is>
      </c>
      <c r="AP264" s="26" t="inlineStr">
        <is>
          <t>CITIC Securities (Hong Kong) Limited</t>
        </is>
      </c>
      <c r="AQ264" s="26" t="inlineStr">
        <is>
          <t>中信證券(香港)有限公司</t>
        </is>
      </c>
      <c r="AR264" s="26"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AS264" s="26" t="inlineStr">
        <is>
          <t>農銀國際證券有限公司; 建銀國際金融有限公司; 中信里昂證券有限公司; 招銀國際融資有限公司; 富途證券國際（香港）有限公司; 工銀國際證券有限公司; 利弗莫爾證券有限公司; 浦銀國際融資有限公司; 東吳證券國際經紀有限公司; 老虎證券（香港）環球有限公司</t>
        </is>
      </c>
      <c r="AT264" s="37">
        <f>HYPERLINK("https://www1.hkexnews.hk/listedco/listconews/sehk/2024/0620/2024062000191.pdf","prospectus")</f>
        <v/>
      </c>
      <c r="AU264" s="37">
        <f>HYPERLINK("https://www1.hkexnews.hk/listedco/listconews/sehk/2024/0627/2024062702312.pdf","allotment")</f>
        <v/>
      </c>
      <c r="AV264" s="26" t="n"/>
      <c r="AW264" s="26" t="inlineStr">
        <is>
          <t>intl sub: 0.99x is implausible for a deal struck at the cap with the public tranche 603x subscribed — likely a percentage read as a multiple; check CP037 · greenshoe: no over-allotment option in the offer structure · A/H: no A-share listing</t>
        </is>
      </c>
    </row>
    <row r="265">
      <c r="A265" s="25" t="inlineStr">
        <is>
          <t>6181</t>
        </is>
      </c>
      <c r="B265" s="26" t="inlineStr">
        <is>
          <t>LAOPU GOLD</t>
        </is>
      </c>
      <c r="C265" s="26" t="inlineStr">
        <is>
          <t>老鋪黃金</t>
        </is>
      </c>
      <c r="D265" s="26" t="inlineStr">
        <is>
          <t>Consumer</t>
        </is>
      </c>
      <c r="E265" s="26" t="inlineStr">
        <is>
          <t>Apparel / luxury</t>
        </is>
      </c>
      <c r="F265" s="26" t="inlineStr">
        <is>
          <t>Standard</t>
        </is>
      </c>
      <c r="G265" s="27" t="n">
        <v>45471</v>
      </c>
      <c r="H265" s="28" t="n">
        <v>905.9</v>
      </c>
      <c r="I265" s="26" t="inlineStr">
        <is>
          <t>gross (price x shares)</t>
        </is>
      </c>
      <c r="J265" s="29" t="n"/>
      <c r="K265" s="29" t="n">
        <v>40.5</v>
      </c>
      <c r="L265" s="29" t="n">
        <v>40.5</v>
      </c>
      <c r="M265" s="26" t="inlineStr">
        <is>
          <t>Y</t>
        </is>
      </c>
      <c r="N265" s="30" t="n">
        <v>100</v>
      </c>
      <c r="O265" s="28" t="n">
        <v>6683</v>
      </c>
      <c r="P265" s="26" t="inlineStr">
        <is>
          <t>derived:price x shares upon listing</t>
        </is>
      </c>
      <c r="Q265" s="31" t="n">
        <v>582.15</v>
      </c>
      <c r="R265" s="32" t="n">
        <v>11.9</v>
      </c>
      <c r="S265" s="33" t="n">
        <v>55.53</v>
      </c>
      <c r="T265" s="26" t="inlineStr">
        <is>
          <t>南方基金管理股份有限公司; CPE Greater China Enterprises Growth Fund; Huang River Investment Limited</t>
        </is>
      </c>
      <c r="U265" s="30" t="n">
        <v>15</v>
      </c>
      <c r="V265" s="26" t="inlineStr">
        <is>
          <t>full</t>
        </is>
      </c>
      <c r="W265" s="34" t="n">
        <v>72.84</v>
      </c>
      <c r="X265" s="34" t="n">
        <v>110.37</v>
      </c>
      <c r="Y265" s="34" t="n">
        <v>104.94</v>
      </c>
      <c r="Z265" s="34" t="n">
        <v>262.96</v>
      </c>
      <c r="AA265" s="34" t="n">
        <v>18.57</v>
      </c>
      <c r="AB265" s="34" t="n">
        <v>109.15</v>
      </c>
      <c r="AC265" s="34" t="n">
        <v>-4.21</v>
      </c>
      <c r="AD265" s="26" t="inlineStr">
        <is>
          <t>Hang Seng Commerce &amp; Industry sub-index</t>
        </is>
      </c>
      <c r="AE265" s="34" t="n">
        <v>746.42</v>
      </c>
      <c r="AF265" s="28" t="n">
        <v>3497.5</v>
      </c>
      <c r="AG265" s="28" t="n">
        <v>125.3</v>
      </c>
      <c r="AH265" s="26" t="inlineStr">
        <is>
          <t>Y</t>
        </is>
      </c>
      <c r="AI265" s="35" t="n">
        <v>53.3</v>
      </c>
      <c r="AJ265" s="35" t="n">
        <v>1.9</v>
      </c>
      <c r="AK265" s="26" t="inlineStr">
        <is>
          <t>N</t>
        </is>
      </c>
      <c r="AL265" s="36">
        <f>IF('BBG Verify'!K265="","not filed — run on terminal",'BBG Verify'!K265)</f>
        <v/>
      </c>
      <c r="AM265" s="26" t="inlineStr">
        <is>
          <t>N/A</t>
        </is>
      </c>
      <c r="AN265" s="26" t="inlineStr">
        <is>
          <t>N/A</t>
        </is>
      </c>
      <c r="AO265" s="26" t="inlineStr">
        <is>
          <t>N/A</t>
        </is>
      </c>
      <c r="AP265" s="26" t="inlineStr">
        <is>
          <t>China Securities (International) Corporate Finance Company Limited</t>
        </is>
      </c>
      <c r="AQ265" s="26" t="inlineStr">
        <is>
          <t>中信建投(國際)融資有限公司</t>
        </is>
      </c>
      <c r="AR265" s="26" t="inlineStr">
        <is>
          <t>China Securities (International) Corporate Finance Company Limited; CCB International Capital Limited; BOCOM International Securities Limited</t>
        </is>
      </c>
      <c r="AS265" s="26" t="inlineStr">
        <is>
          <t>交銀國際證券有限公司; 建銀國際金融有限公司; 中信建投(國際)融資有限公司; 老虎證券（香港）環球有限公司</t>
        </is>
      </c>
      <c r="AT265" s="37">
        <f>HYPERLINK("https://www1.hkexnews.hk/listedco/listconews/sehk/2024/0620/2024062000017.pdf","prospectus")</f>
        <v/>
      </c>
      <c r="AU265" s="37">
        <f>HYPERLINK("https://www1.hkexnews.hk/listedco/listconews/sehk/2024/0627/2024062702334.pdf","allotment")</f>
        <v/>
      </c>
      <c r="AV265" s="37">
        <f>HYPERLINK("https://www1.hkexnews.hk/listedco/listconews/sehk/2024/0725/2024072501435.pdf","stabilisation")</f>
        <v/>
      </c>
      <c r="AW265" s="26" t="inlineStr">
        <is>
          <t>A/H: no A line; closest listed proxy {'code': '002345.SZ', 'name': 'Chow Hong Ji (CHJ Jewellery)', 'rationale': "A-listed fashion/heritage gold jewellery brand with craftsmanship positioning — nearest to Laopu's ancient-gold premium retail model (large-cap alternative: Lao Feng Xiang 600612.SS)."}</t>
        </is>
      </c>
    </row>
    <row r="266">
      <c r="A266" s="25" t="inlineStr">
        <is>
          <t>2545</t>
        </is>
      </c>
      <c r="B266" s="26" t="inlineStr">
        <is>
          <t>ZHONGGAN COMM</t>
        </is>
      </c>
      <c r="C266" s="26" t="inlineStr">
        <is>
          <t>中贛通信</t>
        </is>
      </c>
      <c r="D266" s="26" t="inlineStr">
        <is>
          <t>TMT-other</t>
        </is>
      </c>
      <c r="E266" s="26" t="inlineStr">
        <is>
          <t>Telecom</t>
        </is>
      </c>
      <c r="F266" s="26" t="inlineStr">
        <is>
          <t>Standard</t>
        </is>
      </c>
      <c r="G266" s="27" t="n">
        <v>45476</v>
      </c>
      <c r="H266" s="28" t="n">
        <v>200</v>
      </c>
      <c r="I266" s="26" t="inlineStr">
        <is>
          <t>gross (price x shares)</t>
        </is>
      </c>
      <c r="J266" s="29" t="n">
        <v>1.13</v>
      </c>
      <c r="K266" s="29" t="n">
        <v>1.25</v>
      </c>
      <c r="L266" s="29" t="n">
        <v>1.25</v>
      </c>
      <c r="M266" s="26" t="inlineStr">
        <is>
          <t>Y</t>
        </is>
      </c>
      <c r="N266" s="30" t="n">
        <v>100</v>
      </c>
      <c r="O266" s="28" t="n">
        <v>800</v>
      </c>
      <c r="P266" s="26" t="inlineStr">
        <is>
          <t>derived:price x shares upon listing</t>
        </is>
      </c>
      <c r="Q266" s="31" t="n">
        <v>195.99</v>
      </c>
      <c r="R266" s="32" t="n">
        <v>1.5</v>
      </c>
      <c r="S266" s="33" t="n">
        <v>0</v>
      </c>
      <c r="T266" s="26" t="n"/>
      <c r="U266" s="30" t="n">
        <v>15</v>
      </c>
      <c r="V266" s="26" t="inlineStr">
        <is>
          <t>lapsed (no over-allocation)</t>
        </is>
      </c>
      <c r="W266" s="34" t="n">
        <v>-46.4</v>
      </c>
      <c r="X266" s="34" t="n">
        <v>-63.6</v>
      </c>
      <c r="Y266" s="34" t="n">
        <v>-65.59999999999999</v>
      </c>
      <c r="Z266" s="34" t="n">
        <v>-68.40000000000001</v>
      </c>
      <c r="AA266" s="34" t="n">
        <v>-35.82</v>
      </c>
      <c r="AB266" s="34" t="n">
        <v>-62.99</v>
      </c>
      <c r="AC266" s="34" t="n">
        <v>-2.61</v>
      </c>
      <c r="AD266" s="26" t="inlineStr">
        <is>
          <t>Hang Seng Index</t>
        </is>
      </c>
      <c r="AE266" s="34" t="n">
        <v>-66.40000000000001</v>
      </c>
      <c r="AF266" s="28" t="n">
        <v>670.2</v>
      </c>
      <c r="AG266" s="28" t="n">
        <v>75.5</v>
      </c>
      <c r="AH266" s="26" t="inlineStr">
        <is>
          <t>Y</t>
        </is>
      </c>
      <c r="AI266" s="35" t="n">
        <v>10.6</v>
      </c>
      <c r="AJ266" s="35" t="n">
        <v>1.2</v>
      </c>
      <c r="AK266" s="26" t="inlineStr">
        <is>
          <t>N</t>
        </is>
      </c>
      <c r="AL266" s="36">
        <f>IF('BBG Verify'!K266="","not filed — run on terminal",'BBG Verify'!K266)</f>
        <v/>
      </c>
      <c r="AM266" s="26" t="inlineStr">
        <is>
          <t>N/A</t>
        </is>
      </c>
      <c r="AN266" s="26" t="inlineStr">
        <is>
          <t>N/A</t>
        </is>
      </c>
      <c r="AO266" s="26" t="inlineStr">
        <is>
          <t>N/A</t>
        </is>
      </c>
      <c r="AP266" s="26" t="inlineStr">
        <is>
          <t>Zhongtai International Capital Limited</t>
        </is>
      </c>
      <c r="AQ266" s="26" t="inlineStr">
        <is>
          <t>中泰國際融資有限公司</t>
        </is>
      </c>
      <c r="AR266" s="26" t="inlineStr">
        <is>
          <t>Zhongtai International Securities Limited; CCB International Capital Limited; CMB International Capital Limited; ABCI Capital Limited; ICBC International Securities Limited; CMBC Securities Company Limited; China Sunrise Securities (International) Limited</t>
        </is>
      </c>
      <c r="AS266" s="26" t="inlineStr">
        <is>
          <t>農銀國際證券有限公司; 交銀國際證券有限公司; 建銀國際金融有限公司; 民銀證券有限公司; 招銀國際融資有限公司; 華升證券（國際）有限公司; 第一上海證券有限公司; 富途證券國際（香港）有限公司; 工銀國際證券有限公司; 利弗莫爾證券有限公司; 百惠證券有限公司; 老虎證券（香港）環球有限公司; 華盛資本証券有限公司; 勝利證券有限公司; 越秀證券有限公司; 中泰國際證券有限公司</t>
        </is>
      </c>
      <c r="AT266" s="37">
        <f>HYPERLINK("https://www1.hkexnews.hk/listedco/listconews/sehk/2024/0621/2024062100099.pdf","prospectus")</f>
        <v/>
      </c>
      <c r="AU266" s="37">
        <f>HYPERLINK("https://www1.hkexnews.hk/listedco/listconews/sehk/2024/0702/2024070203581.pdf","allotment")</f>
        <v/>
      </c>
      <c r="AV266" s="37">
        <f>HYPERLINK("https://www1.hkexnews.hk/listedco/listconews/sehk/2024/0729/2024072900518.pdf","stabilisation")</f>
        <v/>
      </c>
      <c r="AW266" s="26" t="inlineStr">
        <is>
          <t>A/H: no A-share listing</t>
        </is>
      </c>
    </row>
    <row r="267">
      <c r="A267" s="25" t="inlineStr">
        <is>
          <t>1354</t>
        </is>
      </c>
      <c r="B267" s="26" t="inlineStr">
        <is>
          <t>KINGFARPROPERTY</t>
        </is>
      </c>
      <c r="C267" s="26" t="inlineStr">
        <is>
          <t>經發物業</t>
        </is>
      </c>
      <c r="D267" s="26" t="inlineStr">
        <is>
          <t>Real Estate</t>
        </is>
      </c>
      <c r="E267" s="26" t="inlineStr">
        <is>
          <t>Property management</t>
        </is>
      </c>
      <c r="F267" s="26" t="inlineStr">
        <is>
          <t>Standard</t>
        </is>
      </c>
      <c r="G267" s="27" t="n">
        <v>45476</v>
      </c>
      <c r="H267" s="28" t="n">
        <v>125</v>
      </c>
      <c r="I267" s="26" t="inlineStr">
        <is>
          <t>gross (price x shares)</t>
        </is>
      </c>
      <c r="J267" s="29" t="n">
        <v>7.5</v>
      </c>
      <c r="K267" s="29" t="n">
        <v>9.300000000000001</v>
      </c>
      <c r="L267" s="29" t="n">
        <v>7.5</v>
      </c>
      <c r="M267" s="26" t="inlineStr">
        <is>
          <t>N</t>
        </is>
      </c>
      <c r="N267" s="30" t="n">
        <v>80.59999999999999</v>
      </c>
      <c r="O267" s="28" t="n">
        <v>500</v>
      </c>
      <c r="P267" s="26" t="inlineStr">
        <is>
          <t>derived:price x shares upon listing</t>
        </is>
      </c>
      <c r="Q267" s="31" t="n">
        <v>118.87</v>
      </c>
      <c r="R267" s="32" t="n">
        <v>0.98</v>
      </c>
      <c r="S267" s="33" t="n">
        <v>43.05</v>
      </c>
      <c r="T267" s="26" t="inlineStr">
        <is>
          <t>The Reynold Lemkins Group (Asia) Limited; 西安盯準教育科技有限公司; 西安天博診斷技術有限公司</t>
        </is>
      </c>
      <c r="U267" s="30" t="n">
        <v>10.8</v>
      </c>
      <c r="V267" s="26" t="inlineStr">
        <is>
          <t>lapsed (no over-allocation)</t>
        </is>
      </c>
      <c r="W267" s="34" t="n">
        <v>-11.47</v>
      </c>
      <c r="X267" s="34" t="n">
        <v>-24</v>
      </c>
      <c r="Y267" s="34" t="n">
        <v>26.13</v>
      </c>
      <c r="Z267" s="34" t="n">
        <v>168</v>
      </c>
      <c r="AA267" s="34" t="n">
        <v>42.47</v>
      </c>
      <c r="AB267" s="34" t="n">
        <v>28.97</v>
      </c>
      <c r="AC267" s="34" t="n">
        <v>-2.84</v>
      </c>
      <c r="AD267" s="26" t="inlineStr">
        <is>
          <t>Hang Seng Properties sub-index</t>
        </is>
      </c>
      <c r="AE267" s="34" t="n">
        <v>-73.27</v>
      </c>
      <c r="AF267" s="28" t="n">
        <v>948.5</v>
      </c>
      <c r="AG267" s="28" t="n">
        <v>56.1</v>
      </c>
      <c r="AH267" s="26" t="inlineStr">
        <is>
          <t>Y</t>
        </is>
      </c>
      <c r="AI267" s="35" t="n">
        <v>8.9</v>
      </c>
      <c r="AJ267" s="35" t="n">
        <v>0.5</v>
      </c>
      <c r="AK267" s="26" t="inlineStr">
        <is>
          <t>N</t>
        </is>
      </c>
      <c r="AL267" s="36">
        <f>IF('BBG Verify'!K267="","not filed — run on terminal",'BBG Verify'!K267)</f>
        <v/>
      </c>
      <c r="AM267" s="26" t="inlineStr">
        <is>
          <t>N/A</t>
        </is>
      </c>
      <c r="AN267" s="26" t="inlineStr">
        <is>
          <t>N/A</t>
        </is>
      </c>
      <c r="AO267" s="26" t="inlineStr">
        <is>
          <t>N/A</t>
        </is>
      </c>
      <c r="AP267" s="26" t="inlineStr">
        <is>
          <t>CEB International Capital Corporation Limited</t>
        </is>
      </c>
      <c r="AQ267" s="26" t="inlineStr">
        <is>
          <t>光銀國際資本有限公司</t>
        </is>
      </c>
      <c r="AR267" s="26"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AS267" s="26" t="inlineStr">
        <is>
          <t>農銀國際證券有限公司; 雅利多證券有限公司; 建銀國際金融有限公司; 光銀國際資本有限公司; 中國光大證券(香港)有限公司; 中國銀河國際證券(香港)有限公司; 信達國際融資有限公司; 民銀證券有限公司; 招銀國際融資有限公司; 富途證券國際（香港）有限公司; 工銀國際證券有限公司; 利弗莫爾證券有限公司; 百惠證券有限公司; 瑞邦證券有限公司; 聖衡金融控股有限公司; 山證國際證券有限公司; 老虎證券（香港）環球有限公司; 中泰國際證券有限公司</t>
        </is>
      </c>
      <c r="AT267" s="37">
        <f>HYPERLINK("https://www1.hkexnews.hk/listedco/listconews/sehk/2024/0624/2024062400007.pdf","prospectus")</f>
        <v/>
      </c>
      <c r="AU267" s="37">
        <f>HYPERLINK("https://www1.hkexnews.hk/listedco/listconews/sehk/2024/0702/2024070203671.pdf","allotment")</f>
        <v/>
      </c>
      <c r="AV267" s="37">
        <f>HYPERLINK("https://www1.hkexnews.hk/listedco/listconews/sehk/2024/0729/2024072900434.pdf","stabilisation")</f>
        <v/>
      </c>
      <c r="AW267" s="26" t="inlineStr">
        <is>
          <t>A/H: no A-share listing</t>
        </is>
      </c>
    </row>
    <row r="268">
      <c r="A268" s="25" t="inlineStr">
        <is>
          <t>6657</t>
        </is>
      </c>
      <c r="B268" s="26" t="inlineStr">
        <is>
          <t>BAIWANG CO</t>
        </is>
      </c>
      <c r="C268" s="26" t="inlineStr">
        <is>
          <t>百望股份</t>
        </is>
      </c>
      <c r="D268" s="26" t="inlineStr">
        <is>
          <t>Tech/AI</t>
        </is>
      </c>
      <c r="E268" s="26" t="inlineStr">
        <is>
          <t>SaaS / enterprise software</t>
        </is>
      </c>
      <c r="F268" s="26" t="inlineStr">
        <is>
          <t>Standard</t>
        </is>
      </c>
      <c r="G268" s="27" t="n">
        <v>45482</v>
      </c>
      <c r="H268" s="28" t="n">
        <v>333.4</v>
      </c>
      <c r="I268" s="26" t="inlineStr">
        <is>
          <t>gross (price x shares)</t>
        </is>
      </c>
      <c r="J268" s="29" t="n">
        <v>36</v>
      </c>
      <c r="K268" s="29" t="n">
        <v>40</v>
      </c>
      <c r="L268" s="29" t="n">
        <v>36</v>
      </c>
      <c r="M268" s="26" t="inlineStr">
        <is>
          <t>N</t>
        </is>
      </c>
      <c r="N268" s="30" t="n">
        <v>90</v>
      </c>
      <c r="O268" s="28" t="n">
        <v>8132.6</v>
      </c>
      <c r="P268" s="26" t="inlineStr">
        <is>
          <t>derived:price x shares upon listing</t>
        </is>
      </c>
      <c r="Q268" s="31" t="n">
        <v>6.58</v>
      </c>
      <c r="R268" s="32" t="n">
        <v>1.04</v>
      </c>
      <c r="S268" s="33" t="n">
        <v>78</v>
      </c>
      <c r="T268" s="26" t="inlineStr">
        <is>
          <t>江蘇原力產業投資有限公司</t>
        </is>
      </c>
      <c r="U268" s="30" t="n">
        <v>6.61</v>
      </c>
      <c r="V268" s="26" t="inlineStr">
        <is>
          <t>lapsed</t>
        </is>
      </c>
      <c r="W268" s="34" t="n">
        <v>8.06</v>
      </c>
      <c r="X268" s="34" t="n">
        <v>-4.86</v>
      </c>
      <c r="Y268" s="34" t="n">
        <v>-5.56</v>
      </c>
      <c r="Z268" s="34" t="n">
        <v>-1.94</v>
      </c>
      <c r="AA268" s="34" t="n">
        <v>-12.6</v>
      </c>
      <c r="AB268" s="34" t="n">
        <v>-0.42</v>
      </c>
      <c r="AC268" s="34" t="n">
        <v>-5.14</v>
      </c>
      <c r="AD268" s="26" t="inlineStr">
        <is>
          <t>HSTECH (Hang Seng TECH ETF)</t>
        </is>
      </c>
      <c r="AE268" s="34" t="n">
        <v>-60.25</v>
      </c>
      <c r="AF268" s="28" t="n">
        <v>784.3</v>
      </c>
      <c r="AG268" s="28" t="n">
        <v>-395.2</v>
      </c>
      <c r="AH268" s="26" t="inlineStr">
        <is>
          <t>N</t>
        </is>
      </c>
      <c r="AI268" s="38">
        <f>IF('BBG Verify'!O268="","not filed — run on terminal",'BBG Verify'!O268)</f>
        <v/>
      </c>
      <c r="AJ268" s="35" t="n">
        <v>10.4</v>
      </c>
      <c r="AK268" s="26" t="inlineStr">
        <is>
          <t>N</t>
        </is>
      </c>
      <c r="AL268" s="36">
        <f>IF('BBG Verify'!K268="","not filed — run on terminal",'BBG Verify'!K268)</f>
        <v/>
      </c>
      <c r="AM268" s="26" t="inlineStr">
        <is>
          <t>N/A</t>
        </is>
      </c>
      <c r="AN268" s="26" t="inlineStr">
        <is>
          <t>N/A</t>
        </is>
      </c>
      <c r="AO268" s="26" t="inlineStr">
        <is>
          <t>N/A</t>
        </is>
      </c>
      <c r="AP268" s="26" t="inlineStr">
        <is>
          <t>Haitong International Capital Limited; Sponsor-OC Haitong International Securities Company Limited</t>
        </is>
      </c>
      <c r="AQ268" s="26" t="inlineStr">
        <is>
          <t>海通國際資本有限公司</t>
        </is>
      </c>
      <c r="AR268" s="26" t="inlineStr">
        <is>
          <t>Managers and Capital Markets Intermediaries Huatai Financial Holdings (Hong Kong) Limited; BOCI Asia Limited; Central, Hong Kong Shenwan Hongyuan Securities (H.K.) Limited</t>
        </is>
      </c>
      <c r="AS268" s="26" t="inlineStr">
        <is>
          <t>中銀國際亞洲有限公司; 招銀國際融資有限公司; 復星國際證券有限公司; 富途證券國際（香港）有限公司; 華泰金融控股(香港)有限公司; 海通國際證券有限公司; 利弗莫爾證券有限公司; 申萬宏源證券（香港）有限公司</t>
        </is>
      </c>
      <c r="AT268" s="37">
        <f>HYPERLINK("https://www1.hkexnews.hk/listedco/listconews/sehk/2024/0628/2024062800069.pdf","prospectus")</f>
        <v/>
      </c>
      <c r="AU268" s="37">
        <f>HYPERLINK("https://www1.hkexnews.hk/listedco/listconews/sehk/2024/0708/2024070801055.pdf","allotment")</f>
        <v/>
      </c>
      <c r="AV268" s="37">
        <f>HYPERLINK("https://www1.hkexnews.hk/listedco/listconews/sehk/2024/0804/2024080400007.pdf","stabilisation")</f>
        <v/>
      </c>
      <c r="AW268" s="26" t="inlineStr">
        <is>
          <t>P/E: n/m — loss-making at IPO (use P/S) · A/H: no A-share listing</t>
        </is>
      </c>
    </row>
    <row r="269">
      <c r="A269" s="25" t="inlineStr">
        <is>
          <t>6086</t>
        </is>
      </c>
      <c r="B269" s="26" t="inlineStr">
        <is>
          <t>FANGZHOU JIANKE</t>
        </is>
      </c>
      <c r="C269" s="26" t="inlineStr">
        <is>
          <t>方舟健客</t>
        </is>
      </c>
      <c r="D269" s="26" t="inlineStr">
        <is>
          <t>Healthcare</t>
        </is>
      </c>
      <c r="E269" s="26" t="inlineStr">
        <is>
          <t>Digital health</t>
        </is>
      </c>
      <c r="F269" s="26" t="inlineStr">
        <is>
          <t>Standard</t>
        </is>
      </c>
      <c r="G269" s="27" t="n">
        <v>45482</v>
      </c>
      <c r="H269" s="28" t="n">
        <v>194.68</v>
      </c>
      <c r="I269" s="26" t="inlineStr">
        <is>
          <t>gross (stated)</t>
        </is>
      </c>
      <c r="J269" s="29" t="n"/>
      <c r="K269" s="29" t="n">
        <v>8.359999999999999</v>
      </c>
      <c r="L269" s="29" t="n">
        <v>8.18</v>
      </c>
      <c r="M269" s="26" t="inlineStr">
        <is>
          <t>N</t>
        </is>
      </c>
      <c r="N269" s="30" t="n">
        <v>97.8</v>
      </c>
      <c r="O269" s="28" t="n">
        <v>10963.4</v>
      </c>
      <c r="P269" s="26" t="inlineStr">
        <is>
          <t>derived:price x shares upon listing</t>
        </is>
      </c>
      <c r="Q269" s="31" t="n">
        <v>16.63</v>
      </c>
      <c r="R269" s="32" t="n">
        <v>1.66</v>
      </c>
      <c r="S269" s="33" t="n">
        <v>28.6</v>
      </c>
      <c r="T269" s="26" t="n"/>
      <c r="U269" s="30" t="n">
        <v>8.720000000000001</v>
      </c>
      <c r="V269" s="26" t="inlineStr">
        <is>
          <t>lapsed</t>
        </is>
      </c>
      <c r="W269" s="34" t="n">
        <v>-44.62</v>
      </c>
      <c r="X269" s="34" t="n">
        <v>-43.77</v>
      </c>
      <c r="Y269" s="34" t="n">
        <v>-47.8</v>
      </c>
      <c r="Z269" s="34" t="n">
        <v>-15.53</v>
      </c>
      <c r="AA269" s="34" t="n">
        <v>-5.74</v>
      </c>
      <c r="AB269" s="34" t="n">
        <v>-52.4</v>
      </c>
      <c r="AC269" s="34" t="n">
        <v>4.6</v>
      </c>
      <c r="AD269" s="26" t="inlineStr">
        <is>
          <t>China Biotech ETF (HS biotech proxy)</t>
        </is>
      </c>
      <c r="AE269" s="34" t="n">
        <v>-91.63</v>
      </c>
      <c r="AF269" s="28" t="n">
        <v>2677.7</v>
      </c>
      <c r="AG269" s="28" t="n">
        <v>-216.5</v>
      </c>
      <c r="AH269" s="26" t="inlineStr">
        <is>
          <t>N</t>
        </is>
      </c>
      <c r="AI269" s="38">
        <f>IF('BBG Verify'!O269="","not filed — run on terminal",'BBG Verify'!O269)</f>
        <v/>
      </c>
      <c r="AJ269" s="35" t="n">
        <v>4.1</v>
      </c>
      <c r="AK269" s="26" t="inlineStr">
        <is>
          <t>N</t>
        </is>
      </c>
      <c r="AL269" s="36">
        <f>IF('BBG Verify'!K269="","not filed — run on terminal",'BBG Verify'!K269)</f>
        <v/>
      </c>
      <c r="AM269" s="26" t="inlineStr">
        <is>
          <t>N/A</t>
        </is>
      </c>
      <c r="AN269" s="26" t="inlineStr">
        <is>
          <t>N/A</t>
        </is>
      </c>
      <c r="AO269" s="26" t="inlineStr">
        <is>
          <t>N/A</t>
        </is>
      </c>
      <c r="AP269" s="26" t="inlineStr">
        <is>
          <t>Citigroup Global Markets Asia Limited; ABCI Capital Limited</t>
        </is>
      </c>
      <c r="AQ269" s="26" t="inlineStr">
        <is>
          <t>花旗環球金融亞洲有限公司; 農銀國際融資有限公司</t>
        </is>
      </c>
      <c r="AR269" s="26" t="inlineStr">
        <is>
          <t>Citigroup Global Markets Asia Limited; ABCI Capital Limited; Essence International Securities (Hong Kong) Limited; ICBC International Securities Limited; China Galaxy International Securities (Hong Kong) Co., Limited; Citigroup Global Markets Limited; – 122 – ABCI Capital Limited; China Everbright Securities (HK) Limited; China Merchants Securities (HK) Co., Limited; Citrus Securities Limited; Fosun International Securities Limited; Futu Securities International (Hong Kong) Limited</t>
        </is>
      </c>
      <c r="AS269" s="26" t="inlineStr">
        <is>
          <t>農銀國際證券有限公司; 中國光大證券(香港)有限公司; 中國銀河國際證券(香港)有限公司; 花旗環球金融亞洲有限公司; 鉅誠證券有限公司; 招銀國際融資有限公司; 招商證券(香港)有限公司; 安信國際證券(香港)有限公司; 復星國際證券有限公司; 富途證券國際（香港）有限公司; 廣發證券（香港）經紀有限公司; 華泰金融控股(香港)有限公司; 工銀國際證券有限公司; 長橋證券（香港）有限公司; 申萬宏源證券（香港）有限公司; 老虎證券（香港）環球有限公司; 勝利證券有限公司; 越秀證券有限公司; 中泰國際證券有限公司</t>
        </is>
      </c>
      <c r="AT269" s="37">
        <f>HYPERLINK("https://www1.hkexnews.hk/listedco/listconews/sehk/2024/0628/2024062800041.pdf","prospectus")</f>
        <v/>
      </c>
      <c r="AU269" s="37">
        <f>HYPERLINK("https://www1.hkexnews.hk/listedco/listconews/sehk/2024/0708/2024070801101.pdf","allotment")</f>
        <v/>
      </c>
      <c r="AV269" s="37">
        <f>HYPERLINK("https://www1.hkexnews.hk/listedco/listconews/sehk/2024/0805/2024080500039.pdf","stabilisation")</f>
        <v/>
      </c>
      <c r="AW269" s="26" t="inlineStr">
        <is>
          <t>P/E: n/m — loss-making at IPO (use P/S) · A/H: no A-share listing</t>
        </is>
      </c>
    </row>
    <row r="270">
      <c r="A270" s="25" t="inlineStr">
        <is>
          <t>1334</t>
        </is>
      </c>
      <c r="B270" s="26" t="inlineStr">
        <is>
          <t>RUICHANG INTL</t>
        </is>
      </c>
      <c r="C270" s="26" t="inlineStr">
        <is>
          <t>瑞昌國際控股</t>
        </is>
      </c>
      <c r="D270" s="26" t="inlineStr">
        <is>
          <t>Consumer</t>
        </is>
      </c>
      <c r="E270" s="26" t="inlineStr">
        <is>
          <t>Auto parts / supply chain</t>
        </is>
      </c>
      <c r="F270" s="26" t="inlineStr">
        <is>
          <t>Standard</t>
        </is>
      </c>
      <c r="G270" s="27" t="n">
        <v>45483</v>
      </c>
      <c r="H270" s="28" t="n">
        <v>131.3</v>
      </c>
      <c r="I270" s="26" t="inlineStr">
        <is>
          <t>gross (stated)</t>
        </is>
      </c>
      <c r="J270" s="29" t="n"/>
      <c r="K270" s="29" t="n">
        <v>1.39</v>
      </c>
      <c r="L270" s="29" t="n">
        <v>1.05</v>
      </c>
      <c r="M270" s="26" t="inlineStr">
        <is>
          <t>N</t>
        </is>
      </c>
      <c r="N270" s="30" t="n">
        <v>75.5</v>
      </c>
      <c r="O270" s="28" t="n">
        <v>653.4</v>
      </c>
      <c r="P270" s="26" t="inlineStr">
        <is>
          <t>aastocks:上市市值 at the struck price</t>
        </is>
      </c>
      <c r="Q270" s="31" t="n">
        <v>19.24</v>
      </c>
      <c r="R270" s="32" t="n">
        <v>0.97</v>
      </c>
      <c r="S270" s="33" t="n">
        <v>44</v>
      </c>
      <c r="T270" s="26" t="inlineStr">
        <is>
          <t>Emsdom Limited; 黃山市誠合新業股權投資合夥企業(有限合夥); 黃山建投私募基金管理有限公司</t>
        </is>
      </c>
      <c r="U270" s="30" t="n">
        <v>11</v>
      </c>
      <c r="V270" s="26" t="inlineStr">
        <is>
          <t>lapsed (no over-allocation)</t>
        </is>
      </c>
      <c r="W270" s="34" t="n">
        <v>14.29</v>
      </c>
      <c r="X270" s="34" t="n">
        <v>9.52</v>
      </c>
      <c r="Y270" s="34" t="n">
        <v>-19.05</v>
      </c>
      <c r="Z270" s="34" t="n">
        <v>-15.24</v>
      </c>
      <c r="AA270" s="34" t="n">
        <v>-29.17</v>
      </c>
      <c r="AB270" s="34" t="n">
        <v>-13.89</v>
      </c>
      <c r="AC270" s="34" t="n">
        <v>-5.16</v>
      </c>
      <c r="AD270" s="26" t="inlineStr">
        <is>
          <t>Hang Seng Commerce &amp; Industry sub-index</t>
        </is>
      </c>
      <c r="AE270" s="34" t="n">
        <v>12.86</v>
      </c>
      <c r="AF270" s="28" t="n">
        <v>598.5</v>
      </c>
      <c r="AG270" s="28" t="n">
        <v>60.7</v>
      </c>
      <c r="AH270" s="26" t="inlineStr">
        <is>
          <t>Y</t>
        </is>
      </c>
      <c r="AI270" s="35" t="n">
        <v>10.8</v>
      </c>
      <c r="AJ270" s="35" t="n">
        <v>1.1</v>
      </c>
      <c r="AK270" s="26" t="inlineStr">
        <is>
          <t>N</t>
        </is>
      </c>
      <c r="AL270" s="36">
        <f>IF('BBG Verify'!K270="","not filed — run on terminal",'BBG Verify'!K270)</f>
        <v/>
      </c>
      <c r="AM270" s="26" t="inlineStr">
        <is>
          <t>N/A</t>
        </is>
      </c>
      <c r="AN270" s="26" t="inlineStr">
        <is>
          <t>N/A</t>
        </is>
      </c>
      <c r="AO270" s="26" t="inlineStr">
        <is>
          <t>N/A</t>
        </is>
      </c>
      <c r="AP270" s="26" t="inlineStr">
        <is>
          <t>First Shanghai Capital Limited</t>
        </is>
      </c>
      <c r="AQ270" s="26" t="inlineStr">
        <is>
          <t>第一上海融資有限公司</t>
        </is>
      </c>
      <c r="AR270" s="26" t="inlineStr">
        <is>
          <t>First Shanghai Securities Limited; Victory Securities Company Limited; First Sha nghai Securities Limited; Sheung Wan, Hong Kong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AS270" s="26" t="inlineStr">
        <is>
          <t>建銀國際金融有限公司; 中州國際融資有限公司; 中國光大證券(香港)有限公司; 中信里昂證券有限公司; 民銀證券有限公司; 招商證券(香港)有限公司; 安信國際證券(香港)有限公司; 富強證券有限公司; 復星國際證券有限公司; 第一上海證券有限公司; 富途證券國際（香港）有限公司; 金聯證券有限公司; 利弗莫爾證券有限公司; 申萬宏源證券（香港）有限公司; 浦銀國際融資有限公司; 山證國際證券有限公司; 老虎證券（香港）環球有限公司; TradeGo Markets Limited; 勝利證券有限公司; 中泰國際證券有限公司</t>
        </is>
      </c>
      <c r="AT270" s="37">
        <f>HYPERLINK("https://www1.hkexnews.hk/listedco/listconews/sehk/2024/0628/2024062800081.pdf","prospectus")</f>
        <v/>
      </c>
      <c r="AU270" s="37">
        <f>HYPERLINK("https://www1.hkexnews.hk/listedco/listconews/sehk/2024/0709/2024070901007.pdf","allotment")</f>
        <v/>
      </c>
      <c r="AV270" s="37">
        <f>HYPERLINK("https://www1.hkexnews.hk/listedco/listconews/sehk/2024/0805/2024080500823.pdf","stabilisation")</f>
        <v/>
      </c>
      <c r="AW270" s="26" t="inlineStr">
        <is>
          <t>A/H: no A-share listing · market cap: estimate from deal size / offer % of enlarged capital disagreed with the published listing cap — published figure adopted</t>
        </is>
      </c>
    </row>
    <row r="271">
      <c r="A271" s="25" t="inlineStr">
        <is>
          <t>2495</t>
        </is>
      </c>
      <c r="B271" s="26" t="inlineStr">
        <is>
          <t>VOICECOMM</t>
        </is>
      </c>
      <c r="C271" s="26" t="inlineStr">
        <is>
          <t>聲通科技</t>
        </is>
      </c>
      <c r="D271" s="26" t="inlineStr">
        <is>
          <t>TMT-other</t>
        </is>
      </c>
      <c r="E271" s="26" t="inlineStr">
        <is>
          <t>Telecom</t>
        </is>
      </c>
      <c r="F271" s="26" t="inlineStr">
        <is>
          <t>Standard</t>
        </is>
      </c>
      <c r="G271" s="27" t="n">
        <v>45483</v>
      </c>
      <c r="H271" s="28" t="n">
        <v>664.02</v>
      </c>
      <c r="I271" s="26" t="inlineStr">
        <is>
          <t>gross (stated)</t>
        </is>
      </c>
      <c r="J271" s="29" t="n"/>
      <c r="K271" s="29" t="n">
        <v>152.1</v>
      </c>
      <c r="L271" s="29" t="n">
        <v>152.1</v>
      </c>
      <c r="M271" s="26" t="inlineStr">
        <is>
          <t>Y</t>
        </is>
      </c>
      <c r="N271" s="30" t="n">
        <v>100</v>
      </c>
      <c r="O271" s="28" t="n">
        <v>5388.1</v>
      </c>
      <c r="P271" s="26" t="inlineStr">
        <is>
          <t>derived:price x shares upon listing</t>
        </is>
      </c>
      <c r="Q271" s="31" t="n">
        <v>3.51</v>
      </c>
      <c r="R271" s="32" t="n">
        <v>1.24</v>
      </c>
      <c r="S271" s="33" t="n">
        <v>41.2</v>
      </c>
      <c r="T271" s="26" t="inlineStr">
        <is>
          <t>江蘇江控投資有限公司; 武漢光通共贏企業管理合夥企業(有限合夥)</t>
        </is>
      </c>
      <c r="U271" s="30" t="n">
        <v>4.4</v>
      </c>
      <c r="V271" s="26" t="inlineStr">
        <is>
          <t>partial</t>
        </is>
      </c>
      <c r="W271" s="34" t="n">
        <v>-11.24</v>
      </c>
      <c r="X271" s="34" t="n">
        <v>-6.71</v>
      </c>
      <c r="Y271" s="34" t="n">
        <v>19</v>
      </c>
      <c r="Z271" s="34" t="n">
        <v>22.35</v>
      </c>
      <c r="AA271" s="34" t="n">
        <v>34.07</v>
      </c>
      <c r="AB271" s="34" t="n">
        <v>22.6</v>
      </c>
      <c r="AC271" s="34" t="n">
        <v>-3.6</v>
      </c>
      <c r="AD271" s="26" t="inlineStr">
        <is>
          <t>Hang Seng Index</t>
        </is>
      </c>
      <c r="AE271" s="34" t="n">
        <v>-78.19</v>
      </c>
      <c r="AF271" s="28" t="n">
        <v>566.5</v>
      </c>
      <c r="AG271" s="28" t="n">
        <v>-31.6</v>
      </c>
      <c r="AH271" s="26" t="inlineStr">
        <is>
          <t>N</t>
        </is>
      </c>
      <c r="AI271" s="38">
        <f>IF('BBG Verify'!O271="","not filed — run on terminal",'BBG Verify'!O271)</f>
        <v/>
      </c>
      <c r="AJ271" s="35" t="n">
        <v>9.5</v>
      </c>
      <c r="AK271" s="26" t="inlineStr">
        <is>
          <t>N</t>
        </is>
      </c>
      <c r="AL271" s="36">
        <f>IF('BBG Verify'!K271="","not filed — run on terminal",'BBG Verify'!K271)</f>
        <v/>
      </c>
      <c r="AM271" s="26" t="inlineStr">
        <is>
          <t>N/A</t>
        </is>
      </c>
      <c r="AN271" s="26" t="inlineStr">
        <is>
          <t>N/A</t>
        </is>
      </c>
      <c r="AO271" s="26" t="inlineStr">
        <is>
          <t>N/A</t>
        </is>
      </c>
      <c r="AP271" s="26" t="inlineStr">
        <is>
          <t>China International Capital Corporation Hong Kong Securities Limited</t>
        </is>
      </c>
      <c r="AQ271" s="26" t="inlineStr">
        <is>
          <t>中國國際金融香港證券有限公司</t>
        </is>
      </c>
      <c r="AR271" s="26"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AS271" s="26" t="inlineStr">
        <is>
          <t>農銀國際證券有限公司; 中信建投（國際）証券有限公司; 建銀國際金融有限公司; 中國光大證券(香港)有限公司; 中國銀河國際證券(香港)有限公司; 中國國際金融香港證券有限公司; 民銀證券有限公司; 招銀國際融資有限公司; 招商證券(香港)有限公司; 星展亞洲融資有限公司; 復星國際證券有限公司; 富途證券國際（香港）有限公司; 廣發證券（香港）經紀有限公司; 國信證券(香港)融資有限公司; 工銀國際證券有限公司; 利弗莫爾證券有限公司; 東方證券(香港)有限公司; 申萬宏源證券（香港）有限公司; 老虎證券（香港）環球有限公司; TradeGo Markets Limited; 中泰國際證券有限公司</t>
        </is>
      </c>
      <c r="AT271" s="37">
        <f>HYPERLINK("https://www1.hkexnews.hk/listedco/listconews/sehk/2024/0628/2024062800079.pdf","prospectus")</f>
        <v/>
      </c>
      <c r="AU271" s="37">
        <f>HYPERLINK("https://www1.hkexnews.hk/listedco/listconews/sehk/2024/0709/2024070901049.pdf","allotment")</f>
        <v/>
      </c>
      <c r="AV271" s="37">
        <f>HYPERLINK("https://www1.hkexnews.hk/listedco/listconews/sehk/2024/0804/2024080400003.pdf","stabilisation")</f>
        <v/>
      </c>
      <c r="AW271" s="26" t="inlineStr">
        <is>
          <t>P/E: n/m — loss-making at IPO (use P/S) · A/H: no A-share listing</t>
        </is>
      </c>
    </row>
    <row r="272">
      <c r="A272" s="25" t="inlineStr">
        <is>
          <t>9680</t>
        </is>
      </c>
      <c r="B272" s="26" t="inlineStr">
        <is>
          <t>CHENQI TECH</t>
        </is>
      </c>
      <c r="C272" s="26" t="inlineStr">
        <is>
          <t>如祺出行</t>
        </is>
      </c>
      <c r="D272" s="26" t="inlineStr">
        <is>
          <t>Tech/AI</t>
        </is>
      </c>
      <c r="E272" s="26" t="inlineStr">
        <is>
          <t>Internet platform / e-commerce</t>
        </is>
      </c>
      <c r="F272" s="26" t="inlineStr">
        <is>
          <t>Standard</t>
        </is>
      </c>
      <c r="G272" s="27" t="n">
        <v>45483</v>
      </c>
      <c r="H272" s="28" t="n">
        <v>1050.2</v>
      </c>
      <c r="I272" s="26" t="inlineStr">
        <is>
          <t>gross (price x shares)</t>
        </is>
      </c>
      <c r="J272" s="29" t="n">
        <v>34</v>
      </c>
      <c r="K272" s="29" t="n">
        <v>45.4</v>
      </c>
      <c r="L272" s="29" t="n">
        <v>35</v>
      </c>
      <c r="M272" s="26" t="inlineStr">
        <is>
          <t>N</t>
        </is>
      </c>
      <c r="N272" s="30" t="n">
        <v>77.09999999999999</v>
      </c>
      <c r="O272" s="28" t="n">
        <v>7144</v>
      </c>
      <c r="P272" s="26" t="inlineStr">
        <is>
          <t>derived:price x shares upon listing</t>
        </is>
      </c>
      <c r="Q272" s="31" t="n">
        <v>0.6</v>
      </c>
      <c r="R272" s="32" t="n">
        <v>1.18</v>
      </c>
      <c r="S272" s="33" t="n">
        <v>77.06</v>
      </c>
      <c r="T272" s="26" t="inlineStr">
        <is>
          <t>廣州汽車工業集團有限公司; 香港小馬智行有限公司; Voyager Group Inc; WeRide Inc</t>
        </is>
      </c>
      <c r="U272" s="30" t="n"/>
      <c r="V272" s="26" t="n"/>
      <c r="W272" s="34" t="n">
        <v>-3.14</v>
      </c>
      <c r="X272" s="34" t="n">
        <v>-20.57</v>
      </c>
      <c r="Y272" s="34" t="n">
        <v>-16.57</v>
      </c>
      <c r="Z272" s="34" t="n">
        <v>-34.57</v>
      </c>
      <c r="AA272" s="34" t="n">
        <v>-13.87</v>
      </c>
      <c r="AB272" s="34" t="n">
        <v>-10.28</v>
      </c>
      <c r="AC272" s="34" t="n">
        <v>-6.29</v>
      </c>
      <c r="AD272" s="26" t="inlineStr">
        <is>
          <t>HSTECH (Hang Seng TECH ETF)</t>
        </is>
      </c>
      <c r="AE272" s="34" t="n">
        <v>-77.2</v>
      </c>
      <c r="AF272" s="28" t="n">
        <v>2377.2</v>
      </c>
      <c r="AG272" s="28" t="n">
        <v>-762.1</v>
      </c>
      <c r="AH272" s="26" t="inlineStr">
        <is>
          <t>N</t>
        </is>
      </c>
      <c r="AI272" s="38">
        <f>IF('BBG Verify'!O272="","not filed — run on terminal",'BBG Verify'!O272)</f>
        <v/>
      </c>
      <c r="AJ272" s="35" t="n">
        <v>3</v>
      </c>
      <c r="AK272" s="26" t="inlineStr">
        <is>
          <t>N</t>
        </is>
      </c>
      <c r="AL272" s="36">
        <f>IF('BBG Verify'!K272="","not filed — run on terminal",'BBG Verify'!K272)</f>
        <v/>
      </c>
      <c r="AM272" s="26" t="inlineStr">
        <is>
          <t>N/A</t>
        </is>
      </c>
      <c r="AN272" s="26" t="inlineStr">
        <is>
          <t>N/A</t>
        </is>
      </c>
      <c r="AO272" s="26" t="inlineStr">
        <is>
          <t>N/A</t>
        </is>
      </c>
      <c r="AP272" s="26" t="n"/>
      <c r="AQ272" s="26" t="inlineStr">
        <is>
          <t>中國國際金融香港證券有限公司; 華泰金融控股(香港)有限公司; 農銀國際融資有限公司</t>
        </is>
      </c>
      <c r="AR272" s="26" t="inlineStr">
        <is>
          <t>Huatai Financial Holdings (Hong Kong) Limited; ABCI Capital Limited; TradeGo Markets Limited; Livermore Holdings Limited</t>
        </is>
      </c>
      <c r="AS272" s="26" t="inlineStr">
        <is>
          <t>農銀國際證券有限公司; 中國國際金融香港證券有限公司; 華泰金融控股(香港)有限公司; 利弗莫爾證券有限公司; TradeGo Markets Limited</t>
        </is>
      </c>
      <c r="AT272" s="37">
        <f>HYPERLINK("https://www1.hkexnews.hk/listedco/listconews/sehk/2024/0628/2024062800065.pdf","prospectus")</f>
        <v/>
      </c>
      <c r="AU272" s="37">
        <f>HYPERLINK("https://www1.hkexnews.hk/listedco/listconews/sehk/2024/0709/2024070901101.pdf","allotment")</f>
        <v/>
      </c>
      <c r="AV272" s="26" t="n"/>
      <c r="AW272" s="26" t="inlineStr">
        <is>
          <t>P/E: n/m — loss-making at IPO (use P/S) · greenshoe: no over-allotment option in the offer structure · A/H: no A-share listing · sponsor: English name not in the filing text; AAStocks 保薦人 shown</t>
        </is>
      </c>
    </row>
    <row r="273">
      <c r="A273" s="25" t="inlineStr">
        <is>
          <t>2507</t>
        </is>
      </c>
      <c r="B273" s="26" t="inlineStr">
        <is>
          <t>CIRRUS</t>
        </is>
      </c>
      <c r="C273" s="26" t="inlineStr">
        <is>
          <t>西銳</t>
        </is>
      </c>
      <c r="D273" s="26" t="inlineStr">
        <is>
          <t>Industrials</t>
        </is>
      </c>
      <c r="E273" s="26" t="inlineStr">
        <is>
          <t>Capital goods / machinery</t>
        </is>
      </c>
      <c r="F273" s="26" t="inlineStr">
        <is>
          <t>Standard</t>
        </is>
      </c>
      <c r="G273" s="27" t="n">
        <v>45485</v>
      </c>
      <c r="H273" s="28" t="n">
        <v>1509.1</v>
      </c>
      <c r="I273" s="26" t="inlineStr">
        <is>
          <t>gross (price x shares)</t>
        </is>
      </c>
      <c r="J273" s="29" t="n">
        <v>27.34</v>
      </c>
      <c r="K273" s="29" t="n">
        <v>28</v>
      </c>
      <c r="L273" s="29" t="n">
        <v>27.5</v>
      </c>
      <c r="M273" s="26" t="inlineStr">
        <is>
          <t>N</t>
        </is>
      </c>
      <c r="N273" s="30" t="n">
        <v>98.2</v>
      </c>
      <c r="O273" s="28" t="n">
        <v>10060.6</v>
      </c>
      <c r="P273" s="26" t="inlineStr">
        <is>
          <t>derived:price x shares upon listing</t>
        </is>
      </c>
      <c r="Q273" s="31" t="n">
        <v>1.56</v>
      </c>
      <c r="R273" s="32" t="n">
        <v>1.57</v>
      </c>
      <c r="S273" s="33" t="n">
        <v>25.7</v>
      </c>
      <c r="T273" s="26" t="inlineStr">
        <is>
          <t>常熟東南產業投資有限公司; 中國國有企業結構調整基金二期股份有限公司; 太倉高新科創發展有限公 司; 無錫建發新投空天投資合夥企業(有限合夥); 無錫金投聯盈產業投資合夥企業(有限合夥)</t>
        </is>
      </c>
      <c r="U273" s="30" t="n">
        <v>10</v>
      </c>
      <c r="V273" s="26" t="inlineStr">
        <is>
          <t>partial</t>
        </is>
      </c>
      <c r="W273" s="34" t="n">
        <v>0</v>
      </c>
      <c r="X273" s="34" t="n">
        <v>-10.36</v>
      </c>
      <c r="Y273" s="34" t="n">
        <v>-9.640000000000001</v>
      </c>
      <c r="Z273" s="34" t="n">
        <v>-30.18</v>
      </c>
      <c r="AA273" s="34" t="n">
        <v>-9.640000000000001</v>
      </c>
      <c r="AB273" s="34" t="n">
        <v>-4.28</v>
      </c>
      <c r="AC273" s="34" t="n">
        <v>-5.36</v>
      </c>
      <c r="AD273" s="26" t="inlineStr">
        <is>
          <t>Hang Seng Commerce &amp; Industry sub-index</t>
        </is>
      </c>
      <c r="AE273" s="34" t="n">
        <v>73.59999999999999</v>
      </c>
      <c r="AF273" s="28" t="n">
        <v>6973.8</v>
      </c>
      <c r="AG273" s="28" t="n">
        <v>710.9</v>
      </c>
      <c r="AH273" s="26" t="inlineStr">
        <is>
          <t>Y</t>
        </is>
      </c>
      <c r="AI273" s="35" t="n">
        <v>14.2</v>
      </c>
      <c r="AJ273" s="35" t="n">
        <v>1.4</v>
      </c>
      <c r="AK273" s="26" t="inlineStr">
        <is>
          <t>N</t>
        </is>
      </c>
      <c r="AL273" s="36">
        <f>IF('BBG Verify'!K273="","not filed — run on terminal",'BBG Verify'!K273)</f>
        <v/>
      </c>
      <c r="AM273" s="26" t="inlineStr">
        <is>
          <t>N/A</t>
        </is>
      </c>
      <c r="AN273" s="26" t="inlineStr">
        <is>
          <t>N/A</t>
        </is>
      </c>
      <c r="AO273" s="26" t="inlineStr">
        <is>
          <t>N/A</t>
        </is>
      </c>
      <c r="AP273" s="26" t="n"/>
      <c r="AQ273" s="26" t="inlineStr">
        <is>
          <t>中國國際金融香港證券有限公司</t>
        </is>
      </c>
      <c r="AR273" s="26" t="inlineStr">
        <is>
          <t>China International Capital Corporation Hong Kong Securities Limited; ABCI Capital Limited; BOCI Asia Limited; Central, Hong Kong China Galaxy International Securities (Hong Kong) Co., Limited; China Merchants Securities (HK) Co., Limited; CMB International Capital Limited; Futu Securities International (Hong Kong) Limited; Huatai Financial Holdings (Hong Kong) Limited; ICBC International Securities Limited; Tiger Brokers (HK) Global Limited</t>
        </is>
      </c>
      <c r="AS273" s="26" t="inlineStr">
        <is>
          <t>農銀國際證券有限公司; 中航資信環球資產管理有限公司; 中銀國際亞洲有限公司; 中國銀河國際證券(香港)有限公司; 中國國際金融香港證券有限公司; 招銀國際融資有限公司; 招商證券(香港)有限公司; 富途證券國際（香港）有限公司; 國信證券(香港)融資有限公司; 華泰金融控股(香港)有限公司; 工銀國際證券有限公司; 老虎證券（香港）環球有限公司</t>
        </is>
      </c>
      <c r="AT273" s="37">
        <f>HYPERLINK("https://www1.hkexnews.hk/listedco/listconews/sehk/2024/0628/2024062800343.htm","prospectus")</f>
        <v/>
      </c>
      <c r="AU273" s="37">
        <f>HYPERLINK("https://www1.hkexnews.hk/listedco/listconews/sehk/2024/0711/2024071101139.pdf","allotment")</f>
        <v/>
      </c>
      <c r="AV273" s="37">
        <f>HYPERLINK("https://www1.hkexnews.hk/listedco/listconews/sehk/2024/0808/2024080801148.pdf","stabilisation")</f>
        <v/>
      </c>
      <c r="AW273" s="26" t="inlineStr">
        <is>
          <t>A/H: no A-share listing · sponsor: English name not in the filing text; AAStocks 保薦人 shown · cornerstone: AAStocks institutional table includes non-cornerstone orders (superset) — cornerstone % is from the prospectus</t>
        </is>
      </c>
    </row>
    <row r="274">
      <c r="A274" s="25" t="inlineStr">
        <is>
          <t>2531</t>
        </is>
      </c>
      <c r="B274" s="26" t="inlineStr">
        <is>
          <t>CARLINK TECH</t>
        </is>
      </c>
      <c r="C274" s="26" t="inlineStr">
        <is>
          <t>廣聯科技控股</t>
        </is>
      </c>
      <c r="D274" s="26" t="inlineStr">
        <is>
          <t>Consumer</t>
        </is>
      </c>
      <c r="E274" s="26" t="inlineStr">
        <is>
          <t>Auto parts / supply chain</t>
        </is>
      </c>
      <c r="F274" s="26" t="inlineStr">
        <is>
          <t>Standard</t>
        </is>
      </c>
      <c r="G274" s="27" t="n">
        <v>45488</v>
      </c>
      <c r="H274" s="28" t="n">
        <v>298.9</v>
      </c>
      <c r="I274" s="26" t="inlineStr">
        <is>
          <t>gross (price x shares)</t>
        </is>
      </c>
      <c r="J274" s="29" t="n">
        <v>4.7</v>
      </c>
      <c r="K274" s="29" t="n">
        <v>5.3</v>
      </c>
      <c r="L274" s="29" t="n">
        <v>4.7</v>
      </c>
      <c r="M274" s="26" t="inlineStr">
        <is>
          <t>N</t>
        </is>
      </c>
      <c r="N274" s="30" t="n">
        <v>88.7</v>
      </c>
      <c r="O274" s="28" t="n">
        <v>1723</v>
      </c>
      <c r="P274" s="26" t="inlineStr">
        <is>
          <t>derived:price x shares upon listing</t>
        </is>
      </c>
      <c r="Q274" s="31" t="n">
        <v>2.49</v>
      </c>
      <c r="R274" s="32" t="n">
        <v>1.06</v>
      </c>
      <c r="S274" s="33" t="n">
        <v>29.44</v>
      </c>
      <c r="T274" s="26" t="inlineStr">
        <is>
          <t>惠州市國惠聯股權投資基金合夥企業(有限合夥)</t>
        </is>
      </c>
      <c r="U274" s="30" t="n"/>
      <c r="V274" s="26" t="n"/>
      <c r="W274" s="34" t="n">
        <v>2.13</v>
      </c>
      <c r="X274" s="34" t="n">
        <v>55.96</v>
      </c>
      <c r="Y274" s="34" t="n">
        <v>48.94</v>
      </c>
      <c r="Z274" s="34" t="n">
        <v>228.51</v>
      </c>
      <c r="AA274" s="34" t="n">
        <v>45.83</v>
      </c>
      <c r="AB274" s="34" t="n">
        <v>56.32</v>
      </c>
      <c r="AC274" s="34" t="n">
        <v>-7.38</v>
      </c>
      <c r="AD274" s="26" t="inlineStr">
        <is>
          <t>Hang Seng Commerce &amp; Industry sub-index</t>
        </is>
      </c>
      <c r="AE274" s="34" t="n">
        <v>2.13</v>
      </c>
      <c r="AF274" s="28" t="n">
        <v>616.6</v>
      </c>
      <c r="AG274" s="28" t="n">
        <v>56.7</v>
      </c>
      <c r="AH274" s="26" t="inlineStr">
        <is>
          <t>Y</t>
        </is>
      </c>
      <c r="AI274" s="35" t="n">
        <v>30.4</v>
      </c>
      <c r="AJ274" s="35" t="n">
        <v>2.8</v>
      </c>
      <c r="AK274" s="26" t="inlineStr">
        <is>
          <t>N</t>
        </is>
      </c>
      <c r="AL274" s="36">
        <f>IF('BBG Verify'!K274="","not filed — run on terminal",'BBG Verify'!K274)</f>
        <v/>
      </c>
      <c r="AM274" s="26" t="inlineStr">
        <is>
          <t>N/A</t>
        </is>
      </c>
      <c r="AN274" s="26" t="inlineStr">
        <is>
          <t>N/A</t>
        </is>
      </c>
      <c r="AO274" s="26" t="inlineStr">
        <is>
          <t>N/A</t>
        </is>
      </c>
      <c r="AP274" s="26" t="inlineStr">
        <is>
          <t>Sole Overall Coordinator and Sole Global Coordinator CCB International Capital Limited</t>
        </is>
      </c>
      <c r="AQ274" s="26" t="inlineStr">
        <is>
          <t>建銀國際金融有限公司</t>
        </is>
      </c>
      <c r="AR274" s="26" t="inlineStr">
        <is>
          <t>Managers 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AS274" s="26" t="inlineStr">
        <is>
          <t>建銀國際金融有限公司; 中國銀河國際證券(香港)有限公司; 信達國際融資有限公司; 民銀證券有限公司; 東海國際證券（香港）有限公司; 復星國際證券有限公司; 高裕證券有限公司; 利弗莫爾證券有限公司; 華富建業證券有限公司; 瑞邦證券有限公司; 浦銀國際融資有限公司; 勝利證券有限公司; 越秀證券有限公司; 中泰國際證券有限公司; 中募金融資管有限公司</t>
        </is>
      </c>
      <c r="AT274" s="37">
        <f>HYPERLINK("https://www1.hkexnews.hk/listedco/listconews/sehk/2024/0628/2024062800067.pdf","prospectus")</f>
        <v/>
      </c>
      <c r="AU274" s="37">
        <f>HYPERLINK("https://www1.hkexnews.hk/listedco/listconews/sehk/2024/0712/2024071201219.pdf","allotment")</f>
        <v/>
      </c>
      <c r="AV274" s="26" t="n"/>
      <c r="AW274" s="26" t="inlineStr">
        <is>
          <t>greenshoe: no over-allotment option in the offer structure · A/H: no A-share listing</t>
        </is>
      </c>
    </row>
    <row r="275">
      <c r="A275" s="25" t="inlineStr">
        <is>
          <t>1471</t>
        </is>
      </c>
      <c r="B275" s="26" t="inlineStr">
        <is>
          <t>ZHONGMIAO</t>
        </is>
      </c>
      <c r="C275" s="26" t="inlineStr">
        <is>
          <t>眾淼控股</t>
        </is>
      </c>
      <c r="D275" s="26" t="inlineStr">
        <is>
          <t>Financials</t>
        </is>
      </c>
      <c r="E275" s="26" t="inlineStr">
        <is>
          <t>Insurance</t>
        </is>
      </c>
      <c r="F275" s="26" t="inlineStr">
        <is>
          <t>Standard</t>
        </is>
      </c>
      <c r="G275" s="27" t="n">
        <v>45510</v>
      </c>
      <c r="H275" s="28" t="n">
        <v>247.1</v>
      </c>
      <c r="I275" s="26" t="inlineStr">
        <is>
          <t>gross (price x shares)</t>
        </is>
      </c>
      <c r="J275" s="29" t="n">
        <v>7</v>
      </c>
      <c r="K275" s="29" t="n">
        <v>10.2</v>
      </c>
      <c r="L275" s="29" t="n">
        <v>7</v>
      </c>
      <c r="M275" s="26" t="inlineStr">
        <is>
          <t>N</t>
        </is>
      </c>
      <c r="N275" s="30" t="n">
        <v>68.59999999999999</v>
      </c>
      <c r="O275" s="28" t="n">
        <v>988.4</v>
      </c>
      <c r="P275" s="26" t="inlineStr">
        <is>
          <t>derived:price x shares upon listing</t>
        </is>
      </c>
      <c r="Q275" s="31" t="n">
        <v>16.07</v>
      </c>
      <c r="R275" s="32" t="n">
        <v>0.98</v>
      </c>
      <c r="S275" s="33" t="n">
        <v>18.71</v>
      </c>
      <c r="T275" s="26" t="inlineStr">
        <is>
          <t>洪泰國際三號有限合夥基金; The Reynold Lemkins Group (Asia) Limited</t>
        </is>
      </c>
      <c r="U275" s="30" t="n">
        <v>17</v>
      </c>
      <c r="V275" s="26" t="n"/>
      <c r="W275" s="34" t="n">
        <v>5</v>
      </c>
      <c r="X275" s="34" t="n">
        <v>-19.43</v>
      </c>
      <c r="Y275" s="34" t="n">
        <v>-17.14</v>
      </c>
      <c r="Z275" s="34" t="n">
        <v>-2.71</v>
      </c>
      <c r="AA275" s="34" t="n">
        <v>-21.09</v>
      </c>
      <c r="AB275" s="34" t="n">
        <v>-21.31</v>
      </c>
      <c r="AC275" s="34" t="n">
        <v>4.17</v>
      </c>
      <c r="AD275" s="26" t="inlineStr">
        <is>
          <t>Hang Seng Finance sub-index</t>
        </is>
      </c>
      <c r="AE275" s="34" t="n">
        <v>27.07</v>
      </c>
      <c r="AF275" s="28" t="n">
        <v>191.4</v>
      </c>
      <c r="AG275" s="28" t="n">
        <v>42.9</v>
      </c>
      <c r="AH275" s="26" t="inlineStr">
        <is>
          <t>Y</t>
        </is>
      </c>
      <c r="AI275" s="35" t="n">
        <v>23</v>
      </c>
      <c r="AJ275" s="35" t="n">
        <v>5.2</v>
      </c>
      <c r="AK275" s="26" t="inlineStr">
        <is>
          <t>N</t>
        </is>
      </c>
      <c r="AL275" s="36">
        <f>IF('BBG Verify'!K275="","not filed — run on terminal",'BBG Verify'!K275)</f>
        <v/>
      </c>
      <c r="AM275" s="26" t="inlineStr">
        <is>
          <t>N/A</t>
        </is>
      </c>
      <c r="AN275" s="26" t="inlineStr">
        <is>
          <t>N/A</t>
        </is>
      </c>
      <c r="AO275" s="26" t="inlineStr">
        <is>
          <t>N/A</t>
        </is>
      </c>
      <c r="AP275" s="26" t="inlineStr">
        <is>
          <t>CITIC Securities (Hong Kong) Limited; Ping An of China Capital (Hong Kong) Company Limited</t>
        </is>
      </c>
      <c r="AQ275" s="26" t="inlineStr">
        <is>
          <t>中信證券(香港)有限公司; 中國平安資本（香港）有限公司</t>
        </is>
      </c>
      <c r="AR275" s="26" t="inlineStr">
        <is>
          <t>China PA Securities (Hong Kong) Company Limited; CLSA Limited; CMB International Capital Limited; Fosun International Securities Limited; Hong Tai Securities Limited</t>
        </is>
      </c>
      <c r="AS275" s="26" t="inlineStr">
        <is>
          <t>興證國際融資有限公司; 中信里昂證券有限公司; 招銀國際融資有限公司; 平證證券（香港）有限公司; 艾德證券期貨有限公司; 富強證券有限公司; 復星國際證券有限公司; 洪泰證券有限公司; 工銀國際證券有限公司; 百惠證券有限公司; 老虎證券（香港）環球有限公司</t>
        </is>
      </c>
      <c r="AT275" s="37">
        <f>HYPERLINK("https://www1.hkexnews.hk/listedco/listconews/sehk/2024/0729/2024072900013.pdf","prospectus")</f>
        <v/>
      </c>
      <c r="AU275" s="37">
        <f>HYPERLINK("https://www1.hkexnews.hk/listedco/listconews/sehk/2024/0805/2024080502241.pdf","allotment")</f>
        <v/>
      </c>
      <c r="AV275" s="26" t="n"/>
      <c r="AW275" s="26" t="inlineStr">
        <is>
          <t>greenshoe: end-of-stabilisation notice not located · A/H: no A-share listing</t>
        </is>
      </c>
    </row>
    <row r="276">
      <c r="A276" s="25" t="inlineStr">
        <is>
          <t>2533</t>
        </is>
      </c>
      <c r="B276" s="26" t="inlineStr">
        <is>
          <t>BLACK SESAME</t>
        </is>
      </c>
      <c r="C276" s="26" t="inlineStr">
        <is>
          <t>黑芝麻智能</t>
        </is>
      </c>
      <c r="D276" s="26" t="inlineStr">
        <is>
          <t>Tech/AI</t>
        </is>
      </c>
      <c r="E276" s="26" t="inlineStr">
        <is>
          <t>AI chips &amp; semis</t>
        </is>
      </c>
      <c r="F276" s="26" t="inlineStr">
        <is>
          <t>Standard</t>
        </is>
      </c>
      <c r="G276" s="27" t="n">
        <v>45512</v>
      </c>
      <c r="H276" s="28" t="n">
        <v>1036</v>
      </c>
      <c r="I276" s="26" t="inlineStr">
        <is>
          <t>gross (price x shares)</t>
        </is>
      </c>
      <c r="J276" s="29" t="n">
        <v>28</v>
      </c>
      <c r="K276" s="29" t="n">
        <v>30.3</v>
      </c>
      <c r="L276" s="29" t="n">
        <v>28</v>
      </c>
      <c r="M276" s="26" t="inlineStr">
        <is>
          <t>N</t>
        </is>
      </c>
      <c r="N276" s="30" t="n">
        <v>92.40000000000001</v>
      </c>
      <c r="O276" s="28" t="n">
        <v>15936.7</v>
      </c>
      <c r="P276" s="26" t="inlineStr">
        <is>
          <t>derived:price x shares upon listing</t>
        </is>
      </c>
      <c r="Q276" s="31" t="n">
        <v>2.52</v>
      </c>
      <c r="R276" s="32" t="n">
        <v>1.05</v>
      </c>
      <c r="S276" s="33" t="n">
        <v>7.38</v>
      </c>
      <c r="T276" s="26" t="inlineStr">
        <is>
          <t>啟城發展有限公司; Joyson Electronic USA LLC</t>
        </is>
      </c>
      <c r="U276" s="30" t="n">
        <v>7.39</v>
      </c>
      <c r="V276" s="26" t="inlineStr">
        <is>
          <t>lapsed (no over-allocation)</t>
        </is>
      </c>
      <c r="W276" s="34" t="n">
        <v>-26.96</v>
      </c>
      <c r="X276" s="34" t="n">
        <v>-28.04</v>
      </c>
      <c r="Y276" s="34" t="n">
        <v>-23.57</v>
      </c>
      <c r="Z276" s="34" t="n">
        <v>-7.68</v>
      </c>
      <c r="AA276" s="34" t="n">
        <v>4.64</v>
      </c>
      <c r="AB276" s="34" t="n">
        <v>-25.25</v>
      </c>
      <c r="AC276" s="34" t="n">
        <v>1.68</v>
      </c>
      <c r="AD276" s="26" t="inlineStr">
        <is>
          <t>HSTECH (Hang Seng TECH ETF)</t>
        </is>
      </c>
      <c r="AE276" s="34" t="n">
        <v>-58.82</v>
      </c>
      <c r="AF276" s="28" t="n">
        <v>343.6</v>
      </c>
      <c r="AG276" s="28" t="n">
        <v>-5340.6</v>
      </c>
      <c r="AH276" s="26" t="inlineStr">
        <is>
          <t>N</t>
        </is>
      </c>
      <c r="AI276" s="38">
        <f>IF('BBG Verify'!O276="","not filed — run on terminal",'BBG Verify'!O276)</f>
        <v/>
      </c>
      <c r="AJ276" s="35" t="n">
        <v>46.4</v>
      </c>
      <c r="AK276" s="26" t="inlineStr">
        <is>
          <t>N</t>
        </is>
      </c>
      <c r="AL276" s="36">
        <f>IF('BBG Verify'!K276="","not filed — run on terminal",'BBG Verify'!K276)</f>
        <v/>
      </c>
      <c r="AM276" s="26" t="inlineStr">
        <is>
          <t>N/A</t>
        </is>
      </c>
      <c r="AN276" s="26" t="inlineStr">
        <is>
          <t>N/A</t>
        </is>
      </c>
      <c r="AO276" s="26" t="inlineStr">
        <is>
          <t>N/A</t>
        </is>
      </c>
      <c r="AP276" s="26" t="n"/>
      <c r="AQ276" s="26" t="inlineStr">
        <is>
          <t>中國國際金融香港證券有限公司; 華泰金融控股(香港)有限公司</t>
        </is>
      </c>
      <c r="AR276" s="26" t="inlineStr">
        <is>
          <t>CCB International Capital Limited; GF Securities (Hong Kong) Brokerage Limited; Futu Securities International (Hong Kong) Limited</t>
        </is>
      </c>
      <c r="AS276" s="26" t="inlineStr">
        <is>
          <t>中銀國際亞洲有限公司; 建銀國際金融有限公司; 中國國際金融香港證券有限公司; 中信里昂證券有限公司; 富途證券國際（香港）有限公司; 廣發證券（香港）經紀有限公司; 華泰金融控股(香港)有限公司; 老虎證券（香港）環球有限公司</t>
        </is>
      </c>
      <c r="AT276" s="37">
        <f>HYPERLINK("https://www1.hkexnews.hk/listedco/listconews/sehk/2024/0731/2024073100015.pdf","prospectus")</f>
        <v/>
      </c>
      <c r="AU276" s="37">
        <f>HYPERLINK("https://www1.hkexnews.hk/listedco/listconews/sehk/2024/0807/2024080700994.pdf","allotment")</f>
        <v/>
      </c>
      <c r="AV276" s="37">
        <f>HYPERLINK("https://www1.hkexnews.hk/listedco/listconews/sehk/2024/0904/2024090402176.pdf","stabilisation")</f>
        <v/>
      </c>
      <c r="AW276" s="26" t="inlineStr">
        <is>
          <t>P/E: n/m — loss-making at IPO (use P/S) · A/H: no A-share listing · sponsor: English name not in the filing text; AAStocks 保薦人 shown</t>
        </is>
      </c>
    </row>
    <row r="277">
      <c r="A277" s="25" t="inlineStr">
        <is>
          <t>2410</t>
        </is>
      </c>
      <c r="B277" s="26" t="inlineStr">
        <is>
          <t>TYK MEDICINES-B</t>
        </is>
      </c>
      <c r="C277" s="26" t="inlineStr">
        <is>
          <t>同源康醫藥－Ｂ</t>
        </is>
      </c>
      <c r="D277" s="26" t="inlineStr">
        <is>
          <t>Healthcare</t>
        </is>
      </c>
      <c r="E277" s="26" t="inlineStr">
        <is>
          <t>Biotech pre-revenue (18A)</t>
        </is>
      </c>
      <c r="F277" s="26" t="inlineStr">
        <is>
          <t>18A</t>
        </is>
      </c>
      <c r="G277" s="27" t="n">
        <v>45524</v>
      </c>
      <c r="H277" s="28" t="n">
        <v>579.3</v>
      </c>
      <c r="I277" s="26" t="inlineStr">
        <is>
          <t>gross (price x shares)</t>
        </is>
      </c>
      <c r="J277" s="29" t="n"/>
      <c r="K277" s="29" t="n">
        <v>12.1</v>
      </c>
      <c r="L277" s="29" t="n">
        <v>12.1</v>
      </c>
      <c r="M277" s="26" t="inlineStr">
        <is>
          <t>Y</t>
        </is>
      </c>
      <c r="N277" s="30" t="n">
        <v>100</v>
      </c>
      <c r="O277" s="28" t="n">
        <v>4487.1</v>
      </c>
      <c r="P277" s="26" t="inlineStr">
        <is>
          <t>derived:price x shares upon listing</t>
        </is>
      </c>
      <c r="Q277" s="31" t="n">
        <v>2.29</v>
      </c>
      <c r="R277" s="32" t="n">
        <v>1.01</v>
      </c>
      <c r="S277" s="33" t="n">
        <v>35.51</v>
      </c>
      <c r="T277" s="26" t="inlineStr">
        <is>
          <t>長興興長產業投資合夥企業(有限合夥)</t>
        </is>
      </c>
      <c r="U277" s="30" t="n"/>
      <c r="V277" s="26" t="n"/>
      <c r="W277" s="34" t="n">
        <v>13.22</v>
      </c>
      <c r="X277" s="34" t="n">
        <v>90.08</v>
      </c>
      <c r="Y277" s="34" t="n">
        <v>135.95</v>
      </c>
      <c r="Z277" s="34" t="n">
        <v>129.75</v>
      </c>
      <c r="AA277" s="34" t="n">
        <v>108.4</v>
      </c>
      <c r="AB277" s="34" t="n">
        <v>137.89</v>
      </c>
      <c r="AC277" s="34" t="n">
        <v>-1.94</v>
      </c>
      <c r="AD277" s="26" t="inlineStr">
        <is>
          <t>China Biotech ETF (HS biotech proxy)</t>
        </is>
      </c>
      <c r="AE277" s="34" t="n">
        <v>-41.32</v>
      </c>
      <c r="AF277" s="28" t="n">
        <v>48.7</v>
      </c>
      <c r="AG277" s="28" t="n">
        <v>-91.5</v>
      </c>
      <c r="AH277" s="26" t="inlineStr">
        <is>
          <t>N</t>
        </is>
      </c>
      <c r="AI277" s="38">
        <f>IF('BBG Verify'!O277="","not filed — run on terminal",'BBG Verify'!O277)</f>
        <v/>
      </c>
      <c r="AJ277" s="35" t="n">
        <v>92.09999999999999</v>
      </c>
      <c r="AK277" s="26" t="inlineStr">
        <is>
          <t>N</t>
        </is>
      </c>
      <c r="AL277" s="36">
        <f>IF('BBG Verify'!K277="","not filed — run on terminal",'BBG Verify'!K277)</f>
        <v/>
      </c>
      <c r="AM277" s="26" t="inlineStr">
        <is>
          <t>N/A</t>
        </is>
      </c>
      <c r="AN277" s="26" t="inlineStr">
        <is>
          <t>N/A</t>
        </is>
      </c>
      <c r="AO277" s="26" t="inlineStr">
        <is>
          <t>N/A</t>
        </is>
      </c>
      <c r="AP277" s="26" t="inlineStr">
        <is>
          <t>CITIC Securities (Hong Kong) Limited</t>
        </is>
      </c>
      <c r="AQ277" s="26" t="inlineStr">
        <is>
          <t>中信證券(香港)有限公司</t>
        </is>
      </c>
      <c r="AR277" s="26" t="inlineStr">
        <is>
          <t>CLSA Limited; CMB International Capital Limited; Haitong International Securities Company Limited; Managers CLSA Limited; Deutsche Bank AG, Hong Kong Branch; Livermore Holdings Limited; BOCI Asia Limited</t>
        </is>
      </c>
      <c r="AS277" s="26" t="inlineStr">
        <is>
          <t>中銀國際亞洲有限公司; 中信里昂證券有限公司; 招銀國際融資有限公司; 德意志銀行香港分行; 海通國際證券有限公司; 利弗莫爾證券有限公司</t>
        </is>
      </c>
      <c r="AT277" s="37">
        <f>HYPERLINK("https://www1.hkexnews.hk/listedco/listconews/sehk/2024/0812/2024081200005.pdf","prospectus")</f>
        <v/>
      </c>
      <c r="AU277" s="37">
        <f>HYPERLINK("https://www1.hkexnews.hk/listedco/listconews/sehk/2024/0819/2024081901642.pdf","allotment")</f>
        <v/>
      </c>
      <c r="AV277" s="26" t="n"/>
      <c r="AW277" s="26" t="inlineStr">
        <is>
          <t>P/E: n/m — loss-making at IPO (use P/S) · greenshoe: no over-allotment option in the offer structure · A/H: no A-share listing</t>
        </is>
      </c>
    </row>
    <row r="278">
      <c r="A278" s="25" t="inlineStr">
        <is>
          <t>0300</t>
        </is>
      </c>
      <c r="B278" s="26" t="inlineStr">
        <is>
          <t>MIDEA GROUP</t>
        </is>
      </c>
      <c r="C278" s="26" t="inlineStr">
        <is>
          <t>美的集團</t>
        </is>
      </c>
      <c r="D278" s="26" t="inlineStr">
        <is>
          <t>Tech/AI</t>
        </is>
      </c>
      <c r="E278" s="26" t="inlineStr">
        <is>
          <t>Smart hardware / consumer electronics</t>
        </is>
      </c>
      <c r="F278" s="26" t="inlineStr">
        <is>
          <t>Standard</t>
        </is>
      </c>
      <c r="G278" s="27" t="n">
        <v>45552</v>
      </c>
      <c r="H278" s="28" t="n">
        <v>31014</v>
      </c>
      <c r="I278" s="26" t="inlineStr">
        <is>
          <t>gross (stated)</t>
        </is>
      </c>
      <c r="J278" s="29" t="n"/>
      <c r="K278" s="29" t="n">
        <v>54.8</v>
      </c>
      <c r="L278" s="29" t="n">
        <v>54.8</v>
      </c>
      <c r="M278" s="26" t="inlineStr">
        <is>
          <t>Y</t>
        </is>
      </c>
      <c r="N278" s="30" t="n">
        <v>100</v>
      </c>
      <c r="O278" s="28" t="n">
        <v>408344.4</v>
      </c>
      <c r="P278" s="26" t="inlineStr">
        <is>
          <t>aastocks:上市市值 at the struck price</t>
        </is>
      </c>
      <c r="Q278" s="31" t="n">
        <v>5.3</v>
      </c>
      <c r="R278" s="32" t="n">
        <v>0.11</v>
      </c>
      <c r="S278" s="33" t="n">
        <v>36.3</v>
      </c>
      <c r="T278" s="26" t="inlineStr">
        <is>
          <t>Athos Capital Limited; 中國國有企業結構調整基金二期股份有限公司; 中遠海運控股（香港） 有限公司; CPE Investment XVI Limited; 大家人壽保險股份有限公司; Enreal Asset Management Limited; 睿遠基金; Golden Link Worldwide Limited; HCEP Master Fund; Jump Trading Pacific Pte. Ltd; Metazone Link (HK) Limited; MY Asian Opportunities Fund; Pamalican Fund Ltd; 中郵理財有限責任公司; Splendor Achieve Limited; Supercluster Universe Limited; UBS Asset Management (Singapore) Limited; Vanguard Focus Limited</t>
        </is>
      </c>
      <c r="U278" s="30" t="n">
        <v>15</v>
      </c>
      <c r="V278" s="26" t="n"/>
      <c r="W278" s="34" t="n">
        <v>7.85</v>
      </c>
      <c r="X278" s="34" t="n">
        <v>29.01</v>
      </c>
      <c r="Y278" s="34" t="n">
        <v>36.68</v>
      </c>
      <c r="Z278" s="34" t="n">
        <v>38.96</v>
      </c>
      <c r="AA278" s="34" t="n">
        <v>26.73</v>
      </c>
      <c r="AB278" s="34" t="n">
        <v>7.95</v>
      </c>
      <c r="AC278" s="34" t="n">
        <v>28.73</v>
      </c>
      <c r="AD278" s="26" t="inlineStr">
        <is>
          <t>HSTECH (Hang Seng TECH ETF)</t>
        </is>
      </c>
      <c r="AE278" s="34" t="n">
        <v>75.64</v>
      </c>
      <c r="AF278" s="28" t="n">
        <v>411080.8</v>
      </c>
      <c r="AG278" s="28" t="n">
        <v>37020.9</v>
      </c>
      <c r="AH278" s="26" t="inlineStr">
        <is>
          <t>Y</t>
        </is>
      </c>
      <c r="AI278" s="35" t="n">
        <v>11</v>
      </c>
      <c r="AJ278" s="35" t="n">
        <v>1</v>
      </c>
      <c r="AK278" s="26" t="inlineStr">
        <is>
          <t>Y</t>
        </is>
      </c>
      <c r="AL278" s="26" t="inlineStr">
        <is>
          <t>000333.SZ</t>
        </is>
      </c>
      <c r="AM278" s="34" t="n">
        <v>-21.5</v>
      </c>
      <c r="AN278" s="29" t="n">
        <v>69.807</v>
      </c>
      <c r="AO278" s="42" t="n">
        <v>-0.0075</v>
      </c>
      <c r="AP278" s="26" t="inlineStr">
        <is>
          <t>CICC; BofA Securities</t>
        </is>
      </c>
      <c r="AQ278" s="26" t="inlineStr">
        <is>
          <t>中國國際金融香港證券有限公司; 美林(亞太)有限公司</t>
        </is>
      </c>
      <c r="AR278" s="26" t="inlineStr">
        <is>
          <t>法國巴黎證券（亞洲）有限公司; 中國國際金融香港證券有限公司; 中信里昂證券有限公司; 招銀國際融資有限公司; 富途證券國際（香港）有限公司; 廣發證券（香港）經紀有限公司</t>
        </is>
      </c>
      <c r="AS278" s="26" t="inlineStr">
        <is>
          <t>法國巴黎證券（亞洲）有限公司; 中國國際金融香港證券有限公司; 中信里昂證券有限公司; 招銀國際融資有限公司; 富途證券國際（香港）有限公司; 廣發證券（香港）經紀有限公司; 高盛(亞洲)有限責任公司; 華泰金融控股(香港)有限公司; 美林(亞太)有限公司; UBS AG 香港分行</t>
        </is>
      </c>
      <c r="AT278" s="37">
        <f>HYPERLINK("https://www1.hkexnews.hk/listedco/listconews/sehk/2024/0909/2024090900012.htm","prospectus")</f>
        <v/>
      </c>
      <c r="AU278" s="37">
        <f>HYPERLINK("https://www1.hkexnews.hk/listedco/listconews/sehk/2024/0916/2024091600951.pdf","allotment")</f>
        <v/>
      </c>
      <c r="AV278" s="26" t="n"/>
      <c r="AW278" s="26" t="inlineStr">
        <is>
          <t>greenshoe: end-of-stabilisation notice not located · price range: fixed-price offering (no indicative range) · A/H: Sep 2024, ~US$4.0bn+greenshoe — the deal that opened the A-to-H wave; H priced at a double-digit discount to A</t>
        </is>
      </c>
    </row>
    <row r="279">
      <c r="A279" s="25" t="inlineStr">
        <is>
          <t>2549</t>
        </is>
      </c>
      <c r="B279" s="26" t="inlineStr">
        <is>
          <t>CAROTE LTD</t>
        </is>
      </c>
      <c r="C279" s="26" t="inlineStr">
        <is>
          <t>卡羅特</t>
        </is>
      </c>
      <c r="D279" s="26" t="inlineStr">
        <is>
          <t>Consumer</t>
        </is>
      </c>
      <c r="E279" s="26" t="inlineStr">
        <is>
          <t>Retail / distribution</t>
        </is>
      </c>
      <c r="F279" s="26" t="inlineStr">
        <is>
          <t>Standard</t>
        </is>
      </c>
      <c r="G279" s="27" t="n">
        <v>45567</v>
      </c>
      <c r="H279" s="28" t="n">
        <v>750.6</v>
      </c>
      <c r="I279" s="26" t="inlineStr">
        <is>
          <t>gross (price x shares)</t>
        </is>
      </c>
      <c r="J279" s="29" t="n"/>
      <c r="K279" s="29" t="n">
        <v>5.78</v>
      </c>
      <c r="L279" s="29" t="n">
        <v>5.78</v>
      </c>
      <c r="M279" s="26" t="inlineStr">
        <is>
          <t>Y</t>
        </is>
      </c>
      <c r="N279" s="30" t="n">
        <v>100</v>
      </c>
      <c r="O279" s="28" t="n">
        <v>2789.3</v>
      </c>
      <c r="P279" s="26" t="inlineStr">
        <is>
          <t>derived:deal size / offer % of enlarged capital</t>
        </is>
      </c>
      <c r="Q279" s="31" t="n">
        <v>1347.27</v>
      </c>
      <c r="R279" s="32" t="n">
        <v>7.91</v>
      </c>
      <c r="S279" s="40" t="n">
        <v>62</v>
      </c>
      <c r="T279" s="26" t="inlineStr">
        <is>
          <t>MPC VII Pte. Ltd; YSC Go (BVI) Limited</t>
        </is>
      </c>
      <c r="U279" s="30" t="n">
        <v>15</v>
      </c>
      <c r="V279" s="26" t="inlineStr">
        <is>
          <t>full</t>
        </is>
      </c>
      <c r="W279" s="34" t="n">
        <v>58.3</v>
      </c>
      <c r="X279" s="34" t="n">
        <v>17.65</v>
      </c>
      <c r="Y279" s="34" t="n">
        <v>-11.07</v>
      </c>
      <c r="Z279" s="34" t="n">
        <v>-14.01</v>
      </c>
      <c r="AA279" s="34" t="n">
        <v>-43.82</v>
      </c>
      <c r="AB279" s="34" t="n">
        <v>-7.4</v>
      </c>
      <c r="AC279" s="34" t="n">
        <v>-3.67</v>
      </c>
      <c r="AD279" s="26" t="inlineStr">
        <is>
          <t>Hang Seng Commerce &amp; Industry sub-index</t>
        </is>
      </c>
      <c r="AE279" s="34" t="n">
        <v>-35.99</v>
      </c>
      <c r="AF279" s="28" t="n">
        <v>1.7</v>
      </c>
      <c r="AG279" s="28" t="n">
        <v>0.3</v>
      </c>
      <c r="AH279" s="26" t="inlineStr">
        <is>
          <t>Y</t>
        </is>
      </c>
      <c r="AI279" s="35" t="n">
        <v>9297.700000000001</v>
      </c>
      <c r="AJ279" s="35" t="n">
        <v>1640.8</v>
      </c>
      <c r="AK279" s="26" t="inlineStr">
        <is>
          <t>N</t>
        </is>
      </c>
      <c r="AL279" s="36">
        <f>IF('BBG Verify'!K279="","not filed — run on terminal",'BBG Verify'!K279)</f>
        <v/>
      </c>
      <c r="AM279" s="26" t="inlineStr">
        <is>
          <t>N/A</t>
        </is>
      </c>
      <c r="AN279" s="26" t="inlineStr">
        <is>
          <t>N/A</t>
        </is>
      </c>
      <c r="AO279" s="26" t="inlineStr">
        <is>
          <t>N/A</t>
        </is>
      </c>
      <c r="AP279" s="26" t="inlineStr">
        <is>
          <t>BNP Paribas Securities (Asia) Limited; CMB International Capital Limited</t>
        </is>
      </c>
      <c r="AQ279" s="26" t="inlineStr">
        <is>
          <t>招銀國際融資有限公司; 法國巴黎證券（亞洲）有限公司</t>
        </is>
      </c>
      <c r="AR279" s="26" t="inlineStr">
        <is>
          <t>CMB International Capital Limited; BNP Paribas Securities (Asia) Limited</t>
        </is>
      </c>
      <c r="AS279" s="26" t="inlineStr">
        <is>
          <t>法國巴黎證券（亞洲）有限公司; 招銀國際融資有限公司; 富途證券國際（香港）有限公司; 利弗莫爾證券有限公司; 老虎證券（香港）環球有限公司; TradeGo Markets Limited</t>
        </is>
      </c>
      <c r="AT279" s="37">
        <f>HYPERLINK("https://www1.hkexnews.hk/listedco/listconews/sehk/2024/0923/2024092300003.pdf","prospectus")</f>
        <v/>
      </c>
      <c r="AU279" s="37">
        <f>HYPERLINK("https://www1.hkexnews.hk/listedco/listconews/sehk/2024/0930/2024093002464.pdf","allotment")</f>
        <v/>
      </c>
      <c r="AV279" s="37">
        <f>HYPERLINK("https://www1.hkexnews.hk/listedco/listconews/sehk/2024/1028/2024102801048.pdf","stabilisation")</f>
        <v/>
      </c>
      <c r="AW279" s="26" t="inlineStr">
        <is>
          <t>A/H: no A-share listing · cornerstone: AAStocks institutional total HK$313m = 42% of deal vs 62% parsed</t>
        </is>
      </c>
    </row>
    <row r="280">
      <c r="A280" s="25" t="inlineStr">
        <is>
          <t>2576</t>
        </is>
      </c>
      <c r="B280" s="26" t="inlineStr">
        <is>
          <t>TAIMEI TECH</t>
        </is>
      </c>
      <c r="C280" s="26" t="inlineStr">
        <is>
          <t>太美醫療科技</t>
        </is>
      </c>
      <c r="D280" s="26" t="inlineStr">
        <is>
          <t>Tech/AI</t>
        </is>
      </c>
      <c r="E280" s="26" t="inlineStr">
        <is>
          <t>SaaS / enterprise software</t>
        </is>
      </c>
      <c r="F280" s="26" t="inlineStr">
        <is>
          <t>Standard</t>
        </is>
      </c>
      <c r="G280" s="27" t="n">
        <v>45573</v>
      </c>
      <c r="H280" s="28" t="n">
        <v>335.1</v>
      </c>
      <c r="I280" s="26" t="inlineStr">
        <is>
          <t>gross (stated)</t>
        </is>
      </c>
      <c r="J280" s="29" t="n"/>
      <c r="K280" s="29" t="n">
        <v>13</v>
      </c>
      <c r="L280" s="29" t="n">
        <v>13</v>
      </c>
      <c r="M280" s="26" t="inlineStr">
        <is>
          <t>Y</t>
        </is>
      </c>
      <c r="N280" s="30" t="n">
        <v>100</v>
      </c>
      <c r="O280" s="28" t="n">
        <v>6419.5</v>
      </c>
      <c r="P280" s="26" t="inlineStr">
        <is>
          <t>derived:deal size / offer % of enlarged capital</t>
        </is>
      </c>
      <c r="Q280" s="47" t="n">
        <v>156.3</v>
      </c>
      <c r="R280" s="39">
        <f>IF('BBG Verify'!E280="","not filed — run on terminal",'BBG Verify'!E280)</f>
        <v/>
      </c>
      <c r="S280" s="33" t="n">
        <v>0</v>
      </c>
      <c r="T280" s="26" t="n"/>
      <c r="U280" s="30" t="n">
        <v>5.22</v>
      </c>
      <c r="V280" s="26" t="inlineStr">
        <is>
          <t>lapsed</t>
        </is>
      </c>
      <c r="W280" s="34" t="n">
        <v>-29.23</v>
      </c>
      <c r="X280" s="34" t="n">
        <v>-54.85</v>
      </c>
      <c r="Y280" s="34" t="n">
        <v>-54.62</v>
      </c>
      <c r="Z280" s="34" t="n">
        <v>-70.23</v>
      </c>
      <c r="AA280" s="34" t="n">
        <v>-35.88</v>
      </c>
      <c r="AB280" s="34" t="n">
        <v>-41.17</v>
      </c>
      <c r="AC280" s="34" t="n">
        <v>-13.45</v>
      </c>
      <c r="AD280" s="26" t="inlineStr">
        <is>
          <t>HSTECH (Hang Seng TECH ETF)</t>
        </is>
      </c>
      <c r="AE280" s="34" t="n">
        <v>-54.69</v>
      </c>
      <c r="AF280" s="28" t="n">
        <v>630.5</v>
      </c>
      <c r="AG280" s="28" t="n">
        <v>-464.8</v>
      </c>
      <c r="AH280" s="26" t="inlineStr">
        <is>
          <t>N</t>
        </is>
      </c>
      <c r="AI280" s="38">
        <f>IF('BBG Verify'!O280="","not filed — run on terminal",'BBG Verify'!O280)</f>
        <v/>
      </c>
      <c r="AJ280" s="35" t="n">
        <v>10.2</v>
      </c>
      <c r="AK280" s="26" t="inlineStr">
        <is>
          <t>N</t>
        </is>
      </c>
      <c r="AL280" s="36">
        <f>IF('BBG Verify'!K280="","not filed — run on terminal",'BBG Verify'!K280)</f>
        <v/>
      </c>
      <c r="AM280" s="26" t="inlineStr">
        <is>
          <t>N/A</t>
        </is>
      </c>
      <c r="AN280" s="26" t="inlineStr">
        <is>
          <t>N/A</t>
        </is>
      </c>
      <c r="AO280" s="26" t="inlineStr">
        <is>
          <t>N/A</t>
        </is>
      </c>
      <c r="AP280" s="26" t="n"/>
      <c r="AQ280" s="26" t="inlineStr">
        <is>
          <t>中國國際金融香港證券有限公司; 摩根士丹利亞洲有限公司</t>
        </is>
      </c>
      <c r="AR280" s="26" t="inlineStr">
        <is>
          <t>Morgan Stanley Asia Limited; China International Capital Corporation Hong Kong Securities Limited; Managers and Capital Market Intermediaries Morgan Stanley Asia Limited; Huatai Financial Holdings (Hong Kong) Limited; CMB International Capital Limited; Futu Securities International (Hong Kong) Limited; Tiger Brokers (HK) Global Limited; Valuable Capital Limited</t>
        </is>
      </c>
      <c r="AS280" s="26" t="inlineStr">
        <is>
          <t>建銀國際金融有限公司; 中國國際金融香港證券有限公司; 招銀國際融資有限公司; 富途證券國際（香港）有限公司; 華泰金融控股(香港)有限公司; 摩根士丹利亞洲有限公司; 老虎證券（香港）環球有限公司; 華盛資本証券有限公司</t>
        </is>
      </c>
      <c r="AT280" s="37">
        <f>HYPERLINK("https://www1.hkexnews.hk/listedco/listconews/sehk/2024/0927/2024092700025.pdf","prospectus")</f>
        <v/>
      </c>
      <c r="AU280" s="37">
        <f>HYPERLINK("https://www1.hkexnews.hk/listedco/listconews/sehk/2024/1007/2024100701772.pdf","allotment")</f>
        <v/>
      </c>
      <c r="AV280" s="37">
        <f>HYPERLINK("https://www1.hkexnews.hk/listedco/listconews/sehk/2024/1103/2024110300003.pdf","stabilisation")</f>
        <v/>
      </c>
      <c r="AW280" s="26" t="inlineStr">
        <is>
          <t>intl sub: subscription level not stated in the filing · P/E: n/m — loss-making at IPO (use P/S) · A/H: no A-share listing · sponsor: English name not in the filing text; AAStocks 保薦人 shown</t>
        </is>
      </c>
    </row>
    <row r="281">
      <c r="A281" s="25" t="inlineStr">
        <is>
          <t>9639</t>
        </is>
      </c>
      <c r="B281" s="26" t="inlineStr">
        <is>
          <t>WING LEE DEV</t>
        </is>
      </c>
      <c r="C281" s="26" t="inlineStr">
        <is>
          <t>榮利營造</t>
        </is>
      </c>
      <c r="D281" s="26" t="inlineStr">
        <is>
          <t>Industrials</t>
        </is>
      </c>
      <c r="E281" s="26" t="inlineStr">
        <is>
          <t>Construction / engineering</t>
        </is>
      </c>
      <c r="F281" s="26" t="inlineStr">
        <is>
          <t>Standard</t>
        </is>
      </c>
      <c r="G281" s="27" t="n">
        <v>45574</v>
      </c>
      <c r="H281" s="28" t="n">
        <v>182.5</v>
      </c>
      <c r="I281" s="26" t="inlineStr">
        <is>
          <t>gross (stated)</t>
        </is>
      </c>
      <c r="J281" s="29" t="n">
        <v>0.57</v>
      </c>
      <c r="K281" s="29" t="n">
        <v>0.73</v>
      </c>
      <c r="L281" s="29" t="n">
        <v>0.73</v>
      </c>
      <c r="M281" s="26" t="inlineStr">
        <is>
          <t>Y</t>
        </is>
      </c>
      <c r="N281" s="30" t="n">
        <v>100</v>
      </c>
      <c r="O281" s="28" t="n">
        <v>730</v>
      </c>
      <c r="P281" s="26" t="inlineStr">
        <is>
          <t>derived:deal size / offer % of enlarged capital</t>
        </is>
      </c>
      <c r="Q281" s="31" t="n">
        <v>120.6</v>
      </c>
      <c r="R281" s="32" t="n">
        <v>1.14</v>
      </c>
      <c r="S281" s="33" t="n">
        <v>21.2</v>
      </c>
      <c r="T281" s="26" t="inlineStr">
        <is>
          <t>高陞集團控股有限公司; 三一香港集團有限公司; 三鋒控股管理有限公司</t>
        </is>
      </c>
      <c r="U281" s="30" t="n">
        <v>15</v>
      </c>
      <c r="V281" s="26" t="n"/>
      <c r="W281" s="34" t="n">
        <v>-15.07</v>
      </c>
      <c r="X281" s="34" t="n">
        <v>-39.73</v>
      </c>
      <c r="Y281" s="34" t="n">
        <v>-36.99</v>
      </c>
      <c r="Z281" s="34" t="n">
        <v>-44.52</v>
      </c>
      <c r="AA281" s="34" t="n">
        <v>-25.81</v>
      </c>
      <c r="AB281" s="34" t="n">
        <v>-34.57</v>
      </c>
      <c r="AC281" s="34" t="n">
        <v>-2.42</v>
      </c>
      <c r="AD281" s="26" t="inlineStr">
        <is>
          <t>Hang Seng Commerce &amp; Industry sub-index</t>
        </is>
      </c>
      <c r="AE281" s="34" t="n">
        <v>31.51</v>
      </c>
      <c r="AF281" s="28" t="n">
        <v>526.1</v>
      </c>
      <c r="AG281" s="28" t="n">
        <v>76.90000000000001</v>
      </c>
      <c r="AH281" s="26" t="inlineStr">
        <is>
          <t>Y</t>
        </is>
      </c>
      <c r="AI281" s="35" t="n">
        <v>9.5</v>
      </c>
      <c r="AJ281" s="35" t="n">
        <v>1.4</v>
      </c>
      <c r="AK281" s="26" t="inlineStr">
        <is>
          <t>N</t>
        </is>
      </c>
      <c r="AL281" s="36">
        <f>IF('BBG Verify'!K281="","not filed — run on terminal",'BBG Verify'!K281)</f>
        <v/>
      </c>
      <c r="AM281" s="26" t="inlineStr">
        <is>
          <t>N/A</t>
        </is>
      </c>
      <c r="AN281" s="26" t="inlineStr">
        <is>
          <t>N/A</t>
        </is>
      </c>
      <c r="AO281" s="26" t="inlineStr">
        <is>
          <t>N/A</t>
        </is>
      </c>
      <c r="AP281" s="26" t="inlineStr">
        <is>
          <t>Alliance Capital Partners Limited</t>
        </is>
      </c>
      <c r="AQ281" s="26" t="inlineStr">
        <is>
          <t>同人融資有限公司</t>
        </is>
      </c>
      <c r="AR281" s="26" t="inlineStr">
        <is>
          <t>Alliance Capital Partners Limited; China Galaxy International Securities (Hong Kong) Co., Limited; CMBC Securities Company Limited; ABCI Capital Limited; China Industrial Securities International Capital Limited</t>
        </is>
      </c>
      <c r="AS281" s="26" t="inlineStr">
        <is>
          <t>農銀國際證券有限公司; 同人融資有限公司; 中國銀河國際證券(香港)有限公司; 信達國際融資有限公司; 興證國際融資有限公司; 民銀證券有限公司; 富途證券國際（香港）有限公司; 高裕證券有限公司; 海通國際證券有限公司; 利弗莫爾證券有限公司; 輝立証券（香港）有限公司; 中募金融資管有限公司</t>
        </is>
      </c>
      <c r="AT281" s="37">
        <f>HYPERLINK("https://www1.hkexnews.hk/listedco/listconews/sehk/2024/0927/2024092700039.pdf","prospectus")</f>
        <v/>
      </c>
      <c r="AU281" s="37">
        <f>HYPERLINK("https://www1.hkexnews.hk/listedco/listconews/sehk/2024/1008/2024100801016.pdf","allotment")</f>
        <v/>
      </c>
      <c r="AV281" s="26" t="n"/>
      <c r="AW281" s="26" t="inlineStr">
        <is>
          <t>greenshoe: end-of-stabilisation notice not located · A/H: no A-share listing</t>
        </is>
      </c>
    </row>
    <row r="282">
      <c r="A282" s="25" t="inlineStr">
        <is>
          <t>2567</t>
        </is>
      </c>
      <c r="B282" s="26" t="inlineStr">
        <is>
          <t>QINIU</t>
        </is>
      </c>
      <c r="C282" s="26" t="inlineStr">
        <is>
          <t>七牛智能</t>
        </is>
      </c>
      <c r="D282" s="26" t="inlineStr">
        <is>
          <t>Tech/AI</t>
        </is>
      </c>
      <c r="E282" s="26" t="inlineStr">
        <is>
          <t>Data center / cloud infra</t>
        </is>
      </c>
      <c r="F282" s="26" t="inlineStr">
        <is>
          <t>Standard</t>
        </is>
      </c>
      <c r="G282" s="27" t="n">
        <v>45581</v>
      </c>
      <c r="H282" s="28" t="n">
        <v>439.3</v>
      </c>
      <c r="I282" s="26" t="inlineStr">
        <is>
          <t>gross (stated)</t>
        </is>
      </c>
      <c r="J282" s="29" t="n">
        <v>2.74</v>
      </c>
      <c r="K282" s="29" t="n">
        <v>2.86</v>
      </c>
      <c r="L282" s="29" t="n">
        <v>2.75</v>
      </c>
      <c r="M282" s="26" t="inlineStr">
        <is>
          <t>N</t>
        </is>
      </c>
      <c r="N282" s="30" t="n">
        <v>96.2</v>
      </c>
      <c r="O282" s="28" t="n">
        <v>5490.8</v>
      </c>
      <c r="P282" s="26" t="inlineStr">
        <is>
          <t>derived:price x shares upon listing</t>
        </is>
      </c>
      <c r="Q282" s="31" t="n">
        <v>19.87</v>
      </c>
      <c r="R282" s="32" t="n">
        <v>1.02</v>
      </c>
      <c r="S282" s="33" t="n">
        <v>63.5</v>
      </c>
      <c r="T282" s="26" t="inlineStr">
        <is>
          <t>禾順有限合夥</t>
        </is>
      </c>
      <c r="U282" s="30" t="n">
        <v>9.1</v>
      </c>
      <c r="V282" s="26" t="inlineStr">
        <is>
          <t>lapsed (no over-allocation)</t>
        </is>
      </c>
      <c r="W282" s="34" t="n">
        <v>-56.73</v>
      </c>
      <c r="X282" s="34" t="n">
        <v>-56.73</v>
      </c>
      <c r="Y282" s="34" t="n">
        <v>-62.55</v>
      </c>
      <c r="Z282" s="34" t="n">
        <v>-75.27</v>
      </c>
      <c r="AA282" s="34" t="n">
        <v>-13.45</v>
      </c>
      <c r="AB282" s="34" t="n">
        <v>-59.44</v>
      </c>
      <c r="AC282" s="34" t="n">
        <v>-3.11</v>
      </c>
      <c r="AD282" s="26" t="inlineStr">
        <is>
          <t>HSTECH (Hang Seng TECH ETF)</t>
        </is>
      </c>
      <c r="AE282" s="34" t="n">
        <v>-87.09</v>
      </c>
      <c r="AF282" s="28" t="n">
        <v>1467.4</v>
      </c>
      <c r="AG282" s="28" t="n">
        <v>-356.5</v>
      </c>
      <c r="AH282" s="26" t="inlineStr">
        <is>
          <t>N</t>
        </is>
      </c>
      <c r="AI282" s="38">
        <f>IF('BBG Verify'!O282="","not filed — run on terminal",'BBG Verify'!O282)</f>
        <v/>
      </c>
      <c r="AJ282" s="35" t="n">
        <v>3.7</v>
      </c>
      <c r="AK282" s="26" t="inlineStr">
        <is>
          <t>N</t>
        </is>
      </c>
      <c r="AL282" s="36">
        <f>IF('BBG Verify'!K282="","not filed — run on terminal",'BBG Verify'!K282)</f>
        <v/>
      </c>
      <c r="AM282" s="26" t="inlineStr">
        <is>
          <t>N/A</t>
        </is>
      </c>
      <c r="AN282" s="26" t="inlineStr">
        <is>
          <t>N/A</t>
        </is>
      </c>
      <c r="AO282" s="26" t="inlineStr">
        <is>
          <t>N/A</t>
        </is>
      </c>
      <c r="AP282" s="26" t="inlineStr">
        <is>
          <t>Shenwan Hongyuan Capital (H.K.) Limited; BOCOM International (Asia) Limited</t>
        </is>
      </c>
      <c r="AQ282" s="26" t="inlineStr">
        <is>
          <t>申萬宏源融資（香港）有限公司</t>
        </is>
      </c>
      <c r="AR282" s="26"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AS282" s="26" t="inlineStr">
        <is>
          <t>農銀國際證券有限公司; 交銀國際證券有限公司; 民銀證券有限公司; 招銀國際融資有限公司; 招商證券(香港)有限公司; 富途證券國際（香港）有限公司; 廣發證券（香港）經紀有限公司; 華泰金融控股(香港)有限公司; 利弗莫爾證券有限公司; 國證國際證券（香港）有限公司; 申萬宏源證券（香港）有限公司; 老虎證券（香港）環球有限公司; 浙商國際金融控股有限公司</t>
        </is>
      </c>
      <c r="AT282" s="37">
        <f>HYPERLINK("https://www1.hkexnews.hk/listedco/listconews/sehk/2024/0930/2024093000011.pdf","prospectus")</f>
        <v/>
      </c>
      <c r="AU282" s="37">
        <f>HYPERLINK("https://www1.hkexnews.hk/listedco/listconews/sehk/2024/1015/2024101500998.pdf","allotment")</f>
        <v/>
      </c>
      <c r="AV282" s="37">
        <f>HYPERLINK("https://www1.hkexnews.hk/listedco/listconews/sehk/2024/1111/2024111100811.pdf","stabilisation")</f>
        <v/>
      </c>
      <c r="AW282" s="26" t="inlineStr">
        <is>
          <t>P/E: n/m — loss-making at IPO (use P/S) · A/H: no A-share listing</t>
        </is>
      </c>
    </row>
    <row r="283">
      <c r="A283" s="25" t="inlineStr">
        <is>
          <t>2460</t>
        </is>
      </c>
      <c r="B283" s="26" t="inlineStr">
        <is>
          <t>CR BEVERAGE</t>
        </is>
      </c>
      <c r="C283" s="26" t="inlineStr">
        <is>
          <t>華潤飲料</t>
        </is>
      </c>
      <c r="D283" s="26" t="inlineStr">
        <is>
          <t>Consumer</t>
        </is>
      </c>
      <c r="E283" s="26" t="inlineStr">
        <is>
          <t>Beverages / packaged food</t>
        </is>
      </c>
      <c r="F283" s="26" t="inlineStr">
        <is>
          <t>Standard</t>
        </is>
      </c>
      <c r="G283" s="27" t="n">
        <v>45588</v>
      </c>
      <c r="H283" s="28" t="n">
        <v>5043.5</v>
      </c>
      <c r="I283" s="26" t="inlineStr">
        <is>
          <t>gross (price x shares)</t>
        </is>
      </c>
      <c r="J283" s="29" t="n">
        <v>13.5</v>
      </c>
      <c r="K283" s="29" t="n">
        <v>14.5</v>
      </c>
      <c r="L283" s="29" t="n">
        <v>14.5</v>
      </c>
      <c r="M283" s="26" t="inlineStr">
        <is>
          <t>Y</t>
        </is>
      </c>
      <c r="N283" s="30" t="n">
        <v>100</v>
      </c>
      <c r="O283" s="28" t="n">
        <v>34077.7</v>
      </c>
      <c r="P283" s="26" t="inlineStr">
        <is>
          <t>derived:deal size / offer % of enlarged capital</t>
        </is>
      </c>
      <c r="Q283" s="31" t="n">
        <v>234.49</v>
      </c>
      <c r="R283" s="32" t="n">
        <v>24.47</v>
      </c>
      <c r="S283" s="33" t="n">
        <v>47.72</v>
      </c>
      <c r="T283" s="26" t="inlineStr">
        <is>
          <t>Athos Capital Limited; 中郵人壽保險股份有限公司; 香港中旅(集團)有限公司; Ghisallo Master Fund LP; Oaktree Capital Management, L.P; Pamalican Fund Ltd; PT Indadi Juver; UBS AM Singapore; Wildlife Willow Limited</t>
        </is>
      </c>
      <c r="U283" s="30" t="n">
        <v>15</v>
      </c>
      <c r="V283" s="26" t="inlineStr">
        <is>
          <t>partial</t>
        </is>
      </c>
      <c r="W283" s="34" t="n">
        <v>15.03</v>
      </c>
      <c r="X283" s="34" t="n">
        <v>6.62</v>
      </c>
      <c r="Y283" s="34" t="n">
        <v>-15.03</v>
      </c>
      <c r="Z283" s="34" t="n">
        <v>-18.07</v>
      </c>
      <c r="AA283" s="34" t="n">
        <v>-26.13</v>
      </c>
      <c r="AB283" s="34" t="n">
        <v>-9.75</v>
      </c>
      <c r="AC283" s="34" t="n">
        <v>-5.28</v>
      </c>
      <c r="AD283" s="26" t="inlineStr">
        <is>
          <t>Hang Seng Commerce &amp; Industry sub-index</t>
        </is>
      </c>
      <c r="AE283" s="34" t="n">
        <v>-47.34</v>
      </c>
      <c r="AF283" s="28" t="n">
        <v>14866.2</v>
      </c>
      <c r="AG283" s="28" t="n">
        <v>1464.5</v>
      </c>
      <c r="AH283" s="26" t="inlineStr">
        <is>
          <t>Y</t>
        </is>
      </c>
      <c r="AI283" s="35" t="n">
        <v>23.3</v>
      </c>
      <c r="AJ283" s="35" t="n">
        <v>2.3</v>
      </c>
      <c r="AK283" s="26" t="inlineStr">
        <is>
          <t>N</t>
        </is>
      </c>
      <c r="AL283" s="36">
        <f>IF('BBG Verify'!K283="","not filed — run on terminal",'BBG Verify'!K283)</f>
        <v/>
      </c>
      <c r="AM283" s="26" t="inlineStr">
        <is>
          <t>N/A</t>
        </is>
      </c>
      <c r="AN283" s="26" t="inlineStr">
        <is>
          <t>N/A</t>
        </is>
      </c>
      <c r="AO283" s="26" t="inlineStr">
        <is>
          <t>N/A</t>
        </is>
      </c>
      <c r="AP283" s="26" t="inlineStr">
        <is>
          <t>UBS Securities Hong Kong Limited; BOCI Asia Limited; CITIC Securities (Hong Kong) Limited; Merrill Lynch (Asia Pacific) Limited</t>
        </is>
      </c>
      <c r="AQ283" s="26" t="inlineStr">
        <is>
          <t>瑞銀證券香港有限公司; 美林(亞太)有限公司; 中信證券(香港)有限公司; 中銀國際亞洲有限公司</t>
        </is>
      </c>
      <c r="AR283" s="26"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AS283" s="26" t="inlineStr">
        <is>
          <t>農銀國際證券有限公司; 中銀國際亞洲有限公司; 建銀國際金融有限公司; 中國國際金融香港證券有限公司; 中信里昂證券有限公司; 招銀國際融資有限公司; 華泰金融控股(香港)有限公司; 香港上海匯豐銀行有限公司; 美林(亞太)有限公司; UBS AG 香港分行</t>
        </is>
      </c>
      <c r="AT283" s="37">
        <f>HYPERLINK("https://www1.hkexnews.hk/listedco/listconews/sehk/2024/1015/2024101500009.pdf","prospectus")</f>
        <v/>
      </c>
      <c r="AU283" s="37">
        <f>HYPERLINK("https://www1.hkexnews.hk/listedco/listconews/sehk/2024/1022/2024102201053.pdf","allotment")</f>
        <v/>
      </c>
      <c r="AV283" s="37">
        <f>HYPERLINK("https://www1.hkexnews.hk/listedco/listconews/sehk/2024/1118/2024111801006.pdf","stabilisation")</f>
        <v/>
      </c>
      <c r="AW283" s="26" t="inlineStr">
        <is>
          <t>A/H: no A-share listing</t>
        </is>
      </c>
    </row>
    <row r="284">
      <c r="A284" s="25" t="inlineStr">
        <is>
          <t>9660</t>
        </is>
      </c>
      <c r="B284" s="26" t="inlineStr">
        <is>
          <t>HORIZONROBOT-W</t>
        </is>
      </c>
      <c r="C284" s="26" t="inlineStr">
        <is>
          <t>地平線機器人－Ｗ</t>
        </is>
      </c>
      <c r="D284" s="26" t="inlineStr">
        <is>
          <t>Tech/AI</t>
        </is>
      </c>
      <c r="E284" s="26" t="inlineStr">
        <is>
          <t>AI chips &amp; semis</t>
        </is>
      </c>
      <c r="F284" s="26" t="inlineStr">
        <is>
          <t>WVR</t>
        </is>
      </c>
      <c r="G284" s="27" t="n">
        <v>45589</v>
      </c>
      <c r="H284" s="28" t="n">
        <v>5407</v>
      </c>
      <c r="I284" s="26" t="inlineStr">
        <is>
          <t>gross (stated)</t>
        </is>
      </c>
      <c r="J284" s="29" t="n">
        <v>3.73</v>
      </c>
      <c r="K284" s="29" t="n">
        <v>3.99</v>
      </c>
      <c r="L284" s="29" t="n">
        <v>3.99</v>
      </c>
      <c r="M284" s="26" t="inlineStr">
        <is>
          <t>Y</t>
        </is>
      </c>
      <c r="N284" s="30" t="n">
        <v>100</v>
      </c>
      <c r="O284" s="28" t="n">
        <v>51989.2</v>
      </c>
      <c r="P284" s="26" t="inlineStr">
        <is>
          <t>derived:price x shares upon listing</t>
        </is>
      </c>
      <c r="Q284" s="31" t="n">
        <v>33.83</v>
      </c>
      <c r="R284" s="32" t="n">
        <v>13.81</v>
      </c>
      <c r="S284" s="33" t="n">
        <v>31.56</v>
      </c>
      <c r="T284" s="26" t="inlineStr">
        <is>
          <t>Alisoft China Holding Limited; Baidu (Hong Kong) Limited; JSC International Investment Fund SPC; PARTICIPATIONS 1</t>
        </is>
      </c>
      <c r="U284" s="30" t="n">
        <v>15</v>
      </c>
      <c r="V284" s="26" t="inlineStr">
        <is>
          <t>partial</t>
        </is>
      </c>
      <c r="W284" s="34" t="n">
        <v>2.76</v>
      </c>
      <c r="X284" s="34" t="n">
        <v>19.55</v>
      </c>
      <c r="Y284" s="34" t="n">
        <v>-4.76</v>
      </c>
      <c r="Z284" s="34" t="n">
        <v>10.03</v>
      </c>
      <c r="AA284" s="34" t="n">
        <v>-7.32</v>
      </c>
      <c r="AB284" s="34" t="n">
        <v>3.41</v>
      </c>
      <c r="AC284" s="34" t="n">
        <v>-8.17</v>
      </c>
      <c r="AD284" s="26" t="inlineStr">
        <is>
          <t>HSTECH (Hang Seng TECH ETF)</t>
        </is>
      </c>
      <c r="AE284" s="34" t="n">
        <v>18.3</v>
      </c>
      <c r="AF284" s="28" t="n">
        <v>1706.8</v>
      </c>
      <c r="AG284" s="28" t="n">
        <v>-7413</v>
      </c>
      <c r="AH284" s="26" t="inlineStr">
        <is>
          <t>N</t>
        </is>
      </c>
      <c r="AI284" s="38">
        <f>IF('BBG Verify'!O284="","not filed — run on terminal",'BBG Verify'!O284)</f>
        <v/>
      </c>
      <c r="AJ284" s="35" t="n">
        <v>30.5</v>
      </c>
      <c r="AK284" s="26" t="inlineStr">
        <is>
          <t>N</t>
        </is>
      </c>
      <c r="AL284" s="36">
        <f>IF('BBG Verify'!K284="","not filed — run on terminal",'BBG Verify'!K284)</f>
        <v/>
      </c>
      <c r="AM284" s="26" t="inlineStr">
        <is>
          <t>N/A</t>
        </is>
      </c>
      <c r="AN284" s="26" t="inlineStr">
        <is>
          <t>N/A</t>
        </is>
      </c>
      <c r="AO284" s="26" t="inlineStr">
        <is>
          <t>N/A</t>
        </is>
      </c>
      <c r="AP284" s="26" t="inlineStr">
        <is>
          <t>and Joint Sponsor-Overall Coordinators Goldman Sachs (Asia) L.L.C; Morgan Stanley Asia Limited; China Securities (International) Corporate Finance Company Limited</t>
        </is>
      </c>
      <c r="AQ284" s="26" t="inlineStr">
        <is>
          <t>摩根士丹利亞洲有限公司; 高盛(亞洲)有限責任公司; 中信建投(國際)融資有限公司</t>
        </is>
      </c>
      <c r="AR284" s="26" t="inlineStr">
        <is>
          <t>Goldman Sachs (Asia) L.L.C; Morgan Stanley Asia Limited; Central, Hong Kong CLSA Limited; Deutsche Bank AG, Hong Kong Branch; The Hongkong and Shanghai Banking Corporation Limited; CMB International Capital Limited; China Galaxy International Securities (Hong Kong) Co., Limited; China Securities (International) Corporate Finance Company Limited; Central, Hong Kong BOCOM International Securities Limited</t>
        </is>
      </c>
      <c r="AS284" s="26" t="inlineStr">
        <is>
          <t>農銀國際證券有限公司; 中銀國際亞洲有限公司; 交銀國際證券有限公司; 建銀國際金融有限公司; 光銀國際資本有限公司; 中國銀河國際證券(香港)有限公司; 中信里昂證券有限公司; 招銀國際融資有限公司; 中信建投(國際)融資有限公司; 時富證券有限公司; 德意志銀行香港分行; 星展亞洲融資有限公司; 富途證券國際（香港）有限公司; 廣發證券（香港）經紀有限公司; 高盛(亞洲)有限責任公司; 香港上海匯豐銀行有限公司; 工銀國際證券有限公司; 利弗莫爾證券有限公司; 摩根士丹利亞洲有限公司; 國證國際證券（香港）有限公司</t>
        </is>
      </c>
      <c r="AT284" s="37">
        <f>HYPERLINK("https://www1.hkexnews.hk/listedco/listconews/sehk/2024/1016/2024101600024.htm","prospectus")</f>
        <v/>
      </c>
      <c r="AU284" s="37">
        <f>HYPERLINK("https://www1.hkexnews.hk/listedco/listconews/sehk/2024/1023/2024102300943.pdf","allotment")</f>
        <v/>
      </c>
      <c r="AV284" s="37">
        <f>HYPERLINK("https://www1.hkexnews.hk/listedco/listconews/sehk/2024/1120/2024112001092.pdf","stabilisation")</f>
        <v/>
      </c>
      <c r="AW284" s="26" t="inlineStr">
        <is>
          <t>P/E: n/m — loss-making at IPO (use P/S) · A/H: no A line; closest listed proxy {'code': '002920.SZ', 'name': 'Desay SV Automotive', 'rationale': "Leading A-share intelligent-driving domain-controller/ADAS tier-1 — the closest pure-A exposure to the China ADAS adoption curve that Horizon's Journey SoCs ride."}</t>
        </is>
      </c>
    </row>
    <row r="285">
      <c r="A285" s="25" t="inlineStr">
        <is>
          <t>2465</t>
        </is>
      </c>
      <c r="B285" s="26" t="inlineStr">
        <is>
          <t>LOPAL TECH</t>
        </is>
      </c>
      <c r="C285" s="26" t="inlineStr">
        <is>
          <t>龍蟠科技</t>
        </is>
      </c>
      <c r="D285" s="26" t="inlineStr">
        <is>
          <t>Industrials</t>
        </is>
      </c>
      <c r="E285" s="26" t="inlineStr">
        <is>
          <t>Batteries / energy storage</t>
        </is>
      </c>
      <c r="F285" s="26" t="inlineStr">
        <is>
          <t>Standard</t>
        </is>
      </c>
      <c r="G285" s="27" t="n">
        <v>45595</v>
      </c>
      <c r="H285" s="28" t="n">
        <v>550</v>
      </c>
      <c r="I285" s="26" t="inlineStr">
        <is>
          <t>gross (price x shares)</t>
        </is>
      </c>
      <c r="J285" s="29" t="n"/>
      <c r="K285" s="29" t="n">
        <v>7</v>
      </c>
      <c r="L285" s="29" t="n">
        <v>5.5</v>
      </c>
      <c r="M285" s="26" t="inlineStr">
        <is>
          <t>N</t>
        </is>
      </c>
      <c r="N285" s="30" t="n">
        <v>78.59999999999999</v>
      </c>
      <c r="O285" s="28" t="n">
        <v>3666.7</v>
      </c>
      <c r="P285" s="26" t="inlineStr">
        <is>
          <t>derived:deal size / offer % of enlarged capital</t>
        </is>
      </c>
      <c r="Q285" s="31" t="n">
        <v>3.99</v>
      </c>
      <c r="R285" s="32" t="n">
        <v>3.23</v>
      </c>
      <c r="S285" s="33" t="n">
        <v>20</v>
      </c>
      <c r="T285" s="26" t="inlineStr">
        <is>
          <t>Harvest Oriental SP</t>
        </is>
      </c>
      <c r="U285" s="30" t="n">
        <v>15</v>
      </c>
      <c r="V285" s="26" t="inlineStr">
        <is>
          <t>lapsed</t>
        </is>
      </c>
      <c r="W285" s="34" t="n">
        <v>-13.64</v>
      </c>
      <c r="X285" s="34" t="n">
        <v>-17.45</v>
      </c>
      <c r="Y285" s="34" t="n">
        <v>8.18</v>
      </c>
      <c r="Z285" s="34" t="n">
        <v>-17.45</v>
      </c>
      <c r="AA285" s="34" t="n">
        <v>25.27</v>
      </c>
      <c r="AB285" s="34" t="n">
        <v>15.56</v>
      </c>
      <c r="AC285" s="34" t="n">
        <v>-7.38</v>
      </c>
      <c r="AD285" s="26" t="inlineStr">
        <is>
          <t>Hang Seng Commerce &amp; Industry sub-index</t>
        </is>
      </c>
      <c r="AE285" s="34" t="n">
        <v>79.27</v>
      </c>
      <c r="AF285" s="28" t="n">
        <v>13466.1</v>
      </c>
      <c r="AG285" s="28" t="n">
        <v>-2013.6</v>
      </c>
      <c r="AH285" s="26" t="inlineStr">
        <is>
          <t>N</t>
        </is>
      </c>
      <c r="AI285" s="38">
        <f>IF('BBG Verify'!O285="","not filed — run on terminal",'BBG Verify'!O285)</f>
        <v/>
      </c>
      <c r="AJ285" s="35" t="n">
        <v>0.3</v>
      </c>
      <c r="AK285" s="26" t="inlineStr">
        <is>
          <t>Y</t>
        </is>
      </c>
      <c r="AL285" s="26" t="inlineStr">
        <is>
          <t>603906.SS</t>
        </is>
      </c>
      <c r="AM285" s="34" t="n">
        <v>-50.78</v>
      </c>
      <c r="AN285" s="29" t="n">
        <v>11.1743</v>
      </c>
      <c r="AO285" s="42" t="n">
        <v>-0.5701000000000001</v>
      </c>
      <c r="AP285" s="26" t="inlineStr">
        <is>
          <t>Guotai Junan Capital Limited; Halcyon Capital Limited</t>
        </is>
      </c>
      <c r="AQ285" s="26" t="inlineStr">
        <is>
          <t>國泰君安融資有限公司; 鎧盛資本有限公司</t>
        </is>
      </c>
      <c r="AR285" s="26" t="inlineStr">
        <is>
          <t>ABCI Securities Company Limited</t>
        </is>
      </c>
      <c r="AS285" s="26" t="inlineStr">
        <is>
          <t>農銀國際證券有限公司; 中銀國際亞洲有限公司; 建銀國際金融有限公司; 招銀國際融資有限公司; 國泰君安證券(香港)有限公司; 鎧盛證券有限公司; 工銀國際證券有限公司; 利弗莫爾證券有限公司; TradeGo Markets Limited</t>
        </is>
      </c>
      <c r="AT285" s="37">
        <f>HYPERLINK("https://www1.hkexnews.hk/listedco/listconews/sehk/2024/1022/2024102200007.pdf","prospectus")</f>
        <v/>
      </c>
      <c r="AU285" s="37">
        <f>HYPERLINK("https://www1.hkexnews.hk/listedco/listconews/sehk/2024/1029/2024102901308.pdf","allotment")</f>
        <v/>
      </c>
      <c r="AV285" s="37">
        <f>HYPERLINK("https://www1.hkexnews.hk/listedco/listconews/sehk/2024/1125/2024112500279.pdf","stabilisation")</f>
        <v/>
      </c>
      <c r="AW285" s="26" t="inlineStr">
        <is>
          <t>P/E: n/m — loss-making at IPO (use P/S) · A/H: Oct 2024 H listing (LFP cathode/adblue)</t>
        </is>
      </c>
    </row>
    <row r="286">
      <c r="A286" s="25" t="inlineStr">
        <is>
          <t>2563</t>
        </is>
      </c>
      <c r="B286" s="26" t="inlineStr">
        <is>
          <t>BIOSTAR PHARM-B</t>
        </is>
      </c>
      <c r="C286" s="26" t="inlineStr">
        <is>
          <t>華昊中天醫藥－Ｂ</t>
        </is>
      </c>
      <c r="D286" s="26" t="inlineStr">
        <is>
          <t>Healthcare</t>
        </is>
      </c>
      <c r="E286" s="26" t="inlineStr">
        <is>
          <t>Biotech pre-revenue (18A)</t>
        </is>
      </c>
      <c r="F286" s="26" t="inlineStr">
        <is>
          <t>18A</t>
        </is>
      </c>
      <c r="G286" s="27" t="n">
        <v>45596</v>
      </c>
      <c r="H286" s="28" t="n">
        <v>233.4</v>
      </c>
      <c r="I286" s="26" t="inlineStr">
        <is>
          <t>gross (price x shares)</t>
        </is>
      </c>
      <c r="J286" s="29" t="n"/>
      <c r="K286" s="29" t="n">
        <v>22</v>
      </c>
      <c r="L286" s="29" t="n">
        <v>16</v>
      </c>
      <c r="M286" s="26" t="inlineStr">
        <is>
          <t>N</t>
        </is>
      </c>
      <c r="N286" s="30" t="n">
        <v>72.7</v>
      </c>
      <c r="O286" s="28" t="n">
        <v>5833.4</v>
      </c>
      <c r="P286" s="26" t="inlineStr">
        <is>
          <t>derived:price x shares upon listing</t>
        </is>
      </c>
      <c r="Q286" s="31" t="n">
        <v>21.45</v>
      </c>
      <c r="R286" s="32" t="n">
        <v>0.994</v>
      </c>
      <c r="S286" s="33" t="n">
        <v>15.7</v>
      </c>
      <c r="T286" s="26" t="inlineStr">
        <is>
          <t>百洋健康產業國際商貿有限公司; Novotech SG Holdings Pte. Ltd; SilkyWater Absolute Return LPF; 富策控股有限公司</t>
        </is>
      </c>
      <c r="U286" s="30" t="n"/>
      <c r="V286" s="26" t="n"/>
      <c r="W286" s="34" t="n">
        <v>30</v>
      </c>
      <c r="X286" s="34" t="n">
        <v>75</v>
      </c>
      <c r="Y286" s="34" t="n">
        <v>74.69</v>
      </c>
      <c r="Z286" s="34" t="n">
        <v>-2.88</v>
      </c>
      <c r="AA286" s="34" t="n">
        <v>34.38</v>
      </c>
      <c r="AB286" s="34" t="n">
        <v>73.83</v>
      </c>
      <c r="AC286" s="34" t="n">
        <v>0.86</v>
      </c>
      <c r="AD286" s="26" t="inlineStr">
        <is>
          <t>China Biotech ETF (HS biotech proxy)</t>
        </is>
      </c>
      <c r="AE286" s="34" t="n">
        <v>-79.41</v>
      </c>
      <c r="AF286" s="28" t="n">
        <v>73.3</v>
      </c>
      <c r="AG286" s="28" t="n">
        <v>-91.8</v>
      </c>
      <c r="AH286" s="26" t="inlineStr">
        <is>
          <t>N</t>
        </is>
      </c>
      <c r="AI286" s="38">
        <f>IF('BBG Verify'!O286="","not filed — run on terminal",'BBG Verify'!O286)</f>
        <v/>
      </c>
      <c r="AJ286" s="35" t="n">
        <v>79.59999999999999</v>
      </c>
      <c r="AK286" s="26" t="inlineStr">
        <is>
          <t>N</t>
        </is>
      </c>
      <c r="AL286" s="36">
        <f>IF('BBG Verify'!K286="","not filed — run on terminal",'BBG Verify'!K286)</f>
        <v/>
      </c>
      <c r="AM286" s="26" t="inlineStr">
        <is>
          <t>N/A</t>
        </is>
      </c>
      <c r="AN286" s="26" t="inlineStr">
        <is>
          <t>N/A</t>
        </is>
      </c>
      <c r="AO286" s="26" t="inlineStr">
        <is>
          <t>N/A</t>
        </is>
      </c>
      <c r="AP286" s="26" t="n"/>
      <c r="AQ286" s="26" t="inlineStr">
        <is>
          <t>建銀國際金融有限公司; 中信建投(國際)融資有限公司</t>
        </is>
      </c>
      <c r="AR286" s="26" t="inlineStr">
        <is>
          <t>建銀國際金融有限公司; 中國銀河國際證券（香港）有限公司; 鉅誠證券有限公司; 民銀證券有限公司; 中信建投(國際)融資有限公司; 復星國際證券有限公司</t>
        </is>
      </c>
      <c r="AS286" s="26" t="inlineStr">
        <is>
          <t>建銀國際金融有限公司; 中國銀河國際證券（香港）有限公司; 鉅誠證券有限公司; 民銀證券有限公司; 中信建投(國際)融資有限公司; 復星國際證券有限公司; 第一上海證券有限公司; 富途證券國際（香港）有限公司; 國元證券經紀(香港)有限公司; 工銀國際證券有限公司; 海盈證券有限公司; 東方證券(香港)有限公司; 百惠證券有限公司; 申萬宏源證券（香港）有限公司; 浦銀國際融資有限公司; 山證國際證券有限公司; 中泰國際證券有限公司</t>
        </is>
      </c>
      <c r="AT286" s="37">
        <f>HYPERLINK("https://www1.hkexnews.hk/listedco/listconews/sehk/2024/1023/2024102300015.pdf","prospectus")</f>
        <v/>
      </c>
      <c r="AU286" s="37">
        <f>HYPERLINK("https://www1.hkexnews.hk/listedco/listconews/sehk/2024/1030/2024103002007.pdf","allotment")</f>
        <v/>
      </c>
      <c r="AV286" s="26" t="n"/>
      <c r="AW286" s="26" t="inlineStr">
        <is>
          <t>P/E: n/m — loss-making at IPO (use P/S) · greenshoe: no over-allotment option in the offer structure · A/H: no A-share listing · sponsor: English name not in the filing text; AAStocks 保薦人 shown · cornerstone: AAStocks institutional table includes non-cornerstone orders (superset) — cornerstone % is from the prospectus</t>
        </is>
      </c>
    </row>
    <row r="287">
      <c r="A287" s="25" t="inlineStr">
        <is>
          <t>2510</t>
        </is>
      </c>
      <c r="B287" s="26" t="inlineStr">
        <is>
          <t>TS LINES</t>
        </is>
      </c>
      <c r="C287" s="26" t="inlineStr">
        <is>
          <t>德翔海運</t>
        </is>
      </c>
      <c r="D287" s="26" t="inlineStr">
        <is>
          <t>Industrials</t>
        </is>
      </c>
      <c r="E287" s="26" t="inlineStr">
        <is>
          <t>Logistics</t>
        </is>
      </c>
      <c r="F287" s="26" t="inlineStr">
        <is>
          <t>Standard</t>
        </is>
      </c>
      <c r="G287" s="27" t="n">
        <v>45597</v>
      </c>
      <c r="H287" s="28" t="n">
        <v>1048.9</v>
      </c>
      <c r="I287" s="26" t="inlineStr">
        <is>
          <t>gross (price x shares)</t>
        </is>
      </c>
      <c r="J287" s="29" t="n">
        <v>3.5</v>
      </c>
      <c r="K287" s="29" t="n">
        <v>4.5</v>
      </c>
      <c r="L287" s="29" t="n">
        <v>4.18</v>
      </c>
      <c r="M287" s="26" t="inlineStr">
        <is>
          <t>N</t>
        </is>
      </c>
      <c r="N287" s="30" t="n">
        <v>92.90000000000001</v>
      </c>
      <c r="O287" s="28" t="n">
        <v>6900.9</v>
      </c>
      <c r="P287" s="26" t="inlineStr">
        <is>
          <t>derived:price x shares upon listing</t>
        </is>
      </c>
      <c r="Q287" s="31" t="n">
        <v>12.09</v>
      </c>
      <c r="R287" s="32" t="n">
        <v>2.22</v>
      </c>
      <c r="S287" s="33" t="n">
        <v>12.3</v>
      </c>
      <c r="T287" s="26" t="inlineStr">
        <is>
          <t>Crane Movement; Indigo Rainbow Limited; Metro Shine Group Limited; 環世物流控股香港有限公司</t>
        </is>
      </c>
      <c r="U287" s="30" t="n">
        <v>15</v>
      </c>
      <c r="V287" s="26" t="inlineStr">
        <is>
          <t>partial</t>
        </is>
      </c>
      <c r="W287" s="34" t="n">
        <v>-1.91</v>
      </c>
      <c r="X287" s="34" t="n">
        <v>-0</v>
      </c>
      <c r="Y287" s="34" t="n">
        <v>7.66</v>
      </c>
      <c r="Z287" s="34" t="n">
        <v>3.35</v>
      </c>
      <c r="AA287" s="34" t="n">
        <v>9.76</v>
      </c>
      <c r="AB287" s="34" t="n">
        <v>11.61</v>
      </c>
      <c r="AC287" s="34" t="n">
        <v>-3.95</v>
      </c>
      <c r="AD287" s="26" t="inlineStr">
        <is>
          <t>Hang Seng Commerce &amp; Industry sub-index</t>
        </is>
      </c>
      <c r="AE287" s="34" t="n">
        <v>163.16</v>
      </c>
      <c r="AF287" s="28" t="n">
        <v>6821.9</v>
      </c>
      <c r="AG287" s="28" t="n">
        <v>-245.9</v>
      </c>
      <c r="AH287" s="26" t="inlineStr">
        <is>
          <t>N</t>
        </is>
      </c>
      <c r="AI287" s="38">
        <f>IF('BBG Verify'!O287="","not filed — run on terminal",'BBG Verify'!O287)</f>
        <v/>
      </c>
      <c r="AJ287" s="35" t="n">
        <v>1</v>
      </c>
      <c r="AK287" s="26" t="inlineStr">
        <is>
          <t>N</t>
        </is>
      </c>
      <c r="AL287" s="36">
        <f>IF('BBG Verify'!K287="","not filed — run on terminal",'BBG Verify'!K287)</f>
        <v/>
      </c>
      <c r="AM287" s="26" t="inlineStr">
        <is>
          <t>N/A</t>
        </is>
      </c>
      <c r="AN287" s="26" t="inlineStr">
        <is>
          <t>N/A</t>
        </is>
      </c>
      <c r="AO287" s="26" t="inlineStr">
        <is>
          <t>N/A</t>
        </is>
      </c>
      <c r="AP287" s="26" t="inlineStr">
        <is>
          <t>J.P. Morgan Securities (Far East) Limited; China Merchants Securities (HK) Co., Limited</t>
        </is>
      </c>
      <c r="AQ287" s="26" t="inlineStr">
        <is>
          <t>J.P. Morgan Securities (Far East) Limited; 招商證券(香港)有限公司</t>
        </is>
      </c>
      <c r="AR287" s="26" t="inlineStr">
        <is>
          <t>J.P. Morgan Securities (Asia Pacific) Limited; China Merchants Securities (HK) Co., Limited; Futu Securities International (Hong Kong) Limited; Yuanta Securities (Hong Kong) Company Limited; Admiralty, Hong Kong Livermore Holdings Limited</t>
        </is>
      </c>
      <c r="AS287" s="26" t="inlineStr">
        <is>
          <t>招商證券(香港)有限公司; 富途證券國際（香港）有限公司; J.P. Morgan Securities (Asia Pacific) Limited; 利弗莫爾證券有限公司; 元大證券(香港)有限公司</t>
        </is>
      </c>
      <c r="AT287" s="37">
        <f>HYPERLINK("https://www1.hkexnews.hk/listedco/listconews/sehk/2024/1024/2024102400036.pdf","prospectus")</f>
        <v/>
      </c>
      <c r="AU287" s="37">
        <f>HYPERLINK("https://www1.hkexnews.hk/listedco/listconews/sehk/2024/1031/2024103101844.pdf","allotment")</f>
        <v/>
      </c>
      <c r="AV287" s="37">
        <f>HYPERLINK("https://www1.hkexnews.hk/listedco/listconews/sehk/2024/1128/2024112802025.pdf","stabilisation")</f>
        <v/>
      </c>
      <c r="AW287" s="26" t="inlineStr">
        <is>
          <t>P/E: n/m — loss-making at IPO (use P/S) · A/H: no A-share listing · cornerstone: AAStocks institutional table includes non-cornerstone orders (superset) — cornerstone % is from the prospectus</t>
        </is>
      </c>
    </row>
    <row r="288">
      <c r="A288" s="25" t="inlineStr">
        <is>
          <t>2519</t>
        </is>
      </c>
      <c r="B288" s="26" t="inlineStr">
        <is>
          <t>AUGROUP</t>
        </is>
      </c>
      <c r="C288" s="26" t="inlineStr">
        <is>
          <t>傲基股份</t>
        </is>
      </c>
      <c r="D288" s="26" t="inlineStr">
        <is>
          <t>Consumer</t>
        </is>
      </c>
      <c r="E288" s="26" t="inlineStr">
        <is>
          <t>Retail / distribution</t>
        </is>
      </c>
      <c r="F288" s="26" t="inlineStr">
        <is>
          <t>Standard</t>
        </is>
      </c>
      <c r="G288" s="27" t="n">
        <v>45604</v>
      </c>
      <c r="H288" s="28" t="n">
        <v>466.4</v>
      </c>
      <c r="I288" s="26" t="inlineStr">
        <is>
          <t>gross (price x shares)</t>
        </is>
      </c>
      <c r="J288" s="29" t="n">
        <v>14.56</v>
      </c>
      <c r="K288" s="29" t="n">
        <v>15.6</v>
      </c>
      <c r="L288" s="29" t="n">
        <v>15.6</v>
      </c>
      <c r="M288" s="26" t="inlineStr">
        <is>
          <t>Y</t>
        </is>
      </c>
      <c r="N288" s="30" t="n">
        <v>100</v>
      </c>
      <c r="O288" s="28" t="n">
        <v>6477.2</v>
      </c>
      <c r="P288" s="26" t="inlineStr">
        <is>
          <t>aastocks:上市市值 at the struck price</t>
        </is>
      </c>
      <c r="Q288" s="31" t="n">
        <v>17.74</v>
      </c>
      <c r="R288" s="32" t="n">
        <v>2.45</v>
      </c>
      <c r="S288" s="33" t="n">
        <v>11.67</v>
      </c>
      <c r="T288" s="26" t="inlineStr">
        <is>
          <t>香港華成雲商科技有限公司; 樂艙物流股份有限公司</t>
        </is>
      </c>
      <c r="U288" s="30" t="n">
        <v>15</v>
      </c>
      <c r="V288" s="26" t="inlineStr">
        <is>
          <t>lapsed</t>
        </is>
      </c>
      <c r="W288" s="34" t="n">
        <v>-11.41</v>
      </c>
      <c r="X288" s="34" t="n">
        <v>-22.82</v>
      </c>
      <c r="Y288" s="34" t="n">
        <v>-19.23</v>
      </c>
      <c r="Z288" s="34" t="n">
        <v>-23.97</v>
      </c>
      <c r="AA288" s="34" t="n">
        <v>-8.83</v>
      </c>
      <c r="AB288" s="34" t="n">
        <v>-16.55</v>
      </c>
      <c r="AC288" s="34" t="n">
        <v>-2.68</v>
      </c>
      <c r="AD288" s="26" t="inlineStr">
        <is>
          <t>Hang Seng Commerce &amp; Industry sub-index</t>
        </is>
      </c>
      <c r="AE288" s="34" t="n">
        <v>-76.56999999999999</v>
      </c>
      <c r="AF288" s="28" t="n">
        <v>9551.299999999999</v>
      </c>
      <c r="AG288" s="28" t="n">
        <v>572.1</v>
      </c>
      <c r="AH288" s="26" t="inlineStr">
        <is>
          <t>Y</t>
        </is>
      </c>
      <c r="AI288" s="35" t="n">
        <v>11.3</v>
      </c>
      <c r="AJ288" s="35" t="n">
        <v>0.7</v>
      </c>
      <c r="AK288" s="26" t="inlineStr">
        <is>
          <t>N</t>
        </is>
      </c>
      <c r="AL288" s="36">
        <f>IF('BBG Verify'!K288="","not filed — run on terminal",'BBG Verify'!K288)</f>
        <v/>
      </c>
      <c r="AM288" s="26" t="inlineStr">
        <is>
          <t>N/A</t>
        </is>
      </c>
      <c r="AN288" s="26" t="inlineStr">
        <is>
          <t>N/A</t>
        </is>
      </c>
      <c r="AO288" s="26" t="inlineStr">
        <is>
          <t>N/A</t>
        </is>
      </c>
      <c r="AP288" s="26" t="inlineStr">
        <is>
          <t>Huatai Financial Holdings (Hong Kong) Limited</t>
        </is>
      </c>
      <c r="AQ288" s="26" t="inlineStr">
        <is>
          <t>華泰金融控股(香港)有限公司</t>
        </is>
      </c>
      <c r="AR288" s="26" t="inlineStr">
        <is>
          <t>Huatai Financial Holdings (Hong Kong) Limited; CLSA Limited; DBS Asia Capital Limited; Livermore Holdings Limited</t>
        </is>
      </c>
      <c r="AS288" s="26" t="inlineStr">
        <is>
          <t>中信里昂證券有限公司; 星展亞洲融資有限公司; 華泰金融控股(香港)有限公司; 利弗莫爾證券有限公司</t>
        </is>
      </c>
      <c r="AT288" s="37">
        <f>HYPERLINK("https://www1.hkexnews.hk/listedco/listconews/sehk/2024/1031/2024103100187.pdf","prospectus")</f>
        <v/>
      </c>
      <c r="AU288" s="37">
        <f>HYPERLINK("https://www1.hkexnews.hk/listedco/listconews/sehk/2024/1107/2024110701104.pdf","allotment")</f>
        <v/>
      </c>
      <c r="AV288" s="37">
        <f>HYPERLINK("https://www1.hkexnews.hk/listedco/listconews/sehk/2024/1205/2024120500586.pdf","stabilisation")</f>
        <v/>
      </c>
      <c r="AW288" s="26" t="inlineStr">
        <is>
          <t>A/H: no A-share listing</t>
        </is>
      </c>
    </row>
    <row r="289">
      <c r="A289" s="25" t="inlineStr">
        <is>
          <t>2551</t>
        </is>
      </c>
      <c r="B289" s="26" t="inlineStr">
        <is>
          <t>APT ELECTRONICS</t>
        </is>
      </c>
      <c r="C289" s="26" t="inlineStr">
        <is>
          <t>晶科電子股份</t>
        </is>
      </c>
      <c r="D289" s="26" t="inlineStr">
        <is>
          <t>Tech/AI</t>
        </is>
      </c>
      <c r="E289" s="26" t="inlineStr">
        <is>
          <t>AI chips &amp; semis</t>
        </is>
      </c>
      <c r="F289" s="26" t="inlineStr">
        <is>
          <t>Standard</t>
        </is>
      </c>
      <c r="G289" s="27" t="n">
        <v>45604</v>
      </c>
      <c r="H289" s="28" t="n">
        <v>139.5</v>
      </c>
      <c r="I289" s="26" t="inlineStr">
        <is>
          <t>gross (price x shares)</t>
        </is>
      </c>
      <c r="J289" s="29" t="n"/>
      <c r="K289" s="29" t="n">
        <v>3.61</v>
      </c>
      <c r="L289" s="29" t="n">
        <v>3.61</v>
      </c>
      <c r="M289" s="26" t="inlineStr">
        <is>
          <t>Y</t>
        </is>
      </c>
      <c r="N289" s="30" t="n">
        <v>100</v>
      </c>
      <c r="O289" s="28" t="n">
        <v>1939.1</v>
      </c>
      <c r="P289" s="26" t="inlineStr">
        <is>
          <t>derived:price x shares upon listing</t>
        </is>
      </c>
      <c r="Q289" s="31" t="n">
        <v>5677.83</v>
      </c>
      <c r="R289" s="32" t="n">
        <v>6.95</v>
      </c>
      <c r="S289" s="33" t="n">
        <v>0</v>
      </c>
      <c r="T289" s="26" t="n"/>
      <c r="U289" s="30" t="n"/>
      <c r="V289" s="26" t="n"/>
      <c r="W289" s="34" t="n">
        <v>47.65</v>
      </c>
      <c r="X289" s="34" t="n">
        <v>25.21</v>
      </c>
      <c r="Y289" s="34" t="n">
        <v>-1.94</v>
      </c>
      <c r="Z289" s="34" t="n">
        <v>16.9</v>
      </c>
      <c r="AA289" s="34" t="n">
        <v>-33.59</v>
      </c>
      <c r="AB289" s="34" t="n">
        <v>-1.5</v>
      </c>
      <c r="AC289" s="34" t="n">
        <v>-0.44</v>
      </c>
      <c r="AD289" s="26" t="inlineStr">
        <is>
          <t>HSTECH (Hang Seng TECH ETF)</t>
        </is>
      </c>
      <c r="AE289" s="34" t="n">
        <v>-56.23</v>
      </c>
      <c r="AF289" s="28" t="n">
        <v>2043.8</v>
      </c>
      <c r="AG289" s="28" t="n">
        <v>79.2</v>
      </c>
      <c r="AH289" s="26" t="inlineStr">
        <is>
          <t>Y</t>
        </is>
      </c>
      <c r="AI289" s="35" t="n">
        <v>24.5</v>
      </c>
      <c r="AJ289" s="35" t="n">
        <v>0.9</v>
      </c>
      <c r="AK289" s="26" t="inlineStr">
        <is>
          <t>N</t>
        </is>
      </c>
      <c r="AL289" s="36">
        <f>IF('BBG Verify'!K289="","not filed — run on terminal",'BBG Verify'!K289)</f>
        <v/>
      </c>
      <c r="AM289" s="26" t="inlineStr">
        <is>
          <t>N/A</t>
        </is>
      </c>
      <c r="AN289" s="26" t="inlineStr">
        <is>
          <t>N/A</t>
        </is>
      </c>
      <c r="AO289" s="26" t="inlineStr">
        <is>
          <t>N/A</t>
        </is>
      </c>
      <c r="AP289" s="26" t="inlineStr">
        <is>
          <t>CITIC Securities (Hong Kong) Limited</t>
        </is>
      </c>
      <c r="AQ289" s="26" t="inlineStr">
        <is>
          <t>中信證券(香港)有限公司</t>
        </is>
      </c>
      <c r="AR289" s="26" t="inlineStr">
        <is>
          <t>CLSA Limited; GF Securities (Hong Kong) Brokerage Limited; Sinolink Securities (Hong Kong) Company Limited; BOCI Asia Limited; ABCI Capital Limited; ICBC International Securities Limited; China Galaxy International Securities (Hong Kong) Co., Limited; China Sunrise Securities (International) Limited; Patrons Securities Limited; Tiger Brokers (HK) Global Limited</t>
        </is>
      </c>
      <c r="AS289" s="26" t="inlineStr">
        <is>
          <t>農銀國際證券有限公司; 中銀國際亞洲有限公司; 中國銀河國際證券(香港)有限公司; 中信里昂證券有限公司; 華升證券（國際）有限公司; 富途證券國際（香港）有限公司; 廣發證券（香港）經紀有限公司; 工銀國際證券有限公司; 百惠證券有限公司; 國金證券（香港）有限公司; 老虎證券（香港）環球有限公司</t>
        </is>
      </c>
      <c r="AT289" s="37">
        <f>HYPERLINK("https://www1.hkexnews.hk/listedco/listconews/sehk/2024/1031/2024103100078.htm","prospectus")</f>
        <v/>
      </c>
      <c r="AU289" s="37">
        <f>HYPERLINK("https://www1.hkexnews.hk/listedco/listconews/sehk/2024/1107/2024110701242.pdf","allotment")</f>
        <v/>
      </c>
      <c r="AV289" s="26" t="n"/>
      <c r="AW289" s="26" t="inlineStr">
        <is>
          <t>greenshoe: no over-allotment option in the offer structure · price range: fixed-price offering (no indicative range) · A/H: no A-share listing</t>
        </is>
      </c>
    </row>
    <row r="290">
      <c r="A290" s="25" t="inlineStr">
        <is>
          <t>2582</t>
        </is>
      </c>
      <c r="B290" s="26" t="inlineStr">
        <is>
          <t>GUOFUHEE</t>
        </is>
      </c>
      <c r="C290" s="26" t="inlineStr">
        <is>
          <t>國富氫能</t>
        </is>
      </c>
      <c r="D290" s="26" t="inlineStr">
        <is>
          <t>Industrials</t>
        </is>
      </c>
      <c r="E290" s="26" t="inlineStr">
        <is>
          <t>Batteries / energy storage</t>
        </is>
      </c>
      <c r="F290" s="26" t="inlineStr">
        <is>
          <t>Standard</t>
        </is>
      </c>
      <c r="G290" s="27" t="n">
        <v>45611</v>
      </c>
      <c r="H290" s="28" t="n">
        <v>390</v>
      </c>
      <c r="I290" s="26" t="inlineStr">
        <is>
          <t>gross (price x shares)</t>
        </is>
      </c>
      <c r="J290" s="29" t="n"/>
      <c r="K290" s="29" t="n">
        <v>73</v>
      </c>
      <c r="L290" s="29" t="n">
        <v>65</v>
      </c>
      <c r="M290" s="26" t="inlineStr">
        <is>
          <t>N</t>
        </is>
      </c>
      <c r="N290" s="30" t="n">
        <v>89</v>
      </c>
      <c r="O290" s="28" t="n">
        <v>6806.2</v>
      </c>
      <c r="P290" s="26" t="inlineStr">
        <is>
          <t>derived:price x shares upon listing</t>
        </is>
      </c>
      <c r="Q290" s="31" t="n">
        <v>21.07</v>
      </c>
      <c r="R290" s="32" t="n">
        <v>0.99</v>
      </c>
      <c r="S290" s="33" t="n">
        <v>80.8</v>
      </c>
      <c r="T290" s="26" t="inlineStr">
        <is>
          <t>香港前沿碳中禾有限公司; 嘉興智芯氫裝股權投資合夥企業（有限合夥）; 悅創新能源香港有限公司</t>
        </is>
      </c>
      <c r="U290" s="30" t="n"/>
      <c r="V290" s="26" t="n"/>
      <c r="W290" s="34" t="n">
        <v>20</v>
      </c>
      <c r="X290" s="34" t="n">
        <v>48.54</v>
      </c>
      <c r="Y290" s="34" t="n">
        <v>69.84999999999999</v>
      </c>
      <c r="Z290" s="34" t="n">
        <v>132.15</v>
      </c>
      <c r="AA290" s="34" t="n">
        <v>41.54</v>
      </c>
      <c r="AB290" s="34" t="n">
        <v>68.18000000000001</v>
      </c>
      <c r="AC290" s="34" t="n">
        <v>1.67</v>
      </c>
      <c r="AD290" s="26" t="inlineStr">
        <is>
          <t>Hang Seng Commerce &amp; Industry sub-index</t>
        </is>
      </c>
      <c r="AE290" s="34" t="n">
        <v>-84.75</v>
      </c>
      <c r="AF290" s="28" t="n">
        <v>574.7</v>
      </c>
      <c r="AG290" s="28" t="n">
        <v>-82.5</v>
      </c>
      <c r="AH290" s="26" t="inlineStr">
        <is>
          <t>N</t>
        </is>
      </c>
      <c r="AI290" s="38">
        <f>IF('BBG Verify'!O290="","not filed — run on terminal",'BBG Verify'!O290)</f>
        <v/>
      </c>
      <c r="AJ290" s="35" t="n">
        <v>11.8</v>
      </c>
      <c r="AK290" s="26" t="inlineStr">
        <is>
          <t>N</t>
        </is>
      </c>
      <c r="AL290" s="36">
        <f>IF('BBG Verify'!K290="","not filed — run on terminal",'BBG Verify'!K290)</f>
        <v/>
      </c>
      <c r="AM290" s="26" t="inlineStr">
        <is>
          <t>N/A</t>
        </is>
      </c>
      <c r="AN290" s="26" t="inlineStr">
        <is>
          <t>N/A</t>
        </is>
      </c>
      <c r="AO290" s="26" t="inlineStr">
        <is>
          <t>N/A</t>
        </is>
      </c>
      <c r="AP290" s="26" t="inlineStr">
        <is>
          <t>Haitong International Capital Limited; Central, Hong Kong CITIC Securities (Hong Kong) Limited</t>
        </is>
      </c>
      <c r="AQ290" s="26" t="inlineStr">
        <is>
          <t>海通國際資本有限公司; 中信證券(香港)有限公司</t>
        </is>
      </c>
      <c r="AR290" s="26" t="inlineStr">
        <is>
          <t>Managers and CMIs CCB International Capital Limited; Central, Hong Kong China Securities (International) Corporate Finance Company Limited; Managers and CMIs Livermore Holdings Limited; Zhongtai International Securities Limited; Fortune Origin Securities Limited; Central, Hong Kong ICBC International Securities Limited; Quam Securities Limited; Soochow Securities International Brokerage Limited</t>
        </is>
      </c>
      <c r="AS290" s="26" t="inlineStr">
        <is>
          <t>建銀國際金融有限公司; 中信里昂證券有限公司; 中信建投(國際)融資有限公司; 富中證券有限公司; 海通國際證券有限公司; 工銀國際證券有限公司; 利弗莫爾證券有限公司; 華富建業證券有限公司; 東吳證券國際經紀有限公司; 中泰國際證券有限公司</t>
        </is>
      </c>
      <c r="AT290" s="37">
        <f>HYPERLINK("https://www1.hkexnews.hk/listedco/listconews/sehk/2024/1107/2024110700009.pdf","prospectus")</f>
        <v/>
      </c>
      <c r="AU290" s="37">
        <f>HYPERLINK("https://www1.hkexnews.hk/listedco/listconews/sehk/2024/1114/2024111400951.pdf","allotment")</f>
        <v/>
      </c>
      <c r="AV290" s="26" t="n"/>
      <c r="AW290" s="26" t="inlineStr">
        <is>
          <t>P/E: n/m — loss-making at IPO (use P/S) · greenshoe: no over-allotment option in the offer structure · A/H: no A-share listing</t>
        </is>
      </c>
    </row>
    <row r="291">
      <c r="A291" s="25" t="inlineStr">
        <is>
          <t>6936</t>
        </is>
      </c>
      <c r="B291" s="26" t="inlineStr">
        <is>
          <t>SF HOLDING</t>
        </is>
      </c>
      <c r="C291" s="26" t="inlineStr">
        <is>
          <t>順豐控股</t>
        </is>
      </c>
      <c r="D291" s="26" t="inlineStr">
        <is>
          <t>Industrials</t>
        </is>
      </c>
      <c r="E291" s="26" t="inlineStr">
        <is>
          <t>Logistics</t>
        </is>
      </c>
      <c r="F291" s="26" t="inlineStr">
        <is>
          <t>Standard</t>
        </is>
      </c>
      <c r="G291" s="27" t="n">
        <v>45623</v>
      </c>
      <c r="H291" s="28" t="n">
        <v>5831</v>
      </c>
      <c r="I291" s="26" t="inlineStr">
        <is>
          <t>gross (stated)</t>
        </is>
      </c>
      <c r="J291" s="29" t="n"/>
      <c r="K291" s="29" t="n">
        <v>36.3</v>
      </c>
      <c r="L291" s="29" t="n">
        <v>34.3</v>
      </c>
      <c r="M291" s="26" t="inlineStr">
        <is>
          <t>N</t>
        </is>
      </c>
      <c r="N291" s="30" t="n">
        <v>94.5</v>
      </c>
      <c r="O291" s="28" t="n">
        <v>149512.8</v>
      </c>
      <c r="P291" s="26" t="inlineStr">
        <is>
          <t>derived:deal size / offer % of enlarged capital</t>
        </is>
      </c>
      <c r="Q291" s="31" t="n">
        <v>79.06999999999999</v>
      </c>
      <c r="R291" s="32" t="n">
        <v>10.1</v>
      </c>
      <c r="S291" s="33" t="n">
        <v>27.4</v>
      </c>
      <c r="T291" s="26" t="inlineStr">
        <is>
          <t>CPIC; Wisdomshire AM; Shareholder Norges Bank</t>
        </is>
      </c>
      <c r="U291" s="30" t="n">
        <v>15</v>
      </c>
      <c r="V291" s="26" t="inlineStr">
        <is>
          <t>lapsed</t>
        </is>
      </c>
      <c r="W291" s="34" t="n">
        <v>0</v>
      </c>
      <c r="X291" s="34" t="n">
        <v>-4.96</v>
      </c>
      <c r="Y291" s="34" t="n">
        <v>-1.31</v>
      </c>
      <c r="Z291" s="34" t="n">
        <v>10.93</v>
      </c>
      <c r="AA291" s="34" t="n">
        <v>-1.31</v>
      </c>
      <c r="AB291" s="34" t="n">
        <v>-5.57</v>
      </c>
      <c r="AC291" s="34" t="n">
        <v>4.26</v>
      </c>
      <c r="AD291" s="26" t="inlineStr">
        <is>
          <t>Hang Seng Commerce &amp; Industry sub-index</t>
        </is>
      </c>
      <c r="AE291" s="34" t="n">
        <v>-5.31</v>
      </c>
      <c r="AF291" s="28" t="n">
        <v>284250.3</v>
      </c>
      <c r="AG291" s="28" t="n">
        <v>8702.799999999999</v>
      </c>
      <c r="AH291" s="26" t="inlineStr">
        <is>
          <t>Y</t>
        </is>
      </c>
      <c r="AI291" s="35" t="n">
        <v>17.2</v>
      </c>
      <c r="AJ291" s="35" t="n">
        <v>0.5</v>
      </c>
      <c r="AK291" s="26" t="inlineStr">
        <is>
          <t>Y</t>
        </is>
      </c>
      <c r="AL291" s="26" t="inlineStr">
        <is>
          <t>002352.SZ</t>
        </is>
      </c>
      <c r="AM291" s="34" t="n">
        <v>-24.08</v>
      </c>
      <c r="AN291" s="29" t="n">
        <v>45.1814</v>
      </c>
      <c r="AO291" s="42" t="n">
        <v>-0.1544</v>
      </c>
      <c r="AP291" s="26" t="inlineStr">
        <is>
          <t>Goldman Sachs (Asia) L.L.C; Huatai Financial Holdings (Hong Kong) Limited; J.P. Morgan Securities (Far East) Limited</t>
        </is>
      </c>
      <c r="AQ291" s="26" t="inlineStr">
        <is>
          <t>J.P. Morgan Securities (Far East) Limited; 高盛(亞洲)有限責任公司; 華泰金融控股(香港)有限公司</t>
        </is>
      </c>
      <c r="AR291" s="26"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AS291" s="26" t="inlineStr">
        <is>
          <t>農銀國際證券有限公司; 中銀國際亞洲有限公司; 中國國際金融香港證券有限公司; 招銀國際融資有限公司; 星展亞洲融資有限公司; 廣發證券（香港）經紀有限公司; 高盛(亞洲)有限責任公司; 華泰金融控股(香港)有限公司; 工銀國際證券有限公司; J.P. Morgan Securities (Asia Pacific) Limited; UBS AG 香港分行</t>
        </is>
      </c>
      <c r="AT291" s="37">
        <f>HYPERLINK("https://www1.hkexnews.hk/listedco/listconews/sehk/2024/1119/2024111900011.pdf","prospectus")</f>
        <v/>
      </c>
      <c r="AU291" s="37">
        <f>HYPERLINK("https://www1.hkexnews.hk/listedco/listconews/sehk/2024/1126/2024112601132.pdf","allotment")</f>
        <v/>
      </c>
      <c r="AV291" s="37">
        <f>HYPERLINK("https://www1.hkexnews.hk/listedco/listconews/sehk/2024/1223/2024122300065.pdf","stabilisation")</f>
        <v/>
      </c>
      <c r="AW291" s="26" t="inlineStr">
        <is>
          <t>A/H: Nov 2024, ~US$750m; first A+H express logistics name</t>
        </is>
      </c>
    </row>
    <row r="292">
      <c r="A292" s="25" t="inlineStr">
        <is>
          <t>2566</t>
        </is>
      </c>
      <c r="B292" s="26" t="inlineStr">
        <is>
          <t>JIUYUAN GENE</t>
        </is>
      </c>
      <c r="C292" s="26" t="inlineStr">
        <is>
          <t>九源基因</t>
        </is>
      </c>
      <c r="D292" s="26" t="inlineStr">
        <is>
          <t>Healthcare</t>
        </is>
      </c>
      <c r="E292" s="26" t="inlineStr">
        <is>
          <t>Biopharma commercial</t>
        </is>
      </c>
      <c r="F292" s="26" t="inlineStr">
        <is>
          <t>Standard</t>
        </is>
      </c>
      <c r="G292" s="27" t="n">
        <v>45624</v>
      </c>
      <c r="H292" s="28" t="n">
        <v>563.9</v>
      </c>
      <c r="I292" s="26" t="inlineStr">
        <is>
          <t>gross (price x shares)</t>
        </is>
      </c>
      <c r="J292" s="29" t="n">
        <v>11.48</v>
      </c>
      <c r="K292" s="29" t="n">
        <v>12.56</v>
      </c>
      <c r="L292" s="29" t="n">
        <v>12.42</v>
      </c>
      <c r="M292" s="26" t="inlineStr">
        <is>
          <t>N</t>
        </is>
      </c>
      <c r="N292" s="30" t="n">
        <v>98.90000000000001</v>
      </c>
      <c r="O292" s="28" t="n">
        <v>3047.9</v>
      </c>
      <c r="P292" s="26" t="inlineStr">
        <is>
          <t>derived:price x shares upon listing</t>
        </is>
      </c>
      <c r="Q292" s="31" t="n">
        <v>675.83</v>
      </c>
      <c r="R292" s="32" t="n">
        <v>1.18</v>
      </c>
      <c r="S292" s="33" t="n">
        <v>49.66</v>
      </c>
      <c r="T292" s="26" t="inlineStr">
        <is>
          <t>Heda; Mr. Wu; Hong Kong Limited; Shareholder Heda</t>
        </is>
      </c>
      <c r="U292" s="30" t="n">
        <v>17.16</v>
      </c>
      <c r="V292" s="26" t="n"/>
      <c r="W292" s="34" t="n">
        <v>-38.41</v>
      </c>
      <c r="X292" s="34" t="n">
        <v>-35.35</v>
      </c>
      <c r="Y292" s="34" t="n">
        <v>-46.86</v>
      </c>
      <c r="Z292" s="34" t="n">
        <v>-47.42</v>
      </c>
      <c r="AA292" s="34" t="n">
        <v>-13.72</v>
      </c>
      <c r="AB292" s="34" t="n">
        <v>-43.8</v>
      </c>
      <c r="AC292" s="34" t="n">
        <v>-3.06</v>
      </c>
      <c r="AD292" s="26" t="inlineStr">
        <is>
          <t>China Biotech ETF (HS biotech proxy)</t>
        </is>
      </c>
      <c r="AE292" s="34" t="n">
        <v>-57.09</v>
      </c>
      <c r="AF292" s="28" t="n">
        <v>1416.1</v>
      </c>
      <c r="AG292" s="28" t="n">
        <v>131.8</v>
      </c>
      <c r="AH292" s="26" t="inlineStr">
        <is>
          <t>Y</t>
        </is>
      </c>
      <c r="AI292" s="35" t="n">
        <v>23.1</v>
      </c>
      <c r="AJ292" s="35" t="n">
        <v>2.2</v>
      </c>
      <c r="AK292" s="26" t="inlineStr">
        <is>
          <t>N</t>
        </is>
      </c>
      <c r="AL292" s="36">
        <f>IF('BBG Verify'!K292="","not filed — run on terminal",'BBG Verify'!K292)</f>
        <v/>
      </c>
      <c r="AM292" s="26" t="inlineStr">
        <is>
          <t>N/A</t>
        </is>
      </c>
      <c r="AN292" s="26" t="inlineStr">
        <is>
          <t>N/A</t>
        </is>
      </c>
      <c r="AO292" s="26" t="inlineStr">
        <is>
          <t>N/A</t>
        </is>
      </c>
      <c r="AP292" s="26" t="inlineStr">
        <is>
          <t>and Sponsor-Overall Coordinator Huatai Financial Holdings (Hong Kong) Limited</t>
        </is>
      </c>
      <c r="AQ292" s="26" t="inlineStr">
        <is>
          <t>華泰金融控股(香港)有限公司</t>
        </is>
      </c>
      <c r="AR292" s="26" t="inlineStr">
        <is>
          <t>Huatai Financial Holdings (Hong Kong) Limited; Central, Hong Kong CLSA Limited</t>
        </is>
      </c>
      <c r="AS292" s="26" t="inlineStr">
        <is>
          <t>中信里昂證券有限公司; 招銀國際融資有限公司; 華泰金融控股(香港)有限公司; 百惠證券有限公司; 瑞邦證券有限公司</t>
        </is>
      </c>
      <c r="AT292" s="37">
        <f>HYPERLINK("https://www1.hkexnews.hk/listedco/listconews/sehk/2024/1120/2024112000019.pdf","prospectus")</f>
        <v/>
      </c>
      <c r="AU292" s="37">
        <f>HYPERLINK("https://www1.hkexnews.hk/listedco/listconews/sehk/2024/1127/2024112701177.pdf","allotment")</f>
        <v/>
      </c>
      <c r="AV292" s="26" t="n"/>
      <c r="AW292" s="26" t="inlineStr">
        <is>
          <t>greenshoe: end-of-stabilisation notice not located · A/H: no A-share listing</t>
        </is>
      </c>
    </row>
    <row r="293">
      <c r="A293" s="25" t="inlineStr">
        <is>
          <t>2585</t>
        </is>
      </c>
      <c r="B293" s="26" t="inlineStr">
        <is>
          <t>MOKINGRAN</t>
        </is>
      </c>
      <c r="C293" s="26" t="inlineStr">
        <is>
          <t>夢金園</t>
        </is>
      </c>
      <c r="D293" s="26" t="inlineStr">
        <is>
          <t>Consumer</t>
        </is>
      </c>
      <c r="E293" s="26" t="inlineStr">
        <is>
          <t>Apparel / luxury</t>
        </is>
      </c>
      <c r="F293" s="26" t="inlineStr">
        <is>
          <t>Standard</t>
        </is>
      </c>
      <c r="G293" s="27" t="n">
        <v>45625</v>
      </c>
      <c r="H293" s="28" t="n">
        <v>527.48</v>
      </c>
      <c r="I293" s="26" t="inlineStr">
        <is>
          <t>gross (stated)</t>
        </is>
      </c>
      <c r="J293" s="29" t="n">
        <v>12</v>
      </c>
      <c r="K293" s="29" t="n">
        <v>14.4</v>
      </c>
      <c r="L293" s="29" t="n">
        <v>12</v>
      </c>
      <c r="M293" s="26" t="inlineStr">
        <is>
          <t>N</t>
        </is>
      </c>
      <c r="N293" s="30" t="n">
        <v>83.3</v>
      </c>
      <c r="O293" s="28" t="n">
        <v>3276.3</v>
      </c>
      <c r="P293" s="26" t="inlineStr">
        <is>
          <t>derived:price x shares upon listing</t>
        </is>
      </c>
      <c r="Q293" s="31" t="n">
        <v>20.58</v>
      </c>
      <c r="R293" s="32" t="n">
        <v>0.98</v>
      </c>
      <c r="S293" s="33" t="n">
        <v>39.77</v>
      </c>
      <c r="T293" s="26" t="inlineStr">
        <is>
          <t>Swift Grace; Listing Top</t>
        </is>
      </c>
      <c r="U293" s="30" t="n">
        <v>5.64</v>
      </c>
      <c r="V293" s="26" t="n"/>
      <c r="W293" s="34" t="n">
        <v>7.5</v>
      </c>
      <c r="X293" s="34" t="n">
        <v>-3.33</v>
      </c>
      <c r="Y293" s="34" t="n">
        <v>13.5</v>
      </c>
      <c r="Z293" s="34" t="n">
        <v>48.67</v>
      </c>
      <c r="AA293" s="34" t="n">
        <v>5.58</v>
      </c>
      <c r="AB293" s="34" t="n">
        <v>12.42</v>
      </c>
      <c r="AC293" s="34" t="n">
        <v>1.08</v>
      </c>
      <c r="AD293" s="26" t="inlineStr">
        <is>
          <t>Hang Seng Commerce &amp; Industry sub-index</t>
        </is>
      </c>
      <c r="AE293" s="34" t="n">
        <v>148.83</v>
      </c>
      <c r="AF293" s="28" t="n">
        <v>22229.5</v>
      </c>
      <c r="AG293" s="28" t="n">
        <v>256.8</v>
      </c>
      <c r="AH293" s="26" t="inlineStr">
        <is>
          <t>Y</t>
        </is>
      </c>
      <c r="AI293" s="35" t="n">
        <v>12.8</v>
      </c>
      <c r="AJ293" s="35" t="n">
        <v>0.1</v>
      </c>
      <c r="AK293" s="26" t="inlineStr">
        <is>
          <t>N</t>
        </is>
      </c>
      <c r="AL293" s="36">
        <f>IF('BBG Verify'!K293="","not filed — run on terminal",'BBG Verify'!K293)</f>
        <v/>
      </c>
      <c r="AM293" s="26" t="inlineStr">
        <is>
          <t>N/A</t>
        </is>
      </c>
      <c r="AN293" s="26" t="inlineStr">
        <is>
          <t>N/A</t>
        </is>
      </c>
      <c r="AO293" s="26" t="inlineStr">
        <is>
          <t>N/A</t>
        </is>
      </c>
      <c r="AP293" s="26" t="inlineStr">
        <is>
          <t>CITIC Securities (Hong Kong) Limited</t>
        </is>
      </c>
      <c r="AQ293" s="26" t="inlineStr">
        <is>
          <t>中信證券(香港)有限公司</t>
        </is>
      </c>
      <c r="AR293" s="26" t="inlineStr">
        <is>
          <t>CLSA Limited; ABCI Capital Limited; China Everbright Securities (HK) Limited; Futu Securities International (Hong Kong) Limited; ICBC International Securities Limited; TradeGo Markets Limited</t>
        </is>
      </c>
      <c r="AS293" s="26" t="inlineStr">
        <is>
          <t>農銀國際證券有限公司; 中國光大證券(香港)有限公司; 中信里昂證券有限公司; 富途證券國際（香港）有限公司; 工銀國際證券有限公司; TradeGo Markets Limited</t>
        </is>
      </c>
      <c r="AT293" s="37">
        <f>HYPERLINK("https://www1.hkexnews.hk/listedco/listconews/sehk/2024/1121/2024112100017.pdf","prospectus")</f>
        <v/>
      </c>
      <c r="AU293" s="37">
        <f>HYPERLINK("https://www1.hkexnews.hk/listedco/listconews/sehk/2024/1128/2024112801779.pdf","allotment")</f>
        <v/>
      </c>
      <c r="AV293" s="26" t="n"/>
      <c r="AW293" s="26" t="inlineStr">
        <is>
          <t>greenshoe: end-of-stabilisation notice not located · A/H: no A-share listing</t>
        </is>
      </c>
    </row>
    <row r="294">
      <c r="A294" s="25" t="inlineStr">
        <is>
          <t>2586</t>
        </is>
      </c>
      <c r="B294" s="26" t="inlineStr">
        <is>
          <t>DMALL</t>
        </is>
      </c>
      <c r="C294" s="26" t="inlineStr">
        <is>
          <t>多點數智</t>
        </is>
      </c>
      <c r="D294" s="26" t="inlineStr">
        <is>
          <t>Tech/AI</t>
        </is>
      </c>
      <c r="E294" s="26" t="inlineStr">
        <is>
          <t>SaaS / enterprise software</t>
        </is>
      </c>
      <c r="F294" s="26" t="inlineStr">
        <is>
          <t>Standard</t>
        </is>
      </c>
      <c r="G294" s="27" t="n">
        <v>45632</v>
      </c>
      <c r="H294" s="28" t="n">
        <v>778.6</v>
      </c>
      <c r="I294" s="26" t="inlineStr">
        <is>
          <t>gross (price x shares)</t>
        </is>
      </c>
      <c r="J294" s="29" t="n"/>
      <c r="K294" s="29" t="n">
        <v>30.21</v>
      </c>
      <c r="L294" s="29" t="n">
        <v>30.21</v>
      </c>
      <c r="M294" s="26" t="inlineStr">
        <is>
          <t>Y</t>
        </is>
      </c>
      <c r="N294" s="30" t="n">
        <v>100</v>
      </c>
      <c r="O294" s="28" t="n">
        <v>26786.9</v>
      </c>
      <c r="P294" s="26" t="inlineStr">
        <is>
          <t>derived:price x shares upon listing</t>
        </is>
      </c>
      <c r="Q294" s="31" t="n">
        <v>1.94</v>
      </c>
      <c r="R294" s="32" t="n">
        <v>1.36</v>
      </c>
      <c r="S294" s="33" t="n">
        <v>39.05</v>
      </c>
      <c r="T294" s="26" t="inlineStr">
        <is>
          <t>DFI Development Holdings Limited; CAPRET (SG) PTE. LTD; Celestial Limited; Odor Nice Limited</t>
        </is>
      </c>
      <c r="U294" s="30" t="n">
        <v>10</v>
      </c>
      <c r="V294" s="26" t="inlineStr">
        <is>
          <t>lapsed (no over-allocation)</t>
        </is>
      </c>
      <c r="W294" s="34" t="n">
        <v>-54.32</v>
      </c>
      <c r="X294" s="34" t="n">
        <v>-79.18000000000001</v>
      </c>
      <c r="Y294" s="34" t="n">
        <v>-80.17</v>
      </c>
      <c r="Z294" s="34" t="n">
        <v>-56.97</v>
      </c>
      <c r="AA294" s="34" t="n">
        <v>-56.59</v>
      </c>
      <c r="AB294" s="34" t="n">
        <v>-78.68000000000001</v>
      </c>
      <c r="AC294" s="34" t="n">
        <v>-1.49</v>
      </c>
      <c r="AD294" s="26" t="inlineStr">
        <is>
          <t>HSTECH (Hang Seng TECH ETF)</t>
        </is>
      </c>
      <c r="AE294" s="34" t="n">
        <v>-83.06999999999999</v>
      </c>
      <c r="AF294" s="28" t="n">
        <v>1743.9</v>
      </c>
      <c r="AG294" s="28" t="n">
        <v>-651.6</v>
      </c>
      <c r="AH294" s="26" t="inlineStr">
        <is>
          <t>N</t>
        </is>
      </c>
      <c r="AI294" s="38">
        <f>IF('BBG Verify'!O294="","not filed — run on terminal",'BBG Verify'!O294)</f>
        <v/>
      </c>
      <c r="AJ294" s="35" t="n">
        <v>15.4</v>
      </c>
      <c r="AK294" s="26" t="inlineStr">
        <is>
          <t>N</t>
        </is>
      </c>
      <c r="AL294" s="36">
        <f>IF('BBG Verify'!K294="","not filed — run on terminal",'BBG Verify'!K294)</f>
        <v/>
      </c>
      <c r="AM294" s="26" t="inlineStr">
        <is>
          <t>N/A</t>
        </is>
      </c>
      <c r="AN294" s="26" t="inlineStr">
        <is>
          <t>N/A</t>
        </is>
      </c>
      <c r="AO294" s="26" t="inlineStr">
        <is>
          <t>N/A</t>
        </is>
      </c>
      <c r="AP294" s="26" t="inlineStr">
        <is>
          <t>UBS Securities Hong Kong Limited; Central, Hong Kong CMB International Capital Limited; Central, Hong Kong China Merchants Securities (HK) Co., Limited</t>
        </is>
      </c>
      <c r="AQ294" s="26" t="inlineStr">
        <is>
          <t>瑞銀證券香港有限公司; 招銀國際融資有限公司; 招商證券(香港)有限公司</t>
        </is>
      </c>
      <c r="AR294" s="26" t="inlineStr">
        <is>
          <t>UBS AG Hong Kong Branch; Central, Hong Kong CMB International Capital Limited; Central, Hong Kong China Merchants Securities (HK) Co., Limited; CLSA Limited; China International Capital Corporation Hong Kong Securities Limited; CCB International Capital Limited; CMBC Securities Company Limited; Haitong International Securities Company Limited; Managers and Capital Market Intermediaries UBS AG Hong Kong Branch; DIRECTORS AND PARTIES INVOLVED IN THE GLOBAL OFFERING CMB International Capital Limited; ABCI Capital Limited; DIRECTORS AND PARTIES INVOLVED IN THE GLOBAL OFFERING ABCI Securities Company Limited</t>
        </is>
      </c>
      <c r="AS294" s="26" t="inlineStr">
        <is>
          <t>農銀國際證券有限公司; 中銀國際亞洲有限公司; 交銀國際證券有限公司; 建銀國際金融有限公司; 中州國際證券有限公司; 中國銀河國際證券(香港)有限公司; 中國國際金融香港證券有限公司; 中信里昂證券有限公司; 民銀證券有限公司; 招銀國際融資有限公司; 招商證券(香港)有限公司; 富途證券國際（香港）有限公司; 廣發證券（香港）經紀有限公司; 海通國際證券有限公司; 工銀國際證券有限公司; 東方證券(香港)有限公司; 百惠證券有限公司; 瑞邦證券有限公司; 申萬宏源證券（香港）有限公司; 浦銀國際融資有限公司; 老虎證券（香港）環球有限公司; UBS AG 香港分行; 大華繼顯(香港)有限公司</t>
        </is>
      </c>
      <c r="AT294" s="37">
        <f>HYPERLINK("https://www1.hkexnews.hk/listedco/listconews/sehk/2024/1128/2024112800056.htm","prospectus")</f>
        <v/>
      </c>
      <c r="AU294" s="37">
        <f>HYPERLINK("https://www1.hkexnews.hk/listedco/listconews/sehk/2024/1205/2024120501922.pdf","allotment")</f>
        <v/>
      </c>
      <c r="AV294" s="37">
        <f>HYPERLINK("https://www1.hkexnews.hk/listedco/listconews/sehk/2025/0102/2025010202824.pdf","stabilisation")</f>
        <v/>
      </c>
      <c r="AW294" s="26" t="inlineStr">
        <is>
          <t>P/E: n/m — loss-making at IPO (use P/S) · price range: fixed-price offering (no indicative range) · A/H: no A-share listing</t>
        </is>
      </c>
    </row>
    <row r="295">
      <c r="A295" s="25" t="inlineStr">
        <is>
          <t>2570</t>
        </is>
      </c>
      <c r="B295" s="26" t="inlineStr">
        <is>
          <t>REFIRE</t>
        </is>
      </c>
      <c r="C295" s="26" t="inlineStr">
        <is>
          <t>重塑能源</t>
        </is>
      </c>
      <c r="D295" s="26" t="inlineStr">
        <is>
          <t>Industrials</t>
        </is>
      </c>
      <c r="E295" s="26" t="inlineStr">
        <is>
          <t>Batteries / energy storage</t>
        </is>
      </c>
      <c r="F295" s="26" t="inlineStr">
        <is>
          <t>Standard</t>
        </is>
      </c>
      <c r="G295" s="27" t="n">
        <v>45632</v>
      </c>
      <c r="H295" s="28" t="n">
        <v>709.7</v>
      </c>
      <c r="I295" s="26" t="inlineStr">
        <is>
          <t>gross (stated)</t>
        </is>
      </c>
      <c r="J295" s="29" t="n">
        <v>145</v>
      </c>
      <c r="K295" s="29" t="n">
        <v>165</v>
      </c>
      <c r="L295" s="29" t="n">
        <v>147</v>
      </c>
      <c r="M295" s="26" t="inlineStr">
        <is>
          <t>N</t>
        </is>
      </c>
      <c r="N295" s="30" t="n">
        <v>89.09999999999999</v>
      </c>
      <c r="O295" s="28" t="n">
        <v>11106.4</v>
      </c>
      <c r="P295" s="26" t="inlineStr">
        <is>
          <t>derived:deal size / offer % of enlarged capital</t>
        </is>
      </c>
      <c r="Q295" s="31" t="n">
        <v>1.55</v>
      </c>
      <c r="R295" s="32" t="n">
        <v>1.33</v>
      </c>
      <c r="S295" s="33" t="n">
        <v>46.39</v>
      </c>
      <c r="T295" s="26" t="inlineStr">
        <is>
          <t>Jiujiang Dingchuang</t>
        </is>
      </c>
      <c r="U295" s="30" t="n">
        <v>10</v>
      </c>
      <c r="V295" s="26" t="inlineStr">
        <is>
          <t>partial</t>
        </is>
      </c>
      <c r="W295" s="34" t="n">
        <v>0.07000000000000001</v>
      </c>
      <c r="X295" s="34" t="n">
        <v>11.02</v>
      </c>
      <c r="Y295" s="34" t="n">
        <v>30.82</v>
      </c>
      <c r="Z295" s="34" t="n">
        <v>68.98</v>
      </c>
      <c r="AA295" s="34" t="n">
        <v>30.73</v>
      </c>
      <c r="AB295" s="34" t="n">
        <v>32.7</v>
      </c>
      <c r="AC295" s="34" t="n">
        <v>-1.88</v>
      </c>
      <c r="AD295" s="26" t="inlineStr">
        <is>
          <t>Hang Seng Commerce &amp; Industry sub-index</t>
        </is>
      </c>
      <c r="AE295" s="34" t="n">
        <v>-88.61</v>
      </c>
      <c r="AF295" s="28" t="n">
        <v>984.8</v>
      </c>
      <c r="AG295" s="28" t="n">
        <v>-582.4</v>
      </c>
      <c r="AH295" s="26" t="inlineStr">
        <is>
          <t>N</t>
        </is>
      </c>
      <c r="AI295" s="38">
        <f>IF('BBG Verify'!O295="","not filed — run on terminal",'BBG Verify'!O295)</f>
        <v/>
      </c>
      <c r="AJ295" s="35" t="n">
        <v>11.3</v>
      </c>
      <c r="AK295" s="26" t="inlineStr">
        <is>
          <t>N</t>
        </is>
      </c>
      <c r="AL295" s="36">
        <f>IF('BBG Verify'!K295="","not filed — run on terminal",'BBG Verify'!K295)</f>
        <v/>
      </c>
      <c r="AM295" s="26" t="inlineStr">
        <is>
          <t>N/A</t>
        </is>
      </c>
      <c r="AN295" s="26" t="inlineStr">
        <is>
          <t>N/A</t>
        </is>
      </c>
      <c r="AO295" s="26" t="inlineStr">
        <is>
          <t>N/A</t>
        </is>
      </c>
      <c r="AP295" s="26" t="n"/>
      <c r="AQ295" s="26" t="inlineStr">
        <is>
          <t>中國國際金融香港證券有限公司</t>
        </is>
      </c>
      <c r="AR295" s="26"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AS295" s="26" t="inlineStr">
        <is>
          <t>農銀國際證券有限公司; 法國巴黎證券（亞洲）有限公司; 中銀國際亞洲有限公司; 中國銀河國際證券(香港)有限公司; 中國國際金融香港證券有限公司; 招銀國際融資有限公司; 招商證券(香港)有限公司; 利弗莫爾證券有限公司; 東吳證券國際經紀有限公司; 老虎證券（香港）環球有限公司</t>
        </is>
      </c>
      <c r="AT295" s="37">
        <f>HYPERLINK("https://www1.hkexnews.hk/listedco/listconews/sehk/2024/1128/2024112800011.pdf","prospectus")</f>
        <v/>
      </c>
      <c r="AU295" s="37">
        <f>HYPERLINK("https://www1.hkexnews.hk/listedco/listconews/sehk/2024/1205/2024120501926.pdf","allotment")</f>
        <v/>
      </c>
      <c r="AV295" s="37">
        <f>HYPERLINK("https://www1.hkexnews.hk/listedco/listconews/sehk/2025/0102/2025010203561.pdf","stabilisation")</f>
        <v/>
      </c>
      <c r="AW295" s="26" t="inlineStr">
        <is>
          <t>P/E: n/m — loss-making at IPO (use P/S) · A/H: no A-share listing · sponsor: English name not in the filing text; AAStocks 保薦人 shown</t>
        </is>
      </c>
    </row>
    <row r="296">
      <c r="A296" s="25" t="inlineStr">
        <is>
          <t>1318</t>
        </is>
      </c>
      <c r="B296" s="26" t="inlineStr">
        <is>
          <t>MAO GEPING</t>
        </is>
      </c>
      <c r="C296" s="26" t="inlineStr">
        <is>
          <t>毛戈平</t>
        </is>
      </c>
      <c r="D296" s="26" t="inlineStr">
        <is>
          <t>Consumer</t>
        </is>
      </c>
      <c r="E296" s="26" t="inlineStr">
        <is>
          <t>Beauty / personal care</t>
        </is>
      </c>
      <c r="F296" s="26" t="inlineStr">
        <is>
          <t>Standard</t>
        </is>
      </c>
      <c r="G296" s="27" t="n">
        <v>45636</v>
      </c>
      <c r="H296" s="28" t="n">
        <v>2337.02</v>
      </c>
      <c r="I296" s="26" t="inlineStr">
        <is>
          <t>gross (stated)</t>
        </is>
      </c>
      <c r="J296" s="29" t="n"/>
      <c r="K296" s="29" t="n">
        <v>29.8</v>
      </c>
      <c r="L296" s="29" t="n">
        <v>29.8</v>
      </c>
      <c r="M296" s="26" t="inlineStr">
        <is>
          <t>Y</t>
        </is>
      </c>
      <c r="N296" s="30" t="n">
        <v>100</v>
      </c>
      <c r="O296" s="28" t="n">
        <v>13749.8</v>
      </c>
      <c r="P296" s="26" t="inlineStr">
        <is>
          <t>aastocks:上市市值 at the struck price</t>
        </is>
      </c>
      <c r="Q296" s="31" t="n">
        <v>919.1799999999999</v>
      </c>
      <c r="R296" s="32" t="n">
        <v>30.34</v>
      </c>
      <c r="S296" s="33" t="n">
        <v>33.3</v>
      </c>
      <c r="T296" s="26" t="inlineStr">
        <is>
          <t>CPE Investment; Seraphim Advantage; IvyRock; Fund LP and China Core Fund; Mega Prime</t>
        </is>
      </c>
      <c r="U296" s="30" t="n">
        <v>15</v>
      </c>
      <c r="V296" s="26" t="n"/>
      <c r="W296" s="34" t="n">
        <v>76.51000000000001</v>
      </c>
      <c r="X296" s="34" t="n">
        <v>96.31</v>
      </c>
      <c r="Y296" s="34" t="n">
        <v>97.98999999999999</v>
      </c>
      <c r="Z296" s="34" t="n">
        <v>270.47</v>
      </c>
      <c r="AA296" s="34" t="n">
        <v>12.17</v>
      </c>
      <c r="AB296" s="34" t="n">
        <v>106.68</v>
      </c>
      <c r="AC296" s="34" t="n">
        <v>-8.69</v>
      </c>
      <c r="AD296" s="26" t="inlineStr">
        <is>
          <t>Hang Seng Commerce &amp; Industry sub-index</t>
        </is>
      </c>
      <c r="AE296" s="34" t="n">
        <v>63.76</v>
      </c>
      <c r="AF296" s="28" t="n">
        <v>3174.6</v>
      </c>
      <c r="AG296" s="28" t="n">
        <v>728.1</v>
      </c>
      <c r="AH296" s="26" t="inlineStr">
        <is>
          <t>Y</t>
        </is>
      </c>
      <c r="AI296" s="35" t="n">
        <v>18.9</v>
      </c>
      <c r="AJ296" s="35" t="n">
        <v>4.3</v>
      </c>
      <c r="AK296" s="26" t="inlineStr">
        <is>
          <t>N</t>
        </is>
      </c>
      <c r="AL296" s="36">
        <f>IF('BBG Verify'!K296="","not filed — run on terminal",'BBG Verify'!K296)</f>
        <v/>
      </c>
      <c r="AM296" s="26" t="inlineStr">
        <is>
          <t>N/A</t>
        </is>
      </c>
      <c r="AN296" s="26" t="inlineStr">
        <is>
          <t>N/A</t>
        </is>
      </c>
      <c r="AO296" s="26" t="inlineStr">
        <is>
          <t>N/A</t>
        </is>
      </c>
      <c r="AP296" s="26" t="n"/>
      <c r="AQ296" s="26" t="inlineStr">
        <is>
          <t>中國國際金融香港證券有限公司</t>
        </is>
      </c>
      <c r="AR296" s="26" t="inlineStr">
        <is>
          <t>農銀國際證券有限公司; 建銀國際金融有限公司; 中國銀河國際證券(香港)有限公司; 中國國際金融香港證券有限公司; 民銀證券有限公司; 富途證券國際（香港）有限公司</t>
        </is>
      </c>
      <c r="AS296" s="26" t="inlineStr">
        <is>
          <t>農銀國際證券有限公司; 建銀國際金融有限公司; 中國銀河國際證券(香港)有限公司; 中國國際金融香港證券有限公司; 民銀證券有限公司; 富途證券國際（香港）有限公司; 國泰君安證券(香港)有限公司; 華泰金融控股(香港)有限公司; 利弗莫爾證券有限公司; 老虎證券（香港）環球有限公司</t>
        </is>
      </c>
      <c r="AT296" s="37">
        <f>HYPERLINK("https://www1.hkexnews.hk/listedco/listconews/sehk/2024/1202/2024120200011.pdf","prospectus")</f>
        <v/>
      </c>
      <c r="AU296" s="37">
        <f>HYPERLINK("https://www1.hkexnews.hk/listedco/listconews/sehk/2024/1209/2024120901607.pdf","allotment")</f>
        <v/>
      </c>
      <c r="AV296" s="26" t="n"/>
      <c r="AW296" s="26" t="inlineStr">
        <is>
          <t>greenshoe: end-of-stabilisation notice not located · price range: fixed-price offering (no indicative range) · A/H: no A-share listing · sponsor: English name not in the filing text; AAStocks 保薦人 shown</t>
        </is>
      </c>
    </row>
    <row r="297">
      <c r="A297" s="25" t="inlineStr">
        <is>
          <t>2593</t>
        </is>
      </c>
      <c r="B297" s="26" t="inlineStr">
        <is>
          <t>HERBS GROUP</t>
        </is>
      </c>
      <c r="C297" s="26" t="inlineStr">
        <is>
          <t>草姬集團</t>
        </is>
      </c>
      <c r="D297" s="26" t="inlineStr">
        <is>
          <t>Healthcare</t>
        </is>
      </c>
      <c r="E297" s="26" t="inlineStr">
        <is>
          <t>TCM</t>
        </is>
      </c>
      <c r="F297" s="26" t="inlineStr">
        <is>
          <t>Standard</t>
        </is>
      </c>
      <c r="G297" s="27" t="n">
        <v>45645</v>
      </c>
      <c r="H297" s="28" t="n">
        <v>125</v>
      </c>
      <c r="I297" s="26" t="inlineStr">
        <is>
          <t>gross (stated)</t>
        </is>
      </c>
      <c r="J297" s="29" t="n">
        <v>3.75</v>
      </c>
      <c r="K297" s="29" t="n">
        <v>4.15</v>
      </c>
      <c r="L297" s="29" t="n">
        <v>3.75</v>
      </c>
      <c r="M297" s="26" t="inlineStr">
        <is>
          <t>N</t>
        </is>
      </c>
      <c r="N297" s="30" t="n">
        <v>90.40000000000001</v>
      </c>
      <c r="O297" s="28" t="n">
        <v>500</v>
      </c>
      <c r="P297" s="26" t="inlineStr">
        <is>
          <t>derived:price x shares upon listing</t>
        </is>
      </c>
      <c r="Q297" s="31" t="n">
        <v>6083.63</v>
      </c>
      <c r="R297" s="32" t="n">
        <v>1.79</v>
      </c>
      <c r="S297" s="33" t="n">
        <v>22.4</v>
      </c>
      <c r="T297" s="26" t="inlineStr">
        <is>
          <t>Vital Message</t>
        </is>
      </c>
      <c r="U297" s="30" t="n"/>
      <c r="V297" s="26" t="n"/>
      <c r="W297" s="34" t="n">
        <v>10.4</v>
      </c>
      <c r="X297" s="34" t="n">
        <v>-24.27</v>
      </c>
      <c r="Y297" s="34" t="n">
        <v>-45.07</v>
      </c>
      <c r="Z297" s="34" t="n">
        <v>-54.93</v>
      </c>
      <c r="AA297" s="34" t="n">
        <v>-50.24</v>
      </c>
      <c r="AB297" s="34" t="n">
        <v>-39.32</v>
      </c>
      <c r="AC297" s="34" t="n">
        <v>-5.75</v>
      </c>
      <c r="AD297" s="26" t="inlineStr">
        <is>
          <t>China Biotech ETF (HS biotech proxy)</t>
        </is>
      </c>
      <c r="AE297" s="34" t="n">
        <v>-74.13</v>
      </c>
      <c r="AF297" s="28" t="n">
        <v>251.2</v>
      </c>
      <c r="AG297" s="28" t="n">
        <v>39.5</v>
      </c>
      <c r="AH297" s="26" t="inlineStr">
        <is>
          <t>Y</t>
        </is>
      </c>
      <c r="AI297" s="35" t="n">
        <v>12.7</v>
      </c>
      <c r="AJ297" s="35" t="n">
        <v>2</v>
      </c>
      <c r="AK297" s="26" t="inlineStr">
        <is>
          <t>N</t>
        </is>
      </c>
      <c r="AL297" s="36">
        <f>IF('BBG Verify'!K297="","not filed — run on terminal",'BBG Verify'!K297)</f>
        <v/>
      </c>
      <c r="AM297" s="26" t="inlineStr">
        <is>
          <t>N/A</t>
        </is>
      </c>
      <c r="AN297" s="26" t="inlineStr">
        <is>
          <t>N/A</t>
        </is>
      </c>
      <c r="AO297" s="26" t="inlineStr">
        <is>
          <t>N/A</t>
        </is>
      </c>
      <c r="AP297" s="26" t="n"/>
      <c r="AQ297" s="26" t="inlineStr">
        <is>
          <t>農銀國際融資有限公司</t>
        </is>
      </c>
      <c r="AR297" s="26" t="inlineStr">
        <is>
          <t>ABCI Capital Limited</t>
        </is>
      </c>
      <c r="AS297" s="26" t="inlineStr">
        <is>
          <t>農銀國際證券有限公司; 交銀國際證券有限公司; 集友國際資本有限公司; 民銀證券有限公司; 華升證券（國際）有限公司; 富途證券國際（香港）有限公司; 結好證券有限公司; 利弗莫爾證券有限公司; 輝立証券（香港）有限公司; 瑞邦證券有限公司; 華贏東方（亞洲）控股有限公司; 南華證券投資有限公司; 浦銀國際融資有限公司; 越秀證券有限公司; 浙商國際金融控股有限公司; 中泰國際證券有限公司</t>
        </is>
      </c>
      <c r="AT297" s="37">
        <f>HYPERLINK("https://www1.hkexnews.hk/listedco/listconews/sehk/2024/1211/2024121100009.pdf","prospectus")</f>
        <v/>
      </c>
      <c r="AU297" s="37">
        <f>HYPERLINK("https://www1.hkexnews.hk/listedco/listconews/sehk/2024/1218/2024121801165.pdf","allotment")</f>
        <v/>
      </c>
      <c r="AV297" s="26" t="n"/>
      <c r="AW297" s="26" t="inlineStr">
        <is>
          <t>greenshoe: no over-allotment option in the offer structure · A/H: no A-share listing · sponsor: English name not in the filing text; AAStocks 保薦人 shown</t>
        </is>
      </c>
    </row>
    <row r="298">
      <c r="A298" s="25" t="inlineStr">
        <is>
          <t>0999</t>
        </is>
      </c>
      <c r="B298" s="26" t="inlineStr">
        <is>
          <t>XIAOCAIYUAN</t>
        </is>
      </c>
      <c r="C298" s="26" t="inlineStr">
        <is>
          <t>小菜園</t>
        </is>
      </c>
      <c r="D298" s="26" t="inlineStr">
        <is>
          <t>Consumer</t>
        </is>
      </c>
      <c r="E298" s="26" t="inlineStr">
        <is>
          <t>F&amp;B chains / restaurants</t>
        </is>
      </c>
      <c r="F298" s="26" t="inlineStr">
        <is>
          <t>Standard</t>
        </is>
      </c>
      <c r="G298" s="27" t="n">
        <v>45646</v>
      </c>
      <c r="H298" s="28" t="n">
        <v>860</v>
      </c>
      <c r="I298" s="26" t="inlineStr">
        <is>
          <t>gross (price x shares)</t>
        </is>
      </c>
      <c r="J298" s="29" t="n"/>
      <c r="K298" s="29" t="n">
        <v>8.5</v>
      </c>
      <c r="L298" s="29" t="n">
        <v>8.5</v>
      </c>
      <c r="M298" s="26" t="inlineStr">
        <is>
          <t>Y</t>
        </is>
      </c>
      <c r="N298" s="30" t="n">
        <v>100</v>
      </c>
      <c r="O298" s="28" t="n">
        <v>10000.4</v>
      </c>
      <c r="P298" s="26" t="inlineStr">
        <is>
          <t>derived:price x shares upon listing</t>
        </is>
      </c>
      <c r="Q298" s="31" t="n">
        <v>1.44</v>
      </c>
      <c r="R298" s="32" t="n">
        <v>1.29</v>
      </c>
      <c r="S298" s="33" t="n"/>
      <c r="T298" s="26" t="n"/>
      <c r="U298" s="30" t="n"/>
      <c r="V298" s="26" t="n"/>
      <c r="W298" s="34" t="n">
        <v>13.65</v>
      </c>
      <c r="X298" s="34" t="n">
        <v>7.41</v>
      </c>
      <c r="Y298" s="34" t="n">
        <v>5.18</v>
      </c>
      <c r="Z298" s="34" t="n">
        <v>25.18</v>
      </c>
      <c r="AA298" s="34" t="n">
        <v>-7.45</v>
      </c>
      <c r="AB298" s="34" t="n">
        <v>6.36</v>
      </c>
      <c r="AC298" s="34" t="n">
        <v>-1.18</v>
      </c>
      <c r="AD298" s="26" t="inlineStr">
        <is>
          <t>Hang Seng Commerce &amp; Industry sub-index</t>
        </is>
      </c>
      <c r="AE298" s="34" t="n">
        <v>-5.06</v>
      </c>
      <c r="AF298" s="28" t="n">
        <v>5004.4</v>
      </c>
      <c r="AG298" s="28" t="n">
        <v>585.3</v>
      </c>
      <c r="AH298" s="26" t="inlineStr">
        <is>
          <t>Y</t>
        </is>
      </c>
      <c r="AI298" s="35" t="n">
        <v>17.1</v>
      </c>
      <c r="AJ298" s="35" t="n">
        <v>2</v>
      </c>
      <c r="AK298" s="26" t="inlineStr">
        <is>
          <t>N</t>
        </is>
      </c>
      <c r="AL298" s="36">
        <f>IF('BBG Verify'!K298="","not filed — run on terminal",'BBG Verify'!K298)</f>
        <v/>
      </c>
      <c r="AM298" s="26" t="inlineStr">
        <is>
          <t>N/A</t>
        </is>
      </c>
      <c r="AN298" s="26" t="inlineStr">
        <is>
          <t>N/A</t>
        </is>
      </c>
      <c r="AO298" s="26" t="inlineStr">
        <is>
          <t>N/A</t>
        </is>
      </c>
      <c r="AP298" s="26" t="n"/>
      <c r="AQ298" s="26" t="inlineStr">
        <is>
          <t>瑞銀證券香港有限公司; 華泰金融控股(香港)有限公司</t>
        </is>
      </c>
      <c r="AR298" s="26" t="inlineStr">
        <is>
          <t>農銀國際證券有限公司; 招銀國際金融有限公司; 富途證券國際（香港）有限公司; 國元證券經紀(香港)有限公司; 華泰金融控股(香港)有限公司; 工銀國際證券有限公司</t>
        </is>
      </c>
      <c r="AS298" s="26" t="inlineStr">
        <is>
          <t>農銀國際證券有限公司; 招銀國際金融有限公司; 富途證券國際（香港）有限公司; 國元證券經紀(香港)有限公司; 華泰金融控股(香港)有限公司; 工銀國際證券有限公司; TradeGo Markets Limited; UBS AG 香港分行</t>
        </is>
      </c>
      <c r="AT298" s="37">
        <f>HYPERLINK("https://www1.hkexnews.hk/listedco/listconews/sehk/2024/1212/2024121200007.pdf","prospectus")</f>
        <v/>
      </c>
      <c r="AU298" s="37">
        <f>HYPERLINK("https://www1.hkexnews.hk/listedco/listconews/sehk/2024/1219/2024121901317.pdf","allotment")</f>
        <v/>
      </c>
      <c r="AV298" s="26" t="n"/>
      <c r="AW298" s="26" t="inlineStr">
        <is>
          <t>greenshoe: no over-allotment option in the offer structure · price range: fixed-price offering (no indicative range) · A/H: no A-share listing · sponsor: English name not in the filing text; AAStocks 保薦人 shown</t>
        </is>
      </c>
    </row>
    <row r="299">
      <c r="A299" s="25" t="inlineStr">
        <is>
          <t>2432</t>
        </is>
      </c>
      <c r="B299" s="26" t="inlineStr">
        <is>
          <t>DOBOT</t>
        </is>
      </c>
      <c r="C299" s="26" t="inlineStr">
        <is>
          <t>越疆</t>
        </is>
      </c>
      <c r="D299" s="26" t="inlineStr">
        <is>
          <t>Tech/AI</t>
        </is>
      </c>
      <c r="E299" s="26" t="inlineStr">
        <is>
          <t>Robotics &amp; autonomous driving</t>
        </is>
      </c>
      <c r="F299" s="26" t="inlineStr">
        <is>
          <t>Standard</t>
        </is>
      </c>
      <c r="G299" s="27" t="n">
        <v>45649</v>
      </c>
      <c r="H299" s="28" t="n">
        <v>752</v>
      </c>
      <c r="I299" s="26" t="inlineStr">
        <is>
          <t>gross (stated)</t>
        </is>
      </c>
      <c r="J299" s="29" t="n"/>
      <c r="K299" s="29" t="n">
        <v>20.8</v>
      </c>
      <c r="L299" s="29" t="n">
        <v>18.8</v>
      </c>
      <c r="M299" s="26" t="inlineStr">
        <is>
          <t>N</t>
        </is>
      </c>
      <c r="N299" s="30" t="n">
        <v>90.40000000000001</v>
      </c>
      <c r="O299" s="28" t="n">
        <v>6654.9</v>
      </c>
      <c r="P299" s="26" t="inlineStr">
        <is>
          <t>derived:deal size / offer % of enlarged capital</t>
        </is>
      </c>
      <c r="Q299" s="31" t="n">
        <v>9.25</v>
      </c>
      <c r="R299" s="32" t="n">
        <v>2.64</v>
      </c>
      <c r="S299" s="33" t="n">
        <v>0</v>
      </c>
      <c r="T299" s="26" t="n"/>
      <c r="U299" s="30" t="n">
        <v>15</v>
      </c>
      <c r="V299" s="26" t="inlineStr">
        <is>
          <t>partial</t>
        </is>
      </c>
      <c r="W299" s="34" t="n">
        <v>0.74</v>
      </c>
      <c r="X299" s="34" t="n">
        <v>1.6</v>
      </c>
      <c r="Y299" s="34" t="n">
        <v>22.87</v>
      </c>
      <c r="Z299" s="34" t="n">
        <v>217.82</v>
      </c>
      <c r="AA299" s="34" t="n">
        <v>21.97</v>
      </c>
      <c r="AB299" s="34" t="n">
        <v>18.14</v>
      </c>
      <c r="AC299" s="34" t="n">
        <v>4.73</v>
      </c>
      <c r="AD299" s="26" t="inlineStr">
        <is>
          <t>HSTECH (Hang Seng TECH ETF)</t>
        </is>
      </c>
      <c r="AE299" s="34" t="n">
        <v>48.09</v>
      </c>
      <c r="AF299" s="28" t="n">
        <v>2.2</v>
      </c>
      <c r="AG299" s="28" t="n">
        <v>-113.6</v>
      </c>
      <c r="AH299" s="26" t="inlineStr">
        <is>
          <t>N</t>
        </is>
      </c>
      <c r="AI299" s="38">
        <f>IF('BBG Verify'!O299="","not filed — run on terminal",'BBG Verify'!O299)</f>
        <v/>
      </c>
      <c r="AJ299" s="35" t="n">
        <v>3025</v>
      </c>
      <c r="AK299" s="26" t="inlineStr">
        <is>
          <t>N</t>
        </is>
      </c>
      <c r="AL299" s="36">
        <f>IF('BBG Verify'!K299="","not filed — run on terminal",'BBG Verify'!K299)</f>
        <v/>
      </c>
      <c r="AM299" s="26" t="inlineStr">
        <is>
          <t>N/A</t>
        </is>
      </c>
      <c r="AN299" s="26" t="inlineStr">
        <is>
          <t>N/A</t>
        </is>
      </c>
      <c r="AO299" s="26" t="inlineStr">
        <is>
          <t>N/A</t>
        </is>
      </c>
      <c r="AP299" s="26" t="inlineStr">
        <is>
          <t>Guotai Junan Capital Limited; ABCI Capital Limited; -OCs Guotai Junan Securities (Hong Kong) Limited</t>
        </is>
      </c>
      <c r="AQ299" s="26" t="inlineStr">
        <is>
          <t>國泰君安融資有限公司; 農銀國際融資有限公司</t>
        </is>
      </c>
      <c r="AR299" s="26" t="inlineStr">
        <is>
          <t>Guotai Junan Securities (Hong Kong) Limited; ABCI Capital Limited; Shenwan Hongyuan Securities (H.K.) Limited; TradeGo Markets Limited</t>
        </is>
      </c>
      <c r="AS299" s="26" t="inlineStr">
        <is>
          <t>農銀國際證券有限公司; 平證證券（香港）有限公司; 國泰君安證券(香港)有限公司; 申萬宏源證券（香港）有限公司; TradeGo Markets Limited</t>
        </is>
      </c>
      <c r="AT299" s="37">
        <f>HYPERLINK("https://www1.hkexnews.hk/listedco/listconews/sehk/2024/1213/2024121300029.pdf","prospectus")</f>
        <v/>
      </c>
      <c r="AU299" s="37">
        <f>HYPERLINK("https://www1.hkexnews.hk/listedco/listconews/sehk/2024/1220/2024122001962.pdf","allotment")</f>
        <v/>
      </c>
      <c r="AV299" s="37">
        <f>HYPERLINK("https://www1.hkexnews.hk/listedco/listconews/sehk/2025/0117/2025011701078.pdf","stabilisation")</f>
        <v/>
      </c>
      <c r="AW299" s="26" t="inlineStr">
        <is>
          <t>P/E: n/m — loss-making at IPO (use P/S) · A/H: no A-share listing</t>
        </is>
      </c>
    </row>
    <row r="300">
      <c r="A300" s="25" t="inlineStr">
        <is>
          <t>2431</t>
        </is>
      </c>
      <c r="B300" s="26" t="inlineStr">
        <is>
          <t>MINIEYE</t>
        </is>
      </c>
      <c r="C300" s="26" t="inlineStr">
        <is>
          <t>佑駕創新</t>
        </is>
      </c>
      <c r="D300" s="26" t="inlineStr">
        <is>
          <t>Tech/AI</t>
        </is>
      </c>
      <c r="E300" s="26" t="inlineStr">
        <is>
          <t>Robotics &amp; autonomous driving</t>
        </is>
      </c>
      <c r="F300" s="26" t="inlineStr">
        <is>
          <t>Standard</t>
        </is>
      </c>
      <c r="G300" s="27" t="n">
        <v>45653</v>
      </c>
      <c r="H300" s="28" t="n">
        <v>666.23</v>
      </c>
      <c r="I300" s="26" t="inlineStr">
        <is>
          <t>gross (stated)</t>
        </is>
      </c>
      <c r="J300" s="29" t="n">
        <v>17</v>
      </c>
      <c r="K300" s="29" t="n">
        <v>20.2</v>
      </c>
      <c r="L300" s="29" t="n">
        <v>17</v>
      </c>
      <c r="M300" s="26" t="inlineStr">
        <is>
          <t>N</t>
        </is>
      </c>
      <c r="N300" s="30" t="n">
        <v>84.2</v>
      </c>
      <c r="O300" s="28" t="n">
        <v>6002.1</v>
      </c>
      <c r="P300" s="26" t="inlineStr">
        <is>
          <t>derived:deal size / offer % of enlarged capital</t>
        </is>
      </c>
      <c r="Q300" s="31" t="n">
        <v>14.04</v>
      </c>
      <c r="R300" s="32" t="n">
        <v>1.09</v>
      </c>
      <c r="S300" s="33" t="n"/>
      <c r="T300" s="26" t="inlineStr">
        <is>
          <t>Horizon Together Holding Ltd</t>
        </is>
      </c>
      <c r="U300" s="30" t="n">
        <v>2</v>
      </c>
      <c r="V300" s="26" t="inlineStr">
        <is>
          <t>partial</t>
        </is>
      </c>
      <c r="W300" s="34" t="n">
        <v>14.12</v>
      </c>
      <c r="X300" s="34" t="n">
        <v>2.94</v>
      </c>
      <c r="Y300" s="34" t="n">
        <v>22.35</v>
      </c>
      <c r="Z300" s="34" t="n">
        <v>88.53</v>
      </c>
      <c r="AA300" s="34" t="n">
        <v>7.21</v>
      </c>
      <c r="AB300" s="34" t="n">
        <v>17.74</v>
      </c>
      <c r="AC300" s="34" t="n">
        <v>4.61</v>
      </c>
      <c r="AD300" s="26" t="inlineStr">
        <is>
          <t>HSTECH (Hang Seng TECH ETF)</t>
        </is>
      </c>
      <c r="AE300" s="34" t="n">
        <v>-76.76000000000001</v>
      </c>
      <c r="AF300" s="28" t="n">
        <v>523.8</v>
      </c>
      <c r="AG300" s="28" t="n">
        <v>-227.9</v>
      </c>
      <c r="AH300" s="26" t="inlineStr">
        <is>
          <t>N</t>
        </is>
      </c>
      <c r="AI300" s="38">
        <f>IF('BBG Verify'!O300="","not filed — run on terminal",'BBG Verify'!O300)</f>
        <v/>
      </c>
      <c r="AJ300" s="35" t="n">
        <v>11.5</v>
      </c>
      <c r="AK300" s="26" t="inlineStr">
        <is>
          <t>N</t>
        </is>
      </c>
      <c r="AL300" s="36">
        <f>IF('BBG Verify'!K300="","not filed — run on terminal",'BBG Verify'!K300)</f>
        <v/>
      </c>
      <c r="AM300" s="26" t="inlineStr">
        <is>
          <t>N/A</t>
        </is>
      </c>
      <c r="AN300" s="26" t="inlineStr">
        <is>
          <t>N/A</t>
        </is>
      </c>
      <c r="AO300" s="26" t="inlineStr">
        <is>
          <t>N/A</t>
        </is>
      </c>
      <c r="AP300" s="26" t="inlineStr">
        <is>
          <t>CITIC Securities (Hong Kong) Limited; China International Capital Corporation Hong Kong Securities Limited</t>
        </is>
      </c>
      <c r="AQ300" s="26" t="inlineStr">
        <is>
          <t>中國國際金融香港證券有限公司; 中信證券(香港)有限公司</t>
        </is>
      </c>
      <c r="AR300" s="26" t="inlineStr">
        <is>
          <t>BOCI Asia Limited; CMBC Securities Company Limited; Central, Hong Kong Futu Securities International (Hong Kong) Limited; No. 95 Queensway Admiralty, Hong Kong Phillip Securities (Hong Kong) Limited; Shenwan Hongyuan Securities (H.K.) Limited; SPDB International Capital Limited; Tiger Brokers (HK) Global Limited</t>
        </is>
      </c>
      <c r="AS300" s="26" t="inlineStr">
        <is>
          <t>農銀國際證券有限公司; 中銀國際亞洲有限公司; 中國國際金融香港證券有限公司; 中信里昂證券有限公司; 民銀證券有限公司; 復星國際證券有限公司; 富途證券國際（香港）有限公司; 長橋證券（香港）有限公司; 百惠證券有限公司; 輝立証券（香港）有限公司; 軟庫中華金融服務有限公司; 國證國際證券（香港）有限公司; 申萬宏源證券（香港）有限公司; 浦銀國際融資有限公司; 老虎證券（香港）環球有限公司; TradeGo Markets Limited</t>
        </is>
      </c>
      <c r="AT300" s="37">
        <f>HYPERLINK("https://www1.hkexnews.hk/listedco/listconews/sehk/2024/1217/2024121700015.pdf","prospectus")</f>
        <v/>
      </c>
      <c r="AU300" s="37">
        <f>HYPERLINK("https://www1.hkexnews.hk/listedco/listconews/sehk/2024/1224/2024122401190.pdf","allotment")</f>
        <v/>
      </c>
      <c r="AV300" s="37">
        <f>HYPERLINK("https://www1.hkexnews.hk/listedco/listconews/sehk/2025/0120/2025012000812.pdf","stabilisation")</f>
        <v/>
      </c>
      <c r="AW300" s="26" t="inlineStr">
        <is>
          <t>P/E: n/m — loss-making at IPO (use P/S) · A/H: no A-share listing</t>
        </is>
      </c>
    </row>
    <row r="301">
      <c r="A301" s="25" t="inlineStr">
        <is>
          <t>2587</t>
        </is>
      </c>
      <c r="B301" s="26" t="inlineStr">
        <is>
          <t>HEALTHYWAY INC</t>
        </is>
      </c>
      <c r="C301" s="26" t="inlineStr">
        <is>
          <t>健康之路</t>
        </is>
      </c>
      <c r="D301" s="26" t="inlineStr">
        <is>
          <t>Healthcare</t>
        </is>
      </c>
      <c r="E301" s="26" t="inlineStr">
        <is>
          <t>Digital health</t>
        </is>
      </c>
      <c r="F301" s="26" t="inlineStr">
        <is>
          <t>Standard</t>
        </is>
      </c>
      <c r="G301" s="27" t="n">
        <v>45656</v>
      </c>
      <c r="H301" s="28" t="n">
        <v>195</v>
      </c>
      <c r="I301" s="26" t="inlineStr">
        <is>
          <t>gross (stated)</t>
        </is>
      </c>
      <c r="J301" s="29" t="n">
        <v>7.8</v>
      </c>
      <c r="K301" s="29" t="n">
        <v>8.800000000000001</v>
      </c>
      <c r="L301" s="29" t="n">
        <v>7.8</v>
      </c>
      <c r="M301" s="26" t="inlineStr">
        <is>
          <t>N</t>
        </is>
      </c>
      <c r="N301" s="30" t="n">
        <v>88.59999999999999</v>
      </c>
      <c r="O301" s="28" t="n">
        <v>6846.1</v>
      </c>
      <c r="P301" s="26" t="inlineStr">
        <is>
          <t>derived:price x shares upon listing</t>
        </is>
      </c>
      <c r="Q301" s="31" t="n">
        <v>34.42</v>
      </c>
      <c r="R301" s="32" t="n">
        <v>0.98</v>
      </c>
      <c r="S301" s="33" t="n">
        <v>51.23</v>
      </c>
      <c r="T301" s="26"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U301" s="30" t="n"/>
      <c r="V301" s="26" t="n"/>
      <c r="W301" s="34" t="n">
        <v>36.67</v>
      </c>
      <c r="X301" s="34" t="n">
        <v>97.95</v>
      </c>
      <c r="Y301" s="34" t="n">
        <v>71.79000000000001</v>
      </c>
      <c r="Z301" s="34" t="n">
        <v>303.21</v>
      </c>
      <c r="AA301" s="34" t="n">
        <v>25.7</v>
      </c>
      <c r="AB301" s="34" t="n">
        <v>74.68000000000001</v>
      </c>
      <c r="AC301" s="34" t="n">
        <v>-2.89</v>
      </c>
      <c r="AD301" s="26" t="inlineStr">
        <is>
          <t>China Biotech ETF (HS biotech proxy)</t>
        </is>
      </c>
      <c r="AE301" s="34" t="n">
        <v>-75.19</v>
      </c>
      <c r="AF301" s="28" t="n">
        <v>1320.9</v>
      </c>
      <c r="AG301" s="28" t="n">
        <v>-345.3</v>
      </c>
      <c r="AH301" s="26" t="inlineStr">
        <is>
          <t>N</t>
        </is>
      </c>
      <c r="AI301" s="38">
        <f>IF('BBG Verify'!O301="","not filed — run on terminal",'BBG Verify'!O301)</f>
        <v/>
      </c>
      <c r="AJ301" s="35" t="n">
        <v>5.2</v>
      </c>
      <c r="AK301" s="26" t="inlineStr">
        <is>
          <t>N</t>
        </is>
      </c>
      <c r="AL301" s="36">
        <f>IF('BBG Verify'!K301="","not filed — run on terminal",'BBG Verify'!K301)</f>
        <v/>
      </c>
      <c r="AM301" s="26" t="inlineStr">
        <is>
          <t>N/A</t>
        </is>
      </c>
      <c r="AN301" s="26" t="inlineStr">
        <is>
          <t>N/A</t>
        </is>
      </c>
      <c r="AO301" s="26" t="inlineStr">
        <is>
          <t>N/A</t>
        </is>
      </c>
      <c r="AP301" s="26" t="inlineStr">
        <is>
          <t>CCB Intern ational Capital Limited; Financial Advisor (Note) Bristol Capital Limited</t>
        </is>
      </c>
      <c r="AQ301" s="26" t="inlineStr">
        <is>
          <t>建銀國際金融有限公司</t>
        </is>
      </c>
      <c r="AR301" s="26"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AS301" s="26" t="inlineStr">
        <is>
          <t>中銀國際亞洲有限公司; 建銀國際金融有限公司; 中國光大證券(香港)有限公司; 復星國際證券有限公司; 富途證券國際（香港）有限公司; 利弗莫爾證券有限公司; 百惠證券有限公司; 瑞邦證券有限公司; 申萬宏源證券（香港）有限公司; 國金證券（香港）有限公司; 勝利證券有限公司; 中泰國際證券有限公司</t>
        </is>
      </c>
      <c r="AT301" s="37">
        <f>HYPERLINK("https://www1.hkexnews.hk/listedco/listconews/sehk/2024/1218/2024121800023.pdf","prospectus")</f>
        <v/>
      </c>
      <c r="AU301" s="37">
        <f>HYPERLINK("https://www1.hkexnews.hk/listedco/listconews/sehk/2024/1227/2024122701758.pdf","allotment")</f>
        <v/>
      </c>
      <c r="AV301" s="26" t="n"/>
      <c r="AW301" s="26" t="inlineStr">
        <is>
          <t>P/E: n/m — loss-making at IPO (use P/S) · greenshoe: no over-allotment option in the offer structure · A/H: no A-share listing</t>
        </is>
      </c>
    </row>
    <row r="302">
      <c r="A302" s="25" t="inlineStr">
        <is>
          <t>2577</t>
        </is>
      </c>
      <c r="B302" s="26" t="inlineStr">
        <is>
          <t>INNOSCIENCE</t>
        </is>
      </c>
      <c r="C302" s="26" t="inlineStr">
        <is>
          <t>英諾賽科</t>
        </is>
      </c>
      <c r="D302" s="26" t="inlineStr">
        <is>
          <t>Tech/AI</t>
        </is>
      </c>
      <c r="E302" s="26" t="inlineStr">
        <is>
          <t>AI chips &amp; semis</t>
        </is>
      </c>
      <c r="F302" s="26" t="inlineStr">
        <is>
          <t>Standard</t>
        </is>
      </c>
      <c r="G302" s="27" t="n">
        <v>45656</v>
      </c>
      <c r="H302" s="28" t="n">
        <v>1399.9</v>
      </c>
      <c r="I302" s="26" t="inlineStr">
        <is>
          <t>gross (price x shares)</t>
        </is>
      </c>
      <c r="J302" s="29" t="n">
        <v>30.86</v>
      </c>
      <c r="K302" s="29" t="n">
        <v>33.66</v>
      </c>
      <c r="L302" s="29" t="n">
        <v>30.86</v>
      </c>
      <c r="M302" s="26" t="inlineStr">
        <is>
          <t>N</t>
        </is>
      </c>
      <c r="N302" s="30" t="n">
        <v>91.7</v>
      </c>
      <c r="O302" s="28" t="n">
        <v>27130.6</v>
      </c>
      <c r="P302" s="26" t="inlineStr">
        <is>
          <t>prospectus:stated market capitalisation</t>
        </is>
      </c>
      <c r="Q302" s="31" t="n">
        <v>2.87</v>
      </c>
      <c r="R302" s="32" t="n">
        <v>1.41</v>
      </c>
      <c r="S302" s="33" t="n">
        <v>55.38</v>
      </c>
      <c r="T302" s="26" t="inlineStr">
        <is>
          <t>Jiangsu Govtor; HK InnoSC; Inno CL</t>
        </is>
      </c>
      <c r="U302" s="30" t="n">
        <v>5.3</v>
      </c>
      <c r="V302" s="26" t="inlineStr">
        <is>
          <t>partial</t>
        </is>
      </c>
      <c r="W302" s="34" t="n">
        <v>0.45</v>
      </c>
      <c r="X302" s="34" t="n">
        <v>-0.03</v>
      </c>
      <c r="Y302" s="34" t="n">
        <v>32.7</v>
      </c>
      <c r="Z302" s="34" t="n">
        <v>44.2</v>
      </c>
      <c r="AA302" s="34" t="n">
        <v>32.11</v>
      </c>
      <c r="AB302" s="34" t="n">
        <v>28.3</v>
      </c>
      <c r="AC302" s="34" t="n">
        <v>4.4</v>
      </c>
      <c r="AD302" s="26" t="inlineStr">
        <is>
          <t>HSTECH (Hang Seng TECH ETF)</t>
        </is>
      </c>
      <c r="AE302" s="34" t="n">
        <v>49</v>
      </c>
      <c r="AF302" s="28" t="n">
        <v>652</v>
      </c>
      <c r="AG302" s="28" t="n">
        <v>-1212.1</v>
      </c>
      <c r="AH302" s="26" t="inlineStr">
        <is>
          <t>N</t>
        </is>
      </c>
      <c r="AI302" s="38">
        <f>IF('BBG Verify'!O302="","not filed — run on terminal",'BBG Verify'!O302)</f>
        <v/>
      </c>
      <c r="AJ302" s="35" t="n">
        <v>41.6</v>
      </c>
      <c r="AK302" s="26" t="inlineStr">
        <is>
          <t>N</t>
        </is>
      </c>
      <c r="AL302" s="36">
        <f>IF('BBG Verify'!K302="","not filed — run on terminal",'BBG Verify'!K302)</f>
        <v/>
      </c>
      <c r="AM302" s="26" t="inlineStr">
        <is>
          <t>N/A</t>
        </is>
      </c>
      <c r="AN302" s="26" t="inlineStr">
        <is>
          <t>N/A</t>
        </is>
      </c>
      <c r="AO302" s="26" t="inlineStr">
        <is>
          <t>N/A</t>
        </is>
      </c>
      <c r="AP302" s="26" t="inlineStr">
        <is>
          <t>CMB International Capital Limited</t>
        </is>
      </c>
      <c r="AQ302" s="26" t="inlineStr">
        <is>
          <t>中國國際金融香港證券有限公司; 招銀國際金融有限公司</t>
        </is>
      </c>
      <c r="AR302" s="26"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AS302" s="26" t="inlineStr">
        <is>
          <t>農銀國際證券有限公司; 中銀國際亞洲有限公司; 中國國際金融香港證券有限公司; 中信里昂證券有限公司; 招銀國際融資有限公司; 富途證券國際（香港）有限公司; 華泰金融控股(香港)有限公司; 洪泰證券有限公司; 富瑞金融集團香港有限公司; 長橋證券（香港）有限公司; 百惠證券有限公司; 老虎證券（香港）環球有限公司; TradeGo Markets Limited</t>
        </is>
      </c>
      <c r="AT302" s="37">
        <f>HYPERLINK("https://www1.hkexnews.hk/listedco/listconews/sehk/2024/1218/2024121800031.pdf","prospectus")</f>
        <v/>
      </c>
      <c r="AU302" s="37">
        <f>HYPERLINK("https://www1.hkexnews.hk/listedco/listconews/sehk/2024/1227/2024122701822.pdf","allotment")</f>
        <v/>
      </c>
      <c r="AV302" s="37">
        <f>HYPERLINK("https://www1.hkexnews.hk/listedco/listconews/sehk/2025/0122/2025012200846.pdf","stabilisation")</f>
        <v/>
      </c>
      <c r="AW302" s="26" t="inlineStr">
        <is>
          <t>P/E: n/m — loss-making at IPO (use P/S) · A/H: no A-share listing</t>
        </is>
      </c>
    </row>
    <row r="303">
      <c r="A303" s="25" t="inlineStr">
        <is>
          <t>2506</t>
        </is>
      </c>
      <c r="B303" s="26" t="inlineStr">
        <is>
          <t>XUNFEIHEALTH</t>
        </is>
      </c>
      <c r="C303" s="26" t="inlineStr">
        <is>
          <t>訊飛醫療科技</t>
        </is>
      </c>
      <c r="D303" s="26" t="inlineStr">
        <is>
          <t>Healthcare</t>
        </is>
      </c>
      <c r="E303" s="26" t="inlineStr">
        <is>
          <t>Digital health</t>
        </is>
      </c>
      <c r="F303" s="26" t="inlineStr">
        <is>
          <t>Standard</t>
        </is>
      </c>
      <c r="G303" s="27" t="n">
        <v>45656</v>
      </c>
      <c r="H303" s="28" t="n">
        <v>582.5</v>
      </c>
      <c r="I303" s="26" t="inlineStr">
        <is>
          <t>gross (price x shares)</t>
        </is>
      </c>
      <c r="J303" s="29" t="n"/>
      <c r="K303" s="29" t="n">
        <v>82.8</v>
      </c>
      <c r="L303" s="29" t="n">
        <v>82.8</v>
      </c>
      <c r="M303" s="26" t="inlineStr">
        <is>
          <t>Y</t>
        </is>
      </c>
      <c r="N303" s="30" t="n">
        <v>100</v>
      </c>
      <c r="O303" s="28" t="n">
        <v>10008.7</v>
      </c>
      <c r="P303" s="26" t="inlineStr">
        <is>
          <t>derived:price x shares upon listing</t>
        </is>
      </c>
      <c r="Q303" s="31" t="n">
        <v>3.66</v>
      </c>
      <c r="R303" s="32" t="n">
        <v>1.1</v>
      </c>
      <c r="S303" s="33" t="n">
        <v>47.5</v>
      </c>
      <c r="T303" s="26" t="inlineStr">
        <is>
          <t>Xunyi Limited; Star Group Limited; Listing Top</t>
        </is>
      </c>
      <c r="U303" s="30" t="n">
        <v>10.51</v>
      </c>
      <c r="V303" s="26" t="inlineStr">
        <is>
          <t>lapsed (no over-allocation)</t>
        </is>
      </c>
      <c r="W303" s="34" t="n">
        <v>5.07</v>
      </c>
      <c r="X303" s="34" t="n">
        <v>2.17</v>
      </c>
      <c r="Y303" s="34" t="n">
        <v>5.43</v>
      </c>
      <c r="Z303" s="34" t="n">
        <v>60.75</v>
      </c>
      <c r="AA303" s="34" t="n">
        <v>0.34</v>
      </c>
      <c r="AB303" s="34" t="n">
        <v>8.32</v>
      </c>
      <c r="AC303" s="34" t="n">
        <v>-2.89</v>
      </c>
      <c r="AD303" s="26" t="inlineStr">
        <is>
          <t>China Biotech ETF (HS biotech proxy)</t>
        </is>
      </c>
      <c r="AE303" s="34" t="n">
        <v>-23.49</v>
      </c>
      <c r="AF303" s="28" t="n">
        <v>611.7</v>
      </c>
      <c r="AG303" s="28" t="n">
        <v>-145.9</v>
      </c>
      <c r="AH303" s="26" t="inlineStr">
        <is>
          <t>N</t>
        </is>
      </c>
      <c r="AI303" s="38">
        <f>IF('BBG Verify'!O303="","not filed — run on terminal",'BBG Verify'!O303)</f>
        <v/>
      </c>
      <c r="AJ303" s="35" t="n">
        <v>16.4</v>
      </c>
      <c r="AK303" s="26" t="inlineStr">
        <is>
          <t>N</t>
        </is>
      </c>
      <c r="AL303" s="36">
        <f>IF('BBG Verify'!K303="","not filed — run on terminal",'BBG Verify'!K303)</f>
        <v/>
      </c>
      <c r="AM303" s="26" t="inlineStr">
        <is>
          <t>N/A</t>
        </is>
      </c>
      <c r="AN303" s="26" t="inlineStr">
        <is>
          <t>N/A</t>
        </is>
      </c>
      <c r="AO303" s="26" t="inlineStr">
        <is>
          <t>N/A</t>
        </is>
      </c>
      <c r="AP303" s="26" t="inlineStr">
        <is>
          <t>Huatai Financial Holdings (Hong Kong) Limited; GF Capital (Hong Kong) Limited; CCB International Capital Limited</t>
        </is>
      </c>
      <c r="AQ303" s="26" t="inlineStr">
        <is>
          <t>建銀國際金融有限公司; 華泰金融控股(香港)有限公司; 廣發融資（香港）有限公司</t>
        </is>
      </c>
      <c r="AR303" s="26"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AS303" s="26" t="inlineStr">
        <is>
          <t>農銀國際證券有限公司; 宏智證券（香港）有限公司; 建銀國際金融有限公司; 中國銀河國際證券(香港)有限公司; 民銀證券有限公司; 廣發證券（香港）經紀有限公司; 華泰金融控股(香港)有限公司; 工銀國際證券有限公司; 浦銀國際融資有限公司; TradeGo Markets Limited</t>
        </is>
      </c>
      <c r="AT303" s="37">
        <f>HYPERLINK("https://www1.hkexnews.hk/listedco/listconews/sehk/2024/1218/2024121800019.pdf","prospectus")</f>
        <v/>
      </c>
      <c r="AU303" s="37">
        <f>HYPERLINK("https://www1.hkexnews.hk/listedco/listconews/sehk/2024/1227/2024122701834.pdf","allotment")</f>
        <v/>
      </c>
      <c r="AV303" s="37">
        <f>HYPERLINK("https://www1.hkexnews.hk/listedco/listconews/sehk/2025/0122/2025012200840.pdf","stabilisation")</f>
        <v/>
      </c>
      <c r="AW303" s="26" t="inlineStr">
        <is>
          <t>P/E: n/m — loss-making at IPO (use P/S) · A/H: no A-share listing</t>
        </is>
      </c>
    </row>
    <row r="304">
      <c r="A304" s="25" t="inlineStr">
        <is>
          <t>6681</t>
        </is>
      </c>
      <c r="B304" s="26" t="inlineStr">
        <is>
          <t>BRAINAURORA-B</t>
        </is>
      </c>
      <c r="C304" s="26" t="inlineStr">
        <is>
          <t>腦動極光－Ｂ</t>
        </is>
      </c>
      <c r="D304" s="26" t="inlineStr">
        <is>
          <t>Healthcare</t>
        </is>
      </c>
      <c r="E304" s="26" t="inlineStr">
        <is>
          <t>Medical devices</t>
        </is>
      </c>
      <c r="F304" s="26" t="inlineStr">
        <is>
          <t>18A</t>
        </is>
      </c>
      <c r="G304" s="27" t="n">
        <v>45665</v>
      </c>
      <c r="H304" s="28" t="n">
        <v>583.1799999999999</v>
      </c>
      <c r="I304" s="26" t="inlineStr">
        <is>
          <t>gross (stated)</t>
        </is>
      </c>
      <c r="J304" s="29" t="n"/>
      <c r="K304" s="29" t="n">
        <v>3.22</v>
      </c>
      <c r="L304" s="29" t="n">
        <v>3.22</v>
      </c>
      <c r="M304" s="26" t="inlineStr">
        <is>
          <t>Y</t>
        </is>
      </c>
      <c r="N304" s="30" t="n">
        <v>100</v>
      </c>
      <c r="O304" s="28" t="n">
        <v>4077.4</v>
      </c>
      <c r="P304" s="26" t="inlineStr">
        <is>
          <t>derived:price x shares upon listing</t>
        </is>
      </c>
      <c r="Q304" s="31" t="n">
        <v>11.39</v>
      </c>
      <c r="R304" s="32" t="n">
        <v>1.01</v>
      </c>
      <c r="S304" s="33" t="n">
        <v>64.27</v>
      </c>
      <c r="T304" s="26" t="inlineStr">
        <is>
          <t>Huang Guangwei</t>
        </is>
      </c>
      <c r="U304" s="30" t="n">
        <v>14</v>
      </c>
      <c r="V304" s="26" t="inlineStr">
        <is>
          <t>lapsed (no over-allocation)</t>
        </is>
      </c>
      <c r="W304" s="34" t="n">
        <v>3.42</v>
      </c>
      <c r="X304" s="34" t="n">
        <v>14.91</v>
      </c>
      <c r="Y304" s="34" t="n">
        <v>73.91</v>
      </c>
      <c r="Z304" s="34" t="n">
        <v>89.75</v>
      </c>
      <c r="AA304" s="34" t="n">
        <v>68.16</v>
      </c>
      <c r="AB304" s="34" t="n">
        <v>66.81999999999999</v>
      </c>
      <c r="AC304" s="34" t="n">
        <v>7.09</v>
      </c>
      <c r="AD304" s="26" t="inlineStr">
        <is>
          <t>China Biotech ETF (HS biotech proxy)</t>
        </is>
      </c>
      <c r="AE304" s="34" t="n">
        <v>-53.73</v>
      </c>
      <c r="AF304" s="28" t="n">
        <v>73.90000000000001</v>
      </c>
      <c r="AG304" s="28" t="n">
        <v>-395</v>
      </c>
      <c r="AH304" s="26" t="inlineStr">
        <is>
          <t>N</t>
        </is>
      </c>
      <c r="AI304" s="38">
        <f>IF('BBG Verify'!O304="","not filed — run on terminal",'BBG Verify'!O304)</f>
        <v/>
      </c>
      <c r="AJ304" s="35" t="n">
        <v>55.2</v>
      </c>
      <c r="AK304" s="26" t="inlineStr">
        <is>
          <t>N</t>
        </is>
      </c>
      <c r="AL304" s="36">
        <f>IF('BBG Verify'!K304="","not filed — run on terminal",'BBG Verify'!K304)</f>
        <v/>
      </c>
      <c r="AM304" s="26" t="inlineStr">
        <is>
          <t>N/A</t>
        </is>
      </c>
      <c r="AN304" s="26" t="inlineStr">
        <is>
          <t>N/A</t>
        </is>
      </c>
      <c r="AO304" s="26" t="inlineStr">
        <is>
          <t>N/A</t>
        </is>
      </c>
      <c r="AP304" s="26" t="inlineStr">
        <is>
          <t>China International Capital Corporation Hong Kong Securities Limited; SPDB International Capital Limited</t>
        </is>
      </c>
      <c r="AQ304" s="26" t="inlineStr">
        <is>
          <t>中國國際金融香港證券有限公司; 浦銀國際融資有限公司</t>
        </is>
      </c>
      <c r="AR304" s="26"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AS304" s="26" t="inlineStr">
        <is>
          <t>農銀國際證券有限公司; 中銀國際亞洲有限公司; 建銀國際金融有限公司; 中國光大證券(香港)有限公司; 中國國際金融香港證券有限公司; 興證國際融資有限公司; 民銀證券有限公司; 招銀國際金融有限公司; 復星國際證券有限公司; 廣發證券（香港）經紀有限公司; 海通國際證券有限公司; 浦銀國際融資有限公司; 老虎證券（香港）環球有限公司</t>
        </is>
      </c>
      <c r="AT304" s="37">
        <f>HYPERLINK("https://www1.hkexnews.hk/listedco/listconews/sehk/2024/1230/2024123000045.pdf","prospectus")</f>
        <v/>
      </c>
      <c r="AU304" s="37">
        <f>HYPERLINK("https://www1.hkexnews.hk/listedco/listconews/sehk/2025/0107/2025010701660.pdf","allotment")</f>
        <v/>
      </c>
      <c r="AV304" s="37">
        <f>HYPERLINK("https://www1.hkexnews.hk/listedco/listconews/sehk/2025/0202/2025020200065.pdf","stabilisation")</f>
        <v/>
      </c>
      <c r="AW304" s="26" t="inlineStr">
        <is>
          <t>P/E: n/m — loss-making at IPO (use P/S) · A/H: no A-share listing</t>
        </is>
      </c>
    </row>
    <row r="305">
      <c r="A305" s="25" t="inlineStr">
        <is>
          <t>2560</t>
        </is>
      </c>
      <c r="B305" s="26" t="inlineStr">
        <is>
          <t>CONCH MAT TECH</t>
        </is>
      </c>
      <c r="C305" s="26" t="inlineStr">
        <is>
          <t>海螺材料科技</t>
        </is>
      </c>
      <c r="D305" s="26" t="inlineStr">
        <is>
          <t>Materials/Energy</t>
        </is>
      </c>
      <c r="E305" s="26" t="inlineStr">
        <is>
          <t>Chemicals</t>
        </is>
      </c>
      <c r="F305" s="26" t="inlineStr">
        <is>
          <t>Standard</t>
        </is>
      </c>
      <c r="G305" s="27" t="n">
        <v>45666</v>
      </c>
      <c r="H305" s="28" t="n">
        <v>434.9</v>
      </c>
      <c r="I305" s="26" t="inlineStr">
        <is>
          <t>gross (stated)</t>
        </is>
      </c>
      <c r="J305" s="29" t="n"/>
      <c r="K305" s="29" t="n">
        <v>3.3</v>
      </c>
      <c r="L305" s="29" t="n">
        <v>3</v>
      </c>
      <c r="M305" s="26" t="inlineStr">
        <is>
          <t>N</t>
        </is>
      </c>
      <c r="N305" s="30" t="n">
        <v>90.90000000000001</v>
      </c>
      <c r="O305" s="28" t="n">
        <v>1897.9</v>
      </c>
      <c r="P305" s="26" t="inlineStr">
        <is>
          <t>aastocks:上市市值 at the struck price</t>
        </is>
      </c>
      <c r="Q305" s="31" t="n">
        <v>25.83</v>
      </c>
      <c r="R305" s="32" t="n">
        <v>1.04</v>
      </c>
      <c r="S305" s="33" t="n">
        <v>66.79000000000001</v>
      </c>
      <c r="T305" s="26" t="inlineStr">
        <is>
          <t>SCGC Capital Holding Company Limited; Gotion High-tech; Anhui Shengchang; Wuhu Artec; SCGC Capital; Guangdong Zongxing; Shenzhen Gaodeng</t>
        </is>
      </c>
      <c r="U305" s="30" t="n">
        <v>8.5</v>
      </c>
      <c r="V305" s="26" t="n"/>
      <c r="W305" s="34" t="n">
        <v>-47.67</v>
      </c>
      <c r="X305" s="34" t="n">
        <v>-51.67</v>
      </c>
      <c r="Y305" s="34" t="n">
        <v>-54.67</v>
      </c>
      <c r="Z305" s="34" t="n">
        <v>-41.33</v>
      </c>
      <c r="AA305" s="34" t="n">
        <v>-13.38</v>
      </c>
      <c r="AB305" s="34" t="n">
        <v>-52.26</v>
      </c>
      <c r="AC305" s="34" t="n">
        <v>-2.41</v>
      </c>
      <c r="AD305" s="26" t="inlineStr">
        <is>
          <t>Hang Seng Utilities sub-index</t>
        </is>
      </c>
      <c r="AE305" s="34" t="n">
        <v>-52.5</v>
      </c>
      <c r="AF305" s="28" t="n">
        <v>2.6</v>
      </c>
      <c r="AG305" s="28" t="n">
        <v>0.2</v>
      </c>
      <c r="AH305" s="26" t="inlineStr">
        <is>
          <t>Y</t>
        </is>
      </c>
      <c r="AI305" s="35" t="n">
        <v>9489.5</v>
      </c>
      <c r="AJ305" s="35" t="n">
        <v>730</v>
      </c>
      <c r="AK305" s="26" t="inlineStr">
        <is>
          <t>N</t>
        </is>
      </c>
      <c r="AL305" s="36">
        <f>IF('BBG Verify'!K305="","not filed — run on terminal",'BBG Verify'!K305)</f>
        <v/>
      </c>
      <c r="AM305" s="26" t="inlineStr">
        <is>
          <t>N/A</t>
        </is>
      </c>
      <c r="AN305" s="26" t="inlineStr">
        <is>
          <t>N/A</t>
        </is>
      </c>
      <c r="AO305" s="26" t="inlineStr">
        <is>
          <t>N/A</t>
        </is>
      </c>
      <c r="AP305" s="26" t="inlineStr">
        <is>
          <t>China Securities (International) Corporate Finance Company Limited</t>
        </is>
      </c>
      <c r="AQ305" s="26" t="inlineStr">
        <is>
          <t>中信建投(國際)融資有限公司</t>
        </is>
      </c>
      <c r="AR305" s="26"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AS305" s="26" t="inlineStr">
        <is>
          <t>農銀國際證券有限公司; 中銀國際亞洲有限公司; 交銀國際證券有限公司; 建銀國際金融有限公司; 中國銀河國際證券(香港)有限公司; 興證國際融資有限公司; 中信建投(國際)融資有限公司; 華升證券（國際）有限公司; 復星國際證券有限公司; 國元證券經紀(香港)有限公司; 海通國際證券有限公司; 洪泰證券有限公司; 工銀國際證券有限公司; 東方證券(香港)有限公司; 申萬宏源證券（香港）有限公司; 浦銀國際融資有限公司; 星河證券有限公司; 勝利證券有限公司</t>
        </is>
      </c>
      <c r="AT305" s="37">
        <f>HYPERLINK("https://www1.hkexnews.hk/listedco/listconews/sehk/2024/1231/2024123100162.pdf","prospectus")</f>
        <v/>
      </c>
      <c r="AU305" s="37">
        <f>HYPERLINK("https://www1.hkexnews.hk/listedco/listconews/sehk/2025/0108/2025010801080.pdf","allotment")</f>
        <v/>
      </c>
      <c r="AV305" s="26" t="n"/>
      <c r="AW305" s="26" t="inlineStr">
        <is>
          <t>greenshoe: end-of-stabilisation notice not located · A/H: no A-share listing</t>
        </is>
      </c>
    </row>
    <row r="306">
      <c r="A306" s="25" t="inlineStr">
        <is>
          <t>2613</t>
        </is>
      </c>
      <c r="B306" s="26" t="inlineStr">
        <is>
          <t>CONTIOCEAN</t>
        </is>
      </c>
      <c r="C306" s="26" t="inlineStr">
        <is>
          <t>匯舸環保</t>
        </is>
      </c>
      <c r="D306" s="26" t="inlineStr">
        <is>
          <t>Industrials</t>
        </is>
      </c>
      <c r="E306" s="26" t="inlineStr">
        <is>
          <t>Capital goods / machinery</t>
        </is>
      </c>
      <c r="F306" s="26" t="inlineStr">
        <is>
          <t>Standard</t>
        </is>
      </c>
      <c r="G306" s="27" t="n">
        <v>45666</v>
      </c>
      <c r="H306" s="28" t="n">
        <v>318</v>
      </c>
      <c r="I306" s="26" t="inlineStr">
        <is>
          <t>gross (stated)</t>
        </is>
      </c>
      <c r="J306" s="29" t="n">
        <v>31.8</v>
      </c>
      <c r="K306" s="29" t="n">
        <v>39.8</v>
      </c>
      <c r="L306" s="29" t="n">
        <v>31.8</v>
      </c>
      <c r="M306" s="26" t="inlineStr">
        <is>
          <t>N</t>
        </is>
      </c>
      <c r="N306" s="30" t="n">
        <v>79.90000000000001</v>
      </c>
      <c r="O306" s="28" t="n">
        <v>1272</v>
      </c>
      <c r="P306" s="26" t="inlineStr">
        <is>
          <t>derived:price x shares upon listing</t>
        </is>
      </c>
      <c r="Q306" s="31" t="n">
        <v>55.33</v>
      </c>
      <c r="R306" s="32" t="n">
        <v>0.95</v>
      </c>
      <c r="S306" s="33" t="n">
        <v>84.7</v>
      </c>
      <c r="T306" s="44" t="n"/>
      <c r="U306" s="30" t="n"/>
      <c r="V306" s="26" t="n"/>
      <c r="W306" s="34" t="n">
        <v>6.29</v>
      </c>
      <c r="X306" s="34" t="n">
        <v>-5.66</v>
      </c>
      <c r="Y306" s="34" t="n">
        <v>-4.09</v>
      </c>
      <c r="Z306" s="34" t="n">
        <v>-8.65</v>
      </c>
      <c r="AA306" s="34" t="n">
        <v>-9.77</v>
      </c>
      <c r="AB306" s="34" t="n">
        <v>-21.26</v>
      </c>
      <c r="AC306" s="34" t="n">
        <v>17.17</v>
      </c>
      <c r="AD306" s="26" t="inlineStr">
        <is>
          <t>Hang Seng Commerce &amp; Industry sub-index</t>
        </is>
      </c>
      <c r="AE306" s="34" t="n">
        <v>3.71</v>
      </c>
      <c r="AF306" s="28" t="n">
        <v>561.3</v>
      </c>
      <c r="AG306" s="28" t="n">
        <v>132.6</v>
      </c>
      <c r="AH306" s="26" t="inlineStr">
        <is>
          <t>Y</t>
        </is>
      </c>
      <c r="AI306" s="35" t="n">
        <v>9.6</v>
      </c>
      <c r="AJ306" s="35" t="n">
        <v>2.3</v>
      </c>
      <c r="AK306" s="26" t="inlineStr">
        <is>
          <t>N</t>
        </is>
      </c>
      <c r="AL306" s="36">
        <f>IF('BBG Verify'!K306="","not filed — run on terminal",'BBG Verify'!K306)</f>
        <v/>
      </c>
      <c r="AM306" s="26" t="inlineStr">
        <is>
          <t>N/A</t>
        </is>
      </c>
      <c r="AN306" s="26" t="inlineStr">
        <is>
          <t>N/A</t>
        </is>
      </c>
      <c r="AO306" s="26" t="inlineStr">
        <is>
          <t>N/A</t>
        </is>
      </c>
      <c r="AP306" s="26" t="inlineStr">
        <is>
          <t>CITIC Securities (Hong Kong) Limited; China Galaxy International Securities (Hong Kong) Co., Limited</t>
        </is>
      </c>
      <c r="AQ306" s="26" t="inlineStr">
        <is>
          <t>中信證券(香港)有限公司; 中國銀河國際證券(香港)有限公司</t>
        </is>
      </c>
      <c r="AR306" s="26"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AS306" s="26" t="inlineStr">
        <is>
          <t>法國巴黎證券（亞洲）有限公司; 中銀國際亞洲有限公司; 建銀國際金融有限公司; 光銀國際資本有限公司; 中國光大證券(香港)有限公司; 中國銀河國際證券(香港)有限公司; 中信里昂證券有限公司; 華升證券（國際）有限公司; 富中證券有限公司; 富途證券國際（香港）有限公司; 工銀國際證券有限公司; 力高證券有限公司; 利弗莫爾證券有限公司; 嘉洛證券有限公司; 浦銀國際融資有限公司; 老虎證券（香港）環球有限公司; TradeGo Markets Limited</t>
        </is>
      </c>
      <c r="AT306" s="37">
        <f>HYPERLINK("https://www1.hkexnews.hk/listedco/listconews/sehk/2024/1231/2024123100011.pdf","prospectus")</f>
        <v/>
      </c>
      <c r="AU306" s="37">
        <f>HYPERLINK("https://www1.hkexnews.hk/listedco/listconews/sehk/2025/0108/2025010801098.pdf","allotment")</f>
        <v/>
      </c>
      <c r="AV306" s="26" t="n"/>
      <c r="AW306" s="26" t="inlineStr">
        <is>
          <t>greenshoe: no over-allotment option in the offer structure · A/H: no A-share listing</t>
        </is>
      </c>
    </row>
    <row r="307">
      <c r="A307" s="25" t="inlineStr">
        <is>
          <t>0325</t>
        </is>
      </c>
      <c r="B307" s="26" t="inlineStr">
        <is>
          <t>BLOKS</t>
        </is>
      </c>
      <c r="C307" s="26" t="inlineStr">
        <is>
          <t>布魯可</t>
        </is>
      </c>
      <c r="D307" s="26" t="inlineStr">
        <is>
          <t>Consumer</t>
        </is>
      </c>
      <c r="E307" s="26" t="inlineStr">
        <is>
          <t>Retail / distribution</t>
        </is>
      </c>
      <c r="F307" s="26" t="inlineStr">
        <is>
          <t>Standard</t>
        </is>
      </c>
      <c r="G307" s="27" t="n">
        <v>45667</v>
      </c>
      <c r="H307" s="28" t="n">
        <v>1674</v>
      </c>
      <c r="I307" s="26" t="inlineStr">
        <is>
          <t>gross (stated)</t>
        </is>
      </c>
      <c r="J307" s="29" t="n"/>
      <c r="K307" s="29" t="n">
        <v>60.35</v>
      </c>
      <c r="L307" s="29" t="n">
        <v>60.35</v>
      </c>
      <c r="M307" s="26" t="inlineStr">
        <is>
          <t>Y</t>
        </is>
      </c>
      <c r="N307" s="30" t="n">
        <v>100</v>
      </c>
      <c r="O307" s="28" t="n">
        <v>14456.5</v>
      </c>
      <c r="P307" s="26" t="inlineStr">
        <is>
          <t>aastocks:上市市值 at the struck price</t>
        </is>
      </c>
      <c r="Q307" s="31" t="n">
        <v>5999.96</v>
      </c>
      <c r="R307" s="32" t="n">
        <v>38.6</v>
      </c>
      <c r="S307" s="33" t="n">
        <v>23.1</v>
      </c>
      <c r="T307" s="44" t="n"/>
      <c r="U307" s="30" t="n">
        <v>15</v>
      </c>
      <c r="V307" s="26" t="n"/>
      <c r="W307" s="34" t="n">
        <v>40.85</v>
      </c>
      <c r="X307" s="34" t="n">
        <v>49.63</v>
      </c>
      <c r="Y307" s="34" t="n">
        <v>40.18</v>
      </c>
      <c r="Z307" s="34" t="n">
        <v>101.66</v>
      </c>
      <c r="AA307" s="34" t="n">
        <v>-0.48</v>
      </c>
      <c r="AB307" s="34" t="n">
        <v>23.64</v>
      </c>
      <c r="AC307" s="34" t="n">
        <v>16.54</v>
      </c>
      <c r="AD307" s="26" t="inlineStr">
        <is>
          <t>Hang Seng Commerce &amp; Industry sub-index</t>
        </is>
      </c>
      <c r="AE307" s="34" t="n">
        <v>25.93</v>
      </c>
      <c r="AF307" s="28" t="n">
        <v>2465</v>
      </c>
      <c r="AG307" s="28" t="n">
        <v>-441.2</v>
      </c>
      <c r="AH307" s="26" t="inlineStr">
        <is>
          <t>N</t>
        </is>
      </c>
      <c r="AI307" s="38">
        <f>IF('BBG Verify'!O307="","not filed — run on terminal",'BBG Verify'!O307)</f>
        <v/>
      </c>
      <c r="AJ307" s="35" t="n">
        <v>5.9</v>
      </c>
      <c r="AK307" s="26" t="inlineStr">
        <is>
          <t>N</t>
        </is>
      </c>
      <c r="AL307" s="36">
        <f>IF('BBG Verify'!K307="","not filed — run on terminal",'BBG Verify'!K307)</f>
        <v/>
      </c>
      <c r="AM307" s="26" t="inlineStr">
        <is>
          <t>N/A</t>
        </is>
      </c>
      <c r="AN307" s="26" t="inlineStr">
        <is>
          <t>N/A</t>
        </is>
      </c>
      <c r="AO307" s="26" t="inlineStr">
        <is>
          <t>N/A</t>
        </is>
      </c>
      <c r="AP307" s="26" t="n"/>
      <c r="AQ307" s="26" t="inlineStr">
        <is>
          <t>高盛(亞洲)有限責任公司; 華泰金融控股(香港)有限公司</t>
        </is>
      </c>
      <c r="AR307" s="26" t="inlineStr">
        <is>
          <t>富途證券國際（香港）有限公司; 高盛(亞洲)有限責任公司; 華泰金融控股(香港)有限公司</t>
        </is>
      </c>
      <c r="AS307" s="26" t="inlineStr">
        <is>
          <t>富途證券國際（香港）有限公司; 高盛(亞洲)有限責任公司; 華泰金融控股(香港)有限公司</t>
        </is>
      </c>
      <c r="AT307" s="37">
        <f>HYPERLINK("https://www1.hkexnews.hk/listedco/listconews/sehk/2024/1231/2024123100152.pdf","prospectus")</f>
        <v/>
      </c>
      <c r="AU307" s="37">
        <f>HYPERLINK("https://www1.hkexnews.hk/listedco/listconews/sehk/2025/0109/2025010900829.pdf","allotment")</f>
        <v/>
      </c>
      <c r="AV307" s="26" t="n"/>
      <c r="AW307" s="26" t="inlineStr">
        <is>
          <t>P/E: n/m — loss-making at IPO (use P/S) · greenshoe: end-of-stabilisation notice not located · price range: fixed-price offering (no indicative range) · A/H: no A line; closest listed proxy {'code': '002292.SZ', 'name': 'Alpha Group', 'rationale': 'Pop Mart/Bloks-style IP toys have no A pure-play; Alpha is the A-share IP toy and animation-merchandise name.'} · sponsor: English name not in the filing text; AAStocks 保薦人 shown</t>
        </is>
      </c>
    </row>
    <row r="308">
      <c r="A308" s="25" t="inlineStr">
        <is>
          <t>2530</t>
        </is>
      </c>
      <c r="B308" s="26" t="inlineStr">
        <is>
          <t>NUMANS</t>
        </is>
      </c>
      <c r="C308" s="26" t="inlineStr">
        <is>
          <t>紐曼思</t>
        </is>
      </c>
      <c r="D308" s="26" t="inlineStr">
        <is>
          <t>Consumer</t>
        </is>
      </c>
      <c r="E308" s="26" t="inlineStr">
        <is>
          <t>Beverages / packaged food</t>
        </is>
      </c>
      <c r="F308" s="26" t="inlineStr">
        <is>
          <t>Standard</t>
        </is>
      </c>
      <c r="G308" s="27" t="n">
        <v>45667</v>
      </c>
      <c r="H308" s="28" t="n">
        <v>200</v>
      </c>
      <c r="I308" s="26" t="inlineStr">
        <is>
          <t>gross (stated)</t>
        </is>
      </c>
      <c r="J308" s="29" t="n">
        <v>0.8</v>
      </c>
      <c r="K308" s="29" t="n">
        <v>1.09</v>
      </c>
      <c r="L308" s="29" t="n">
        <v>0.8</v>
      </c>
      <c r="M308" s="26" t="inlineStr">
        <is>
          <t>N</t>
        </is>
      </c>
      <c r="N308" s="30" t="n">
        <v>73.40000000000001</v>
      </c>
      <c r="O308" s="28" t="n">
        <v>800</v>
      </c>
      <c r="P308" s="26" t="inlineStr">
        <is>
          <t>derived:price x shares upon listing</t>
        </is>
      </c>
      <c r="Q308" s="31" t="n">
        <v>65.17</v>
      </c>
      <c r="R308" s="32" t="n">
        <v>1.03</v>
      </c>
      <c r="S308" s="33" t="n">
        <v>0</v>
      </c>
      <c r="T308" s="26" t="n"/>
      <c r="U308" s="30" t="n">
        <v>20</v>
      </c>
      <c r="V308" s="26" t="n"/>
      <c r="W308" s="34" t="n">
        <v>-13.75</v>
      </c>
      <c r="X308" s="34" t="n">
        <v>-15</v>
      </c>
      <c r="Y308" s="34" t="n">
        <v>-13.75</v>
      </c>
      <c r="Z308" s="34" t="n">
        <v>-16.25</v>
      </c>
      <c r="AA308" s="34" t="n">
        <v>0</v>
      </c>
      <c r="AB308" s="34" t="n">
        <v>-30.29</v>
      </c>
      <c r="AC308" s="34" t="n">
        <v>16.54</v>
      </c>
      <c r="AD308" s="26" t="inlineStr">
        <is>
          <t>Hang Seng Commerce &amp; Industry sub-index</t>
        </is>
      </c>
      <c r="AE308" s="34" t="n">
        <v>-7.5</v>
      </c>
      <c r="AF308" s="28" t="n">
        <v>469.2</v>
      </c>
      <c r="AG308" s="28" t="n">
        <v>175.3</v>
      </c>
      <c r="AH308" s="26" t="inlineStr">
        <is>
          <t>Y</t>
        </is>
      </c>
      <c r="AI308" s="35" t="n">
        <v>4.6</v>
      </c>
      <c r="AJ308" s="35" t="n">
        <v>1.7</v>
      </c>
      <c r="AK308" s="26" t="inlineStr">
        <is>
          <t>N</t>
        </is>
      </c>
      <c r="AL308" s="36">
        <f>IF('BBG Verify'!K308="","not filed — run on terminal",'BBG Verify'!K308)</f>
        <v/>
      </c>
      <c r="AM308" s="26" t="inlineStr">
        <is>
          <t>N/A</t>
        </is>
      </c>
      <c r="AN308" s="26" t="inlineStr">
        <is>
          <t>N/A</t>
        </is>
      </c>
      <c r="AO308" s="26" t="inlineStr">
        <is>
          <t>N/A</t>
        </is>
      </c>
      <c r="AP308" s="26" t="inlineStr">
        <is>
          <t>and Sole Overall Coordinator Caitong International Capital Co., Limited</t>
        </is>
      </c>
      <c r="AQ308" s="26" t="inlineStr">
        <is>
          <t>財通國際融資有限公司</t>
        </is>
      </c>
      <c r="AR308" s="26" t="inlineStr">
        <is>
          <t>Joint Lead Managers Caitong International Securities Co., Limited; Quam Securities Limited; Managers China Everbright Securities (HK) Limited; Wanchai, Hong Kong First Fidelity Capital (International) Limited; No. 95 Queensway Admiralty, Hong Kong Phillip Securities (Hong Kong) Limited; Soochow Securities International Brokerage Limited; UZen Securities Limited</t>
        </is>
      </c>
      <c r="AS308" s="26" t="inlineStr">
        <is>
          <t>財通國際證券有限公司; 中國光大證券(香港)有限公司; First Fidelity Capital (International) Limited; 富途證券國際（香港）有限公司; 輝立証券（香港）有限公司; 嘉洛證券有限公司; 東吳證券國際經紀有限公司; 眾宸證券有限公司</t>
        </is>
      </c>
      <c r="AT308" s="37">
        <f>HYPERLINK("https://www1.hkexnews.hk/listedco/listconews/sehk/2024/1230/2024123000005.pdf","prospectus")</f>
        <v/>
      </c>
      <c r="AU308" s="37">
        <f>HYPERLINK("https://www1.hkexnews.hk/listedco/listconews/sehk/2025/0109/2025010901059.pdf","allotment")</f>
        <v/>
      </c>
      <c r="AV308" s="26" t="n"/>
      <c r="AW308" s="26" t="inlineStr">
        <is>
          <t>greenshoe: end-of-stabilisation notice not located · A/H: no A-share listing</t>
        </is>
      </c>
    </row>
    <row r="309">
      <c r="A309" s="25" t="inlineStr">
        <is>
          <t>2596</t>
        </is>
      </c>
      <c r="B309" s="26" t="inlineStr">
        <is>
          <t>YIBIN BANK</t>
        </is>
      </c>
      <c r="C309" s="26" t="inlineStr">
        <is>
          <t>宜賓銀行</t>
        </is>
      </c>
      <c r="D309" s="26" t="inlineStr">
        <is>
          <t>Financials</t>
        </is>
      </c>
      <c r="E309" s="26" t="inlineStr">
        <is>
          <t>Banks</t>
        </is>
      </c>
      <c r="F309" s="26" t="inlineStr">
        <is>
          <t>Standard</t>
        </is>
      </c>
      <c r="G309" s="27" t="n">
        <v>45670</v>
      </c>
      <c r="H309" s="28" t="n">
        <v>1782.96</v>
      </c>
      <c r="I309" s="26" t="inlineStr">
        <is>
          <t>gross (stated)</t>
        </is>
      </c>
      <c r="J309" s="29" t="n"/>
      <c r="K309" s="29" t="n">
        <v>2.72</v>
      </c>
      <c r="L309" s="29" t="n">
        <v>2.59</v>
      </c>
      <c r="M309" s="26" t="inlineStr">
        <is>
          <t>N</t>
        </is>
      </c>
      <c r="N309" s="30" t="n">
        <v>95.2</v>
      </c>
      <c r="O309" s="28" t="n">
        <v>10568.8</v>
      </c>
      <c r="P309" s="26" t="inlineStr">
        <is>
          <t>derived:deal size / offer % of enlarged capital</t>
        </is>
      </c>
      <c r="Q309" s="31" t="n">
        <v>0.21</v>
      </c>
      <c r="R309" s="32" t="n">
        <v>1.14</v>
      </c>
      <c r="S309" s="33" t="n">
        <v>0</v>
      </c>
      <c r="T309" s="26" t="n"/>
      <c r="U309" s="30" t="n">
        <v>3.2</v>
      </c>
      <c r="V309" s="26" t="inlineStr">
        <is>
          <t>lapsed</t>
        </is>
      </c>
      <c r="W309" s="34" t="n">
        <v>0.77</v>
      </c>
      <c r="X309" s="34" t="n">
        <v>0.39</v>
      </c>
      <c r="Y309" s="34" t="n">
        <v>0.39</v>
      </c>
      <c r="Z309" s="34" t="n">
        <v>1.16</v>
      </c>
      <c r="AA309" s="34" t="n">
        <v>-0.38</v>
      </c>
      <c r="AB309" s="34" t="n">
        <v>-12.01</v>
      </c>
      <c r="AC309" s="34" t="n">
        <v>12.4</v>
      </c>
      <c r="AD309" s="26" t="inlineStr">
        <is>
          <t>Hang Seng Finance sub-index</t>
        </is>
      </c>
      <c r="AE309" s="34" t="n">
        <v>2.32</v>
      </c>
      <c r="AF309" s="28" t="n">
        <v>0</v>
      </c>
      <c r="AG309" s="28" t="n">
        <v>0.5</v>
      </c>
      <c r="AH309" s="26" t="inlineStr">
        <is>
          <t>Y</t>
        </is>
      </c>
      <c r="AI309" s="35" t="n">
        <v>21137.6</v>
      </c>
      <c r="AJ309" s="35" t="n"/>
      <c r="AK309" s="26" t="inlineStr">
        <is>
          <t>N</t>
        </is>
      </c>
      <c r="AL309" s="36">
        <f>IF('BBG Verify'!K309="","not filed — run on terminal",'BBG Verify'!K309)</f>
        <v/>
      </c>
      <c r="AM309" s="26" t="inlineStr">
        <is>
          <t>N/A</t>
        </is>
      </c>
      <c r="AN309" s="26" t="inlineStr">
        <is>
          <t>N/A</t>
        </is>
      </c>
      <c r="AO309" s="26" t="inlineStr">
        <is>
          <t>N/A</t>
        </is>
      </c>
      <c r="AP309" s="26" t="inlineStr">
        <is>
          <t>CCB International Capital Limited; ICBC International Capital Limited</t>
        </is>
      </c>
      <c r="AQ309" s="26" t="inlineStr">
        <is>
          <t>建銀國際金融有限公司; 工銀國際融資有限公司</t>
        </is>
      </c>
      <c r="AR309" s="26" t="inlineStr">
        <is>
          <t>BOCI Asia Limited; CLSA Limited; Zhongtai International Securities Limited</t>
        </is>
      </c>
      <c r="AS309" s="26" t="inlineStr">
        <is>
          <t>中銀國際亞洲有限公司; 建銀國際金融有限公司; 中信里昂證券有限公司; 民銀證券有限公司; 中國北方證券集團有限公司; 富途證券國際（香港）有限公司; 工銀國際證券有限公司; 邁時資本有限公司; 申萬宏源證券（香港）有限公司; 中泰國際證券有限公司</t>
        </is>
      </c>
      <c r="AT309" s="37">
        <f>HYPERLINK("https://www1.hkexnews.hk/listedco/listconews/sehk/2024/1230/2024123000047.pdf","prospectus")</f>
        <v/>
      </c>
      <c r="AU309" s="37">
        <f>HYPERLINK("https://www1.hkexnews.hk/listedco/listconews/sehk/2025/0110/2025011001363.pdf","allotment")</f>
        <v/>
      </c>
      <c r="AV309" s="37">
        <f>HYPERLINK("https://www1.hkexnews.hk/listedco/listconews/sehk/2025/0207/2025020700893.pdf","stabilisation")</f>
        <v/>
      </c>
      <c r="AW309" s="26" t="inlineStr">
        <is>
          <t>A/H: no A-share listing</t>
        </is>
      </c>
    </row>
    <row r="310">
      <c r="A310" s="25" t="inlineStr">
        <is>
          <t>2571</t>
        </is>
      </c>
      <c r="B310" s="26" t="inlineStr">
        <is>
          <t>SAIMO</t>
        </is>
      </c>
      <c r="C310" s="26" t="inlineStr">
        <is>
          <t>賽目科技</t>
        </is>
      </c>
      <c r="D310" s="26" t="inlineStr">
        <is>
          <t>Industrials</t>
        </is>
      </c>
      <c r="E310" s="26" t="inlineStr">
        <is>
          <t>Capital goods / machinery</t>
        </is>
      </c>
      <c r="F310" s="26" t="inlineStr">
        <is>
          <t>Standard</t>
        </is>
      </c>
      <c r="G310" s="27" t="n">
        <v>45672</v>
      </c>
      <c r="H310" s="28" t="n">
        <v>433</v>
      </c>
      <c r="I310" s="26" t="inlineStr">
        <is>
          <t>gross (stated)</t>
        </is>
      </c>
      <c r="J310" s="29" t="n">
        <v>12</v>
      </c>
      <c r="K310" s="29" t="n">
        <v>12</v>
      </c>
      <c r="L310" s="29" t="n">
        <v>12.99</v>
      </c>
      <c r="M310" s="26" t="inlineStr">
        <is>
          <t>N</t>
        </is>
      </c>
      <c r="N310" s="30" t="n">
        <v>108.2</v>
      </c>
      <c r="O310" s="46" t="n">
        <v>1732</v>
      </c>
      <c r="P310" s="26" t="inlineStr">
        <is>
          <t>derived:price x shares upon listing</t>
        </is>
      </c>
      <c r="Q310" s="31" t="n">
        <v>2.66</v>
      </c>
      <c r="R310" s="32" t="n">
        <v>1.06</v>
      </c>
      <c r="S310" s="33" t="n">
        <v>34.3</v>
      </c>
      <c r="T310" s="26" t="inlineStr">
        <is>
          <t>Listing Top</t>
        </is>
      </c>
      <c r="U310" s="30" t="n">
        <v>9.300000000000001</v>
      </c>
      <c r="V310" s="26" t="inlineStr">
        <is>
          <t>lapsed (no over-allocation)</t>
        </is>
      </c>
      <c r="W310" s="34" t="n">
        <v>1.46</v>
      </c>
      <c r="X310" s="34" t="n">
        <v>0.38</v>
      </c>
      <c r="Y310" s="34" t="n">
        <v>17.17</v>
      </c>
      <c r="Z310" s="34" t="n">
        <v>-4.54</v>
      </c>
      <c r="AA310" s="34" t="n">
        <v>15.48</v>
      </c>
      <c r="AB310" s="34" t="n">
        <v>-7.53</v>
      </c>
      <c r="AC310" s="34" t="n">
        <v>24.7</v>
      </c>
      <c r="AD310" s="26" t="inlineStr">
        <is>
          <t>Hang Seng Commerce &amp; Industry sub-index</t>
        </is>
      </c>
      <c r="AE310" s="34" t="n">
        <v>23.86</v>
      </c>
      <c r="AF310" s="28" t="n">
        <v>193.3</v>
      </c>
      <c r="AG310" s="28" t="n">
        <v>55.8</v>
      </c>
      <c r="AH310" s="26" t="inlineStr">
        <is>
          <t>Y</t>
        </is>
      </c>
      <c r="AI310" s="35" t="n">
        <v>31</v>
      </c>
      <c r="AJ310" s="35" t="n">
        <v>9</v>
      </c>
      <c r="AK310" s="26" t="inlineStr">
        <is>
          <t>N</t>
        </is>
      </c>
      <c r="AL310" s="36">
        <f>IF('BBG Verify'!K310="","not filed — run on terminal",'BBG Verify'!K310)</f>
        <v/>
      </c>
      <c r="AM310" s="26" t="inlineStr">
        <is>
          <t>N/A</t>
        </is>
      </c>
      <c r="AN310" s="26" t="inlineStr">
        <is>
          <t>N/A</t>
        </is>
      </c>
      <c r="AO310" s="26" t="inlineStr">
        <is>
          <t>N/A</t>
        </is>
      </c>
      <c r="AP310" s="26" t="n"/>
      <c r="AQ310" s="26" t="inlineStr">
        <is>
          <t>光銀國際資本有限公司</t>
        </is>
      </c>
      <c r="AR310" s="26"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AS310" s="26" t="inlineStr">
        <is>
          <t>雅利多證券有限公司; 交銀國際證券有限公司; 建銀國際金融有限公司; 光銀國際資本有限公司; 中國銀河國際證券(香港)有限公司; 鉅誠證券有限公司; 中信里昂證券有限公司; 招銀國際金融有限公司; 華升證券（國際）有限公司; 工銀國際證券有限公司; 利弗莫爾證券有限公司; 軟庫中華金融服務有限公司; 浦銀國際融資有限公司; 潤淼資產管理有限公司</t>
        </is>
      </c>
      <c r="AT310" s="37">
        <f>HYPERLINK("https://www1.hkexnews.hk/listedco/listconews/sehk/2024/1231/2024123100154.pdf","prospectus")</f>
        <v/>
      </c>
      <c r="AU310" s="37">
        <f>HYPERLINK("https://www1.hkexnews.hk/listedco/listconews/sehk/2025/0114/2025011400898.pdf","allotment")</f>
        <v/>
      </c>
      <c r="AV310" s="37">
        <f>HYPERLINK("https://www1.hkexnews.hk/listedco/listconews/sehk/2025/0210/2025021000368.pdf","stabilisation")</f>
        <v/>
      </c>
      <c r="AW310" s="26" t="inlineStr">
        <is>
          <t>A/H: no A-share listing · sponsor: English name not in the filing text; AAStocks 保薦人 shown · market cap: AAStocks lists HK$2,400m at listing vs HK$1,732m derived here</t>
        </is>
      </c>
    </row>
    <row r="311">
      <c r="A311" s="25" t="inlineStr">
        <is>
          <t>1364</t>
        </is>
      </c>
      <c r="B311" s="26" t="inlineStr">
        <is>
          <t>GUMING</t>
        </is>
      </c>
      <c r="C311" s="26" t="inlineStr">
        <is>
          <t>古茗</t>
        </is>
      </c>
      <c r="D311" s="26" t="inlineStr">
        <is>
          <t>Consumer</t>
        </is>
      </c>
      <c r="E311" s="26" t="inlineStr">
        <is>
          <t>F&amp;B chains / restaurants</t>
        </is>
      </c>
      <c r="F311" s="26" t="inlineStr">
        <is>
          <t>Standard</t>
        </is>
      </c>
      <c r="G311" s="27" t="n">
        <v>45700</v>
      </c>
      <c r="H311" s="28" t="n">
        <v>1813</v>
      </c>
      <c r="I311" s="26" t="inlineStr">
        <is>
          <t>gross (stated)</t>
        </is>
      </c>
      <c r="J311" s="29" t="n"/>
      <c r="K311" s="29" t="n">
        <v>9.94</v>
      </c>
      <c r="L311" s="29" t="n">
        <v>9.94</v>
      </c>
      <c r="M311" s="26" t="inlineStr">
        <is>
          <t>Y</t>
        </is>
      </c>
      <c r="N311" s="30" t="n">
        <v>100</v>
      </c>
      <c r="O311" s="28" t="n">
        <v>23421.8</v>
      </c>
      <c r="P311" s="26" t="inlineStr">
        <is>
          <t>derived:price x shares upon listing</t>
        </is>
      </c>
      <c r="Q311" s="31" t="n">
        <v>194.87</v>
      </c>
      <c r="R311" s="32" t="n">
        <v>15.03</v>
      </c>
      <c r="S311" s="33" t="n">
        <v>30.51</v>
      </c>
      <c r="T311" s="26" t="inlineStr">
        <is>
          <t>Huang River Investment Limited; Global Limited; Long-Z Fund I, LP; Duckling Fund, L.P; Mr. Qi(1); Mr. Ruan(1); Ms. Pan(1)</t>
        </is>
      </c>
      <c r="U311" s="30" t="n">
        <v>15</v>
      </c>
      <c r="V311" s="26" t="inlineStr">
        <is>
          <t>partial</t>
        </is>
      </c>
      <c r="W311" s="34" t="n">
        <v>-6.44</v>
      </c>
      <c r="X311" s="34" t="n">
        <v>-2.11</v>
      </c>
      <c r="Y311" s="34" t="n">
        <v>45.07</v>
      </c>
      <c r="Z311" s="34" t="n">
        <v>157.04</v>
      </c>
      <c r="AA311" s="34" t="n">
        <v>55.06</v>
      </c>
      <c r="AB311" s="34" t="n">
        <v>33.21</v>
      </c>
      <c r="AC311" s="34" t="n">
        <v>11.86</v>
      </c>
      <c r="AD311" s="26" t="inlineStr">
        <is>
          <t>Hang Seng Commerce &amp; Industry sub-index</t>
        </is>
      </c>
      <c r="AE311" s="34" t="n">
        <v>144.27</v>
      </c>
      <c r="AF311" s="28" t="n">
        <v>8443.200000000001</v>
      </c>
      <c r="AG311" s="28" t="n">
        <v>1206</v>
      </c>
      <c r="AH311" s="26" t="inlineStr">
        <is>
          <t>Y</t>
        </is>
      </c>
      <c r="AI311" s="35" t="n">
        <v>19.4</v>
      </c>
      <c r="AJ311" s="35" t="n">
        <v>2.8</v>
      </c>
      <c r="AK311" s="26" t="inlineStr">
        <is>
          <t>N</t>
        </is>
      </c>
      <c r="AL311" s="36">
        <f>IF('BBG Verify'!K311="","not filed — run on terminal",'BBG Verify'!K311)</f>
        <v/>
      </c>
      <c r="AM311" s="26" t="inlineStr">
        <is>
          <t>N/A</t>
        </is>
      </c>
      <c r="AN311" s="26" t="inlineStr">
        <is>
          <t>N/A</t>
        </is>
      </c>
      <c r="AO311" s="26" t="inlineStr">
        <is>
          <t>N/A</t>
        </is>
      </c>
      <c r="AP311" s="26" t="inlineStr">
        <is>
          <t>Goldman Sachs (Asia) L.L.C; UBS Securities Hong Kong Limited; -Overall Coordinators Goldman Sachs (Asia) L.L.C; UBS AG Hong Kong Branch</t>
        </is>
      </c>
      <c r="AQ311" s="26" t="inlineStr">
        <is>
          <t>瑞銀證券香港有限公司; 高盛(亞洲)有限責任公司</t>
        </is>
      </c>
      <c r="AR311" s="26" t="inlineStr">
        <is>
          <t>Goldman Sachs (Asia) L.L.C; UBS AG Hong Kong Branch; Central, Hong Kong China International Capital Corporation Hong Kong Securities Limited; Central, Hong Kong The Hongkong and Shanghai Banking Corporation Limited; DIRECTORS AND PARTIES INVOLVED IN THE GLOBAL OFFERING –1 1 0– ABCI Capital Limited; BOCI Asia Limited; Central, Hong Kong CMB International Capital Limited</t>
        </is>
      </c>
      <c r="AS311" s="26" t="inlineStr">
        <is>
          <t>農銀國際證券有限公司; 中銀國際亞洲有限公司; 中國國際金融香港證券有限公司; 招銀國際融資有限公司; 富途證券國際（香港）有限公司; 高盛(亞洲)有限責任公司; 香港上海匯豐銀行有限公司; UBS AG 香港分行</t>
        </is>
      </c>
      <c r="AT311" s="37">
        <f>HYPERLINK("https://www1.hkexnews.hk/listedco/listconews/sehk/2025/0204/2025020400011.pdf","prospectus")</f>
        <v/>
      </c>
      <c r="AU311" s="37">
        <f>HYPERLINK("https://www1.hkexnews.hk/listedco/listconews/sehk/2025/0211/2025021100944.pdf","allotment")</f>
        <v/>
      </c>
      <c r="AV311" s="37">
        <f>HYPERLINK("https://www1.hkexnews.hk/listedco/listconews/sehk/2025/0309/2025030900015.pdf","stabilisation")</f>
        <v/>
      </c>
      <c r="AW311" s="26" t="inlineStr">
        <is>
          <t>A/H: no A-share listing</t>
        </is>
      </c>
    </row>
    <row r="312">
      <c r="A312" s="25" t="inlineStr">
        <is>
          <t>2097</t>
        </is>
      </c>
      <c r="B312" s="26" t="inlineStr">
        <is>
          <t>MIXUE GROUP</t>
        </is>
      </c>
      <c r="C312" s="26" t="inlineStr">
        <is>
          <t>蜜雪集團</t>
        </is>
      </c>
      <c r="D312" s="26" t="inlineStr">
        <is>
          <t>Consumer</t>
        </is>
      </c>
      <c r="E312" s="26" t="inlineStr">
        <is>
          <t>F&amp;B chains / restaurants</t>
        </is>
      </c>
      <c r="F312" s="26" t="inlineStr">
        <is>
          <t>Standard</t>
        </is>
      </c>
      <c r="G312" s="27" t="n">
        <v>45719</v>
      </c>
      <c r="H312" s="28" t="n">
        <v>3455</v>
      </c>
      <c r="I312" s="26" t="inlineStr">
        <is>
          <t>gross (stated)</t>
        </is>
      </c>
      <c r="J312" s="29" t="n"/>
      <c r="K312" s="29" t="n">
        <v>202.5</v>
      </c>
      <c r="L312" s="29" t="n">
        <v>202.5</v>
      </c>
      <c r="M312" s="26" t="inlineStr">
        <is>
          <t>Y</t>
        </is>
      </c>
      <c r="N312" s="30" t="n">
        <v>100</v>
      </c>
      <c r="O312" s="28" t="n">
        <v>66827.89999999999</v>
      </c>
      <c r="P312" s="26" t="inlineStr">
        <is>
          <t>derived:deal size / offer % of enlarged capital</t>
        </is>
      </c>
      <c r="Q312" s="31" t="n">
        <v>5258.21</v>
      </c>
      <c r="R312" s="32" t="n">
        <v>35.23</v>
      </c>
      <c r="S312" s="33" t="n">
        <v>45.09</v>
      </c>
      <c r="T312" s="26" t="inlineStr">
        <is>
          <t>M&amp;G Investments; HongShan Growth; Persistence Growth Limited; HHLR Fund, L.P; Long-Z Fund I, LP</t>
        </is>
      </c>
      <c r="U312" s="30" t="n">
        <v>15</v>
      </c>
      <c r="V312" s="26" t="inlineStr">
        <is>
          <t>full</t>
        </is>
      </c>
      <c r="W312" s="34" t="n">
        <v>43.21</v>
      </c>
      <c r="X312" s="34" t="n">
        <v>94.27</v>
      </c>
      <c r="Y312" s="34" t="n">
        <v>107.41</v>
      </c>
      <c r="Z312" s="34" t="n">
        <v>180.49</v>
      </c>
      <c r="AA312" s="34" t="n">
        <v>44.83</v>
      </c>
      <c r="AB312" s="34" t="n">
        <v>106.47</v>
      </c>
      <c r="AC312" s="34" t="n">
        <v>0.9399999999999999</v>
      </c>
      <c r="AD312" s="26" t="inlineStr">
        <is>
          <t>Hang Seng Commerce &amp; Industry sub-index</t>
        </is>
      </c>
      <c r="AE312" s="34" t="n">
        <v>10.32</v>
      </c>
      <c r="AF312" s="28" t="n">
        <v>22332.7</v>
      </c>
      <c r="AG312" s="28" t="n">
        <v>3505.3</v>
      </c>
      <c r="AH312" s="26" t="inlineStr">
        <is>
          <t>Y</t>
        </is>
      </c>
      <c r="AI312" s="35" t="n">
        <v>19.1</v>
      </c>
      <c r="AJ312" s="35" t="n">
        <v>3</v>
      </c>
      <c r="AK312" s="26" t="inlineStr">
        <is>
          <t>N</t>
        </is>
      </c>
      <c r="AL312" s="36">
        <f>IF('BBG Verify'!K312="","not filed — run on terminal",'BBG Verify'!K312)</f>
        <v/>
      </c>
      <c r="AM312" s="26" t="inlineStr">
        <is>
          <t>N/A</t>
        </is>
      </c>
      <c r="AN312" s="26" t="inlineStr">
        <is>
          <t>N/A</t>
        </is>
      </c>
      <c r="AO312" s="26" t="inlineStr">
        <is>
          <t>N/A</t>
        </is>
      </c>
      <c r="AP312" s="26" t="inlineStr">
        <is>
          <t>Merrill Lynch (Asia Pacific) Limited; Goldman Sachs (Asia) L.L.C; UBS Securities Hong Kong Limited</t>
        </is>
      </c>
      <c r="AQ312" s="26" t="inlineStr">
        <is>
          <t>瑞銀證券香港有限公司; 美林(亞太)有限公司; 高盛(亞洲)有限責任公司</t>
        </is>
      </c>
      <c r="AR312" s="26" t="inlineStr">
        <is>
          <t>Merrill Lynch (Asia Pacific) Limited; Goldman Sachs (Asia) L.L.C; UBS AG Hong Kong Branch; Huatai Financial Holdings (Hong Kong) Limited; ICBC International Securities Limited; Managers and Capital Market Intermediaries Merrill Lynch (Asia Pacific) Limited; GF Securities (Hong Kong) Brokerage Limited; CMB International Capital Limited</t>
        </is>
      </c>
      <c r="AS312" s="26" t="inlineStr">
        <is>
          <t>中國國際金融香港證券有限公司; 招銀國際金融有限公司; 廣發證券（香港）經紀有限公司; 高盛(亞洲)有限責任公司; 華泰金融控股(香港)有限公司; 工銀國際證券有限公司; 美林(亞太)有限公司; UBS AG 香港分行</t>
        </is>
      </c>
      <c r="AT312" s="37">
        <f>HYPERLINK("https://www1.hkexnews.hk/listedco/listconews/sehk/2025/0221/2025022100016.htm","prospectus")</f>
        <v/>
      </c>
      <c r="AU312" s="37">
        <f>HYPERLINK("https://www1.hkexnews.hk/listedco/listconews/sehk/2025/0228/2025022801727.pdf","allotment")</f>
        <v/>
      </c>
      <c r="AV312" s="37">
        <f>HYPERLINK("https://www1.hkexnews.hk/listedco/listconews/sehk/2025/0328/2025032802276.pdf","stabilisation")</f>
        <v/>
      </c>
      <c r="AW312" s="26" t="inlineStr">
        <is>
          <t>price range: fixed-price offering (no indicative range) · A/H: no A line; closest listed proxy {'code': '603711.SS', 'name': 'Xiangpiaopiao Food', 'rationale': "No A-listed freshly-made-drinks chain exists; Xiangpiaopiao is the A-share mass-market tea-drink franchise/brand play closest to Mixue's price point."}</t>
        </is>
      </c>
    </row>
    <row r="313">
      <c r="A313" s="25" t="inlineStr">
        <is>
          <t>6693</t>
        </is>
      </c>
      <c r="B313" s="26" t="inlineStr">
        <is>
          <t>CHIFENG GOLD</t>
        </is>
      </c>
      <c r="C313" s="26" t="inlineStr">
        <is>
          <t>赤峰黃金</t>
        </is>
      </c>
      <c r="D313" s="26" t="inlineStr">
        <is>
          <t>Materials/Energy</t>
        </is>
      </c>
      <c r="E313" s="26" t="inlineStr">
        <is>
          <t>Mining / metals</t>
        </is>
      </c>
      <c r="F313" s="26" t="inlineStr">
        <is>
          <t>Standard</t>
        </is>
      </c>
      <c r="G313" s="27" t="n">
        <v>45726</v>
      </c>
      <c r="H313" s="28" t="n">
        <v>2821.5</v>
      </c>
      <c r="I313" s="26" t="inlineStr">
        <is>
          <t>gross (price x shares)</t>
        </is>
      </c>
      <c r="J313" s="29" t="n"/>
      <c r="K313" s="29" t="n">
        <v>15.83</v>
      </c>
      <c r="L313" s="29" t="n">
        <v>13.72</v>
      </c>
      <c r="M313" s="26" t="inlineStr">
        <is>
          <t>N</t>
        </is>
      </c>
      <c r="N313" s="30" t="n">
        <v>86.7</v>
      </c>
      <c r="O313" s="28" t="n">
        <v>25650.4</v>
      </c>
      <c r="P313" s="26" t="inlineStr">
        <is>
          <t>derived:price x shares upon listing</t>
        </is>
      </c>
      <c r="Q313" s="31" t="n">
        <v>9.529999999999999</v>
      </c>
      <c r="R313" s="32" t="n">
        <v>3.67</v>
      </c>
      <c r="S313" s="33" t="n">
        <v>26.4</v>
      </c>
      <c r="T313" s="44" t="n"/>
      <c r="U313" s="30" t="n">
        <v>15</v>
      </c>
      <c r="V313" s="26" t="inlineStr">
        <is>
          <t>full</t>
        </is>
      </c>
      <c r="W313" s="34" t="n">
        <v>0</v>
      </c>
      <c r="X313" s="34" t="n">
        <v>2.04</v>
      </c>
      <c r="Y313" s="34" t="n">
        <v>25.51</v>
      </c>
      <c r="Z313" s="34" t="n">
        <v>110.64</v>
      </c>
      <c r="AA313" s="34" t="n">
        <v>25.51</v>
      </c>
      <c r="AB313" s="34" t="n">
        <v>29.19</v>
      </c>
      <c r="AC313" s="34" t="n">
        <v>-3.68</v>
      </c>
      <c r="AD313" s="26" t="inlineStr">
        <is>
          <t>Hang Seng Utilities sub-index</t>
        </is>
      </c>
      <c r="AE313" s="34" t="n">
        <v>179.3</v>
      </c>
      <c r="AF313" s="28" t="n">
        <v>7943</v>
      </c>
      <c r="AG313" s="28" t="n">
        <v>958.7</v>
      </c>
      <c r="AH313" s="26" t="inlineStr">
        <is>
          <t>Y</t>
        </is>
      </c>
      <c r="AI313" s="35" t="n">
        <v>26.8</v>
      </c>
      <c r="AJ313" s="35" t="n">
        <v>3.2</v>
      </c>
      <c r="AK313" s="26" t="inlineStr">
        <is>
          <t>Y</t>
        </is>
      </c>
      <c r="AL313" s="26" t="inlineStr">
        <is>
          <t>600988.SS</t>
        </is>
      </c>
      <c r="AM313" s="34" t="n">
        <v>-33.6</v>
      </c>
      <c r="AN313" s="29" t="n">
        <v>20.6635</v>
      </c>
      <c r="AO313" s="42" t="n">
        <v>-0.2007</v>
      </c>
      <c r="AP313" s="26" t="inlineStr">
        <is>
          <t>CITIC Securities (Hong Kong) Limited</t>
        </is>
      </c>
      <c r="AQ313" s="26" t="inlineStr">
        <is>
          <t>中信證券(香港)有限公司</t>
        </is>
      </c>
      <c r="AR313" s="26" t="inlineStr">
        <is>
          <t>Kong Securities Limited; Managers ABCI Capital Limited; Central, Hong Kong ABCI Securities Company Limited</t>
        </is>
      </c>
      <c r="AS313" s="26" t="inlineStr">
        <is>
          <t>農銀國際證券有限公司; 中銀國際亞洲有限公司; 建銀國際金融有限公司; 中國國際金融香港證券有限公司; 中信里昂證券有限公司; 第一上海證券有限公司; 富途證券國際（香港）有限公司; 華泰金融控股(香港)有限公司; 工銀國際證券有限公司; 利弗莫爾證券有限公司; 麥格理資本股份有限公司; 申萬宏源證券（香港）有限公司; 星河證券有限公司; 老虎證券（香港）環球有限公司; 勝利證券有限公司</t>
        </is>
      </c>
      <c r="AT313" s="37">
        <f>HYPERLINK("https://www1.hkexnews.hk/listedco/listconews/sehk/2025/0228/2025022800056.pdf","prospectus")</f>
        <v/>
      </c>
      <c r="AU313" s="37">
        <f>HYPERLINK("https://www1.hkexnews.hk/listedco/listconews/sehk/2025/0307/2025030701501.pdf","allotment")</f>
        <v/>
      </c>
      <c r="AV313" s="37">
        <f>HYPERLINK("https://www1.hkexnews.hk/listedco/listconews/sehk/2025/0406/2025040600051.pdf","stabilisation")</f>
        <v/>
      </c>
      <c r="AW313" s="26" t="inlineStr">
        <is>
          <t>A/H: Mar 2025 H listing (gold miner)</t>
        </is>
      </c>
    </row>
    <row r="314">
      <c r="A314" s="25" t="inlineStr">
        <is>
          <t>2561</t>
        </is>
      </c>
      <c r="B314" s="26" t="inlineStr">
        <is>
          <t>VISEN PHARMA-B</t>
        </is>
      </c>
      <c r="C314" s="26" t="inlineStr">
        <is>
          <t>維昇藥業－Ｂ</t>
        </is>
      </c>
      <c r="D314" s="26" t="inlineStr">
        <is>
          <t>Healthcare</t>
        </is>
      </c>
      <c r="E314" s="26" t="inlineStr">
        <is>
          <t>Biotech pre-revenue (18A)</t>
        </is>
      </c>
      <c r="F314" s="26" t="inlineStr">
        <is>
          <t>18A</t>
        </is>
      </c>
      <c r="G314" s="27" t="n">
        <v>45737</v>
      </c>
      <c r="H314" s="28" t="n">
        <v>783.3</v>
      </c>
      <c r="I314" s="26" t="inlineStr">
        <is>
          <t>gross (stated)</t>
        </is>
      </c>
      <c r="J314" s="29" t="n">
        <v>68.44</v>
      </c>
      <c r="K314" s="29" t="n">
        <v>75.28</v>
      </c>
      <c r="L314" s="29" t="n">
        <v>68.8</v>
      </c>
      <c r="M314" s="26" t="inlineStr">
        <is>
          <t>N</t>
        </is>
      </c>
      <c r="N314" s="30" t="n">
        <v>91.40000000000001</v>
      </c>
      <c r="O314" s="28" t="n">
        <v>8509.299999999999</v>
      </c>
      <c r="P314" s="26" t="inlineStr">
        <is>
          <t>aastocks:上市市值 at the struck price</t>
        </is>
      </c>
      <c r="Q314" s="31" t="n">
        <v>72.64</v>
      </c>
      <c r="R314" s="32" t="n">
        <v>1.65</v>
      </c>
      <c r="S314" s="33" t="n">
        <v>65</v>
      </c>
      <c r="T314" s="26" t="inlineStr">
        <is>
          <t>Morgan Stanley Asia Limited; Vivo Plenilune IX Limited, Morgan Stanley Asia Limited; Limited, Morgan Stanley Asia Limited; Suzhou Harvest International Co., Limited; Vivo Plenilune IX Limited; Jefferies Hong Kong Limited; Cosmic Clover Limited; Logos Opportunities Fund II LP; CRF Investment Holdings Company Limited</t>
        </is>
      </c>
      <c r="U314" s="30" t="n">
        <v>15</v>
      </c>
      <c r="V314" s="26" t="inlineStr">
        <is>
          <t>lapsed</t>
        </is>
      </c>
      <c r="W314" s="34" t="n">
        <v>0</v>
      </c>
      <c r="X314" s="34" t="n">
        <v>-16.79</v>
      </c>
      <c r="Y314" s="34" t="n">
        <v>-30.81</v>
      </c>
      <c r="Z314" s="34" t="n">
        <v>-30.96</v>
      </c>
      <c r="AA314" s="34" t="n">
        <v>-30.81</v>
      </c>
      <c r="AB314" s="34" t="n">
        <v>-31.78</v>
      </c>
      <c r="AC314" s="34" t="n">
        <v>0.97</v>
      </c>
      <c r="AD314" s="26" t="inlineStr">
        <is>
          <t>China Biotech ETF (HS biotech proxy)</t>
        </is>
      </c>
      <c r="AE314" s="34" t="n">
        <v>-70.94</v>
      </c>
      <c r="AF314" s="28" t="n"/>
      <c r="AG314" s="28" t="n">
        <v>-229.2</v>
      </c>
      <c r="AH314" s="26" t="inlineStr">
        <is>
          <t>N</t>
        </is>
      </c>
      <c r="AI314" s="38">
        <f>IF('BBG Verify'!O314="","not filed — run on terminal",'BBG Verify'!O314)</f>
        <v/>
      </c>
      <c r="AJ314" s="35" t="n"/>
      <c r="AK314" s="26" t="inlineStr">
        <is>
          <t>N</t>
        </is>
      </c>
      <c r="AL314" s="36">
        <f>IF('BBG Verify'!K314="","not filed — run on terminal",'BBG Verify'!K314)</f>
        <v/>
      </c>
      <c r="AM314" s="26" t="inlineStr">
        <is>
          <t>N/A</t>
        </is>
      </c>
      <c r="AN314" s="26" t="inlineStr">
        <is>
          <t>N/A</t>
        </is>
      </c>
      <c r="AO314" s="26" t="inlineStr">
        <is>
          <t>N/A</t>
        </is>
      </c>
      <c r="AP314" s="26" t="inlineStr">
        <is>
          <t>Morgan Stanley Asia Limited; Jefferies Hong Kong Limited</t>
        </is>
      </c>
      <c r="AQ314" s="26" t="inlineStr">
        <is>
          <t>富瑞金融集團香港有限公司; 摩根士丹利亞洲有限公司</t>
        </is>
      </c>
      <c r="AR314" s="26" t="inlineStr">
        <is>
          <t>中信里昂證券有限公司; 富途證券國際（香港）有限公司; 國元證券經紀(香港)有限公司; 富瑞金融集團香港有限公司; 摩根士丹利亞洲有限公司; 百惠證券有限公司</t>
        </is>
      </c>
      <c r="AS314" s="26" t="inlineStr">
        <is>
          <t>中信里昂證券有限公司; 富途證券國際（香港）有限公司; 國元證券經紀(香港)有限公司; 富瑞金融集團香港有限公司; 摩根士丹利亞洲有限公司; 百惠證券有限公司; 瑞邦證券有限公司; 東吳證券國際經紀有限公司</t>
        </is>
      </c>
      <c r="AT314" s="37">
        <f>HYPERLINK("https://www1.hkexnews.hk/listedco/listconews/sehk/2025/0313/2025031300017.pdf","prospectus")</f>
        <v/>
      </c>
      <c r="AU314" s="37">
        <f>HYPERLINK("https://www1.hkexnews.hk/listedco/listconews/sehk/2025/0320/2025032001490.pdf","allotment")</f>
        <v/>
      </c>
      <c r="AV314" s="37">
        <f>HYPERLINK("https://www1.hkexnews.hk/listedco/listconews/sehk/2025/0417/2025041701661.pdf","stabilisation")</f>
        <v/>
      </c>
      <c r="AW314" s="26" t="inlineStr">
        <is>
          <t>P/E: n/m — loss-making at IPO (use P/S) · A/H: no A-share listing · market cap: estimate from deal size / offer % of enlarged capital disagreed with the published listing cap — published figure adopted</t>
        </is>
      </c>
    </row>
    <row r="315">
      <c r="A315" s="25" t="inlineStr">
        <is>
          <t>2610</t>
        </is>
      </c>
      <c r="B315" s="26" t="inlineStr">
        <is>
          <t>NANSHAN AL INTL</t>
        </is>
      </c>
      <c r="C315" s="26" t="inlineStr">
        <is>
          <t>南山鋁業國際</t>
        </is>
      </c>
      <c r="D315" s="26" t="inlineStr">
        <is>
          <t>Materials/Energy</t>
        </is>
      </c>
      <c r="E315" s="26" t="inlineStr">
        <is>
          <t>Mining / metals</t>
        </is>
      </c>
      <c r="F315" s="26" t="inlineStr">
        <is>
          <t>Standard</t>
        </is>
      </c>
      <c r="G315" s="27" t="n">
        <v>45741</v>
      </c>
      <c r="H315" s="28" t="n">
        <v>2347.1</v>
      </c>
      <c r="I315" s="26" t="inlineStr">
        <is>
          <t>gross (stated)</t>
        </is>
      </c>
      <c r="J315" s="29" t="n">
        <v>26.6</v>
      </c>
      <c r="K315" s="29" t="n">
        <v>26.6</v>
      </c>
      <c r="L315" s="29" t="n">
        <v>26.6</v>
      </c>
      <c r="M315" s="26" t="inlineStr">
        <is>
          <t>Y</t>
        </is>
      </c>
      <c r="N315" s="30" t="n">
        <v>100</v>
      </c>
      <c r="O315" s="28" t="n">
        <v>15647.1</v>
      </c>
      <c r="P315" s="26" t="inlineStr">
        <is>
          <t>derived:price x shares upon listing</t>
        </is>
      </c>
      <c r="Q315" s="31" t="n">
        <v>3.89</v>
      </c>
      <c r="R315" s="32" t="n">
        <v>1.67</v>
      </c>
      <c r="S315" s="33" t="n">
        <v>39.82</v>
      </c>
      <c r="T315" s="26" t="inlineStr">
        <is>
          <t>Glencore International AG; PT Indika Energy Tbk</t>
        </is>
      </c>
      <c r="U315" s="30" t="n">
        <v>15</v>
      </c>
      <c r="V315" s="26" t="inlineStr">
        <is>
          <t>partial</t>
        </is>
      </c>
      <c r="W315" s="34" t="n">
        <v>-5.08</v>
      </c>
      <c r="X315" s="34" t="n">
        <v>-8.83</v>
      </c>
      <c r="Y315" s="34" t="n">
        <v>-8.65</v>
      </c>
      <c r="Z315" s="34" t="n">
        <v>16.54</v>
      </c>
      <c r="AA315" s="34" t="n">
        <v>-3.76</v>
      </c>
      <c r="AB315" s="34" t="n">
        <v>-13.09</v>
      </c>
      <c r="AC315" s="34" t="n">
        <v>4.44</v>
      </c>
      <c r="AD315" s="26" t="inlineStr">
        <is>
          <t>Hang Seng Utilities sub-index</t>
        </is>
      </c>
      <c r="AE315" s="34" t="n">
        <v>-1.95</v>
      </c>
      <c r="AF315" s="28" t="n">
        <v>5286.7</v>
      </c>
      <c r="AG315" s="28" t="n">
        <v>956.8</v>
      </c>
      <c r="AH315" s="26" t="inlineStr">
        <is>
          <t>Y</t>
        </is>
      </c>
      <c r="AI315" s="35" t="n">
        <v>16.4</v>
      </c>
      <c r="AJ315" s="35" t="n">
        <v>3</v>
      </c>
      <c r="AK315" s="26" t="inlineStr">
        <is>
          <t>N</t>
        </is>
      </c>
      <c r="AL315" s="36">
        <f>IF('BBG Verify'!K315="","not filed — run on terminal",'BBG Verify'!K315)</f>
        <v/>
      </c>
      <c r="AM315" s="26" t="inlineStr">
        <is>
          <t>N/A</t>
        </is>
      </c>
      <c r="AN315" s="26" t="inlineStr">
        <is>
          <t>N/A</t>
        </is>
      </c>
      <c r="AO315" s="26" t="inlineStr">
        <is>
          <t>N/A</t>
        </is>
      </c>
      <c r="AP315" s="26" t="n"/>
      <c r="AQ315" s="26" t="inlineStr">
        <is>
          <t>華泰金融控股(香港)有限公司</t>
        </is>
      </c>
      <c r="AR315" s="26"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AS315" s="26" t="inlineStr">
        <is>
          <t>中航資信環球資產管理有限公司; 中銀國際亞洲有限公司; 中國銀河國際證券(香港)有限公司; 中國國際金融香港證券有限公司; 中信里昂證券有限公司; 招銀國際融資有限公司; 星展亞洲融資有限公司; 大和資本市場香港有限公司; 富途證券國際（香港）有限公司; 華泰金融控股(香港)有限公司; 工銀國際證券有限公司; 輝立証券（香港）有限公司; 老虎證券（香港）環球有限公司; 大華繼顯(香港)有限公司; 中泰國際證券有限公司</t>
        </is>
      </c>
      <c r="AT315" s="37">
        <f>HYPERLINK("https://www1.hkexnews.hk/listedco/listconews/sehk/2025/0317/2025031700019.pdf","prospectus")</f>
        <v/>
      </c>
      <c r="AU315" s="37">
        <f>HYPERLINK("https://www1.hkexnews.hk/listedco/listconews/sehk/2025/0324/2025032401216.pdf","allotment")</f>
        <v/>
      </c>
      <c r="AV315" s="37">
        <f>HYPERLINK("https://www1.hkexnews.hk/listedco/listconews/sehk/2025/0422/2025042201921.pdf","stabilisation")</f>
        <v/>
      </c>
      <c r="AW315" s="26" t="inlineStr">
        <is>
          <t>A/H: no A-share listing · sponsor: English name not in the filing text; AAStocks 保薦人 shown</t>
        </is>
      </c>
    </row>
    <row r="316">
      <c r="A316" s="25" t="inlineStr">
        <is>
          <t>2569</t>
        </is>
      </c>
      <c r="B316" s="26" t="inlineStr">
        <is>
          <t>SOFT INTL</t>
        </is>
      </c>
      <c r="C316" s="26" t="inlineStr">
        <is>
          <t>舒寶國際</t>
        </is>
      </c>
      <c r="D316" s="26" t="inlineStr">
        <is>
          <t>Materials/Energy</t>
        </is>
      </c>
      <c r="E316" s="26" t="inlineStr">
        <is>
          <t>Chemicals</t>
        </is>
      </c>
      <c r="F316" s="26" t="inlineStr">
        <is>
          <t>Standard</t>
        </is>
      </c>
      <c r="G316" s="27" t="n">
        <v>45743</v>
      </c>
      <c r="H316" s="28" t="n">
        <v>127.5</v>
      </c>
      <c r="I316" s="26" t="inlineStr">
        <is>
          <t>gross (stated)</t>
        </is>
      </c>
      <c r="J316" s="29" t="n">
        <v>0.5</v>
      </c>
      <c r="K316" s="29" t="n">
        <v>0.6</v>
      </c>
      <c r="L316" s="29" t="n">
        <v>0.51</v>
      </c>
      <c r="M316" s="26" t="inlineStr">
        <is>
          <t>N</t>
        </is>
      </c>
      <c r="N316" s="30" t="n">
        <v>85</v>
      </c>
      <c r="O316" s="28" t="n">
        <v>510</v>
      </c>
      <c r="P316" s="26" t="inlineStr">
        <is>
          <t>derived:price x shares upon listing</t>
        </is>
      </c>
      <c r="Q316" s="31" t="n">
        <v>167.09</v>
      </c>
      <c r="R316" s="32" t="n">
        <v>1.02</v>
      </c>
      <c r="S316" s="33" t="n">
        <v>0</v>
      </c>
      <c r="T316" s="26" t="n"/>
      <c r="U316" s="30" t="n">
        <v>7.5</v>
      </c>
      <c r="V316" s="26" t="n"/>
      <c r="W316" s="34" t="n">
        <v>31.37</v>
      </c>
      <c r="X316" s="34" t="n">
        <v>-1.96</v>
      </c>
      <c r="Y316" s="34" t="n">
        <v>23.53</v>
      </c>
      <c r="Z316" s="34" t="n">
        <v>162.75</v>
      </c>
      <c r="AA316" s="34" t="n">
        <v>-5.97</v>
      </c>
      <c r="AB316" s="34" t="n">
        <v>17.95</v>
      </c>
      <c r="AC316" s="34" t="n">
        <v>5.58</v>
      </c>
      <c r="AD316" s="26" t="inlineStr">
        <is>
          <t>Hang Seng Utilities sub-index</t>
        </is>
      </c>
      <c r="AE316" s="34" t="n">
        <v>133.33</v>
      </c>
      <c r="AF316" s="28" t="n">
        <v>720</v>
      </c>
      <c r="AG316" s="28" t="n">
        <v>64.8</v>
      </c>
      <c r="AH316" s="26" t="inlineStr">
        <is>
          <t>Y</t>
        </is>
      </c>
      <c r="AI316" s="35" t="n">
        <v>7.9</v>
      </c>
      <c r="AJ316" s="35" t="n">
        <v>0.7</v>
      </c>
      <c r="AK316" s="26" t="inlineStr">
        <is>
          <t>N</t>
        </is>
      </c>
      <c r="AL316" s="36">
        <f>IF('BBG Verify'!K316="","not filed — run on terminal",'BBG Verify'!K316)</f>
        <v/>
      </c>
      <c r="AM316" s="26" t="inlineStr">
        <is>
          <t>N/A</t>
        </is>
      </c>
      <c r="AN316" s="26" t="inlineStr">
        <is>
          <t>N/A</t>
        </is>
      </c>
      <c r="AO316" s="26" t="inlineStr">
        <is>
          <t>N/A</t>
        </is>
      </c>
      <c r="AP316" s="26" t="n"/>
      <c r="AQ316" s="26" t="inlineStr">
        <is>
          <t>日進資本有限公司</t>
        </is>
      </c>
      <c r="AR316" s="26" t="inlineStr">
        <is>
          <t>CMBC Securities Company Limited; Central, Hong Kong Hung Sing Securities Limited; Yuet Sheung International Securities Limited; Central, Hong Kong Zhongtai International Securities Limited; Central, Hong Kong ZMF Asset Management Limited</t>
        </is>
      </c>
      <c r="AS316" s="26" t="inlineStr">
        <is>
          <t>民銀證券有限公司; 華升證券（國際）有限公司; 鴻昇證券有限公司; 日進資本有限公司; 粵商國際證券有限公司; 越秀證券有限公司; 中泰國際證券有限公司; 中募金融資管有限公司</t>
        </is>
      </c>
      <c r="AT316" s="37">
        <f>HYPERLINK("https://www1.hkexnews.hk/listedco/listconews/sehk/2025/0319/2025031900013.pdf","prospectus")</f>
        <v/>
      </c>
      <c r="AU316" s="37">
        <f>HYPERLINK("https://www1.hkexnews.hk/listedco/listconews/sehk/2025/0326/2025032601370.pdf","allotment")</f>
        <v/>
      </c>
      <c r="AV316" s="26" t="n"/>
      <c r="AW316" s="26" t="inlineStr">
        <is>
          <t>greenshoe: end-of-stabilisation notice not located · A/H: no A-share listing · sponsor: English name not in the filing text; AAStocks 保薦人 shown</t>
        </is>
      </c>
    </row>
    <row r="317">
      <c r="A317" s="25" t="inlineStr">
        <is>
          <t>2625</t>
        </is>
      </c>
      <c r="B317" s="26" t="inlineStr">
        <is>
          <t>JIANGSU HORIZON</t>
        </is>
      </c>
      <c r="C317" s="26" t="inlineStr">
        <is>
          <t>江蘇宏信</t>
        </is>
      </c>
      <c r="D317" s="26" t="inlineStr">
        <is>
          <t>Consumer</t>
        </is>
      </c>
      <c r="E317" s="26" t="inlineStr">
        <is>
          <t>Retail / distribution</t>
        </is>
      </c>
      <c r="F317" s="26" t="inlineStr">
        <is>
          <t>Standard</t>
        </is>
      </c>
      <c r="G317" s="27" t="n">
        <v>45747</v>
      </c>
      <c r="H317" s="28" t="n">
        <v>133.91</v>
      </c>
      <c r="I317" s="26" t="inlineStr">
        <is>
          <t>gross (stated)</t>
        </is>
      </c>
      <c r="J317" s="29" t="n">
        <v>2.5</v>
      </c>
      <c r="K317" s="29" t="n">
        <v>3</v>
      </c>
      <c r="L317" s="29" t="n">
        <v>2.5</v>
      </c>
      <c r="M317" s="26" t="inlineStr">
        <is>
          <t>N</t>
        </is>
      </c>
      <c r="N317" s="30" t="n">
        <v>83.3</v>
      </c>
      <c r="O317" s="28" t="n">
        <v>535.6</v>
      </c>
      <c r="P317" s="26" t="inlineStr">
        <is>
          <t>derived:price x shares upon listing</t>
        </is>
      </c>
      <c r="Q317" s="31" t="n">
        <v>46.96</v>
      </c>
      <c r="R317" s="32" t="n">
        <v>0.93</v>
      </c>
      <c r="S317" s="33" t="n">
        <v>28.83</v>
      </c>
      <c r="T317" s="26"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U317" s="30" t="n">
        <v>7.65</v>
      </c>
      <c r="V317" s="26" t="n"/>
      <c r="W317" s="34" t="n">
        <v>0</v>
      </c>
      <c r="X317" s="34" t="n">
        <v>-14.4</v>
      </c>
      <c r="Y317" s="34" t="n">
        <v>33.6</v>
      </c>
      <c r="Z317" s="34" t="n">
        <v>11.2</v>
      </c>
      <c r="AA317" s="34" t="n">
        <v>33.6</v>
      </c>
      <c r="AB317" s="34" t="n">
        <v>38.29</v>
      </c>
      <c r="AC317" s="34" t="n">
        <v>-4.69</v>
      </c>
      <c r="AD317" s="26" t="inlineStr">
        <is>
          <t>Hang Seng Commerce &amp; Industry sub-index</t>
        </is>
      </c>
      <c r="AE317" s="34" t="n">
        <v>-22.8</v>
      </c>
      <c r="AF317" s="28" t="n">
        <v>1542.2</v>
      </c>
      <c r="AG317" s="28" t="n">
        <v>56.8</v>
      </c>
      <c r="AH317" s="26" t="inlineStr">
        <is>
          <t>Y</t>
        </is>
      </c>
      <c r="AI317" s="35" t="n">
        <v>9.4</v>
      </c>
      <c r="AJ317" s="35" t="n">
        <v>0.3</v>
      </c>
      <c r="AK317" s="26" t="inlineStr">
        <is>
          <t>N</t>
        </is>
      </c>
      <c r="AL317" s="36">
        <f>IF('BBG Verify'!K317="","not filed — run on terminal",'BBG Verify'!K317)</f>
        <v/>
      </c>
      <c r="AM317" s="26" t="inlineStr">
        <is>
          <t>N/A</t>
        </is>
      </c>
      <c r="AN317" s="26" t="inlineStr">
        <is>
          <t>N/A</t>
        </is>
      </c>
      <c r="AO317" s="26" t="inlineStr">
        <is>
          <t>N/A</t>
        </is>
      </c>
      <c r="AP317" s="26" t="inlineStr">
        <is>
          <t>Red Solar Capital Limited</t>
        </is>
      </c>
      <c r="AQ317" s="26" t="inlineStr">
        <is>
          <t>綽耀資本有限公司</t>
        </is>
      </c>
      <c r="AR317" s="26" t="inlineStr">
        <is>
          <t>Red Solar Capital Limited; CCB International Capital Limited</t>
        </is>
      </c>
      <c r="AS317" s="26" t="inlineStr">
        <is>
          <t>建銀國際金融有限公司; 民銀證券有限公司; 招銀國際融資有限公司; 艾德證券期貨有限公司; 創陞證券有限公司; 長橋證券（香港）有限公司; 綽耀資本有限公司; 星河證券有限公司; 友信證券有限公司</t>
        </is>
      </c>
      <c r="AT317" s="37">
        <f>HYPERLINK("https://www1.hkexnews.hk/listedco/listconews/sehk/2025/0321/2025032100009.pdf","prospectus")</f>
        <v/>
      </c>
      <c r="AU317" s="37">
        <f>HYPERLINK("https://www1.hkexnews.hk/listedco/listconews/sehk/2025/0328/2025032802386.pdf","allotment")</f>
        <v/>
      </c>
      <c r="AV317" s="26" t="n"/>
      <c r="AW317" s="26" t="inlineStr">
        <is>
          <t>greenshoe: end-of-stabilisation notice not located · A/H: no A-share listing</t>
        </is>
      </c>
    </row>
    <row r="318">
      <c r="A318" s="25" t="inlineStr">
        <is>
          <t>3677</t>
        </is>
      </c>
      <c r="B318" s="26" t="inlineStr">
        <is>
          <t>ZENERGY</t>
        </is>
      </c>
      <c r="C318" s="26" t="inlineStr">
        <is>
          <t>正力新能</t>
        </is>
      </c>
      <c r="D318" s="26" t="inlineStr">
        <is>
          <t>Industrials</t>
        </is>
      </c>
      <c r="E318" s="26" t="inlineStr">
        <is>
          <t>Batteries / energy storage</t>
        </is>
      </c>
      <c r="F318" s="26" t="inlineStr">
        <is>
          <t>Standard</t>
        </is>
      </c>
      <c r="G318" s="27" t="n">
        <v>45761</v>
      </c>
      <c r="H318" s="28" t="n">
        <v>1005.1</v>
      </c>
      <c r="I318" s="26" t="inlineStr">
        <is>
          <t>gross (stated)</t>
        </is>
      </c>
      <c r="J318" s="29" t="n"/>
      <c r="K318" s="29" t="n">
        <v>8.27</v>
      </c>
      <c r="L318" s="29" t="n">
        <v>8.27</v>
      </c>
      <c r="M318" s="26" t="inlineStr">
        <is>
          <t>Y</t>
        </is>
      </c>
      <c r="N318" s="30" t="n">
        <v>100</v>
      </c>
      <c r="O318" s="28" t="n">
        <v>20745.3</v>
      </c>
      <c r="P318" s="26" t="inlineStr">
        <is>
          <t>derived:price x shares upon listing</t>
        </is>
      </c>
      <c r="Q318" s="31" t="n">
        <v>3.51</v>
      </c>
      <c r="R318" s="32" t="n">
        <v>1.13</v>
      </c>
      <c r="S318" s="33" t="n">
        <v>62</v>
      </c>
      <c r="T318" s="26" t="inlineStr">
        <is>
          <t>Listing Top</t>
        </is>
      </c>
      <c r="U318" s="30" t="n">
        <v>15</v>
      </c>
      <c r="V318" s="26" t="inlineStr">
        <is>
          <t>lapsed (no over-allocation)</t>
        </is>
      </c>
      <c r="W318" s="34" t="n">
        <v>1.45</v>
      </c>
      <c r="X318" s="34" t="n">
        <v>0.73</v>
      </c>
      <c r="Y318" s="34" t="n">
        <v>13.78</v>
      </c>
      <c r="Z318" s="34" t="n">
        <v>26.72</v>
      </c>
      <c r="AA318" s="34" t="n">
        <v>12.15</v>
      </c>
      <c r="AB318" s="34" t="n">
        <v>3.8</v>
      </c>
      <c r="AC318" s="34" t="n">
        <v>9.98</v>
      </c>
      <c r="AD318" s="26" t="inlineStr">
        <is>
          <t>Hang Seng Commerce &amp; Industry sub-index</t>
        </is>
      </c>
      <c r="AE318" s="34" t="n">
        <v>-35.01</v>
      </c>
      <c r="AF318" s="28" t="n">
        <v>4577.8</v>
      </c>
      <c r="AG318" s="28" t="n">
        <v>-648.9</v>
      </c>
      <c r="AH318" s="26" t="inlineStr">
        <is>
          <t>N</t>
        </is>
      </c>
      <c r="AI318" s="38">
        <f>IF('BBG Verify'!O318="","not filed — run on terminal",'BBG Verify'!O318)</f>
        <v/>
      </c>
      <c r="AJ318" s="35" t="n">
        <v>4.5</v>
      </c>
      <c r="AK318" s="26" t="inlineStr">
        <is>
          <t>N</t>
        </is>
      </c>
      <c r="AL318" s="36">
        <f>IF('BBG Verify'!K318="","not filed — run on terminal",'BBG Verify'!K318)</f>
        <v/>
      </c>
      <c r="AM318" s="26" t="inlineStr">
        <is>
          <t>N/A</t>
        </is>
      </c>
      <c r="AN318" s="26" t="inlineStr">
        <is>
          <t>N/A</t>
        </is>
      </c>
      <c r="AO318" s="26" t="inlineStr">
        <is>
          <t>N/A</t>
        </is>
      </c>
      <c r="AP318" s="26" t="n"/>
      <c r="AQ318" s="26" t="inlineStr">
        <is>
          <t>中國國際金融香港證券有限公司; 招銀國際融資有限公司</t>
        </is>
      </c>
      <c r="AR318" s="26"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AS318" s="26" t="inlineStr">
        <is>
          <t>農銀國際證券有限公司; 中銀國際亞洲有限公司; 建銀國際金融有限公司; 光銀國際資本有限公司; 中國國際金融香港證券有限公司; 興證國際融資有限公司; 招銀國際融資有限公司; 富途證券國際（香港）有限公司; 華福國際證券有限公司; 工銀國際證券有限公司; 利弗莫爾證券有限公司; 百惠證券有限公司; 老虎證券（香港）環球有限公司</t>
        </is>
      </c>
      <c r="AT318" s="37">
        <f>HYPERLINK("https://www1.hkexnews.hk/listedco/listconews/sehk/2025/0403/2025040300013.pdf","prospectus")</f>
        <v/>
      </c>
      <c r="AU318" s="37">
        <f>HYPERLINK("https://www1.hkexnews.hk/listedco/listconews/sehk/2025/0411/2025041101645.pdf","allotment")</f>
        <v/>
      </c>
      <c r="AV318" s="37">
        <f>HYPERLINK("https://www1.hkexnews.hk/listedco/listconews/sehk/2025/0509/2025050900261.pdf","stabilisation")</f>
        <v/>
      </c>
      <c r="AW318" s="26" t="inlineStr">
        <is>
          <t>P/E: n/m — loss-making at IPO (use P/S) · A/H: no A-share listing · sponsor: English name not in the filing text; AAStocks 保薦人 shown</t>
        </is>
      </c>
    </row>
    <row r="319">
      <c r="A319" s="25" t="inlineStr">
        <is>
          <t>9606</t>
        </is>
      </c>
      <c r="B319" s="26" t="inlineStr">
        <is>
          <t>DUALITYBIO-B</t>
        </is>
      </c>
      <c r="C319" s="26" t="inlineStr">
        <is>
          <t>映恩生物－Ｂ</t>
        </is>
      </c>
      <c r="D319" s="26" t="inlineStr">
        <is>
          <t>Healthcare</t>
        </is>
      </c>
      <c r="E319" s="26" t="inlineStr">
        <is>
          <t>Biotech pre-revenue (18A)</t>
        </is>
      </c>
      <c r="F319" s="26" t="inlineStr">
        <is>
          <t>18A</t>
        </is>
      </c>
      <c r="G319" s="27" t="n">
        <v>45762</v>
      </c>
      <c r="H319" s="28" t="n">
        <v>1639.64</v>
      </c>
      <c r="I319" s="26" t="inlineStr">
        <is>
          <t>gross (stated)</t>
        </is>
      </c>
      <c r="J319" s="29" t="n">
        <v>94.59999999999999</v>
      </c>
      <c r="K319" s="29" t="n">
        <v>103.2</v>
      </c>
      <c r="L319" s="29" t="n">
        <v>94.59999999999999</v>
      </c>
      <c r="M319" s="26" t="inlineStr">
        <is>
          <t>N</t>
        </is>
      </c>
      <c r="N319" s="30" t="n">
        <v>91.7</v>
      </c>
      <c r="O319" s="28" t="n">
        <v>7868.4</v>
      </c>
      <c r="P319" s="26" t="inlineStr">
        <is>
          <t>prospectus:stated market capitalisation</t>
        </is>
      </c>
      <c r="Q319" s="31" t="n">
        <v>115.14</v>
      </c>
      <c r="R319" s="32" t="n">
        <v>13.52</v>
      </c>
      <c r="S319" s="33" t="n">
        <v>30.82</v>
      </c>
      <c r="T319" s="26" t="inlineStr">
        <is>
          <t>LAV Star; Suzhou Suchuang; E Fund Mangement; BioNTech SE; TruMed; E Fund Management; E Fund; DualityBio Ltd; LAV Fund VI, L.P. Note; King Star Med LP</t>
        </is>
      </c>
      <c r="U319" s="30" t="n">
        <v>15</v>
      </c>
      <c r="V319" s="26" t="inlineStr">
        <is>
          <t>full</t>
        </is>
      </c>
      <c r="W319" s="34" t="n">
        <v>116.7</v>
      </c>
      <c r="X319" s="34" t="n">
        <v>137.84</v>
      </c>
      <c r="Y319" s="34" t="n">
        <v>111.42</v>
      </c>
      <c r="Z319" s="34" t="n">
        <v>255.18</v>
      </c>
      <c r="AA319" s="34" t="n">
        <v>-2.44</v>
      </c>
      <c r="AB319" s="34" t="n">
        <v>107.06</v>
      </c>
      <c r="AC319" s="34" t="n">
        <v>4.36</v>
      </c>
      <c r="AD319" s="26" t="inlineStr">
        <is>
          <t>China Biotech ETF (HS biotech proxy)</t>
        </is>
      </c>
      <c r="AE319" s="34" t="n">
        <v>92.81</v>
      </c>
      <c r="AF319" s="28" t="n">
        <v>2135.4</v>
      </c>
      <c r="AG319" s="28" t="n">
        <v>-1155.5</v>
      </c>
      <c r="AH319" s="26" t="inlineStr">
        <is>
          <t>N</t>
        </is>
      </c>
      <c r="AI319" s="38">
        <f>IF('BBG Verify'!O319="","not filed — run on terminal",'BBG Verify'!O319)</f>
        <v/>
      </c>
      <c r="AJ319" s="35" t="n">
        <v>3.7</v>
      </c>
      <c r="AK319" s="26" t="inlineStr">
        <is>
          <t>N</t>
        </is>
      </c>
      <c r="AL319" s="36">
        <f>IF('BBG Verify'!K319="","not filed — run on terminal",'BBG Verify'!K319)</f>
        <v/>
      </c>
      <c r="AM319" s="26" t="inlineStr">
        <is>
          <t>N/A</t>
        </is>
      </c>
      <c r="AN319" s="26" t="inlineStr">
        <is>
          <t>N/A</t>
        </is>
      </c>
      <c r="AO319" s="26" t="inlineStr">
        <is>
          <t>N/A</t>
        </is>
      </c>
      <c r="AP319" s="26" t="inlineStr">
        <is>
          <t>Morgan Stanley Asia Limited</t>
        </is>
      </c>
      <c r="AQ319" s="26" t="inlineStr">
        <is>
          <t>富瑞金融集團香港有限公司; 摩根士丹利亞洲有限公司; 中信證券(香港)有限公司</t>
        </is>
      </c>
      <c r="AR319" s="26" t="inlineStr">
        <is>
          <t>Morgan Stanley Asia Limited; China International Capital Corporation Hong Kong Securities Limited; CMB International Capital Limited; ICBC International Securities Limited; BOCI Asia Limited; GF Securities (Hong Kong) Brokerage Limited; DIRECTORS AND PARTIES INVOLVED IN THE GLOBAL OFFERING – 152 – ABCI Capital Limited</t>
        </is>
      </c>
      <c r="AS319" s="26" t="inlineStr">
        <is>
          <t>農銀國際證券有限公司; 中銀國際亞洲有限公司; 中國國際金融香港證券有限公司; 中信里昂證券有限公司; 招銀國際金融有限公司; 廣發證券（香港）經紀有限公司; 工銀國際證券有限公司; 富瑞金融集團香港有限公司; 摩根士丹利亞洲有限公司</t>
        </is>
      </c>
      <c r="AT319" s="37">
        <f>HYPERLINK("https://www1.hkexnews.hk/listedco/listconews/sehk/2025/0407/2025040700009.pdf","prospectus")</f>
        <v/>
      </c>
      <c r="AU319" s="37">
        <f>HYPERLINK("https://www1.hkexnews.hk/listedco/listconews/sehk/2025/0414/2025041401384.pdf","allotment")</f>
        <v/>
      </c>
      <c r="AV319" s="37">
        <f>HYPERLINK("https://www1.hkexnews.hk/listedco/listconews/sehk/2025/0512/2025051200137.pdf","stabilisation")</f>
        <v/>
      </c>
      <c r="AW319" s="26" t="inlineStr">
        <is>
          <t>P/E: n/m — loss-making at IPO (use P/S) · A/H: no A-share listing</t>
        </is>
      </c>
    </row>
    <row r="320">
      <c r="A320" s="25" t="inlineStr">
        <is>
          <t>1333</t>
        </is>
      </c>
      <c r="B320" s="26" t="inlineStr">
        <is>
          <t>BRETON</t>
        </is>
      </c>
      <c r="C320" s="26" t="inlineStr">
        <is>
          <t>博雷頓</t>
        </is>
      </c>
      <c r="D320" s="26" t="inlineStr">
        <is>
          <t>Industrials</t>
        </is>
      </c>
      <c r="E320" s="26" t="inlineStr">
        <is>
          <t>Capital goods / machinery</t>
        </is>
      </c>
      <c r="F320" s="26" t="inlineStr">
        <is>
          <t>Standard</t>
        </is>
      </c>
      <c r="G320" s="27" t="n">
        <v>45784</v>
      </c>
      <c r="H320" s="28" t="n">
        <v>234</v>
      </c>
      <c r="I320" s="26" t="inlineStr">
        <is>
          <t>gross (stated)</t>
        </is>
      </c>
      <c r="J320" s="29" t="n"/>
      <c r="K320" s="29" t="n">
        <v>18</v>
      </c>
      <c r="L320" s="29" t="n">
        <v>18</v>
      </c>
      <c r="M320" s="26" t="inlineStr">
        <is>
          <t>Y</t>
        </is>
      </c>
      <c r="N320" s="30" t="n">
        <v>100</v>
      </c>
      <c r="O320" s="28" t="n">
        <v>6833.7</v>
      </c>
      <c r="P320" s="26" t="inlineStr">
        <is>
          <t>derived:price x shares upon listing</t>
        </is>
      </c>
      <c r="Q320" s="31" t="n">
        <v>198.72</v>
      </c>
      <c r="R320" s="32" t="n">
        <v>0.92</v>
      </c>
      <c r="S320" s="33" t="n">
        <v>22.7</v>
      </c>
      <c r="T320" s="44" t="n"/>
      <c r="U320" s="30" t="n"/>
      <c r="V320" s="26" t="n"/>
      <c r="W320" s="34" t="n">
        <v>38.33</v>
      </c>
      <c r="X320" s="34" t="n">
        <v>31.11</v>
      </c>
      <c r="Y320" s="34" t="n">
        <v>79.44</v>
      </c>
      <c r="Z320" s="34" t="n">
        <v>53.33</v>
      </c>
      <c r="AA320" s="34" t="n">
        <v>29.72</v>
      </c>
      <c r="AB320" s="34" t="n">
        <v>75.65000000000001</v>
      </c>
      <c r="AC320" s="34" t="n">
        <v>3.79</v>
      </c>
      <c r="AD320" s="26" t="inlineStr">
        <is>
          <t>Hang Seng Commerce &amp; Industry sub-index</t>
        </is>
      </c>
      <c r="AE320" s="34" t="n">
        <v>-39.78</v>
      </c>
      <c r="AF320" s="28" t="n">
        <v>699</v>
      </c>
      <c r="AG320" s="28" t="n">
        <v>-302</v>
      </c>
      <c r="AH320" s="26" t="inlineStr">
        <is>
          <t>N</t>
        </is>
      </c>
      <c r="AI320" s="38">
        <f>IF('BBG Verify'!O320="","not filed — run on terminal",'BBG Verify'!O320)</f>
        <v/>
      </c>
      <c r="AJ320" s="35" t="n">
        <v>9.800000000000001</v>
      </c>
      <c r="AK320" s="26" t="inlineStr">
        <is>
          <t>N</t>
        </is>
      </c>
      <c r="AL320" s="36">
        <f>IF('BBG Verify'!K320="","not filed — run on terminal",'BBG Verify'!K320)</f>
        <v/>
      </c>
      <c r="AM320" s="26" t="inlineStr">
        <is>
          <t>N/A</t>
        </is>
      </c>
      <c r="AN320" s="26" t="inlineStr">
        <is>
          <t>N/A</t>
        </is>
      </c>
      <c r="AO320" s="26" t="inlineStr">
        <is>
          <t>N/A</t>
        </is>
      </c>
      <c r="AP320" s="26" t="n"/>
      <c r="AQ320" s="26" t="inlineStr">
        <is>
          <t>中國國際金融香港證券有限公司; 招銀國際金融有限公司</t>
        </is>
      </c>
      <c r="AR320" s="26" t="inlineStr">
        <is>
          <t>建銀國際金融有限公司; 中國銀河國際證券(香港)有限公司; 中國國際金融香港證券有限公司; 鉅誠證券有限公司; 招銀國際金融有限公司; 浦銀國際融資有限公司</t>
        </is>
      </c>
      <c r="AS320" s="26" t="inlineStr">
        <is>
          <t>建銀國際金融有限公司; 中國銀河國際證券(香港)有限公司; 中國國際金融香港證券有限公司; 鉅誠證券有限公司; 招銀國際金融有限公司; 浦銀國際融資有限公司; TradeGo Markets Limited</t>
        </is>
      </c>
      <c r="AT320" s="37">
        <f>HYPERLINK("https://www1.hkexnews.hk/listedco/listconews/sehk/2025/0425/2025042500055.pdf","prospectus")</f>
        <v/>
      </c>
      <c r="AU320" s="37">
        <f>HYPERLINK("https://www1.hkexnews.hk/listedco/listconews/sehk/2025/0506/2025050602875.pdf","allotment")</f>
        <v/>
      </c>
      <c r="AV320" s="26" t="n"/>
      <c r="AW320" s="26" t="inlineStr">
        <is>
          <t>P/E: n/m — loss-making at IPO (use P/S) · greenshoe: no over-allotment option in the offer structure · price range: fixed-price offering (no indicative range) · A/H: no A-share listing · sponsor: English name not in the filing text; AAStocks 保薦人 shown</t>
        </is>
      </c>
    </row>
    <row r="321">
      <c r="A321" s="25" t="inlineStr">
        <is>
          <t>2865</t>
        </is>
      </c>
      <c r="B321" s="26" t="inlineStr">
        <is>
          <t>DRINDA</t>
        </is>
      </c>
      <c r="C321" s="26" t="inlineStr">
        <is>
          <t>鈞達股份</t>
        </is>
      </c>
      <c r="D321" s="26" t="inlineStr">
        <is>
          <t>Industrials</t>
        </is>
      </c>
      <c r="E321" s="26" t="inlineStr">
        <is>
          <t>Solar / wind supply chain</t>
        </is>
      </c>
      <c r="F321" s="26" t="inlineStr">
        <is>
          <t>Standard</t>
        </is>
      </c>
      <c r="G321" s="27" t="n">
        <v>45785</v>
      </c>
      <c r="H321" s="28" t="n">
        <v>1405</v>
      </c>
      <c r="I321" s="26" t="inlineStr">
        <is>
          <t>gross (price x shares)</t>
        </is>
      </c>
      <c r="J321" s="29" t="n">
        <v>20.4</v>
      </c>
      <c r="K321" s="29" t="n">
        <v>28.6</v>
      </c>
      <c r="L321" s="29" t="n">
        <v>22.15</v>
      </c>
      <c r="M321" s="26" t="inlineStr">
        <is>
          <t>N</t>
        </is>
      </c>
      <c r="N321" s="30" t="n">
        <v>77.40000000000001</v>
      </c>
      <c r="O321" s="28" t="n">
        <v>6480.7</v>
      </c>
      <c r="P321" s="26" t="inlineStr">
        <is>
          <t>derived:price x shares upon listing</t>
        </is>
      </c>
      <c r="Q321" s="31" t="n">
        <v>3.5</v>
      </c>
      <c r="R321" s="32" t="n">
        <v>1.08</v>
      </c>
      <c r="S321" s="33" t="n">
        <v>37.8</v>
      </c>
      <c r="T321" s="26" t="inlineStr">
        <is>
          <t>Zhuhai Gokin New Energy Investment Co., Ltd; Modern Direct Investment New Energy Technology Co., Limited; GF Securities</t>
        </is>
      </c>
      <c r="U321" s="30" t="n">
        <v>7.6</v>
      </c>
      <c r="V321" s="26" t="inlineStr">
        <is>
          <t>lapsed (no over-allocation)</t>
        </is>
      </c>
      <c r="W321" s="34" t="n">
        <v>20.09</v>
      </c>
      <c r="X321" s="34" t="n">
        <v>3.61</v>
      </c>
      <c r="Y321" s="34" t="n">
        <v>8.130000000000001</v>
      </c>
      <c r="Z321" s="34" t="n">
        <v>-2.48</v>
      </c>
      <c r="AA321" s="34" t="n">
        <v>-9.960000000000001</v>
      </c>
      <c r="AB321" s="34" t="n">
        <v>4.34</v>
      </c>
      <c r="AC321" s="34" t="n">
        <v>3.79</v>
      </c>
      <c r="AD321" s="26" t="inlineStr">
        <is>
          <t>Hang Seng Commerce &amp; Industry sub-index</t>
        </is>
      </c>
      <c r="AE321" s="34" t="n">
        <v>-13.68</v>
      </c>
      <c r="AF321" s="28" t="n">
        <v>2</v>
      </c>
      <c r="AG321" s="28" t="n">
        <v>-0.3</v>
      </c>
      <c r="AH321" s="26" t="inlineStr">
        <is>
          <t>N</t>
        </is>
      </c>
      <c r="AI321" s="38">
        <f>IF('BBG Verify'!O321="","not filed — run on terminal",'BBG Verify'!O321)</f>
        <v/>
      </c>
      <c r="AJ321" s="35" t="n">
        <v>3240.3</v>
      </c>
      <c r="AK321" s="26" t="inlineStr">
        <is>
          <t>Y</t>
        </is>
      </c>
      <c r="AL321" s="26" t="inlineStr">
        <is>
          <t>002865.SZ</t>
        </is>
      </c>
      <c r="AM321" s="34" t="n">
        <v>-49.81</v>
      </c>
      <c r="AN321" s="29" t="n">
        <v>44.1352</v>
      </c>
      <c r="AO321" s="42" t="n">
        <v>-0.654</v>
      </c>
      <c r="AP321" s="26" t="inlineStr">
        <is>
          <t>Huatai Financial Holdings (Hong Kong) Limited; CMB International Capital Limited; Deutsche Securities Asia Limited</t>
        </is>
      </c>
      <c r="AQ321" s="26" t="inlineStr">
        <is>
          <t>華泰金融控股(香港)有限公司; 德意志證券亞洲有限公司; 招銀國際金融有限公司</t>
        </is>
      </c>
      <c r="AR321" s="26"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AS321" s="26" t="inlineStr">
        <is>
          <t>中銀國際亞洲有限公司; 建銀國際金融有限公司; 中國國際金融香港證券有限公司; 中信里昂證券有限公司; 招銀國際金融有限公司; 德意志銀行香港分行; 富強證券有限公司; 復星國際證券有限公司; 廣發證券（香港）經紀有限公司; 華泰金融控股(香港)有限公司; 工銀國際證券有限公司; 百惠證券有限公司; 國證國際證券（香港）有限公司; TradeGo Markets Limited</t>
        </is>
      </c>
      <c r="AT321" s="37">
        <f>HYPERLINK("https://www1.hkexnews.hk/listedco/listconews/sehk/2025/0428/2025042800051.pdf","prospectus")</f>
        <v/>
      </c>
      <c r="AU321" s="37">
        <f>HYPERLINK("https://www1.hkexnews.hk/listedco/listconews/sehk/2025/0507/2025050702202.pdf","allotment")</f>
        <v/>
      </c>
      <c r="AV321" s="37">
        <f>HYPERLINK("https://www1.hkexnews.hk/listedco/listconews/sehk/2025/0602/2025060200082.pdf","stabilisation")</f>
        <v/>
      </c>
      <c r="AW321" s="26" t="inlineStr">
        <is>
          <t>P/E: n/m — loss-making at IPO (use P/S) · A/H: May 2025 H listing (TOPCon solar cells)</t>
        </is>
      </c>
    </row>
    <row r="322">
      <c r="A322" s="25" t="inlineStr">
        <is>
          <t>2589</t>
        </is>
      </c>
      <c r="B322" s="26" t="inlineStr">
        <is>
          <t>AUNTEA JENNY</t>
        </is>
      </c>
      <c r="C322" s="26" t="inlineStr">
        <is>
          <t>滬上阿姨</t>
        </is>
      </c>
      <c r="D322" s="26" t="inlineStr">
        <is>
          <t>Consumer</t>
        </is>
      </c>
      <c r="E322" s="26" t="inlineStr">
        <is>
          <t>F&amp;B chains / restaurants</t>
        </is>
      </c>
      <c r="F322" s="26" t="inlineStr">
        <is>
          <t>Standard</t>
        </is>
      </c>
      <c r="G322" s="27" t="n">
        <v>45785</v>
      </c>
      <c r="H322" s="28" t="n">
        <v>272.8</v>
      </c>
      <c r="I322" s="26" t="inlineStr">
        <is>
          <t>gross (stated)</t>
        </is>
      </c>
      <c r="J322" s="29" t="n"/>
      <c r="K322" s="29" t="n">
        <v>113.12</v>
      </c>
      <c r="L322" s="29" t="n">
        <v>113.12</v>
      </c>
      <c r="M322" s="26" t="inlineStr">
        <is>
          <t>Y</t>
        </is>
      </c>
      <c r="N322" s="30" t="n">
        <v>100</v>
      </c>
      <c r="O322" s="28" t="n">
        <v>10492.3</v>
      </c>
      <c r="P322" s="26" t="inlineStr">
        <is>
          <t>derived:deal size / offer % of enlarged capital</t>
        </is>
      </c>
      <c r="Q322" s="31" t="n">
        <v>3616.83</v>
      </c>
      <c r="R322" s="32" t="n">
        <v>2.57</v>
      </c>
      <c r="S322" s="33" t="n">
        <v>30.73</v>
      </c>
      <c r="T322" s="26" t="inlineStr">
        <is>
          <t>Infore Holding; Sino Top</t>
        </is>
      </c>
      <c r="U322" s="30" t="n">
        <v>15</v>
      </c>
      <c r="V322" s="26" t="inlineStr">
        <is>
          <t>full</t>
        </is>
      </c>
      <c r="W322" s="34" t="n">
        <v>40.03</v>
      </c>
      <c r="X322" s="34" t="n">
        <v>12.89</v>
      </c>
      <c r="Y322" s="34" t="n">
        <v>9.619999999999999</v>
      </c>
      <c r="Z322" s="34" t="n">
        <v>21.38</v>
      </c>
      <c r="AA322" s="34" t="n">
        <v>-21.72</v>
      </c>
      <c r="AB322" s="34" t="n">
        <v>5.83</v>
      </c>
      <c r="AC322" s="34" t="n">
        <v>3.79</v>
      </c>
      <c r="AD322" s="26" t="inlineStr">
        <is>
          <t>Hang Seng Commerce &amp; Industry sub-index</t>
        </is>
      </c>
      <c r="AE322" s="34" t="n">
        <v>-27.16</v>
      </c>
      <c r="AF322" s="28" t="n">
        <v>3613</v>
      </c>
      <c r="AG322" s="28" t="n">
        <v>361.8</v>
      </c>
      <c r="AH322" s="26" t="inlineStr">
        <is>
          <t>Y</t>
        </is>
      </c>
      <c r="AI322" s="35" t="n">
        <v>29</v>
      </c>
      <c r="AJ322" s="35" t="n">
        <v>2.9</v>
      </c>
      <c r="AK322" s="26" t="inlineStr">
        <is>
          <t>N</t>
        </is>
      </c>
      <c r="AL322" s="36">
        <f>IF('BBG Verify'!K322="","not filed — run on terminal",'BBG Verify'!K322)</f>
        <v/>
      </c>
      <c r="AM322" s="26" t="inlineStr">
        <is>
          <t>N/A</t>
        </is>
      </c>
      <c r="AN322" s="26" t="inlineStr">
        <is>
          <t>N/A</t>
        </is>
      </c>
      <c r="AO322" s="26" t="inlineStr">
        <is>
          <t>N/A</t>
        </is>
      </c>
      <c r="AP322" s="26" t="inlineStr">
        <is>
          <t>CITIC Securities (Hong Kong) Limited; Haitong International Capital Limited; Central, Hong Kong Orient Capital (Hong Kong) Limited</t>
        </is>
      </c>
      <c r="AQ322" s="26" t="inlineStr">
        <is>
          <t>海通國際資本有限公司; 中信證券(香港)有限公司; 東方融資(香港)有限公司</t>
        </is>
      </c>
      <c r="AR322" s="26" t="inlineStr">
        <is>
          <t>CLSA Limited; Orient Securities (Hong Kong) Limited; Managers and Capital Market Intermediaries ICBC International Securities Limited; China Merchants Securities (HK) Co., Limited; Central, Hong Kong CMBC Securities Company Limited; Central, Hong Kong Morton Securities Limited; Wanchai, Hong Kong Soochow Securities International Brokerage Limited; Tiger Brokers (HK) Global Limited</t>
        </is>
      </c>
      <c r="AS322" s="26" t="inlineStr">
        <is>
          <t>中信里昂證券有限公司; 民銀證券有限公司; 招商證券(香港)有限公司; 海通國際證券有限公司; 工銀國際證券有限公司; 萬基證券有限公司; 東方證券(香港)有限公司; 東吳證券國際經紀有限公司; 老虎證券（香港）環球有限公司</t>
        </is>
      </c>
      <c r="AT322" s="37">
        <f>HYPERLINK("https://www1.hkexnews.hk/listedco/listconews/sehk/2025/0428/2025042800055.pdf","prospectus")</f>
        <v/>
      </c>
      <c r="AU322" s="37">
        <f>HYPERLINK("https://www1.hkexnews.hk/listedco/listconews/sehk/2025/0507/2025050702204.pdf","allotment")</f>
        <v/>
      </c>
      <c r="AV322" s="37">
        <f>HYPERLINK("https://www1.hkexnews.hk/listedco/listconews/sehk/2025/0601/2025060100017.pdf","stabilisation")</f>
        <v/>
      </c>
      <c r="AW322" s="26" t="inlineStr">
        <is>
          <t>A/H: no A-share listing</t>
        </is>
      </c>
    </row>
    <row r="323">
      <c r="A323" s="25" t="inlineStr">
        <is>
          <t>6831</t>
        </is>
      </c>
      <c r="B323" s="26" t="inlineStr">
        <is>
          <t>GREEN TEA GROUP</t>
        </is>
      </c>
      <c r="C323" s="26" t="inlineStr">
        <is>
          <t>綠茶集團</t>
        </is>
      </c>
      <c r="D323" s="26" t="inlineStr">
        <is>
          <t>Consumer</t>
        </is>
      </c>
      <c r="E323" s="26" t="inlineStr">
        <is>
          <t>F&amp;B chains / restaurants</t>
        </is>
      </c>
      <c r="F323" s="26" t="inlineStr">
        <is>
          <t>Standard</t>
        </is>
      </c>
      <c r="G323" s="27" t="n">
        <v>45793</v>
      </c>
      <c r="H323" s="28" t="n">
        <v>847.38</v>
      </c>
      <c r="I323" s="26" t="inlineStr">
        <is>
          <t>gross (stated)</t>
        </is>
      </c>
      <c r="J323" s="29" t="n"/>
      <c r="K323" s="29" t="n">
        <v>7.19</v>
      </c>
      <c r="L323" s="29" t="n">
        <v>7.19</v>
      </c>
      <c r="M323" s="26" t="inlineStr">
        <is>
          <t>Y</t>
        </is>
      </c>
      <c r="N323" s="30" t="n">
        <v>100</v>
      </c>
      <c r="O323" s="28" t="n">
        <v>3013.4</v>
      </c>
      <c r="P323" s="26" t="inlineStr">
        <is>
          <t>derived:deal size / offer % of enlarged capital</t>
        </is>
      </c>
      <c r="Q323" s="31" t="n">
        <v>317.54</v>
      </c>
      <c r="R323" s="32" t="n">
        <v>7.2</v>
      </c>
      <c r="S323" s="33" t="n">
        <v>5.71</v>
      </c>
      <c r="T323" s="26" t="inlineStr">
        <is>
          <t>Relationship* Wuxi Lvlian; Wuxi Hexiang; Anji Liangshan; Action Chain; Chia Tai</t>
        </is>
      </c>
      <c r="U323" s="30" t="n">
        <v>15.76</v>
      </c>
      <c r="V323" s="26" t="inlineStr">
        <is>
          <t>lapsed</t>
        </is>
      </c>
      <c r="W323" s="34" t="n">
        <v>-12.52</v>
      </c>
      <c r="X323" s="34" t="n">
        <v>-19.61</v>
      </c>
      <c r="Y323" s="34" t="n">
        <v>-11.27</v>
      </c>
      <c r="Z323" s="34" t="n">
        <v>3.2</v>
      </c>
      <c r="AA323" s="34" t="n">
        <v>1.43</v>
      </c>
      <c r="AB323" s="34" t="n">
        <v>-11.85</v>
      </c>
      <c r="AC323" s="34" t="n">
        <v>0.58</v>
      </c>
      <c r="AD323" s="26" t="inlineStr">
        <is>
          <t>Hang Seng Commerce &amp; Industry sub-index</t>
        </is>
      </c>
      <c r="AE323" s="34" t="n">
        <v>-3.76</v>
      </c>
      <c r="AF323" s="28" t="n">
        <v>-0</v>
      </c>
      <c r="AG323" s="28" t="n">
        <v>385.2</v>
      </c>
      <c r="AH323" s="26" t="inlineStr">
        <is>
          <t>Y</t>
        </is>
      </c>
      <c r="AI323" s="35" t="n">
        <v>7.8</v>
      </c>
      <c r="AJ323" s="35" t="n"/>
      <c r="AK323" s="26" t="inlineStr">
        <is>
          <t>N</t>
        </is>
      </c>
      <c r="AL323" s="36">
        <f>IF('BBG Verify'!K323="","not filed — run on terminal",'BBG Verify'!K323)</f>
        <v/>
      </c>
      <c r="AM323" s="26" t="inlineStr">
        <is>
          <t>N/A</t>
        </is>
      </c>
      <c r="AN323" s="26" t="inlineStr">
        <is>
          <t>N/A</t>
        </is>
      </c>
      <c r="AO323" s="26" t="inlineStr">
        <is>
          <t>N/A</t>
        </is>
      </c>
      <c r="AP323" s="26" t="inlineStr">
        <is>
          <t>Citigroup Global Markets Asia Limited; Hong Kong SAR CMB International Capital Limited</t>
        </is>
      </c>
      <c r="AQ323" s="26" t="inlineStr">
        <is>
          <t>花旗環球金融亞洲有限公司; 招銀國際金融有限公司</t>
        </is>
      </c>
      <c r="AR323" s="26"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AS323" s="26" t="inlineStr">
        <is>
          <t>農銀國際證券有限公司; 中國銀河國際證券(香港)有限公司; 花旗環球金融亞洲有限公司; 民銀證券有限公司; 招銀國際金融有限公司; 時富證券有限公司; 第一上海證券有限公司; 富途證券國際（香港）有限公司; 廣發證券（香港）經紀有限公司; 國元證券經紀(香港)有限公司; 長橋證券（香港）有限公司; 萬基證券有限公司; 東方證券(香港)有限公司; 百惠證券有限公司; 國證國際證券（香港）有限公司; 中泰國際證券有限公司</t>
        </is>
      </c>
      <c r="AT323" s="37">
        <f>HYPERLINK("https://www1.hkexnews.hk/listedco/listconews/sehk/2025/0508/2025050800013.pdf","prospectus")</f>
        <v/>
      </c>
      <c r="AU323" s="37">
        <f>HYPERLINK("https://www1.hkexnews.hk/listedco/listconews/sehk/2025/0515/2025051501489.pdf","allotment")</f>
        <v/>
      </c>
      <c r="AV323" s="37">
        <f>HYPERLINK("https://www1.hkexnews.hk/listedco/listconews/sehk/2025/0612/2025061201064.pdf","stabilisation")</f>
        <v/>
      </c>
      <c r="AW323" s="26" t="inlineStr">
        <is>
          <t>A/H: no A-share listing</t>
        </is>
      </c>
    </row>
    <row r="324">
      <c r="A324" s="25" t="inlineStr">
        <is>
          <t>3750</t>
        </is>
      </c>
      <c r="B324" s="26" t="inlineStr">
        <is>
          <t>CATL</t>
        </is>
      </c>
      <c r="C324" s="26" t="inlineStr">
        <is>
          <t>寧德時代</t>
        </is>
      </c>
      <c r="D324" s="26" t="inlineStr">
        <is>
          <t>Industrials</t>
        </is>
      </c>
      <c r="E324" s="26" t="inlineStr">
        <is>
          <t>Batteries / energy storage</t>
        </is>
      </c>
      <c r="F324" s="26" t="inlineStr">
        <is>
          <t>Standard</t>
        </is>
      </c>
      <c r="G324" s="27" t="n">
        <v>45797</v>
      </c>
      <c r="H324" s="28" t="n">
        <v>35657.2</v>
      </c>
      <c r="I324" s="26" t="inlineStr">
        <is>
          <t>gross (stated)</t>
        </is>
      </c>
      <c r="J324" s="29" t="n"/>
      <c r="K324" s="29" t="n">
        <v>263</v>
      </c>
      <c r="L324" s="29" t="n">
        <v>263</v>
      </c>
      <c r="M324" s="26" t="inlineStr">
        <is>
          <t>Y</t>
        </is>
      </c>
      <c r="N324" s="30" t="n">
        <v>100</v>
      </c>
      <c r="O324" s="28" t="n">
        <v>1193750</v>
      </c>
      <c r="P324" s="26" t="inlineStr">
        <is>
          <t>derived:price x shares upon listing</t>
        </is>
      </c>
      <c r="Q324" s="31" t="n">
        <v>151.2</v>
      </c>
      <c r="R324" s="39">
        <f>IF('BBG Verify'!E324="","not filed — run on terminal",'BBG Verify'!E324)</f>
        <v/>
      </c>
      <c r="S324" s="33" t="n">
        <v>57.5</v>
      </c>
      <c r="T324" s="26" t="inlineStr">
        <is>
          <t>Kuwait Investment; CICC Financial Trading Limited; Zenith Hop International Limited; Abstract Enigma Limited; WT Asset Management Limited; CPE Redwood Investment Limited; Oaktree Capital Management, L.P; Mirae Asset Securities Co., Ltd; Mirae Asset Global Investments Co., Ltd; Pacific Asset Management Co., Limited; LMR Multi-Strategy Master Fund Limited; PSBC Wealth Management Co., Ltd; Taikang Life Insurance Co., Ltd; China International Capital Corporation Hong Kong Securities Limited; HHLR CF, L.P</t>
        </is>
      </c>
      <c r="U324" s="30" t="n">
        <v>15</v>
      </c>
      <c r="V324" s="26" t="inlineStr">
        <is>
          <t>full</t>
        </is>
      </c>
      <c r="W324" s="34" t="n">
        <v>16.43</v>
      </c>
      <c r="X324" s="34" t="n">
        <v>17.49</v>
      </c>
      <c r="Y324" s="34" t="n">
        <v>16.5</v>
      </c>
      <c r="Z324" s="34" t="n">
        <v>57.41</v>
      </c>
      <c r="AA324" s="34" t="n">
        <v>0.06</v>
      </c>
      <c r="AB324" s="34" t="n">
        <v>16.86</v>
      </c>
      <c r="AC324" s="34" t="n">
        <v>-0.36</v>
      </c>
      <c r="AD324" s="26" t="inlineStr">
        <is>
          <t>Hang Seng Commerce &amp; Industry sub-index</t>
        </is>
      </c>
      <c r="AE324" s="34" t="n">
        <v>147.34</v>
      </c>
      <c r="AF324" s="28" t="n">
        <v>398213.8</v>
      </c>
      <c r="AG324" s="28" t="n">
        <v>60824.5</v>
      </c>
      <c r="AH324" s="26" t="inlineStr">
        <is>
          <t>Y</t>
        </is>
      </c>
      <c r="AI324" s="35" t="n">
        <v>19.6</v>
      </c>
      <c r="AJ324" s="35" t="n">
        <v>3</v>
      </c>
      <c r="AK324" s="26" t="inlineStr">
        <is>
          <t>Y</t>
        </is>
      </c>
      <c r="AL324" s="26" t="inlineStr">
        <is>
          <t>300750.SZ</t>
        </is>
      </c>
      <c r="AM324" s="34" t="n">
        <v>-6.67</v>
      </c>
      <c r="AN324" s="29" t="n">
        <v>281.7992</v>
      </c>
      <c r="AO324" s="42" t="n">
        <v>0.3993</v>
      </c>
      <c r="AP324" s="26" t="inlineStr">
        <is>
          <t>China International Capital Corporation Hong Kong Securities Limited; China Securities (International) Corporate Finance Company Limited; J.P. Morgan Securities (Far East) Limited; Merrill Lynch (Asia Pacific) Limited</t>
        </is>
      </c>
      <c r="AQ324" s="26" t="inlineStr">
        <is>
          <t>中國國際金融香港證券有限公司; J.P. Morgan Securities (Far East) Limited; 美林(亞太)有限公司; 中信建投(國際)融資有限公司</t>
        </is>
      </c>
      <c r="AR324" s="26" t="inlineStr">
        <is>
          <t>法國巴黎證券（亞洲）有限公司; 中國國際金融香港證券有限公司; 中信建投(國際)融資有限公司; 國泰君安證券(香港)有限公司; 高盛(亞洲)有限責任公司; J.P. Morgan Securities (Asia Pacific) Limited</t>
        </is>
      </c>
      <c r="AS324" s="26" t="inlineStr">
        <is>
          <t>法國巴黎證券（亞洲）有限公司; 中國國際金融香港證券有限公司; 中信建投(國際)融資有限公司; 國泰君安證券(香港)有限公司; 高盛(亞洲)有限責任公司; J.P. Morgan Securities (Asia Pacific) Limited; 美林(亞太)有限公司; 摩根士丹利亞洲有限公司; UBS AG 香港分行</t>
        </is>
      </c>
      <c r="AT324" s="37">
        <f>HYPERLINK("https://www1.hkexnews.hk/listedco/listconews/sehk/2025/0512/2025051200005.pdf","prospectus")</f>
        <v/>
      </c>
      <c r="AU324" s="37">
        <f>HYPERLINK("https://www1.hkexnews.hk/listedco/listconews/sehk/2025/0519/2025051901257.pdf","allotment")</f>
        <v/>
      </c>
      <c r="AV324" s="37">
        <f>HYPERLINK("https://www1.hkexnews.hk/listedco/listconews/sehk/2025/0616/2025061600487.pdf","stabilisation")</f>
        <v/>
      </c>
      <c r="AW324" s="26" t="inlineStr">
        <is>
          <t>intl sub: subscription level not stated in the filing · A/H: May 2025, ~US$4.6bn (US$5.3bn w/ shoe) — world's largest listing of 2025; H priced at a slim discount to A and surged on debut</t>
        </is>
      </c>
    </row>
    <row r="325">
      <c r="A325" s="25" t="inlineStr">
        <is>
          <t>2629</t>
        </is>
      </c>
      <c r="B325" s="26" t="inlineStr">
        <is>
          <t>MIRXES-B</t>
        </is>
      </c>
      <c r="C325" s="26" t="inlineStr">
        <is>
          <t>MIRXES-B</t>
        </is>
      </c>
      <c r="D325" s="26" t="inlineStr">
        <is>
          <t>Healthcare</t>
        </is>
      </c>
      <c r="E325" s="26" t="inlineStr">
        <is>
          <t>Biotech pre-revenue (18A)</t>
        </is>
      </c>
      <c r="F325" s="26" t="inlineStr">
        <is>
          <t>18A</t>
        </is>
      </c>
      <c r="G325" s="27" t="n">
        <v>45800</v>
      </c>
      <c r="H325" s="28" t="n">
        <v>1086.2</v>
      </c>
      <c r="I325" s="26" t="inlineStr">
        <is>
          <t>gross (stated)</t>
        </is>
      </c>
      <c r="J325" s="29" t="n"/>
      <c r="K325" s="29" t="n">
        <v>23.3</v>
      </c>
      <c r="L325" s="29" t="n">
        <v>23.3</v>
      </c>
      <c r="M325" s="26" t="inlineStr">
        <is>
          <t>Y</t>
        </is>
      </c>
      <c r="N325" s="30" t="n">
        <v>100</v>
      </c>
      <c r="O325" s="28" t="n">
        <v>6438.8</v>
      </c>
      <c r="P325" s="26" t="inlineStr">
        <is>
          <t>derived:price x shares upon listing</t>
        </is>
      </c>
      <c r="Q325" s="31" t="n">
        <v>25.51</v>
      </c>
      <c r="R325" s="45" t="n">
        <v>0.98</v>
      </c>
      <c r="S325" s="33" t="n">
        <v>41.37</v>
      </c>
      <c r="T325" s="26" t="inlineStr">
        <is>
          <t>Fund LP Note; EDB Investments Pte Ltd; III, L.P. Note; Creation Pte. Ltd. Note; NHH Venture Fund, L.P; 源九號有限合夥基金 Note; SDG Alpha Win PE LPF Note; Holdings Company Limited Note; Blue Spark Hub Pte. Ltd; BPC SPV MRX LIMITED; Accurate Gene Limited Note; Technologies Pte. Ltd. Note</t>
        </is>
      </c>
      <c r="U325" s="30" t="n"/>
      <c r="V325" s="26" t="n"/>
      <c r="W325" s="34" t="n">
        <v>28.76</v>
      </c>
      <c r="X325" s="34" t="n">
        <v>25.32</v>
      </c>
      <c r="Y325" s="34" t="n">
        <v>44.42</v>
      </c>
      <c r="Z325" s="34" t="n">
        <v>87.55</v>
      </c>
      <c r="AA325" s="34" t="n">
        <v>12.16</v>
      </c>
      <c r="AB325" s="34" t="n">
        <v>35.69</v>
      </c>
      <c r="AC325" s="34" t="n">
        <v>8.73</v>
      </c>
      <c r="AD325" s="26" t="inlineStr">
        <is>
          <t>China Biotech ETF (HS biotech proxy)</t>
        </is>
      </c>
      <c r="AE325" s="34" t="n">
        <v>-46.74</v>
      </c>
      <c r="AF325" s="28" t="n">
        <v>158.2</v>
      </c>
      <c r="AG325" s="28" t="n">
        <v>-720.2</v>
      </c>
      <c r="AH325" s="26" t="inlineStr">
        <is>
          <t>N</t>
        </is>
      </c>
      <c r="AI325" s="38">
        <f>IF('BBG Verify'!O325="","not filed — run on terminal",'BBG Verify'!O325)</f>
        <v/>
      </c>
      <c r="AJ325" s="35" t="n">
        <v>40.7</v>
      </c>
      <c r="AK325" s="26" t="inlineStr">
        <is>
          <t>N</t>
        </is>
      </c>
      <c r="AL325" s="36">
        <f>IF('BBG Verify'!K325="","not filed — run on terminal",'BBG Verify'!K325)</f>
        <v/>
      </c>
      <c r="AM325" s="26" t="inlineStr">
        <is>
          <t>N/A</t>
        </is>
      </c>
      <c r="AN325" s="26" t="inlineStr">
        <is>
          <t>N/A</t>
        </is>
      </c>
      <c r="AO325" s="26" t="inlineStr">
        <is>
          <t>N/A</t>
        </is>
      </c>
      <c r="AP325" s="26" t="inlineStr">
        <is>
          <t>China International Capital Corporation Hong Kong Securities Limited; CCB International Capital Limited</t>
        </is>
      </c>
      <c r="AQ325" s="26" t="inlineStr">
        <is>
          <t>中國國際金融香港證券有限公司; 建銀國際金融有限公司</t>
        </is>
      </c>
      <c r="AR325" s="26" t="inlineStr">
        <is>
          <t>Managers CMB International Capital Limited; Livermore Holdings Limited; BOCOM International Securities Limited; Platinum Broking Company Limited</t>
        </is>
      </c>
      <c r="AS325" s="26" t="inlineStr">
        <is>
          <t>中源國際資本有限公司; 交銀國際證券有限公司; 建銀國際金融有限公司; 中國國際金融香港證券有限公司; 民銀證券有限公司; 招銀國際金融有限公司; 帝國國際証券有限公司; 京基證券集團有限公司; 利弗莫爾證券有限公司; 百德能經紀有限公司; 東吳證券國際經紀有限公司; 華通證券國際有限公司; 元宇宙（國際）證券有限公司</t>
        </is>
      </c>
      <c r="AT325" s="37">
        <f>HYPERLINK("https://www1.hkexnews.hk/listedco/listconews/sehk/2025/0515/2025051500021.pdf","prospectus")</f>
        <v/>
      </c>
      <c r="AU325" s="37">
        <f>HYPERLINK("https://www1.hkexnews.hk/listedco/listconews/sehk/2025/0522/2025052201535.pdf","allotment")</f>
        <v/>
      </c>
      <c r="AV325" s="26" t="n"/>
      <c r="AW325" s="26" t="inlineStr">
        <is>
          <t>intl sub: 0.98x is implausible for a deal struck at the cap with the public tranche 26x subscribed — likely a percentage read as a multiple; check CP037 · P/E: n/m — loss-making at IPO (use P/S) · greenshoe: no over-allotment option in the offer structure · A/H: no A-share listing</t>
        </is>
      </c>
    </row>
    <row r="326">
      <c r="A326" s="25" t="inlineStr">
        <is>
          <t>1276</t>
        </is>
      </c>
      <c r="B326" s="26" t="inlineStr">
        <is>
          <t>HENGRUI PHARMA</t>
        </is>
      </c>
      <c r="C326" s="26" t="inlineStr">
        <is>
          <t>恒瑞醫藥</t>
        </is>
      </c>
      <c r="D326" s="26" t="inlineStr">
        <is>
          <t>Healthcare</t>
        </is>
      </c>
      <c r="E326" s="26" t="inlineStr">
        <is>
          <t>Biopharma commercial</t>
        </is>
      </c>
      <c r="F326" s="26" t="inlineStr">
        <is>
          <t>Standard</t>
        </is>
      </c>
      <c r="G326" s="27" t="n">
        <v>45800</v>
      </c>
      <c r="H326" s="28" t="n">
        <v>9890.1</v>
      </c>
      <c r="I326" s="26" t="inlineStr">
        <is>
          <t>gross (stated)</t>
        </is>
      </c>
      <c r="J326" s="29" t="n"/>
      <c r="K326" s="29" t="n">
        <v>44.05</v>
      </c>
      <c r="L326" s="29" t="n">
        <v>44.05</v>
      </c>
      <c r="M326" s="26" t="inlineStr">
        <is>
          <t>Y</t>
        </is>
      </c>
      <c r="N326" s="30" t="n">
        <v>100</v>
      </c>
      <c r="O326" s="28" t="n">
        <v>351900</v>
      </c>
      <c r="P326" s="26" t="inlineStr">
        <is>
          <t>prospectus:stated market capitalisation</t>
        </is>
      </c>
      <c r="Q326" s="31" t="n">
        <v>454.85</v>
      </c>
      <c r="R326" s="32" t="n">
        <v>17.09</v>
      </c>
      <c r="S326" s="33" t="n">
        <v>42</v>
      </c>
      <c r="T326" s="26" t="inlineStr">
        <is>
          <t>GIC Private Limited; Invesco Advisers, Inc; HHLR CF, L.P; Strategies (Asia) Pte. Ltd; Oaktree Capital Management, L.P; Cordial Solar; UBS AM Singapore</t>
        </is>
      </c>
      <c r="U326" s="30" t="n">
        <v>15</v>
      </c>
      <c r="V326" s="26" t="inlineStr">
        <is>
          <t>full</t>
        </is>
      </c>
      <c r="W326" s="34" t="n">
        <v>25.2</v>
      </c>
      <c r="X326" s="34" t="n">
        <v>31.67</v>
      </c>
      <c r="Y326" s="34" t="n">
        <v>26.79</v>
      </c>
      <c r="Z326" s="34" t="n">
        <v>76.5</v>
      </c>
      <c r="AA326" s="34" t="n">
        <v>1.27</v>
      </c>
      <c r="AB326" s="34" t="n">
        <v>18.06</v>
      </c>
      <c r="AC326" s="34" t="n">
        <v>8.73</v>
      </c>
      <c r="AD326" s="26" t="inlineStr">
        <is>
          <t>China Biotech ETF (HS biotech proxy)</t>
        </is>
      </c>
      <c r="AE326" s="34" t="n">
        <v>23.16</v>
      </c>
      <c r="AF326" s="28" t="n">
        <v>30783.1</v>
      </c>
      <c r="AG326" s="28" t="n">
        <v>6970.7</v>
      </c>
      <c r="AH326" s="26" t="inlineStr">
        <is>
          <t>Y</t>
        </is>
      </c>
      <c r="AI326" s="35" t="n">
        <v>50.5</v>
      </c>
      <c r="AJ326" s="35" t="n">
        <v>11.4</v>
      </c>
      <c r="AK326" s="26" t="inlineStr">
        <is>
          <t>Y</t>
        </is>
      </c>
      <c r="AL326" s="26" t="inlineStr">
        <is>
          <t>600276.SS</t>
        </is>
      </c>
      <c r="AM326" s="34" t="n">
        <v>-27.1</v>
      </c>
      <c r="AN326" s="29" t="n">
        <v>60.4275</v>
      </c>
      <c r="AO326" s="42" t="n">
        <v>-0.1378</v>
      </c>
      <c r="AP326" s="26" t="inlineStr">
        <is>
          <t>Morgan Stanley Asia Limited; Citigroup Global Markets Asia Limited; Huatai Financial Holdings (Hong Kong) Limited</t>
        </is>
      </c>
      <c r="AQ326" s="26" t="inlineStr">
        <is>
          <t>摩根士丹利亞洲有限公司; 華泰金融控股(香港)有限公司; 花旗環球金融亞洲有限公司</t>
        </is>
      </c>
      <c r="AR326" s="26" t="inlineStr">
        <is>
          <t>Morgan Stanley Asia Limited; Citigroup Global Markets Asia Limited; Huatai Financial Holdings (Hong Kong) Limited; UBS AG Hong Kong Branch; Citigroup Global Markets Limited; – 132 – Huatai Financial Holdings (Hong Kong) Limited; (Below in alphabetical order) BOCI Asia Limited; CLSA Limited; GF Securities (Hong Kong) Brokerage Limited</t>
        </is>
      </c>
      <c r="AS326" s="26" t="inlineStr">
        <is>
          <t>中銀國際亞洲有限公司; 花旗環球金融亞洲有限公司; 中信里昂證券有限公司; 廣發證券（香港）經紀有限公司; 華泰金融控股(香港)有限公司; 摩根士丹利亞洲有限公司; UBS AG 香港分行</t>
        </is>
      </c>
      <c r="AT326" s="37">
        <f>HYPERLINK("https://www1.hkexnews.hk/listedco/listconews/sehk/2025/0515/2025051500019.pdf","prospectus")</f>
        <v/>
      </c>
      <c r="AU326" s="37">
        <f>HYPERLINK("https://www1.hkexnews.hk/listedco/listconews/sehk/2025/0522/2025052201651.pdf","allotment")</f>
        <v/>
      </c>
      <c r="AV326" s="37">
        <f>HYPERLINK("https://www1.hkexnews.hk/listedco/listconews/sehk/2025/0619/2025061900409.pdf","stabilisation")</f>
        <v/>
      </c>
      <c r="AW326" s="26" t="inlineStr">
        <is>
          <t>A/H: May 2025, raised ~HK$9.9bn (~US$1.3bn)</t>
        </is>
      </c>
    </row>
    <row r="327">
      <c r="A327" s="25" t="inlineStr">
        <is>
          <t>2565</t>
        </is>
      </c>
      <c r="B327" s="26" t="inlineStr">
        <is>
          <t>PEGBIO CO-B</t>
        </is>
      </c>
      <c r="C327" s="26" t="inlineStr">
        <is>
          <t>派格生物醫藥－Ｂ</t>
        </is>
      </c>
      <c r="D327" s="26" t="inlineStr">
        <is>
          <t>Healthcare</t>
        </is>
      </c>
      <c r="E327" s="26" t="inlineStr">
        <is>
          <t>Biotech pre-revenue (18A)</t>
        </is>
      </c>
      <c r="F327" s="26" t="inlineStr">
        <is>
          <t>18A</t>
        </is>
      </c>
      <c r="G327" s="27" t="n">
        <v>45804</v>
      </c>
      <c r="H327" s="28" t="n">
        <v>300.8</v>
      </c>
      <c r="I327" s="26" t="inlineStr">
        <is>
          <t>gross (stated)</t>
        </is>
      </c>
      <c r="J327" s="29" t="n"/>
      <c r="K327" s="29" t="n">
        <v>15.6</v>
      </c>
      <c r="L327" s="29" t="n">
        <v>15.6</v>
      </c>
      <c r="M327" s="26" t="inlineStr">
        <is>
          <t>Y</t>
        </is>
      </c>
      <c r="N327" s="30" t="n">
        <v>100</v>
      </c>
      <c r="O327" s="28" t="n">
        <v>6020.9</v>
      </c>
      <c r="P327" s="26" t="inlineStr">
        <is>
          <t>derived:price x shares upon listing</t>
        </is>
      </c>
      <c r="Q327" s="31" t="n">
        <v>743.78</v>
      </c>
      <c r="R327" s="32" t="n">
        <v>1.13</v>
      </c>
      <c r="S327" s="33" t="n">
        <v>10</v>
      </c>
      <c r="T327" s="26" t="inlineStr">
        <is>
          <t>Listing Top</t>
        </is>
      </c>
      <c r="U327" s="30" t="n"/>
      <c r="V327" s="26" t="n"/>
      <c r="W327" s="34" t="n">
        <v>-25.9</v>
      </c>
      <c r="X327" s="34" t="n">
        <v>-37.82</v>
      </c>
      <c r="Y327" s="34" t="n">
        <v>-42.31</v>
      </c>
      <c r="Z327" s="34" t="n">
        <v>117.95</v>
      </c>
      <c r="AA327" s="34" t="n">
        <v>-22.15</v>
      </c>
      <c r="AB327" s="34" t="n">
        <v>-55.86</v>
      </c>
      <c r="AC327" s="34" t="n">
        <v>13.55</v>
      </c>
      <c r="AD327" s="26" t="inlineStr">
        <is>
          <t>China Biotech ETF (HS biotech proxy)</t>
        </is>
      </c>
      <c r="AE327" s="34" t="n">
        <v>-61.86</v>
      </c>
      <c r="AF327" s="28" t="n">
        <v>2.2</v>
      </c>
      <c r="AG327" s="28" t="n">
        <v>-311.7</v>
      </c>
      <c r="AH327" s="26" t="inlineStr">
        <is>
          <t>N</t>
        </is>
      </c>
      <c r="AI327" s="38">
        <f>IF('BBG Verify'!O327="","not filed — run on terminal",'BBG Verify'!O327)</f>
        <v/>
      </c>
      <c r="AJ327" s="35" t="n">
        <v>2736.8</v>
      </c>
      <c r="AK327" s="26" t="inlineStr">
        <is>
          <t>N</t>
        </is>
      </c>
      <c r="AL327" s="36">
        <f>IF('BBG Verify'!K327="","not filed — run on terminal",'BBG Verify'!K327)</f>
        <v/>
      </c>
      <c r="AM327" s="26" t="inlineStr">
        <is>
          <t>N/A</t>
        </is>
      </c>
      <c r="AN327" s="26" t="inlineStr">
        <is>
          <t>N/A</t>
        </is>
      </c>
      <c r="AO327" s="26" t="inlineStr">
        <is>
          <t>N/A</t>
        </is>
      </c>
      <c r="AP327" s="26" t="inlineStr">
        <is>
          <t>China International Capital Corporation Hong Kong Securities Limited</t>
        </is>
      </c>
      <c r="AQ327" s="26" t="inlineStr">
        <is>
          <t>中國國際金融香港證券有限公司</t>
        </is>
      </c>
      <c r="AR327" s="26"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AS327" s="26" t="inlineStr">
        <is>
          <t>農銀國際證券有限公司; 中銀國際亞洲有限公司; 建銀國際金融有限公司; 光銀國際資本有限公司; 中國光大證券(香港)有限公司; 中國銀河國際證券(香港)有限公司; 中國國際金融香港證券有限公司; 民銀證券有限公司; 艾德證券期貨有限公司; 廣發證券（香港）經紀有限公司; 利弗莫爾證券有限公司; 國金證券（香港）有限公司; 浦銀國際融資有限公司; 中泰國際證券有限公司</t>
        </is>
      </c>
      <c r="AT327" s="37">
        <f>HYPERLINK("https://www1.hkexnews.hk/listedco/listconews/sehk/2025/0519/2025051900013.pdf","prospectus")</f>
        <v/>
      </c>
      <c r="AU327" s="37">
        <f>HYPERLINK("https://www1.hkexnews.hk/listedco/listconews/sehk/2025/0526/2025052601319.pdf","allotment")</f>
        <v/>
      </c>
      <c r="AV327" s="26" t="n"/>
      <c r="AW327" s="26" t="inlineStr">
        <is>
          <t>P/E: n/m — loss-making at IPO (use P/S) · greenshoe: no over-allotment option in the offer structure · A/H: no A-share listing</t>
        </is>
      </c>
    </row>
    <row r="328">
      <c r="A328" s="25" t="inlineStr">
        <is>
          <t>2603</t>
        </is>
      </c>
      <c r="B328" s="26" t="inlineStr">
        <is>
          <t>JIHONG CO</t>
        </is>
      </c>
      <c r="C328" s="26" t="inlineStr">
        <is>
          <t>吉宏股份</t>
        </is>
      </c>
      <c r="D328" s="26" t="inlineStr">
        <is>
          <t>Tech/AI</t>
        </is>
      </c>
      <c r="E328" s="26" t="inlineStr">
        <is>
          <t>Internet platform / e-commerce</t>
        </is>
      </c>
      <c r="F328" s="26" t="inlineStr">
        <is>
          <t>Standard</t>
        </is>
      </c>
      <c r="G328" s="27" t="n">
        <v>45804</v>
      </c>
      <c r="H328" s="28" t="n">
        <v>521.5</v>
      </c>
      <c r="I328" s="26" t="inlineStr">
        <is>
          <t>gross (stated)</t>
        </is>
      </c>
      <c r="J328" s="29" t="n">
        <v>7.48</v>
      </c>
      <c r="K328" s="29" t="n">
        <v>10.68</v>
      </c>
      <c r="L328" s="29" t="n">
        <v>7.68</v>
      </c>
      <c r="M328" s="26" t="inlineStr">
        <is>
          <t>N</t>
        </is>
      </c>
      <c r="N328" s="30" t="n">
        <v>71.90000000000001</v>
      </c>
      <c r="O328" s="28" t="n">
        <v>3476.6</v>
      </c>
      <c r="P328" s="26" t="inlineStr">
        <is>
          <t>derived:price x shares upon listing</t>
        </is>
      </c>
      <c r="Q328" s="31" t="n">
        <v>49.39</v>
      </c>
      <c r="R328" s="32" t="n">
        <v>1.62</v>
      </c>
      <c r="S328" s="33" t="n">
        <v>10</v>
      </c>
      <c r="T328" s="26" t="inlineStr">
        <is>
          <t>Timber Kangaroo; Yulong International; Ms. Shen; Listing Top</t>
        </is>
      </c>
      <c r="U328" s="30" t="n"/>
      <c r="V328" s="26" t="n"/>
      <c r="W328" s="34" t="n">
        <v>39.06</v>
      </c>
      <c r="X328" s="34" t="n">
        <v>30.21</v>
      </c>
      <c r="Y328" s="34" t="n">
        <v>45.31</v>
      </c>
      <c r="Z328" s="34" t="n">
        <v>138.67</v>
      </c>
      <c r="AA328" s="34" t="n">
        <v>4.49</v>
      </c>
      <c r="AB328" s="34" t="n">
        <v>41.25</v>
      </c>
      <c r="AC328" s="34" t="n">
        <v>4.06</v>
      </c>
      <c r="AD328" s="26" t="inlineStr">
        <is>
          <t>HSTECH (Hang Seng TECH ETF)</t>
        </is>
      </c>
      <c r="AE328" s="34" t="n">
        <v>59.51</v>
      </c>
      <c r="AF328" s="28" t="n">
        <v>5913.5</v>
      </c>
      <c r="AG328" s="28" t="n">
        <v>202.9</v>
      </c>
      <c r="AH328" s="26" t="inlineStr">
        <is>
          <t>Y</t>
        </is>
      </c>
      <c r="AI328" s="35" t="n">
        <v>17.1</v>
      </c>
      <c r="AJ328" s="35" t="n">
        <v>0.6</v>
      </c>
      <c r="AK328" s="26" t="inlineStr">
        <is>
          <t>Y</t>
        </is>
      </c>
      <c r="AL328" s="26" t="inlineStr">
        <is>
          <t>002803.SZ</t>
        </is>
      </c>
      <c r="AM328" s="34" t="n">
        <v>-51.26</v>
      </c>
      <c r="AN328" s="29" t="n">
        <v>15.7576</v>
      </c>
      <c r="AO328" s="42" t="n">
        <v>-0.457</v>
      </c>
      <c r="AP328" s="26" t="inlineStr">
        <is>
          <t>Hong Kong Securities Limited; Hong Kong SAR CMB International Capital Limited</t>
        </is>
      </c>
      <c r="AQ328" s="26" t="inlineStr">
        <is>
          <t>中國國際金融香港證券有限公司; 招銀國際融資有限公司</t>
        </is>
      </c>
      <c r="AR328" s="26"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AS328" s="26" t="inlineStr">
        <is>
          <t>中銀國際亞洲有限公司; 建銀國際金融有限公司; 中國銀河國際證券(香港)有限公司; 復星國際證券有限公司; 華福國際證券有限公司; 工銀國際證券有限公司; 長橋證券（香港）有限公司; 利弗莫爾證券有限公司; 嘉洛證券有限公司; 山高國際證券有限公司; 國金證券（香港）有限公司</t>
        </is>
      </c>
      <c r="AT328" s="37">
        <f>HYPERLINK("https://www1.hkexnews.hk/listedco/listconews/sehk/2025/0519/2025051900011.pdf","prospectus")</f>
        <v/>
      </c>
      <c r="AU328" s="37">
        <f>HYPERLINK("https://www1.hkexnews.hk/listedco/listconews/sehk/2025/0526/2025052601653.pdf","allotment")</f>
        <v/>
      </c>
      <c r="AV328" s="26" t="n"/>
      <c r="AW328" s="26" t="inlineStr">
        <is>
          <t>greenshoe: no over-allotment option in the offer structure · A/H: May 2025 H listing (packaging + cross-border e-commerce)</t>
        </is>
      </c>
    </row>
    <row r="329">
      <c r="A329" s="25" t="inlineStr">
        <is>
          <t>2621</t>
        </is>
      </c>
      <c r="B329" s="26" t="inlineStr">
        <is>
          <t>SHOUHUI GROUP</t>
        </is>
      </c>
      <c r="C329" s="26" t="inlineStr">
        <is>
          <t>手回集團</t>
        </is>
      </c>
      <c r="D329" s="26" t="inlineStr">
        <is>
          <t>Financials</t>
        </is>
      </c>
      <c r="E329" s="26" t="inlineStr">
        <is>
          <t>Insurance</t>
        </is>
      </c>
      <c r="F329" s="26" t="inlineStr">
        <is>
          <t>Standard</t>
        </is>
      </c>
      <c r="G329" s="27" t="n">
        <v>45807</v>
      </c>
      <c r="H329" s="28" t="n">
        <v>196.82</v>
      </c>
      <c r="I329" s="26" t="inlineStr">
        <is>
          <t>gross (stated)</t>
        </is>
      </c>
      <c r="J329" s="29" t="n">
        <v>6.48</v>
      </c>
      <c r="K329" s="29" t="n">
        <v>8.08</v>
      </c>
      <c r="L329" s="29" t="n">
        <v>8.08</v>
      </c>
      <c r="M329" s="26" t="inlineStr">
        <is>
          <t>Y</t>
        </is>
      </c>
      <c r="N329" s="30" t="n">
        <v>100</v>
      </c>
      <c r="O329" s="28" t="n">
        <v>1615.9</v>
      </c>
      <c r="P329" s="26" t="inlineStr">
        <is>
          <t>derived:deal size / offer % of enlarged capital</t>
        </is>
      </c>
      <c r="Q329" s="31" t="n">
        <v>990</v>
      </c>
      <c r="R329" s="32" t="n">
        <v>1.13</v>
      </c>
      <c r="S329" s="33" t="n">
        <v>31.08</v>
      </c>
      <c r="T329" s="26" t="inlineStr">
        <is>
          <t>HiTai</t>
        </is>
      </c>
      <c r="U329" s="30" t="n">
        <v>10</v>
      </c>
      <c r="V329" s="26" t="inlineStr">
        <is>
          <t>lapsed</t>
        </is>
      </c>
      <c r="W329" s="34" t="n">
        <v>-18.19</v>
      </c>
      <c r="X329" s="34" t="n">
        <v>-33.04</v>
      </c>
      <c r="Y329" s="34" t="n">
        <v>-39.48</v>
      </c>
      <c r="Z329" s="34" t="n">
        <v>-41.83</v>
      </c>
      <c r="AA329" s="34" t="n">
        <v>-26.02</v>
      </c>
      <c r="AB329" s="34" t="n">
        <v>-46.16</v>
      </c>
      <c r="AC329" s="34" t="n">
        <v>6.68</v>
      </c>
      <c r="AD329" s="26" t="inlineStr">
        <is>
          <t>Hang Seng Finance sub-index</t>
        </is>
      </c>
      <c r="AE329" s="34" t="n">
        <v>-64.73</v>
      </c>
      <c r="AF329" s="28" t="n">
        <v>2.2</v>
      </c>
      <c r="AG329" s="28" t="n">
        <v>-99.2</v>
      </c>
      <c r="AH329" s="26" t="inlineStr">
        <is>
          <t>N</t>
        </is>
      </c>
      <c r="AI329" s="38">
        <f>IF('BBG Verify'!O329="","not filed — run on terminal",'BBG Verify'!O329)</f>
        <v/>
      </c>
      <c r="AJ329" s="35" t="n">
        <v>734.5</v>
      </c>
      <c r="AK329" s="26" t="inlineStr">
        <is>
          <t>N</t>
        </is>
      </c>
      <c r="AL329" s="36">
        <f>IF('BBG Verify'!K329="","not filed — run on terminal",'BBG Verify'!K329)</f>
        <v/>
      </c>
      <c r="AM329" s="26" t="inlineStr">
        <is>
          <t>N/A</t>
        </is>
      </c>
      <c r="AN329" s="26" t="inlineStr">
        <is>
          <t>N/A</t>
        </is>
      </c>
      <c r="AO329" s="26" t="inlineStr">
        <is>
          <t>N/A</t>
        </is>
      </c>
      <c r="AP329" s="26" t="inlineStr">
        <is>
          <t>Huatai Financial Holdings (Hong Kong) Limited</t>
        </is>
      </c>
      <c r="AQ329" s="26" t="inlineStr">
        <is>
          <t>中國國際金融香港證券有限公司; 華泰金融控股(香港)有限公司</t>
        </is>
      </c>
      <c r="AR329" s="26"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AS329" s="26" t="inlineStr">
        <is>
          <t>建銀國際金融有限公司; 中國國際金融香港證券有限公司; 中信里昂證券有限公司; 招銀國際金融有限公司; 富途證券國際（香港）有限公司; 華泰金融控股(香港)有限公司; 邁時資本有限公司; 百惠證券有限公司; 老虎證券（香港）環球有限公司; TradeGo Markets Limited</t>
        </is>
      </c>
      <c r="AT329" s="37">
        <f>HYPERLINK("https://www1.hkexnews.hk/listedco/listconews/sehk/2025/0522/2025052200031.pdf","prospectus")</f>
        <v/>
      </c>
      <c r="AU329" s="37">
        <f>HYPERLINK("https://www1.hkexnews.hk/listedco/listconews/sehk/2025/0529/2025052902298.pdf","allotment")</f>
        <v/>
      </c>
      <c r="AV329" s="37">
        <f>HYPERLINK("https://www1.hkexnews.hk/listedco/listconews/sehk/2025/0626/2025062601818.pdf","stabilisation")</f>
        <v/>
      </c>
      <c r="AW329" s="26" t="inlineStr">
        <is>
          <t>P/E: n/m — loss-making at IPO (use P/S) · A/H: no A-share listing</t>
        </is>
      </c>
    </row>
    <row r="330">
      <c r="A330" s="25" t="inlineStr">
        <is>
          <t>9881</t>
        </is>
      </c>
      <c r="B330" s="26" t="inlineStr">
        <is>
          <t>RONGTA TECH</t>
        </is>
      </c>
      <c r="C330" s="26" t="inlineStr">
        <is>
          <t>容大科技</t>
        </is>
      </c>
      <c r="D330" s="26" t="inlineStr">
        <is>
          <t>Tech/AI</t>
        </is>
      </c>
      <c r="E330" s="26" t="inlineStr">
        <is>
          <t>Smart hardware / consumer electronics</t>
        </is>
      </c>
      <c r="F330" s="26" t="inlineStr">
        <is>
          <t>Standard</t>
        </is>
      </c>
      <c r="G330" s="27" t="n">
        <v>45818</v>
      </c>
      <c r="H330" s="28" t="n">
        <v>184</v>
      </c>
      <c r="I330" s="26" t="inlineStr">
        <is>
          <t>gross (stated)</t>
        </is>
      </c>
      <c r="J330" s="29" t="n"/>
      <c r="K330" s="29" t="n">
        <v>12</v>
      </c>
      <c r="L330" s="29" t="n">
        <v>10</v>
      </c>
      <c r="M330" s="26" t="inlineStr">
        <is>
          <t>N</t>
        </is>
      </c>
      <c r="N330" s="30" t="n">
        <v>83.3</v>
      </c>
      <c r="O330" s="28" t="n">
        <v>947.3</v>
      </c>
      <c r="P330" s="26" t="inlineStr">
        <is>
          <t>derived:price x shares upon listing</t>
        </is>
      </c>
      <c r="Q330" s="31" t="n">
        <v>275.96</v>
      </c>
      <c r="R330" s="32" t="n">
        <v>0.96</v>
      </c>
      <c r="S330" s="33" t="n">
        <v>43.64</v>
      </c>
      <c r="T330" s="26" t="inlineStr">
        <is>
          <t>Lin Xiaojian/ʃ਺; Sinos Group Limited/ʮ̡; Li Shuhan/ҽബ⊦; Main Achieve Holdings Limited; Ng Chi Fat/ͼқ೯; Xu Kaiming/׼30,354,873; Xu Kaihe/ئ2,250,953; (Note; Lin Huanan/ዏ฻; Yang Litie/เᓿ᚛</t>
        </is>
      </c>
      <c r="U330" s="30" t="n">
        <v>7.06</v>
      </c>
      <c r="V330" s="26" t="inlineStr">
        <is>
          <t>lapsed</t>
        </is>
      </c>
      <c r="W330" s="34" t="n">
        <v>42</v>
      </c>
      <c r="X330" s="34" t="n">
        <v>30</v>
      </c>
      <c r="Y330" s="34" t="n">
        <v>3</v>
      </c>
      <c r="Z330" s="34" t="n">
        <v>9.5</v>
      </c>
      <c r="AA330" s="34" t="n">
        <v>-27.46</v>
      </c>
      <c r="AB330" s="34" t="n">
        <v>6.85</v>
      </c>
      <c r="AC330" s="34" t="n">
        <v>-3.85</v>
      </c>
      <c r="AD330" s="26" t="inlineStr">
        <is>
          <t>HSTECH (Hang Seng TECH ETF)</t>
        </is>
      </c>
      <c r="AE330" s="34" t="n">
        <v>77</v>
      </c>
      <c r="AF330" s="28" t="n">
        <v>385.1</v>
      </c>
      <c r="AG330" s="28" t="n">
        <v>45.5</v>
      </c>
      <c r="AH330" s="26" t="inlineStr">
        <is>
          <t>Y</t>
        </is>
      </c>
      <c r="AI330" s="35" t="n">
        <v>20.8</v>
      </c>
      <c r="AJ330" s="35" t="n">
        <v>2.5</v>
      </c>
      <c r="AK330" s="26" t="inlineStr">
        <is>
          <t>N</t>
        </is>
      </c>
      <c r="AL330" s="36">
        <f>IF('BBG Verify'!K330="","not filed — run on terminal",'BBG Verify'!K330)</f>
        <v/>
      </c>
      <c r="AM330" s="26" t="inlineStr">
        <is>
          <t>N/A</t>
        </is>
      </c>
      <c r="AN330" s="26" t="inlineStr">
        <is>
          <t>N/A</t>
        </is>
      </c>
      <c r="AO330" s="26" t="inlineStr">
        <is>
          <t>N/A</t>
        </is>
      </c>
      <c r="AP330" s="26" t="inlineStr">
        <is>
          <t>Yue Xiu Capital Limited</t>
        </is>
      </c>
      <c r="AQ330" s="26" t="inlineStr">
        <is>
          <t>越秀融資有限公司</t>
        </is>
      </c>
      <c r="AR330" s="26" t="inlineStr">
        <is>
          <t>Yue Xiu Securities Company Limited; Managers Yue Xiu Securities Company Limited; ABCI CAPITAL LIMITED; ABCI SECURITIES COMPANY LIMITED</t>
        </is>
      </c>
      <c r="AS330" s="26" t="inlineStr">
        <is>
          <t>農銀國際證券有限公司; 中銀國際亞洲有限公司; 建銀國際金融有限公司; 民銀證券有限公司; 招銀國際金融有限公司; 華福國際證券有限公司; 利弗莫爾證券有限公司; 百惠證券有限公司; 越秀證券有限公司; 中泰國際證券有限公司</t>
        </is>
      </c>
      <c r="AT330" s="37">
        <f>HYPERLINK("https://www1.hkexnews.hk/listedco/listconews/sehk/2025/0530/2025053000009.pdf","prospectus")</f>
        <v/>
      </c>
      <c r="AU330" s="37">
        <f>HYPERLINK("https://www1.hkexnews.hk/listedco/listconews/sehk/2025/0609/2025060900996.pdf","allotment")</f>
        <v/>
      </c>
      <c r="AV330" s="37">
        <f>HYPERLINK("https://www1.hkexnews.hk/listedco/listconews/sehk/2025/0707/2025070700712.pdf","stabilisation")</f>
        <v/>
      </c>
      <c r="AW330" s="26" t="inlineStr">
        <is>
          <t>A/H: no A-share listing</t>
        </is>
      </c>
    </row>
    <row r="331">
      <c r="A331" s="25" t="inlineStr">
        <is>
          <t>2573</t>
        </is>
      </c>
      <c r="B331" s="26" t="inlineStr">
        <is>
          <t>NEWTREND GROUP</t>
        </is>
      </c>
      <c r="C331" s="26" t="inlineStr">
        <is>
          <t>新琪安</t>
        </is>
      </c>
      <c r="D331" s="26" t="inlineStr">
        <is>
          <t>Consumer</t>
        </is>
      </c>
      <c r="E331" s="26" t="inlineStr">
        <is>
          <t>Beverages / packaged food</t>
        </is>
      </c>
      <c r="F331" s="26" t="inlineStr">
        <is>
          <t>Standard</t>
        </is>
      </c>
      <c r="G331" s="27" t="n">
        <v>45818</v>
      </c>
      <c r="H331" s="28" t="n">
        <v>200.1</v>
      </c>
      <c r="I331" s="26" t="inlineStr">
        <is>
          <t>gross (price x shares)</t>
        </is>
      </c>
      <c r="J331" s="29" t="n"/>
      <c r="K331" s="29" t="n">
        <v>20.9</v>
      </c>
      <c r="L331" s="29" t="n">
        <v>18.9</v>
      </c>
      <c r="M331" s="26" t="inlineStr">
        <is>
          <t>N</t>
        </is>
      </c>
      <c r="N331" s="30" t="n">
        <v>90.40000000000001</v>
      </c>
      <c r="O331" s="28" t="n">
        <v>1818.8</v>
      </c>
      <c r="P331" s="26" t="inlineStr">
        <is>
          <t>derived:price x shares upon listing</t>
        </is>
      </c>
      <c r="Q331" s="31" t="n">
        <v>149.37</v>
      </c>
      <c r="R331" s="32" t="n">
        <v>0.93</v>
      </c>
      <c r="S331" s="33" t="n">
        <v>15.7</v>
      </c>
      <c r="T331" s="44" t="n"/>
      <c r="U331" s="30" t="n">
        <v>10.2</v>
      </c>
      <c r="V331" s="26" t="n"/>
      <c r="W331" s="34" t="n">
        <v>21.43</v>
      </c>
      <c r="X331" s="34" t="n">
        <v>-16.83</v>
      </c>
      <c r="Y331" s="34" t="n">
        <v>-34.6</v>
      </c>
      <c r="Z331" s="34" t="n">
        <v>-34.92</v>
      </c>
      <c r="AA331" s="34" t="n">
        <v>-46.14</v>
      </c>
      <c r="AB331" s="34" t="n">
        <v>-30.78</v>
      </c>
      <c r="AC331" s="34" t="n">
        <v>-3.82</v>
      </c>
      <c r="AD331" s="26" t="inlineStr">
        <is>
          <t>Hang Seng Commerce &amp; Industry sub-index</t>
        </is>
      </c>
      <c r="AE331" s="34" t="n">
        <v>-70.40000000000001</v>
      </c>
      <c r="AF331" s="28" t="n">
        <v>625.8</v>
      </c>
      <c r="AG331" s="28" t="n">
        <v>47.7</v>
      </c>
      <c r="AH331" s="26" t="inlineStr">
        <is>
          <t>Y</t>
        </is>
      </c>
      <c r="AI331" s="35" t="n">
        <v>38.1</v>
      </c>
      <c r="AJ331" s="35" t="n">
        <v>2.9</v>
      </c>
      <c r="AK331" s="26" t="inlineStr">
        <is>
          <t>N</t>
        </is>
      </c>
      <c r="AL331" s="36">
        <f>IF('BBG Verify'!K331="","not filed — run on terminal",'BBG Verify'!K331)</f>
        <v/>
      </c>
      <c r="AM331" s="26" t="inlineStr">
        <is>
          <t>N/A</t>
        </is>
      </c>
      <c r="AN331" s="26" t="inlineStr">
        <is>
          <t>N/A</t>
        </is>
      </c>
      <c r="AO331" s="26" t="inlineStr">
        <is>
          <t>N/A</t>
        </is>
      </c>
      <c r="AP331" s="26" t="inlineStr">
        <is>
          <t>CMBC International Capital Limited</t>
        </is>
      </c>
      <c r="AQ331" s="26" t="inlineStr">
        <is>
          <t>民銀資本有限公司</t>
        </is>
      </c>
      <c r="AR331" s="26" t="inlineStr">
        <is>
          <t>China Industrial Securities International Capital Limited; Guosen Securities (HK) Capital Company Limited; ABCI Capital Limited</t>
        </is>
      </c>
      <c r="AS331" s="26" t="inlineStr">
        <is>
          <t>農銀國際證券有限公司; 建銀國際金融有限公司; 興證國際融資有限公司; 民銀證券有限公司; 招銀國際金融有限公司; 龍譽資本有限公司; 國信證券(香港)融資有限公司; 華福國際證券有限公司; 工銀國際證券有限公司; 百惠證券有限公司; 瑞邦證券有限公司; 浦銀國際融資有限公司</t>
        </is>
      </c>
      <c r="AT331" s="37">
        <f>HYPERLINK("https://www1.hkexnews.hk/listedco/listconews/sehk/2025/0530/2025053000073.pdf","prospectus")</f>
        <v/>
      </c>
      <c r="AU331" s="37">
        <f>HYPERLINK("https://www1.hkexnews.hk/listedco/listconews/sehk/2025/0609/2025060901156.pdf","allotment")</f>
        <v/>
      </c>
      <c r="AV331" s="26" t="n"/>
      <c r="AW331" s="26" t="inlineStr">
        <is>
          <t>greenshoe: end-of-stabilisation notice not located · A/H: no A-share listing</t>
        </is>
      </c>
    </row>
    <row r="332">
      <c r="A332" s="25" t="inlineStr">
        <is>
          <t>2605</t>
        </is>
      </c>
      <c r="B332" s="26" t="inlineStr">
        <is>
          <t>METALIGHT</t>
        </is>
      </c>
      <c r="C332" s="26" t="inlineStr">
        <is>
          <t>METALIGHT</t>
        </is>
      </c>
      <c r="D332" s="26" t="inlineStr">
        <is>
          <t>Tech/AI</t>
        </is>
      </c>
      <c r="E332" s="26" t="inlineStr">
        <is>
          <t>Internet platform / e-commerce</t>
        </is>
      </c>
      <c r="F332" s="26" t="inlineStr">
        <is>
          <t>Standard</t>
        </is>
      </c>
      <c r="G332" s="27" t="n">
        <v>45818</v>
      </c>
      <c r="H332" s="28" t="n">
        <v>242.35</v>
      </c>
      <c r="I332" s="26" t="inlineStr">
        <is>
          <t>gross (stated)</t>
        </is>
      </c>
      <c r="J332" s="29" t="n"/>
      <c r="K332" s="29" t="n">
        <v>9.75</v>
      </c>
      <c r="L332" s="29" t="n">
        <v>9.75</v>
      </c>
      <c r="M332" s="26" t="inlineStr">
        <is>
          <t>Y</t>
        </is>
      </c>
      <c r="N332" s="30" t="n">
        <v>100</v>
      </c>
      <c r="O332" s="28" t="n">
        <v>1504.2</v>
      </c>
      <c r="P332" s="26" t="inlineStr">
        <is>
          <t>derived:price x shares upon listing</t>
        </is>
      </c>
      <c r="Q332" s="31" t="n">
        <v>274.44</v>
      </c>
      <c r="R332" s="32" t="n">
        <v>2.49</v>
      </c>
      <c r="S332" s="33" t="n">
        <v>0</v>
      </c>
      <c r="T332" s="26" t="n"/>
      <c r="U332" s="30" t="n"/>
      <c r="V332" s="26" t="n"/>
      <c r="W332" s="34" t="n">
        <v>-30.26</v>
      </c>
      <c r="X332" s="34" t="n">
        <v>-29.95</v>
      </c>
      <c r="Y332" s="34" t="n">
        <v>-37.85</v>
      </c>
      <c r="Z332" s="34" t="n">
        <v>-49.64</v>
      </c>
      <c r="AA332" s="34" t="n">
        <v>-10.88</v>
      </c>
      <c r="AB332" s="34" t="n">
        <v>-34</v>
      </c>
      <c r="AC332" s="34" t="n">
        <v>-3.85</v>
      </c>
      <c r="AD332" s="26" t="inlineStr">
        <is>
          <t>HSTECH (Hang Seng TECH ETF)</t>
        </is>
      </c>
      <c r="AE332" s="34" t="n">
        <v>-86.67</v>
      </c>
      <c r="AF332" s="28" t="n">
        <v>226.8</v>
      </c>
      <c r="AG332" s="28" t="n">
        <v>-28.8</v>
      </c>
      <c r="AH332" s="26" t="inlineStr">
        <is>
          <t>N</t>
        </is>
      </c>
      <c r="AI332" s="38">
        <f>IF('BBG Verify'!O332="","not filed — run on terminal",'BBG Verify'!O332)</f>
        <v/>
      </c>
      <c r="AJ332" s="35" t="n">
        <v>6.6</v>
      </c>
      <c r="AK332" s="26" t="inlineStr">
        <is>
          <t>N</t>
        </is>
      </c>
      <c r="AL332" s="36">
        <f>IF('BBG Verify'!K332="","not filed — run on terminal",'BBG Verify'!K332)</f>
        <v/>
      </c>
      <c r="AM332" s="26" t="inlineStr">
        <is>
          <t>N/A</t>
        </is>
      </c>
      <c r="AN332" s="26" t="inlineStr">
        <is>
          <t>N/A</t>
        </is>
      </c>
      <c r="AO332" s="26" t="inlineStr">
        <is>
          <t>N/A</t>
        </is>
      </c>
      <c r="AP332" s="26" t="inlineStr">
        <is>
          <t>China International Capital Corporation Hong Kong Securities Limited; -Overall Coordinator China International Capital Corporation Hong Kong Securities Limited</t>
        </is>
      </c>
      <c r="AQ332" s="26" t="inlineStr">
        <is>
          <t>中國國際金融香港證券有限公司</t>
        </is>
      </c>
      <c r="AR332" s="26"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AS332" s="26" t="inlineStr">
        <is>
          <t>農銀國際證券有限公司; 中銀國際亞洲有限公司; 建銀國際金融有限公司; 中國國際金融香港證券有限公司; 民銀證券有限公司; 復星國際證券有限公司; 富途證券國際（香港）有限公司; 長橋證券（香港）有限公司; 百惠證券有限公司; 軟庫中華金融服務有限公司; 老虎證券（香港）環球有限公司; 駿達證券有限公司</t>
        </is>
      </c>
      <c r="AT332" s="37">
        <f>HYPERLINK("https://www1.hkexnews.hk/listedco/listconews/sehk/2025/0602/2025060200008.pdf","prospectus")</f>
        <v/>
      </c>
      <c r="AU332" s="37">
        <f>HYPERLINK("https://www1.hkexnews.hk/listedco/listconews/sehk/2025/0609/2025060901376.pdf","allotment")</f>
        <v/>
      </c>
      <c r="AV332" s="26" t="n"/>
      <c r="AW332" s="26" t="inlineStr">
        <is>
          <t>P/E: n/m — loss-making at IPO (use P/S) · greenshoe: no over-allotment option in the offer structure · A/H: no A-share listing</t>
        </is>
      </c>
    </row>
    <row r="333">
      <c r="A333" s="25" t="inlineStr">
        <is>
          <t>3288</t>
        </is>
      </c>
      <c r="B333" s="26" t="inlineStr">
        <is>
          <t>HAITIAN FLAV</t>
        </is>
      </c>
      <c r="C333" s="26" t="inlineStr">
        <is>
          <t>海天味業</t>
        </is>
      </c>
      <c r="D333" s="26" t="inlineStr">
        <is>
          <t>Consumer</t>
        </is>
      </c>
      <c r="E333" s="26" t="inlineStr">
        <is>
          <t>Beverages / packaged food</t>
        </is>
      </c>
      <c r="F333" s="26" t="inlineStr">
        <is>
          <t>Standard</t>
        </is>
      </c>
      <c r="G333" s="27" t="n">
        <v>45827</v>
      </c>
      <c r="H333" s="28" t="n">
        <v>10128.9</v>
      </c>
      <c r="I333" s="26" t="inlineStr">
        <is>
          <t>gross (stated)</t>
        </is>
      </c>
      <c r="J333" s="29" t="n">
        <v>35</v>
      </c>
      <c r="K333" s="29" t="n">
        <v>36.3</v>
      </c>
      <c r="L333" s="29" t="n">
        <v>36.3</v>
      </c>
      <c r="M333" s="26" t="inlineStr">
        <is>
          <t>Y</t>
        </is>
      </c>
      <c r="N333" s="30" t="n">
        <v>100</v>
      </c>
      <c r="O333" s="28" t="n">
        <v>185511</v>
      </c>
      <c r="P333" s="26" t="inlineStr">
        <is>
          <t>derived:deal size / offer % of enlarged capital</t>
        </is>
      </c>
      <c r="Q333" s="31" t="n">
        <v>918.15</v>
      </c>
      <c r="R333" s="39">
        <f>IF('BBG Verify'!E333="","not filed — run on terminal",'BBG Verify'!E333)</f>
        <v/>
      </c>
      <c r="S333" s="33" t="n">
        <v>10</v>
      </c>
      <c r="T333" s="26"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U333" s="30" t="n">
        <v>15</v>
      </c>
      <c r="V333" s="26" t="inlineStr">
        <is>
          <t>partial</t>
        </is>
      </c>
      <c r="W333" s="34" t="n">
        <v>0.55</v>
      </c>
      <c r="X333" s="34" t="n">
        <v>-3.44</v>
      </c>
      <c r="Y333" s="34" t="n">
        <v>-1.65</v>
      </c>
      <c r="Z333" s="34" t="n">
        <v>-6.5</v>
      </c>
      <c r="AA333" s="34" t="n">
        <v>-2.19</v>
      </c>
      <c r="AB333" s="34" t="n">
        <v>-7.14</v>
      </c>
      <c r="AC333" s="34" t="n">
        <v>5.49</v>
      </c>
      <c r="AD333" s="26" t="inlineStr">
        <is>
          <t>Hang Seng Commerce &amp; Industry sub-index</t>
        </is>
      </c>
      <c r="AE333" s="34" t="n">
        <v>-11.68</v>
      </c>
      <c r="AF333" s="28" t="n">
        <v>29591.1</v>
      </c>
      <c r="AG333" s="28" t="n">
        <v>6991.4</v>
      </c>
      <c r="AH333" s="26" t="inlineStr">
        <is>
          <t>Y</t>
        </is>
      </c>
      <c r="AI333" s="35" t="n">
        <v>26.5</v>
      </c>
      <c r="AJ333" s="35" t="n">
        <v>6.3</v>
      </c>
      <c r="AK333" s="26" t="inlineStr">
        <is>
          <t>Y</t>
        </is>
      </c>
      <c r="AL333" s="26" t="inlineStr">
        <is>
          <t>603288.SS</t>
        </is>
      </c>
      <c r="AM333" s="34" t="n">
        <v>-17.4</v>
      </c>
      <c r="AN333" s="29" t="n">
        <v>43.9481</v>
      </c>
      <c r="AO333" s="42" t="n">
        <v>-0.2285</v>
      </c>
      <c r="AP333" s="26" t="inlineStr">
        <is>
          <t>China International Capital Corporation Hong Kong Securities Limited; Goldman Sachs (Asia) L.L.C; Morgan Stanley Asia Limited</t>
        </is>
      </c>
      <c r="AQ333" s="26" t="inlineStr">
        <is>
          <t>中國國際金融香港證券有限公司; 摩根士丹利亞洲有限公司; 高盛(亞洲)有限責任公司</t>
        </is>
      </c>
      <c r="AR333" s="26" t="inlineStr">
        <is>
          <t>ABCI Securities Company Limited</t>
        </is>
      </c>
      <c r="AS333" s="26" t="inlineStr">
        <is>
          <t>農銀國際證券有限公司; 中銀國際亞洲有限公司; 交銀國際證券有限公司; 建銀國際金融有限公司; 中國銀河國際證券(香港)有限公司; 中國國際金融香港證券有限公司; 中信里昂證券有限公司; 招銀國際金融有限公司; 富途證券國際（香港）有限公司; 廣發證券（香港）經紀有限公司; 高盛(亞洲)有限責任公司; 華泰金融控股(香港)有限公司; 香港上海匯豐銀行有限公司; 工銀國際證券有限公司; 摩根士丹利亞洲有限公司</t>
        </is>
      </c>
      <c r="AT333" s="37">
        <f>HYPERLINK("https://www1.hkexnews.hk/listedco/listconews/sehk/2025/0611/2025061100017.pdf","prospectus")</f>
        <v/>
      </c>
      <c r="AU333" s="37">
        <f>HYPERLINK("https://www1.hkexnews.hk/listedco/listconews/sehk/2025/0618/2025061801931.pdf","allotment")</f>
        <v/>
      </c>
      <c r="AV333" s="37">
        <f>HYPERLINK("https://www1.hkexnews.hk/listedco/listconews/sehk/2025/0717/2025071700201.pdf","stabilisation")</f>
        <v/>
      </c>
      <c r="AW333" s="26" t="inlineStr">
        <is>
          <t>intl sub: subscription level not stated in the filing · A/H: Jun 2025, ~US$1.3bn; condiments leader</t>
        </is>
      </c>
    </row>
    <row r="334">
      <c r="A334" s="25" t="inlineStr">
        <is>
          <t>2609</t>
        </is>
      </c>
      <c r="B334" s="26" t="inlineStr">
        <is>
          <t>BAYZED HEALTH</t>
        </is>
      </c>
      <c r="C334" s="26" t="inlineStr">
        <is>
          <t>佰澤醫療</t>
        </is>
      </c>
      <c r="D334" s="26" t="inlineStr">
        <is>
          <t>Healthcare</t>
        </is>
      </c>
      <c r="E334" s="26" t="inlineStr">
        <is>
          <t>Digital health</t>
        </is>
      </c>
      <c r="F334" s="26" t="inlineStr">
        <is>
          <t>Standard</t>
        </is>
      </c>
      <c r="G334" s="27" t="n">
        <v>45831</v>
      </c>
      <c r="H334" s="28" t="n">
        <v>561.7</v>
      </c>
      <c r="I334" s="26" t="inlineStr">
        <is>
          <t>gross (stated)</t>
        </is>
      </c>
      <c r="J334" s="29" t="n">
        <v>4.22</v>
      </c>
      <c r="K334" s="29" t="n">
        <v>6.75</v>
      </c>
      <c r="L334" s="29" t="n">
        <v>4.22</v>
      </c>
      <c r="M334" s="26" t="inlineStr">
        <is>
          <t>N</t>
        </is>
      </c>
      <c r="N334" s="30" t="n">
        <v>62.5</v>
      </c>
      <c r="O334" s="46" t="n">
        <v>5563.9</v>
      </c>
      <c r="P334" s="26" t="inlineStr">
        <is>
          <t>derived:price x shares upon listing</t>
        </is>
      </c>
      <c r="Q334" s="31" t="n">
        <v>25.92</v>
      </c>
      <c r="R334" s="32" t="n">
        <v>0.98</v>
      </c>
      <c r="S334" s="33" t="n">
        <v>26.5</v>
      </c>
      <c r="T334" s="26" t="inlineStr">
        <is>
          <t>Harvest Oriental</t>
        </is>
      </c>
      <c r="U334" s="30" t="n"/>
      <c r="V334" s="26" t="n"/>
      <c r="W334" s="34" t="n">
        <v>42.18</v>
      </c>
      <c r="X334" s="34" t="n">
        <v>46.21</v>
      </c>
      <c r="Y334" s="34" t="n">
        <v>57.11</v>
      </c>
      <c r="Z334" s="34" t="n">
        <v>91.94</v>
      </c>
      <c r="AA334" s="34" t="n">
        <v>10.5</v>
      </c>
      <c r="AB334" s="34" t="n">
        <v>39.85</v>
      </c>
      <c r="AC334" s="34" t="n">
        <v>17.26</v>
      </c>
      <c r="AD334" s="26" t="inlineStr">
        <is>
          <t>China Biotech ETF (HS biotech proxy)</t>
        </is>
      </c>
      <c r="AE334" s="34" t="n">
        <v>-27.96</v>
      </c>
      <c r="AF334" s="28" t="n">
        <v>1307.7</v>
      </c>
      <c r="AG334" s="28" t="n">
        <v>-3.9</v>
      </c>
      <c r="AH334" s="26" t="inlineStr">
        <is>
          <t>N</t>
        </is>
      </c>
      <c r="AI334" s="38">
        <f>IF('BBG Verify'!O334="","not filed — run on terminal",'BBG Verify'!O334)</f>
        <v/>
      </c>
      <c r="AJ334" s="35" t="n">
        <v>4.3</v>
      </c>
      <c r="AK334" s="26" t="inlineStr">
        <is>
          <t>N</t>
        </is>
      </c>
      <c r="AL334" s="36">
        <f>IF('BBG Verify'!K334="","not filed — run on terminal",'BBG Verify'!K334)</f>
        <v/>
      </c>
      <c r="AM334" s="26" t="inlineStr">
        <is>
          <t>N/A</t>
        </is>
      </c>
      <c r="AN334" s="26" t="inlineStr">
        <is>
          <t>N/A</t>
        </is>
      </c>
      <c r="AO334" s="26" t="inlineStr">
        <is>
          <t>N/A</t>
        </is>
      </c>
      <c r="AP334" s="26" t="inlineStr">
        <is>
          <t>Receiving Bank CMB Wing Lung Bank Limited; CMB Wing Lung (Nominees) Limited; Principal Share Registrar and Transfer Office Maples Fund Services (Cayman) Limited; Cayman Islands Hong Kong Share Registrar Tricor Investor Services Limited; Compliance Advisor Caitong International Capital Co., Limited; CORPORATE INFORMATION – 123 – Principal Banks Bank of China Tianjin Dagang Branch</t>
        </is>
      </c>
      <c r="AQ334" s="26" t="inlineStr">
        <is>
          <t>招銀國際融資有限公司</t>
        </is>
      </c>
      <c r="AR334" s="26" t="inlineStr">
        <is>
          <t>招銀國際融資有限公司; 富途證券國際（香港）有限公司</t>
        </is>
      </c>
      <c r="AS334" s="26" t="inlineStr">
        <is>
          <t>招銀國際融資有限公司; 富途證券國際（香港）有限公司</t>
        </is>
      </c>
      <c r="AT334" s="37">
        <f>HYPERLINK("https://www1.hkexnews.hk/listedco/listconews/sehk/2025/0613/2025061300019.pdf","prospectus")</f>
        <v/>
      </c>
      <c r="AU334" s="37">
        <f>HYPERLINK("https://www1.hkexnews.hk/listedco/listconews/sehk/2025/0620/2025062001890.pdf","allotment")</f>
        <v/>
      </c>
      <c r="AV334" s="26" t="n"/>
      <c r="AW334" s="26" t="inlineStr">
        <is>
          <t>P/E: n/m — loss-making at IPO (use P/S) · greenshoe: no over-allotment option in the offer structure · A/H: no A-share listing · market cap: AAStocks lists HK$7,649m at listing vs HK$5,564m derived here</t>
        </is>
      </c>
    </row>
    <row r="335">
      <c r="A335" s="25" t="inlineStr">
        <is>
          <t>2050</t>
        </is>
      </c>
      <c r="B335" s="26" t="inlineStr">
        <is>
          <t>SANHUA</t>
        </is>
      </c>
      <c r="C335" s="26" t="inlineStr">
        <is>
          <t>三花智控</t>
        </is>
      </c>
      <c r="D335" s="26" t="inlineStr">
        <is>
          <t>Consumer</t>
        </is>
      </c>
      <c r="E335" s="26" t="inlineStr">
        <is>
          <t>Auto parts / supply chain</t>
        </is>
      </c>
      <c r="F335" s="26" t="inlineStr">
        <is>
          <t>Standard</t>
        </is>
      </c>
      <c r="G335" s="27" t="n">
        <v>45831</v>
      </c>
      <c r="H335" s="28" t="n">
        <v>9336</v>
      </c>
      <c r="I335" s="26" t="inlineStr">
        <is>
          <t>gross (stated)</t>
        </is>
      </c>
      <c r="J335" s="29" t="n"/>
      <c r="K335" s="29" t="n">
        <v>22.53</v>
      </c>
      <c r="L335" s="29" t="n">
        <v>22.53</v>
      </c>
      <c r="M335" s="26" t="inlineStr">
        <is>
          <t>Y</t>
        </is>
      </c>
      <c r="N335" s="30" t="n">
        <v>100</v>
      </c>
      <c r="O335" s="28" t="n">
        <v>93426.7</v>
      </c>
      <c r="P335" s="26" t="inlineStr">
        <is>
          <t>derived:price x shares upon listing</t>
        </is>
      </c>
      <c r="Q335" s="31" t="n">
        <v>747.9</v>
      </c>
      <c r="R335" s="39">
        <f>IF('BBG Verify'!E335="","not filed — run on terminal",'BBG Verify'!E335)</f>
        <v/>
      </c>
      <c r="S335" s="33" t="n">
        <v>10</v>
      </c>
      <c r="T335" s="26" t="inlineStr">
        <is>
          <t>China International Capital Corporation Hong Kong Securities Limited; Huatai Financial Holdings Limited; GIC Private Limited; Green Better Limited; Verition Multi- Strategy Master Fund Ltd; Mirae Securities; Mega Prime Development Limited; Wind Sabre Opportunities Fund; Martis Fund; Jane Street Asia Trading Limited; Eastern Bell Capital</t>
        </is>
      </c>
      <c r="U335" s="30" t="n">
        <v>15</v>
      </c>
      <c r="V335" s="26" t="inlineStr">
        <is>
          <t>full</t>
        </is>
      </c>
      <c r="W335" s="34" t="n">
        <v>-0.13</v>
      </c>
      <c r="X335" s="34" t="n">
        <v>11.63</v>
      </c>
      <c r="Y335" s="34" t="n">
        <v>26.5</v>
      </c>
      <c r="Z335" s="34" t="n">
        <v>70.34999999999999</v>
      </c>
      <c r="AA335" s="34" t="n">
        <v>26.66</v>
      </c>
      <c r="AB335" s="34" t="n">
        <v>16.87</v>
      </c>
      <c r="AC335" s="34" t="n">
        <v>9.630000000000001</v>
      </c>
      <c r="AD335" s="26" t="inlineStr">
        <is>
          <t>Hang Seng Commerce &amp; Industry sub-index</t>
        </is>
      </c>
      <c r="AE335" s="34" t="n">
        <v>25.97</v>
      </c>
      <c r="AF335" s="28" t="n">
        <v>30741.9</v>
      </c>
      <c r="AG335" s="28" t="n">
        <v>3422.9</v>
      </c>
      <c r="AH335" s="26" t="inlineStr">
        <is>
          <t>Y</t>
        </is>
      </c>
      <c r="AI335" s="35" t="n">
        <v>27.3</v>
      </c>
      <c r="AJ335" s="35" t="n">
        <v>3</v>
      </c>
      <c r="AK335" s="26" t="inlineStr">
        <is>
          <t>Y</t>
        </is>
      </c>
      <c r="AL335" s="26" t="inlineStr">
        <is>
          <t>002050.SZ</t>
        </is>
      </c>
      <c r="AM335" s="34" t="n">
        <v>-17.29</v>
      </c>
      <c r="AN335" s="29" t="n">
        <v>27.2396</v>
      </c>
      <c r="AO335" s="42" t="n">
        <v>-0.4135</v>
      </c>
      <c r="AP335" s="26" t="inlineStr">
        <is>
          <t>China International Capital Corporation Hong Kong Securities Limited; Huatai Financial Holdings (Hong Kong) Limited</t>
        </is>
      </c>
      <c r="AQ335" s="26" t="inlineStr">
        <is>
          <t>中國國際金融香港證券有限公司; 華泰金融控股(香港)有限公司</t>
        </is>
      </c>
      <c r="AR335" s="26"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AS335" s="26" t="inlineStr">
        <is>
          <t>農銀國際證券有限公司; 中銀國際亞洲有限公司; 財通國際證券有限公司; 中國國際金融香港證券有限公司; 廣發證券（香港）經紀有限公司; 華泰金融控股(香港)有限公司; 浙商國際金融控股有限公司</t>
        </is>
      </c>
      <c r="AT335" s="37">
        <f>HYPERLINK("https://www1.hkexnews.hk/listedco/listconews/sehk/2025/0613/2025061300017.pdf","prospectus")</f>
        <v/>
      </c>
      <c r="AU335" s="37">
        <f>HYPERLINK("https://www1.hkexnews.hk/listedco/listconews/sehk/2025/0620/2025062002236.pdf","allotment")</f>
        <v/>
      </c>
      <c r="AV335" s="37">
        <f>HYPERLINK("https://www1.hkexnews.hk/listedco/listconews/sehk/2025/0718/2025071801258.pdf","stabilisation")</f>
        <v/>
      </c>
      <c r="AW335" s="26" t="inlineStr">
        <is>
          <t>intl sub: subscription level not stated in the filing · A/H: Jun 2025 H listing (thermal management/humanoid actuators)</t>
        </is>
      </c>
    </row>
    <row r="336">
      <c r="A336" s="25" t="inlineStr">
        <is>
          <t>2617</t>
        </is>
      </c>
      <c r="B336" s="26" t="inlineStr">
        <is>
          <t>TRANSTHERA-B</t>
        </is>
      </c>
      <c r="C336" s="26" t="inlineStr">
        <is>
          <t>藥捷安康－Ｂ</t>
        </is>
      </c>
      <c r="D336" s="26" t="inlineStr">
        <is>
          <t>Healthcare</t>
        </is>
      </c>
      <c r="E336" s="26" t="inlineStr">
        <is>
          <t>Biotech pre-revenue (18A)</t>
        </is>
      </c>
      <c r="F336" s="26" t="inlineStr">
        <is>
          <t>18A</t>
        </is>
      </c>
      <c r="G336" s="27" t="n">
        <v>45831</v>
      </c>
      <c r="H336" s="28" t="n">
        <v>200.9</v>
      </c>
      <c r="I336" s="26" t="inlineStr">
        <is>
          <t>gross (price x shares)</t>
        </is>
      </c>
      <c r="J336" s="29" t="n"/>
      <c r="K336" s="29" t="n">
        <v>13.15</v>
      </c>
      <c r="L336" s="29" t="n">
        <v>13.15</v>
      </c>
      <c r="M336" s="26" t="inlineStr">
        <is>
          <t>Y</t>
        </is>
      </c>
      <c r="N336" s="30" t="n">
        <v>100</v>
      </c>
      <c r="O336" s="28" t="n">
        <v>5219.2</v>
      </c>
      <c r="P336" s="26" t="inlineStr">
        <is>
          <t>derived:price x shares upon listing</t>
        </is>
      </c>
      <c r="Q336" s="31" t="n">
        <v>3419.87</v>
      </c>
      <c r="R336" s="45" t="n">
        <v>0.97</v>
      </c>
      <c r="S336" s="33" t="n">
        <v>64.06</v>
      </c>
      <c r="T336" s="26" t="inlineStr">
        <is>
          <t>Akeso, Inc; BOCOM International Securities Limited; Huatai Capital Investment Limited</t>
        </is>
      </c>
      <c r="U336" s="30" t="n">
        <v>8.390000000000001</v>
      </c>
      <c r="V336" s="26" t="n"/>
      <c r="W336" s="34" t="n">
        <v>78.70999999999999</v>
      </c>
      <c r="X336" s="34" t="n">
        <v>129.28</v>
      </c>
      <c r="Y336" s="34" t="n">
        <v>138.78</v>
      </c>
      <c r="Z336" s="34" t="n">
        <v>1039.92</v>
      </c>
      <c r="AA336" s="34" t="n">
        <v>33.61</v>
      </c>
      <c r="AB336" s="34" t="n">
        <v>121.52</v>
      </c>
      <c r="AC336" s="34" t="n">
        <v>17.26</v>
      </c>
      <c r="AD336" s="26" t="inlineStr">
        <is>
          <t>China Biotech ETF (HS biotech proxy)</t>
        </is>
      </c>
      <c r="AE336" s="34" t="n">
        <v>-22.74</v>
      </c>
      <c r="AF336" s="28" t="n">
        <v>1.3</v>
      </c>
      <c r="AG336" s="28" t="n">
        <v>-377.7</v>
      </c>
      <c r="AH336" s="26" t="inlineStr">
        <is>
          <t>N</t>
        </is>
      </c>
      <c r="AI336" s="38">
        <f>IF('BBG Verify'!O336="","not filed — run on terminal",'BBG Verify'!O336)</f>
        <v/>
      </c>
      <c r="AJ336" s="35" t="n">
        <v>4014.8</v>
      </c>
      <c r="AK336" s="26" t="inlineStr">
        <is>
          <t>N</t>
        </is>
      </c>
      <c r="AL336" s="36">
        <f>IF('BBG Verify'!K336="","not filed — run on terminal",'BBG Verify'!K336)</f>
        <v/>
      </c>
      <c r="AM336" s="26" t="inlineStr">
        <is>
          <t>N/A</t>
        </is>
      </c>
      <c r="AN336" s="26" t="inlineStr">
        <is>
          <t>N/A</t>
        </is>
      </c>
      <c r="AO336" s="26" t="inlineStr">
        <is>
          <t>N/A</t>
        </is>
      </c>
      <c r="AP336" s="26" t="inlineStr">
        <is>
          <t>(In no particular order) CITIC Securities (Hong Kong) Limited; Huatai Financial Holdings (Hong Kong) Limited</t>
        </is>
      </c>
      <c r="AQ336" s="26" t="inlineStr">
        <is>
          <t>華泰金融控股(香港)有限公司; 中信證券(香港)有限公司</t>
        </is>
      </c>
      <c r="AR336" s="26" t="inlineStr">
        <is>
          <t>CLSA Limited; Huatai Financial Holdings (Hong Kong) Limited; BOCI Asia Limited; CMB International Capital Limited; SPDB International Capital Limited; TradeGo Markets Limited</t>
        </is>
      </c>
      <c r="AS336" s="26" t="inlineStr">
        <is>
          <t>中銀國際亞洲有限公司; 交銀國際證券有限公司; 中信里昂證券有限公司; 招銀國際融資有限公司; 華泰金融控股(香港)有限公司; 浦銀國際融資有限公司; TradeGo Markets Limited</t>
        </is>
      </c>
      <c r="AT336" s="37">
        <f>HYPERLINK("https://www1.hkexnews.hk/listedco/listconews/sehk/2025/0613/2025061300035.pdf","prospectus")</f>
        <v/>
      </c>
      <c r="AU336" s="37">
        <f>HYPERLINK("https://www1.hkexnews.hk/listedco/listconews/sehk/2025/0620/2025062002274.pdf","allotment")</f>
        <v/>
      </c>
      <c r="AV336" s="26" t="n"/>
      <c r="AW336" s="26" t="inlineStr">
        <is>
          <t>intl sub: 0.97x is implausible for a deal struck at the cap with the public tranche 3,420x subscribed — likely a percentage read as a multiple; check CP037 · P/E: n/m — loss-making at IPO (use P/S) · greenshoe: end-of-stabilisation notice not located · A/H: no A-share listing</t>
        </is>
      </c>
    </row>
    <row r="337">
      <c r="A337" s="25" t="inlineStr">
        <is>
          <t>2619</t>
        </is>
      </c>
      <c r="B337" s="26" t="inlineStr">
        <is>
          <t>XJ ELECTRICS</t>
        </is>
      </c>
      <c r="C337" s="26" t="inlineStr">
        <is>
          <t>香江電器</t>
        </is>
      </c>
      <c r="D337" s="26" t="inlineStr">
        <is>
          <t>Tech/AI</t>
        </is>
      </c>
      <c r="E337" s="26" t="inlineStr">
        <is>
          <t>Smart hardware / consumer electronics</t>
        </is>
      </c>
      <c r="F337" s="26" t="inlineStr">
        <is>
          <t>Standard</t>
        </is>
      </c>
      <c r="G337" s="27" t="n">
        <v>45833</v>
      </c>
      <c r="H337" s="28" t="n">
        <v>195.11</v>
      </c>
      <c r="I337" s="26" t="inlineStr">
        <is>
          <t>gross (stated)</t>
        </is>
      </c>
      <c r="J337" s="29" t="n"/>
      <c r="K337" s="29" t="n">
        <v>3.35</v>
      </c>
      <c r="L337" s="29" t="n">
        <v>2.86</v>
      </c>
      <c r="M337" s="26" t="inlineStr">
        <is>
          <t>N</t>
        </is>
      </c>
      <c r="N337" s="30" t="n">
        <v>85.40000000000001</v>
      </c>
      <c r="O337" s="28" t="n">
        <v>780.4</v>
      </c>
      <c r="P337" s="26" t="inlineStr">
        <is>
          <t>derived:price x shares upon listing</t>
        </is>
      </c>
      <c r="Q337" s="31" t="n">
        <v>852.38</v>
      </c>
      <c r="R337" s="32" t="n">
        <v>1.08</v>
      </c>
      <c r="S337" s="33" t="n">
        <v>50</v>
      </c>
      <c r="T337" s="26" t="n"/>
      <c r="U337" s="30" t="n">
        <v>19</v>
      </c>
      <c r="V337" s="26" t="n"/>
      <c r="W337" s="34" t="n">
        <v>-11.89</v>
      </c>
      <c r="X337" s="34" t="n">
        <v>-18.53</v>
      </c>
      <c r="Y337" s="34" t="n">
        <v>-16.08</v>
      </c>
      <c r="Z337" s="34" t="n">
        <v>-31.82</v>
      </c>
      <c r="AA337" s="34" t="n">
        <v>-4.76</v>
      </c>
      <c r="AB337" s="34" t="n">
        <v>-23.2</v>
      </c>
      <c r="AC337" s="34" t="n">
        <v>7.12</v>
      </c>
      <c r="AD337" s="26" t="inlineStr">
        <is>
          <t>HSTECH (Hang Seng TECH ETF)</t>
        </is>
      </c>
      <c r="AE337" s="34" t="n">
        <v>-54.55</v>
      </c>
      <c r="AF337" s="28" t="n">
        <v>1651.7</v>
      </c>
      <c r="AG337" s="28" t="n">
        <v>154.5</v>
      </c>
      <c r="AH337" s="26" t="inlineStr">
        <is>
          <t>Y</t>
        </is>
      </c>
      <c r="AI337" s="35" t="n">
        <v>5.1</v>
      </c>
      <c r="AJ337" s="35" t="n">
        <v>0.5</v>
      </c>
      <c r="AK337" s="26" t="inlineStr">
        <is>
          <t>N</t>
        </is>
      </c>
      <c r="AL337" s="36">
        <f>IF('BBG Verify'!K337="","not filed — run on terminal",'BBG Verify'!K337)</f>
        <v/>
      </c>
      <c r="AM337" s="26" t="inlineStr">
        <is>
          <t>N/A</t>
        </is>
      </c>
      <c r="AN337" s="26" t="inlineStr">
        <is>
          <t>N/A</t>
        </is>
      </c>
      <c r="AO337" s="26" t="inlineStr">
        <is>
          <t>N/A</t>
        </is>
      </c>
      <c r="AP337" s="26" t="n"/>
      <c r="AQ337" s="26" t="inlineStr">
        <is>
          <t>國金證券（香港）有限公司</t>
        </is>
      </c>
      <c r="AR337" s="26" t="inlineStr">
        <is>
          <t>農銀國際證券有限公司; 建銀國際金融有限公司; 民銀證券有限公司; 招銀國際融資有限公司; First Fidelity Capital (International) Limited; 國金證券（香港）有限公司</t>
        </is>
      </c>
      <c r="AS337" s="26" t="inlineStr">
        <is>
          <t>農銀國際證券有限公司; 建銀國際金融有限公司; 民銀證券有限公司; 招銀國際融資有限公司; First Fidelity Capital (International) Limited; 國金證券（香港）有限公司; 眾宸證券有限公司; 華盛資本証券有限公司</t>
        </is>
      </c>
      <c r="AT337" s="37">
        <f>HYPERLINK("https://www1.hkexnews.hk/listedco/listconews/sehk/2025/0617/2025061700043.pdf","prospectus")</f>
        <v/>
      </c>
      <c r="AU337" s="37">
        <f>HYPERLINK("https://www1.hkexnews.hk/listedco/listconews/sehk/2025/0624/2025062401168.pdf","allotment")</f>
        <v/>
      </c>
      <c r="AV337" s="26" t="n"/>
      <c r="AW337" s="26" t="inlineStr">
        <is>
          <t>greenshoe: end-of-stabilisation notice not located · A/H: no A-share listing · sponsor: English name not in the filing text; AAStocks 保薦人 shown</t>
        </is>
      </c>
    </row>
    <row r="338">
      <c r="A338" s="25" t="inlineStr">
        <is>
          <t>2643</t>
        </is>
      </c>
      <c r="B338" s="26" t="inlineStr">
        <is>
          <t>CAOCAO INC</t>
        </is>
      </c>
      <c r="C338" s="26" t="inlineStr">
        <is>
          <t>曹操出行</t>
        </is>
      </c>
      <c r="D338" s="26" t="inlineStr">
        <is>
          <t>Tech/AI</t>
        </is>
      </c>
      <c r="E338" s="26" t="inlineStr">
        <is>
          <t>Internet platform / e-commerce</t>
        </is>
      </c>
      <c r="F338" s="26" t="inlineStr">
        <is>
          <t>Standard</t>
        </is>
      </c>
      <c r="G338" s="27" t="n">
        <v>45833</v>
      </c>
      <c r="H338" s="28" t="n">
        <v>1852.85</v>
      </c>
      <c r="I338" s="26" t="inlineStr">
        <is>
          <t>gross (stated)</t>
        </is>
      </c>
      <c r="J338" s="29" t="n"/>
      <c r="K338" s="29" t="n">
        <v>41.94</v>
      </c>
      <c r="L338" s="29" t="n">
        <v>41.94</v>
      </c>
      <c r="M338" s="26" t="inlineStr">
        <is>
          <t>Y</t>
        </is>
      </c>
      <c r="N338" s="30" t="n">
        <v>100</v>
      </c>
      <c r="O338" s="28" t="n">
        <v>22822.9</v>
      </c>
      <c r="P338" s="26" t="inlineStr">
        <is>
          <t>derived:price x shares upon listing</t>
        </is>
      </c>
      <c r="Q338" s="31" t="n">
        <v>21.14</v>
      </c>
      <c r="R338" s="32" t="n">
        <v>2.78</v>
      </c>
      <c r="S338" s="33" t="n">
        <v>23.2</v>
      </c>
      <c r="T338" s="26" t="inlineStr">
        <is>
          <t>Please refer to Note (1). No; Please refer to Note (2). No</t>
        </is>
      </c>
      <c r="U338" s="30" t="n">
        <v>15</v>
      </c>
      <c r="V338" s="26" t="inlineStr">
        <is>
          <t>partial</t>
        </is>
      </c>
      <c r="W338" s="34" t="n">
        <v>-14.16</v>
      </c>
      <c r="X338" s="34" t="n">
        <v>-16.19</v>
      </c>
      <c r="Y338" s="34" t="n">
        <v>-3.55</v>
      </c>
      <c r="Z338" s="34" t="n">
        <v>25.18</v>
      </c>
      <c r="AA338" s="34" t="n">
        <v>12.36</v>
      </c>
      <c r="AB338" s="34" t="n">
        <v>-10.67</v>
      </c>
      <c r="AC338" s="34" t="n">
        <v>7.12</v>
      </c>
      <c r="AD338" s="26" t="inlineStr">
        <is>
          <t>HSTECH (Hang Seng TECH ETF)</t>
        </is>
      </c>
      <c r="AE338" s="34" t="n">
        <v>-65.59</v>
      </c>
      <c r="AF338" s="28" t="n">
        <v>16123.2</v>
      </c>
      <c r="AG338" s="28" t="n">
        <v>-1371</v>
      </c>
      <c r="AH338" s="26" t="inlineStr">
        <is>
          <t>N</t>
        </is>
      </c>
      <c r="AI338" s="38">
        <f>IF('BBG Verify'!O338="","not filed — run on terminal",'BBG Verify'!O338)</f>
        <v/>
      </c>
      <c r="AJ338" s="35" t="n">
        <v>1.4</v>
      </c>
      <c r="AK338" s="26" t="inlineStr">
        <is>
          <t>N</t>
        </is>
      </c>
      <c r="AL338" s="36">
        <f>IF('BBG Verify'!K338="","not filed — run on terminal",'BBG Verify'!K338)</f>
        <v/>
      </c>
      <c r="AM338" s="26" t="inlineStr">
        <is>
          <t>N/A</t>
        </is>
      </c>
      <c r="AN338" s="26" t="inlineStr">
        <is>
          <t>N/A</t>
        </is>
      </c>
      <c r="AO338" s="26" t="inlineStr">
        <is>
          <t>N/A</t>
        </is>
      </c>
      <c r="AP338" s="26" t="inlineStr">
        <is>
          <t>Huatai Financial Holdings (Hong Kong) Limited; ABCI Capital Limited; GF Capital (Hong Kong) Limited</t>
        </is>
      </c>
      <c r="AQ338" s="26" t="inlineStr">
        <is>
          <t>華泰金融控股(香港)有限公司; 廣發融資（香港）有限公司; 農銀國際融資有限公司</t>
        </is>
      </c>
      <c r="AR338" s="26" t="inlineStr">
        <is>
          <t>Huatai Financial Holdings (Hong Kong) Limited; ABCI Capital Limited; GF Securities (Hong Kong) Brokerage Limited; China International Capital Corporation Hong Kong Securities Limited; China Galaxy International Securities (Hong Kong) Co., Limited; DIRECTORS AND PARTIES INVOLVED IN THE GLOBAL OFFERING –1 1 6– ABCI Capital Limited; CEB International Capital Corporation Limited; BOCI Asia Limited; Soochow Securities International Brokerage Limited</t>
        </is>
      </c>
      <c r="AS338" s="26" t="inlineStr">
        <is>
          <t>農銀國際證券有限公司; 中銀國際亞洲有限公司; 光銀國際資本有限公司; 中國銀河國際證券(香港)有限公司; 中國國際金融香港證券有限公司; 富途證券國際（香港）有限公司; 廣發證券（香港）經紀有限公司; 華泰金融控股(香港)有限公司; 工銀國際證券有限公司; 中和金控有限公司; 東吳證券國際經紀有限公司; 星河證券有限公司; 老虎證券（香港）環球有限公司; 勝利證券有限公司</t>
        </is>
      </c>
      <c r="AT338" s="37">
        <f>HYPERLINK("https://www1.hkexnews.hk/listedco/listconews/sehk/2025/0617/2025061700008.pdf","prospectus")</f>
        <v/>
      </c>
      <c r="AU338" s="37">
        <f>HYPERLINK("https://www1.hkexnews.hk/listedco/listconews/sehk/2025/0624/2025062401322.pdf","allotment")</f>
        <v/>
      </c>
      <c r="AV338" s="37">
        <f>HYPERLINK("https://www1.hkexnews.hk/listedco/listconews/sehk/2025/0721/2025072100017.pdf","stabilisation")</f>
        <v/>
      </c>
      <c r="AW338" s="26" t="inlineStr">
        <is>
          <t>P/E: n/m — loss-making at IPO (use P/S) · A/H: no A-share listing</t>
        </is>
      </c>
    </row>
    <row r="339">
      <c r="A339" s="25" t="inlineStr">
        <is>
          <t>6168</t>
        </is>
      </c>
      <c r="B339" s="26" t="inlineStr">
        <is>
          <t>ZHOU LIU FU</t>
        </is>
      </c>
      <c r="C339" s="26" t="inlineStr">
        <is>
          <t>周六福</t>
        </is>
      </c>
      <c r="D339" s="26" t="inlineStr">
        <is>
          <t>Consumer</t>
        </is>
      </c>
      <c r="E339" s="26" t="inlineStr">
        <is>
          <t>Apparel / luxury</t>
        </is>
      </c>
      <c r="F339" s="26" t="inlineStr">
        <is>
          <t>Standard</t>
        </is>
      </c>
      <c r="G339" s="27" t="n">
        <v>45834</v>
      </c>
      <c r="H339" s="28" t="n">
        <v>1291.9</v>
      </c>
      <c r="I339" s="26" t="inlineStr">
        <is>
          <t>gross (stated)</t>
        </is>
      </c>
      <c r="J339" s="29" t="n"/>
      <c r="K339" s="29" t="n">
        <v>24</v>
      </c>
      <c r="L339" s="29" t="n">
        <v>24</v>
      </c>
      <c r="M339" s="26" t="inlineStr">
        <is>
          <t>Y</t>
        </is>
      </c>
      <c r="N339" s="30" t="n">
        <v>100</v>
      </c>
      <c r="O339" s="28" t="n">
        <v>10381</v>
      </c>
      <c r="P339" s="26" t="inlineStr">
        <is>
          <t>derived:price x shares upon listing</t>
        </is>
      </c>
      <c r="Q339" s="31" t="n">
        <v>711.11</v>
      </c>
      <c r="R339" s="32" t="n">
        <v>13.55</v>
      </c>
      <c r="S339" s="33" t="n"/>
      <c r="T339" s="44" t="n"/>
      <c r="U339" s="30" t="n">
        <v>15</v>
      </c>
      <c r="V339" s="26" t="n"/>
      <c r="W339" s="34" t="n">
        <v>25</v>
      </c>
      <c r="X339" s="34" t="n">
        <v>55.42</v>
      </c>
      <c r="Y339" s="34" t="n">
        <v>61.46</v>
      </c>
      <c r="Z339" s="34" t="n">
        <v>81.25</v>
      </c>
      <c r="AA339" s="34" t="n">
        <v>29.17</v>
      </c>
      <c r="AB339" s="34" t="n">
        <v>56.14</v>
      </c>
      <c r="AC339" s="34" t="n">
        <v>5.32</v>
      </c>
      <c r="AD339" s="26" t="inlineStr">
        <is>
          <t>Hang Seng Commerce &amp; Industry sub-index</t>
        </is>
      </c>
      <c r="AE339" s="34" t="n">
        <v>-44.42</v>
      </c>
      <c r="AF339" s="28" t="n">
        <v>6290</v>
      </c>
      <c r="AG339" s="28" t="n">
        <v>776.9</v>
      </c>
      <c r="AH339" s="26" t="inlineStr">
        <is>
          <t>Y</t>
        </is>
      </c>
      <c r="AI339" s="35" t="n">
        <v>13.4</v>
      </c>
      <c r="AJ339" s="35" t="n">
        <v>1.7</v>
      </c>
      <c r="AK339" s="26" t="inlineStr">
        <is>
          <t>N</t>
        </is>
      </c>
      <c r="AL339" s="36">
        <f>IF('BBG Verify'!K339="","not filed — run on terminal",'BBG Verify'!K339)</f>
        <v/>
      </c>
      <c r="AM339" s="26" t="inlineStr">
        <is>
          <t>N/A</t>
        </is>
      </c>
      <c r="AN339" s="26" t="inlineStr">
        <is>
          <t>N/A</t>
        </is>
      </c>
      <c r="AO339" s="26" t="inlineStr">
        <is>
          <t>N/A</t>
        </is>
      </c>
      <c r="AP339" s="26" t="n"/>
      <c r="AQ339" s="26" t="inlineStr">
        <is>
          <t>中國國際金融香港證券有限公司; 中信建投(國際)融資有限公司</t>
        </is>
      </c>
      <c r="AR339" s="26" t="inlineStr">
        <is>
          <t>農銀國際證券有限公司; 交銀國際證券有限公司; 中國銀河國際證券(香港)有限公司; 中國國際金融香港證券有限公司; 興證國際融資有限公司; 招銀國際融資有限公司</t>
        </is>
      </c>
      <c r="AS339" s="26" t="inlineStr">
        <is>
          <t>農銀國際證券有限公司; 交銀國際證券有限公司; 中國銀河國際證券(香港)有限公司; 中國國際金融香港證券有限公司; 興證國際融資有限公司; 招銀國際融資有限公司; 中信建投(國際)融資有限公司; 復星國際證券有限公司; 富途證券國際（香港）有限公司; 老虎證券（香港）環球有限公司</t>
        </is>
      </c>
      <c r="AT339" s="37">
        <f>HYPERLINK("https://www1.hkexnews.hk/listedco/listconews/sehk/2025/0618/2025061800023.pdf","prospectus")</f>
        <v/>
      </c>
      <c r="AU339" s="37">
        <f>HYPERLINK("https://www1.hkexnews.hk/listedco/listconews/sehk/2025/0625/2025062502268.pdf","allotment")</f>
        <v/>
      </c>
      <c r="AV339" s="26" t="n"/>
      <c r="AW339" s="26" t="inlineStr">
        <is>
          <t>greenshoe: end-of-stabilisation notice not located · price range: fixed-price offering (no indicative range) · A/H: no A-share listing · sponsor: English name not in the filing text; AAStocks 保薦人 shown</t>
        </is>
      </c>
    </row>
    <row r="340">
      <c r="A340" s="25" t="inlineStr">
        <is>
          <t>2508</t>
        </is>
      </c>
      <c r="B340" s="26" t="inlineStr">
        <is>
          <t>SAINT BELLA</t>
        </is>
      </c>
      <c r="C340" s="26" t="inlineStr">
        <is>
          <t>聖貝拉集團</t>
        </is>
      </c>
      <c r="D340" s="26" t="inlineStr">
        <is>
          <t>Healthcare</t>
        </is>
      </c>
      <c r="E340" s="26" t="inlineStr">
        <is>
          <t>Hospitals / clinics</t>
        </is>
      </c>
      <c r="F340" s="26" t="inlineStr">
        <is>
          <t>Standard</t>
        </is>
      </c>
      <c r="G340" s="27" t="n">
        <v>45834</v>
      </c>
      <c r="H340" s="28" t="n">
        <v>722</v>
      </c>
      <c r="I340" s="26" t="inlineStr">
        <is>
          <t>gross (price x shares)</t>
        </is>
      </c>
      <c r="J340" s="29" t="n"/>
      <c r="K340" s="29" t="n">
        <v>6.58</v>
      </c>
      <c r="L340" s="29" t="n">
        <v>6.58</v>
      </c>
      <c r="M340" s="26" t="inlineStr">
        <is>
          <t>Y</t>
        </is>
      </c>
      <c r="N340" s="30" t="n">
        <v>100</v>
      </c>
      <c r="O340" s="28" t="n">
        <v>4012</v>
      </c>
      <c r="P340" s="26" t="inlineStr">
        <is>
          <t>derived:price x shares upon listing</t>
        </is>
      </c>
      <c r="Q340" s="31" t="n">
        <v>193</v>
      </c>
      <c r="R340" s="32" t="n">
        <v>15.59</v>
      </c>
      <c r="S340" s="33" t="n">
        <v>10.8</v>
      </c>
      <c r="T340" s="26" t="inlineStr">
        <is>
          <t>JKKB Limited; Carl Wu / 吳啟楠</t>
        </is>
      </c>
      <c r="U340" s="30" t="n">
        <v>15</v>
      </c>
      <c r="V340" s="26" t="inlineStr">
        <is>
          <t>partial</t>
        </is>
      </c>
      <c r="W340" s="34" t="n">
        <v>33.74</v>
      </c>
      <c r="X340" s="34" t="n">
        <v>0.46</v>
      </c>
      <c r="Y340" s="34" t="n">
        <v>16.41</v>
      </c>
      <c r="Z340" s="34" t="n">
        <v>-6.53</v>
      </c>
      <c r="AA340" s="34" t="n">
        <v>-12.96</v>
      </c>
      <c r="AB340" s="34" t="n">
        <v>-2.52</v>
      </c>
      <c r="AC340" s="34" t="n">
        <v>18.93</v>
      </c>
      <c r="AD340" s="26" t="inlineStr">
        <is>
          <t>China Biotech ETF (HS biotech proxy)</t>
        </is>
      </c>
      <c r="AE340" s="34" t="n">
        <v>-51.52</v>
      </c>
      <c r="AF340" s="28" t="n">
        <v>878.5</v>
      </c>
      <c r="AG340" s="28" t="n">
        <v>-597.6</v>
      </c>
      <c r="AH340" s="26" t="inlineStr">
        <is>
          <t>N</t>
        </is>
      </c>
      <c r="AI340" s="38">
        <f>IF('BBG Verify'!O340="","not filed — run on terminal",'BBG Verify'!O340)</f>
        <v/>
      </c>
      <c r="AJ340" s="35" t="n">
        <v>4.6</v>
      </c>
      <c r="AK340" s="26" t="inlineStr">
        <is>
          <t>N</t>
        </is>
      </c>
      <c r="AL340" s="36">
        <f>IF('BBG Verify'!K340="","not filed — run on terminal",'BBG Verify'!K340)</f>
        <v/>
      </c>
      <c r="AM340" s="26" t="inlineStr">
        <is>
          <t>N/A</t>
        </is>
      </c>
      <c r="AN340" s="26" t="inlineStr">
        <is>
          <t>N/A</t>
        </is>
      </c>
      <c r="AO340" s="26" t="inlineStr">
        <is>
          <t>N/A</t>
        </is>
      </c>
      <c r="AP340" s="26" t="inlineStr">
        <is>
          <t>UBS Securities Hong Kong Limited; CITIC Securities (Hong Kong) Limited</t>
        </is>
      </c>
      <c r="AQ340" s="26" t="inlineStr">
        <is>
          <t>瑞銀證券香港有限公司; 中信證券(香港)有限公司</t>
        </is>
      </c>
      <c r="AR340" s="26"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AS340" s="26" t="inlineStr">
        <is>
          <t>財通國際證券有限公司; 建銀國際金融有限公司; 中信里昂證券有限公司; 招銀國際融資有限公司; 富途證券國際（香港）有限公司; 廣發證券（香港）經紀有限公司; 華泰金融控股(香港)有限公司; 未來資產證券（香港）有限公司; UBS AG 香港分行</t>
        </is>
      </c>
      <c r="AT340" s="37">
        <f>HYPERLINK("https://www1.hkexnews.hk/listedco/listconews/sehk/2025/0618/2025061800127.pdf","prospectus")</f>
        <v/>
      </c>
      <c r="AU340" s="37">
        <f>HYPERLINK("https://www1.hkexnews.hk/listedco/listconews/sehk/2025/0625/2025062502266.pdf","allotment")</f>
        <v/>
      </c>
      <c r="AV340" s="37">
        <f>HYPERLINK("https://www1.hkexnews.hk/listedco/listconews/sehk/2025/0723/2025072301180.pdf","stabilisation")</f>
        <v/>
      </c>
      <c r="AW340" s="26" t="inlineStr">
        <is>
          <t>P/E: n/m — loss-making at IPO (use P/S) · A/H: no A-share listing</t>
        </is>
      </c>
    </row>
    <row r="341">
      <c r="A341" s="25" t="inlineStr">
        <is>
          <t>6883</t>
        </is>
      </c>
      <c r="B341" s="26" t="inlineStr">
        <is>
          <t>ETERNAL BEAUTY</t>
        </is>
      </c>
      <c r="C341" s="26" t="inlineStr">
        <is>
          <t>穎通控股</t>
        </is>
      </c>
      <c r="D341" s="26" t="inlineStr">
        <is>
          <t>Consumer</t>
        </is>
      </c>
      <c r="E341" s="26" t="inlineStr">
        <is>
          <t>Beauty / personal care</t>
        </is>
      </c>
      <c r="F341" s="26" t="inlineStr">
        <is>
          <t>Standard</t>
        </is>
      </c>
      <c r="G341" s="27" t="n">
        <v>45834</v>
      </c>
      <c r="H341" s="28" t="n">
        <v>960.1900000000001</v>
      </c>
      <c r="I341" s="26" t="inlineStr">
        <is>
          <t>gross (stated)</t>
        </is>
      </c>
      <c r="J341" s="29" t="n"/>
      <c r="K341" s="29" t="n">
        <v>2.88</v>
      </c>
      <c r="L341" s="29" t="n">
        <v>2.88</v>
      </c>
      <c r="M341" s="26" t="inlineStr">
        <is>
          <t>Y</t>
        </is>
      </c>
      <c r="N341" s="30" t="n">
        <v>100</v>
      </c>
      <c r="O341" s="28" t="n">
        <v>3840.2</v>
      </c>
      <c r="P341" s="26" t="inlineStr">
        <is>
          <t>derived:price x shares upon listing</t>
        </is>
      </c>
      <c r="Q341" s="31" t="n">
        <v>35.84</v>
      </c>
      <c r="R341" s="32" t="n">
        <v>3.5</v>
      </c>
      <c r="S341" s="33" t="n"/>
      <c r="T341" s="26" t="n"/>
      <c r="U341" s="30" t="n">
        <v>15</v>
      </c>
      <c r="V341" s="26" t="n"/>
      <c r="W341" s="34" t="n">
        <v>-16.67</v>
      </c>
      <c r="X341" s="34" t="n">
        <v>-23.61</v>
      </c>
      <c r="Y341" s="34" t="n">
        <v>-28.47</v>
      </c>
      <c r="Z341" s="34" t="n">
        <v>-27.08</v>
      </c>
      <c r="AA341" s="34" t="n">
        <v>-14.16</v>
      </c>
      <c r="AB341" s="34" t="n">
        <v>-33.79</v>
      </c>
      <c r="AC341" s="34" t="n">
        <v>5.32</v>
      </c>
      <c r="AD341" s="26" t="inlineStr">
        <is>
          <t>Hang Seng Commerce &amp; Industry sub-index</t>
        </is>
      </c>
      <c r="AE341" s="34" t="n">
        <v>-29.51</v>
      </c>
      <c r="AF341" s="28" t="n">
        <v>2291.7</v>
      </c>
      <c r="AG341" s="28" t="n">
        <v>249.7</v>
      </c>
      <c r="AH341" s="26" t="inlineStr">
        <is>
          <t>Y</t>
        </is>
      </c>
      <c r="AI341" s="35" t="n">
        <v>15.4</v>
      </c>
      <c r="AJ341" s="35" t="n">
        <v>1.7</v>
      </c>
      <c r="AK341" s="26" t="inlineStr">
        <is>
          <t>N</t>
        </is>
      </c>
      <c r="AL341" s="36">
        <f>IF('BBG Verify'!K341="","not filed — run on terminal",'BBG Verify'!K341)</f>
        <v/>
      </c>
      <c r="AM341" s="26" t="inlineStr">
        <is>
          <t>N/A</t>
        </is>
      </c>
      <c r="AN341" s="26" t="inlineStr">
        <is>
          <t>N/A</t>
        </is>
      </c>
      <c r="AO341" s="26" t="inlineStr">
        <is>
          <t>N/A</t>
        </is>
      </c>
      <c r="AP341" s="26" t="n"/>
      <c r="AQ341" s="26" t="inlineStr">
        <is>
          <t>中信證券(香港)有限公司; 法國巴黎證券（亞洲）有限公司</t>
        </is>
      </c>
      <c r="AR341" s="26" t="inlineStr">
        <is>
          <t>法國巴黎證券（亞洲）有限公司; 中灣國際證券有限公司; 中信里昂證券有限公司; 招銀國際金融有限公司; 星展亞洲融資有限公司; 第一上海證券有限公司</t>
        </is>
      </c>
      <c r="AS341" s="26" t="inlineStr">
        <is>
          <t>法國巴黎證券（亞洲）有限公司; 中灣國際證券有限公司; 中信里昂證券有限公司; 招銀國際金融有限公司; 星展亞洲融資有限公司; 第一上海證券有限公司; 富途證券國際（香港）有限公司; 軟庫中華金融服務有限公司</t>
        </is>
      </c>
      <c r="AT341" s="37">
        <f>HYPERLINK("https://www1.hkexnews.hk/listedco/listconews/sehk/2025/0618/2025061800005.pdf","prospectus")</f>
        <v/>
      </c>
      <c r="AU341" s="37">
        <f>HYPERLINK("https://www1.hkexnews.hk/listedco/listconews/sehk/2025/0626/2025062600005.pdf","allotment")</f>
        <v/>
      </c>
      <c r="AV341" s="26" t="n"/>
      <c r="AW341" s="26" t="inlineStr">
        <is>
          <t>greenshoe: end-of-stabilisation notice not located · price range: fixed-price offering (no indicative range) · A/H: no A-share listing · sponsor: English name not in the filing text; AAStocks 保薦人 shown</t>
        </is>
      </c>
    </row>
    <row r="342">
      <c r="A342" s="25" t="inlineStr">
        <is>
          <t>9678</t>
        </is>
      </c>
      <c r="B342" s="26" t="inlineStr">
        <is>
          <t>UNISOUND</t>
        </is>
      </c>
      <c r="C342" s="26" t="inlineStr">
        <is>
          <t>雲知聲</t>
        </is>
      </c>
      <c r="D342" s="26" t="inlineStr">
        <is>
          <t>Tech/AI</t>
        </is>
      </c>
      <c r="E342" s="26" t="inlineStr">
        <is>
          <t>AI application / agent software</t>
        </is>
      </c>
      <c r="F342" s="26" t="inlineStr">
        <is>
          <t>Standard</t>
        </is>
      </c>
      <c r="G342" s="27" t="n">
        <v>45838</v>
      </c>
      <c r="H342" s="28" t="n">
        <v>320</v>
      </c>
      <c r="I342" s="26" t="inlineStr">
        <is>
          <t>gross (stated)</t>
        </is>
      </c>
      <c r="J342" s="29" t="n">
        <v>165</v>
      </c>
      <c r="K342" s="29" t="n">
        <v>205</v>
      </c>
      <c r="L342" s="29" t="n">
        <v>205</v>
      </c>
      <c r="M342" s="26" t="inlineStr">
        <is>
          <t>Y</t>
        </is>
      </c>
      <c r="N342" s="30" t="n">
        <v>100</v>
      </c>
      <c r="O342" s="28" t="n">
        <v>14545.5</v>
      </c>
      <c r="P342" s="26" t="inlineStr">
        <is>
          <t>derived:price x shares upon listing</t>
        </is>
      </c>
      <c r="Q342" s="31" t="n">
        <v>91.66</v>
      </c>
      <c r="R342" s="32" t="n">
        <v>1.7</v>
      </c>
      <c r="S342" s="33" t="n">
        <v>29.65</v>
      </c>
      <c r="T342" s="26" t="inlineStr">
        <is>
          <t>Nebula</t>
        </is>
      </c>
      <c r="U342" s="30" t="n">
        <v>10.17</v>
      </c>
      <c r="V342" s="26" t="inlineStr">
        <is>
          <t>full</t>
        </is>
      </c>
      <c r="W342" s="34" t="n">
        <v>44.59</v>
      </c>
      <c r="X342" s="34" t="n">
        <v>105.37</v>
      </c>
      <c r="Y342" s="34" t="n">
        <v>184.88</v>
      </c>
      <c r="Z342" s="34" t="n">
        <v>137.17</v>
      </c>
      <c r="AA342" s="34" t="n">
        <v>97.03</v>
      </c>
      <c r="AB342" s="34" t="n">
        <v>182.02</v>
      </c>
      <c r="AC342" s="34" t="n">
        <v>2.86</v>
      </c>
      <c r="AD342" s="26" t="inlineStr">
        <is>
          <t>HSTECH (Hang Seng TECH ETF)</t>
        </is>
      </c>
      <c r="AE342" s="34" t="n">
        <v>-64.98</v>
      </c>
      <c r="AF342" s="28" t="n">
        <v>1032.9</v>
      </c>
      <c r="AG342" s="28" t="n">
        <v>-499.6</v>
      </c>
      <c r="AH342" s="26" t="inlineStr">
        <is>
          <t>N</t>
        </is>
      </c>
      <c r="AI342" s="38">
        <f>IF('BBG Verify'!O342="","not filed — run on terminal",'BBG Verify'!O342)</f>
        <v/>
      </c>
      <c r="AJ342" s="35" t="n">
        <v>14.1</v>
      </c>
      <c r="AK342" s="26" t="inlineStr">
        <is>
          <t>N</t>
        </is>
      </c>
      <c r="AL342" s="36">
        <f>IF('BBG Verify'!K342="","not filed — run on terminal",'BBG Verify'!K342)</f>
        <v/>
      </c>
      <c r="AM342" s="26" t="inlineStr">
        <is>
          <t>N/A</t>
        </is>
      </c>
      <c r="AN342" s="26" t="inlineStr">
        <is>
          <t>N/A</t>
        </is>
      </c>
      <c r="AO342" s="26" t="inlineStr">
        <is>
          <t>N/A</t>
        </is>
      </c>
      <c r="AP342" s="26" t="inlineStr">
        <is>
          <t>China International Capital Corporation Hong Kong Securities Limited; Haitong International Capital Limited</t>
        </is>
      </c>
      <c r="AQ342" s="26" t="inlineStr">
        <is>
          <t>中國國際金融香港證券有限公司; 海通國際資本有限公司</t>
        </is>
      </c>
      <c r="AR342" s="26" t="inlineStr">
        <is>
          <t>China International Capital Corporation Hong Kong Securities Limited; Haitong International Securities Company Limited; ABCI Capital Limited; Orient Securities (Hong Kong) Limited; CMBC Securities Company Limited; Tiger Brokers (HK) Global Limited</t>
        </is>
      </c>
      <c r="AS342" s="26" t="inlineStr">
        <is>
          <t>農銀國際證券有限公司; 中國國際金融香港證券有限公司; 民銀證券有限公司; 海通國際證券有限公司; 東方證券(香港)有限公司; 老虎證券（香港）環球有限公司</t>
        </is>
      </c>
      <c r="AT342" s="37">
        <f>HYPERLINK("https://www1.hkexnews.hk/listedco/listconews/sehk/2025/0620/2025062000023.pdf","prospectus")</f>
        <v/>
      </c>
      <c r="AU342" s="37">
        <f>HYPERLINK("https://www1.hkexnews.hk/listedco/listconews/sehk/2025/0627/2025062702974.pdf","allotment")</f>
        <v/>
      </c>
      <c r="AV342" s="37">
        <f>HYPERLINK("https://www1.hkexnews.hk/listedco/listconews/sehk/2025/0725/2025072501515.pdf","stabilisation")</f>
        <v/>
      </c>
      <c r="AW342" s="26" t="inlineStr">
        <is>
          <t>P/E: n/m — loss-making at IPO (use P/S) · A/H: no A line; closest listed proxy {'code': '002230.SZ', 'name': 'iFlytek', 'rationale': 'Direct A-share competitor in voice AI and speech-centric LLMs (Spark model).'}</t>
        </is>
      </c>
    </row>
    <row r="343">
      <c r="A343" s="25" t="inlineStr">
        <is>
          <t>3880</t>
        </is>
      </c>
      <c r="B343" s="26" t="inlineStr">
        <is>
          <t>MEDTIDE</t>
        </is>
      </c>
      <c r="C343" s="26" t="inlineStr">
        <is>
          <t>泰德醫藥</t>
        </is>
      </c>
      <c r="D343" s="26" t="inlineStr">
        <is>
          <t>Healthcare</t>
        </is>
      </c>
      <c r="E343" s="26" t="inlineStr">
        <is>
          <t>CXO / pharma services</t>
        </is>
      </c>
      <c r="F343" s="26" t="inlineStr">
        <is>
          <t>Standard</t>
        </is>
      </c>
      <c r="G343" s="27" t="n">
        <v>45838</v>
      </c>
      <c r="H343" s="28" t="n">
        <v>514.08</v>
      </c>
      <c r="I343" s="26" t="inlineStr">
        <is>
          <t>gross (stated)</t>
        </is>
      </c>
      <c r="J343" s="29" t="n">
        <v>28.4</v>
      </c>
      <c r="K343" s="29" t="n">
        <v>30.6</v>
      </c>
      <c r="L343" s="29" t="n">
        <v>30.6</v>
      </c>
      <c r="M343" s="26" t="inlineStr">
        <is>
          <t>Y</t>
        </is>
      </c>
      <c r="N343" s="30" t="n">
        <v>100</v>
      </c>
      <c r="O343" s="28" t="n">
        <v>4339.1</v>
      </c>
      <c r="P343" s="26" t="inlineStr">
        <is>
          <t>derived:price x shares upon listing</t>
        </is>
      </c>
      <c r="Q343" s="31" t="n">
        <v>301.15</v>
      </c>
      <c r="R343" s="32" t="n">
        <v>2.43</v>
      </c>
      <c r="S343" s="33" t="n">
        <v>15.27</v>
      </c>
      <c r="T343" s="26" t="inlineStr">
        <is>
          <t>Dragon Merit Holdings Limited; Welight Capital L.P; Listing Top</t>
        </is>
      </c>
      <c r="U343" s="30" t="n"/>
      <c r="V343" s="26" t="n"/>
      <c r="W343" s="34" t="n">
        <v>0.65</v>
      </c>
      <c r="X343" s="34" t="n">
        <v>1.63</v>
      </c>
      <c r="Y343" s="34" t="n">
        <v>15.52</v>
      </c>
      <c r="Z343" s="34" t="n">
        <v>0</v>
      </c>
      <c r="AA343" s="34" t="n">
        <v>14.77</v>
      </c>
      <c r="AB343" s="34" t="n">
        <v>-9.640000000000001</v>
      </c>
      <c r="AC343" s="34" t="n">
        <v>25.16</v>
      </c>
      <c r="AD343" s="26" t="inlineStr">
        <is>
          <t>China Biotech ETF (HS biotech proxy)</t>
        </is>
      </c>
      <c r="AE343" s="34" t="n">
        <v>-23.92</v>
      </c>
      <c r="AF343" s="28" t="n">
        <v>486.4</v>
      </c>
      <c r="AG343" s="28" t="n">
        <v>65.09999999999999</v>
      </c>
      <c r="AH343" s="26" t="inlineStr">
        <is>
          <t>Y</t>
        </is>
      </c>
      <c r="AI343" s="35" t="n">
        <v>66.7</v>
      </c>
      <c r="AJ343" s="35" t="n">
        <v>8.9</v>
      </c>
      <c r="AK343" s="26" t="inlineStr">
        <is>
          <t>N</t>
        </is>
      </c>
      <c r="AL343" s="36">
        <f>IF('BBG Verify'!K343="","not filed — run on terminal",'BBG Verify'!K343)</f>
        <v/>
      </c>
      <c r="AM343" s="26" t="inlineStr">
        <is>
          <t>N/A</t>
        </is>
      </c>
      <c r="AN343" s="26" t="inlineStr">
        <is>
          <t>N/A</t>
        </is>
      </c>
      <c r="AO343" s="26" t="inlineStr">
        <is>
          <t>N/A</t>
        </is>
      </c>
      <c r="AP343" s="26" t="inlineStr">
        <is>
          <t>Morgan Stanley Asia Limited; CITIC Securities (Hong Kong) Limited</t>
        </is>
      </c>
      <c r="AQ343" s="26" t="inlineStr">
        <is>
          <t>摩根士丹利亞洲有限公司; 中信證券(香港)有限公司</t>
        </is>
      </c>
      <c r="AR343" s="26" t="inlineStr">
        <is>
          <t>雅利多證券有限公司; 中國光大證券(香港)有限公司; 中信里昂證券有限公司; 摩根士丹利亞洲有限公司; 發利證券有限公司; 東吳證券國際經紀有限公司</t>
        </is>
      </c>
      <c r="AS343" s="26" t="inlineStr">
        <is>
          <t>雅利多證券有限公司; 中國光大證券(香港)有限公司; 中信里昂證券有限公司; 摩根士丹利亞洲有限公司; 發利證券有限公司; 東吳證券國際經紀有限公司</t>
        </is>
      </c>
      <c r="AT343" s="37">
        <f>HYPERLINK("https://www1.hkexnews.hk/listedco/listconews/sehk/2025/0620/2025062000021.pdf","prospectus")</f>
        <v/>
      </c>
      <c r="AU343" s="37">
        <f>HYPERLINK("https://www1.hkexnews.hk/listedco/listconews/sehk/2025/0627/2025062703092.pdf","allotment")</f>
        <v/>
      </c>
      <c r="AV343" s="26" t="n"/>
      <c r="AW343" s="26" t="inlineStr">
        <is>
          <t>greenshoe: no over-allotment option in the offer structure · A/H: no A-share listing</t>
        </is>
      </c>
    </row>
    <row r="344">
      <c r="A344" s="25" t="inlineStr">
        <is>
          <t>6603</t>
        </is>
      </c>
      <c r="B344" s="26" t="inlineStr">
        <is>
          <t>IFBH</t>
        </is>
      </c>
      <c r="C344" s="26" t="inlineStr">
        <is>
          <t>IFBH</t>
        </is>
      </c>
      <c r="D344" s="26" t="inlineStr">
        <is>
          <t>Consumer</t>
        </is>
      </c>
      <c r="E344" s="26" t="inlineStr">
        <is>
          <t>Beverages / packaged food</t>
        </is>
      </c>
      <c r="F344" s="26" t="inlineStr">
        <is>
          <t>Standard</t>
        </is>
      </c>
      <c r="G344" s="27" t="n">
        <v>45838</v>
      </c>
      <c r="H344" s="28" t="n">
        <v>1158.3</v>
      </c>
      <c r="I344" s="26" t="inlineStr">
        <is>
          <t>gross (price x shares)</t>
        </is>
      </c>
      <c r="J344" s="29" t="n">
        <v>25.3</v>
      </c>
      <c r="K344" s="29" t="n">
        <v>27.8</v>
      </c>
      <c r="L344" s="29" t="n">
        <v>27.8</v>
      </c>
      <c r="M344" s="26" t="inlineStr">
        <is>
          <t>Y</t>
        </is>
      </c>
      <c r="N344" s="30" t="n">
        <v>100</v>
      </c>
      <c r="O344" s="28" t="n">
        <v>7410.7</v>
      </c>
      <c r="P344" s="26" t="inlineStr">
        <is>
          <t>derived:deal size / offer % of enlarged capital</t>
        </is>
      </c>
      <c r="Q344" s="31" t="n">
        <v>2682.35</v>
      </c>
      <c r="R344" s="32" t="n">
        <v>22.93</v>
      </c>
      <c r="S344" s="33" t="n">
        <v>78.3</v>
      </c>
      <c r="T344" s="26" t="inlineStr">
        <is>
          <t>Harvest Oriental SP; UBS AM Singapore; Black Dragon; China Southern AM; Mega Prime; ICBC Wealth; Jain Global Master Fund; Jane Street</t>
        </is>
      </c>
      <c r="U344" s="30" t="n">
        <v>15</v>
      </c>
      <c r="V344" s="26" t="inlineStr">
        <is>
          <t>full</t>
        </is>
      </c>
      <c r="W344" s="34" t="n">
        <v>42.09</v>
      </c>
      <c r="X344" s="34" t="n">
        <v>45.68</v>
      </c>
      <c r="Y344" s="34" t="n">
        <v>33.63</v>
      </c>
      <c r="Z344" s="34" t="n">
        <v>9.5</v>
      </c>
      <c r="AA344" s="34" t="n">
        <v>-5.95</v>
      </c>
      <c r="AB344" s="34" t="n">
        <v>29.27</v>
      </c>
      <c r="AC344" s="34" t="n">
        <v>4.36</v>
      </c>
      <c r="AD344" s="26" t="inlineStr">
        <is>
          <t>Hang Seng Commerce &amp; Industry sub-index</t>
        </is>
      </c>
      <c r="AE344" s="34" t="n">
        <v>-81.67</v>
      </c>
      <c r="AF344" s="28" t="n">
        <v>1229.7</v>
      </c>
      <c r="AG344" s="28" t="n">
        <v>259.9</v>
      </c>
      <c r="AH344" s="26" t="inlineStr">
        <is>
          <t>Y</t>
        </is>
      </c>
      <c r="AI344" s="35" t="n">
        <v>28.5</v>
      </c>
      <c r="AJ344" s="35" t="n">
        <v>6</v>
      </c>
      <c r="AK344" s="26" t="inlineStr">
        <is>
          <t>N</t>
        </is>
      </c>
      <c r="AL344" s="36">
        <f>IF('BBG Verify'!K344="","not filed — run on terminal",'BBG Verify'!K344)</f>
        <v/>
      </c>
      <c r="AM344" s="26" t="inlineStr">
        <is>
          <t>N/A</t>
        </is>
      </c>
      <c r="AN344" s="26" t="inlineStr">
        <is>
          <t>N/A</t>
        </is>
      </c>
      <c r="AO344" s="26" t="inlineStr">
        <is>
          <t>N/A</t>
        </is>
      </c>
      <c r="AP344" s="26" t="inlineStr">
        <is>
          <t>CITIC Securities (Hong Kong) Limited; -Overall Coordinator CLSA Limited</t>
        </is>
      </c>
      <c r="AQ344" s="26" t="inlineStr">
        <is>
          <t>中信證券(香港)有限公司</t>
        </is>
      </c>
      <c r="AR344" s="26" t="inlineStr">
        <is>
          <t>中銀國際亞洲有限公司; 中信里昂證券有限公司</t>
        </is>
      </c>
      <c r="AS344" s="26" t="inlineStr">
        <is>
          <t>中銀國際亞洲有限公司; 中信里昂證券有限公司</t>
        </is>
      </c>
      <c r="AT344" s="37">
        <f>HYPERLINK("https://www1.hkexnews.hk/listedco/listconews/sehk/2025/0620/2025062000033.pdf","prospectus")</f>
        <v/>
      </c>
      <c r="AU344" s="37">
        <f>HYPERLINK("https://www1.hkexnews.hk/listedco/listconews/sehk/2025/0627/2025062703890.pdf","allotment")</f>
        <v/>
      </c>
      <c r="AV344" s="37">
        <f>HYPERLINK("https://www1.hkexnews.hk/listedco/listconews/sehk/2025/0725/2025072501707.pdf","stabilisation")</f>
        <v/>
      </c>
      <c r="AW344" s="26" t="inlineStr">
        <is>
          <t>A/H: no A-share listing</t>
        </is>
      </c>
    </row>
    <row r="345">
      <c r="A345" s="25" t="inlineStr">
        <is>
          <t>2592</t>
        </is>
      </c>
      <c r="B345" s="26" t="inlineStr">
        <is>
          <t>CLOUDBREAK-B</t>
        </is>
      </c>
      <c r="C345" s="26" t="inlineStr">
        <is>
          <t>撥康視雲－Ｂ</t>
        </is>
      </c>
      <c r="D345" s="26" t="inlineStr">
        <is>
          <t>Healthcare</t>
        </is>
      </c>
      <c r="E345" s="26" t="inlineStr">
        <is>
          <t>Biotech pre-revenue (18A)</t>
        </is>
      </c>
      <c r="F345" s="26" t="inlineStr">
        <is>
          <t>18A</t>
        </is>
      </c>
      <c r="G345" s="27" t="n">
        <v>45841</v>
      </c>
      <c r="H345" s="28" t="n">
        <v>611.88</v>
      </c>
      <c r="I345" s="26" t="inlineStr">
        <is>
          <t>gross (stated)</t>
        </is>
      </c>
      <c r="J345" s="29" t="n"/>
      <c r="K345" s="29" t="n">
        <v>10.1</v>
      </c>
      <c r="L345" s="29" t="n">
        <v>10.1</v>
      </c>
      <c r="M345" s="26" t="inlineStr">
        <is>
          <t>Y</t>
        </is>
      </c>
      <c r="N345" s="30" t="n">
        <v>100</v>
      </c>
      <c r="O345" s="28" t="n">
        <v>8472.799999999999</v>
      </c>
      <c r="P345" s="26" t="inlineStr">
        <is>
          <t>derived:price x shares upon listing</t>
        </is>
      </c>
      <c r="Q345" s="31" t="n">
        <v>78.78</v>
      </c>
      <c r="R345" s="45" t="n">
        <v>0.89</v>
      </c>
      <c r="S345" s="33" t="n">
        <v>29.25</v>
      </c>
      <c r="T345" s="26" t="inlineStr">
        <is>
          <t>Offering WSH; Reynold Lemkins US2.80 million</t>
        </is>
      </c>
      <c r="U345" s="30" t="n"/>
      <c r="V345" s="26" t="n"/>
      <c r="W345" s="34" t="n">
        <v>-38.61</v>
      </c>
      <c r="X345" s="34" t="n">
        <v>-42.57</v>
      </c>
      <c r="Y345" s="34" t="n">
        <v>-49.5</v>
      </c>
      <c r="Z345" s="34" t="n">
        <v>-55.35</v>
      </c>
      <c r="AA345" s="34" t="n">
        <v>-17.74</v>
      </c>
      <c r="AB345" s="34" t="n">
        <v>-68.91</v>
      </c>
      <c r="AC345" s="34" t="n">
        <v>19.41</v>
      </c>
      <c r="AD345" s="26" t="inlineStr">
        <is>
          <t>China Biotech ETF (HS biotech proxy)</t>
        </is>
      </c>
      <c r="AE345" s="34" t="n">
        <v>-88.42</v>
      </c>
      <c r="AF345" s="28" t="n">
        <v>78</v>
      </c>
      <c r="AG345" s="28" t="n">
        <v>-773.2</v>
      </c>
      <c r="AH345" s="26" t="inlineStr">
        <is>
          <t>N</t>
        </is>
      </c>
      <c r="AI345" s="38">
        <f>IF('BBG Verify'!O345="","not filed — run on terminal",'BBG Verify'!O345)</f>
        <v/>
      </c>
      <c r="AJ345" s="35" t="n">
        <v>108.6</v>
      </c>
      <c r="AK345" s="26" t="inlineStr">
        <is>
          <t>N</t>
        </is>
      </c>
      <c r="AL345" s="36">
        <f>IF('BBG Verify'!K345="","not filed — run on terminal",'BBG Verify'!K345)</f>
        <v/>
      </c>
      <c r="AM345" s="26" t="inlineStr">
        <is>
          <t>N/A</t>
        </is>
      </c>
      <c r="AN345" s="26" t="inlineStr">
        <is>
          <t>N/A</t>
        </is>
      </c>
      <c r="AO345" s="26" t="inlineStr">
        <is>
          <t>N/A</t>
        </is>
      </c>
      <c r="AP345" s="26" t="inlineStr">
        <is>
          <t>CCB International Capital Limited; Central, Hong Kong Huatai Financial Holdings (Hong Kong) Limited</t>
        </is>
      </c>
      <c r="AQ345" s="26" t="inlineStr">
        <is>
          <t>建銀國際金融有限公司; 華泰金融控股(香港)有限公司</t>
        </is>
      </c>
      <c r="AR345" s="26" t="inlineStr">
        <is>
          <t>respectively) CCB International Capital Limited; Central, Hong Kong Huatai Financial Holdings (Hong Kong) Limited; CMB International Capital Limited; Central, Hong Kong Quam Securities Limited; BOCI Asia Limited; Central, Hong Kong BOCOM International Securities Limited; China Galaxy International Securities (Hong Kong) Co., Limited; Sheung Wan, Hong Kong CMBC Securities Company Limited; Central, Hong Kong CMB International Capital Limited; Central, Hong Kong First Shanghai Securities Limited; Fosun International Securities Limited; Central, Hong Kong Huafu International Securities Limited</t>
        </is>
      </c>
      <c r="AS345" s="26" t="inlineStr">
        <is>
          <t>中銀國際亞洲有限公司; 交銀國際證券有限公司; 建銀國際金融有限公司; 中國銀河國際證券(香港)有限公司; 興證國際融資有限公司; 民銀證券有限公司; 招銀國際融資有限公司; 復星國際證券有限公司; 第一上海證券有限公司; 華泰金融控股(香港)有限公司; 華福國際證券有限公司; 工銀國際證券有限公司; 利弗莫爾證券有限公司; 百惠證券有限公司; 華富建業證券有限公司; 瑞邦證券有限公司; 善恆證券有限公司; 浦銀國際融資有限公司; 友信證券有限公司</t>
        </is>
      </c>
      <c r="AT345" s="37">
        <f>HYPERLINK("https://www1.hkexnews.hk/listedco/listconews/sehk/2025/0624/2025062400005.pdf","prospectus")</f>
        <v/>
      </c>
      <c r="AU345" s="37">
        <f>HYPERLINK("https://www1.hkexnews.hk/listedco/listconews/sehk/2025/0702/2025070203783.pdf","allotment")</f>
        <v/>
      </c>
      <c r="AV345" s="26" t="n"/>
      <c r="AW345" s="26" t="inlineStr">
        <is>
          <t>intl sub: 0.89x is implausible for a deal struck at the cap with the public tranche 79x subscribed — likely a percentage read as a multiple; check CP037 · P/E: n/m — loss-making at IPO (use P/S) · greenshoe: no over-allotment option in the offer structure · A/H: no A-share listing</t>
        </is>
      </c>
    </row>
    <row r="346">
      <c r="A346" s="25" t="inlineStr">
        <is>
          <t>2648</t>
        </is>
      </c>
      <c r="B346" s="26" t="inlineStr">
        <is>
          <t>ANJOY FOOD</t>
        </is>
      </c>
      <c r="C346" s="26" t="inlineStr">
        <is>
          <t>安井食品</t>
        </is>
      </c>
      <c r="D346" s="26" t="inlineStr">
        <is>
          <t>Consumer</t>
        </is>
      </c>
      <c r="E346" s="26" t="inlineStr">
        <is>
          <t>Beverages / packaged food</t>
        </is>
      </c>
      <c r="F346" s="26" t="inlineStr">
        <is>
          <t>Standard</t>
        </is>
      </c>
      <c r="G346" s="27" t="n">
        <v>45842</v>
      </c>
      <c r="H346" s="28" t="n">
        <v>2400</v>
      </c>
      <c r="I346" s="26" t="inlineStr">
        <is>
          <t>gross (stated)</t>
        </is>
      </c>
      <c r="J346" s="29" t="n"/>
      <c r="K346" s="29" t="n">
        <v>66</v>
      </c>
      <c r="L346" s="29" t="n">
        <v>60</v>
      </c>
      <c r="M346" s="26" t="inlineStr">
        <is>
          <t>N</t>
        </is>
      </c>
      <c r="N346" s="30" t="n">
        <v>90.90000000000001</v>
      </c>
      <c r="O346" s="28" t="n">
        <v>27945.4</v>
      </c>
      <c r="P346" s="26" t="inlineStr">
        <is>
          <t>prospectus:stated market capitalisation</t>
        </is>
      </c>
      <c r="Q346" s="31" t="n">
        <v>44.2</v>
      </c>
      <c r="R346" s="32" t="n">
        <v>5.85</v>
      </c>
      <c r="S346" s="33" t="n">
        <v>26.76</v>
      </c>
      <c r="T346" s="26" t="inlineStr">
        <is>
          <t>HK Greenwoods; Hosen Capital; FCP Domains; NonaV erse</t>
        </is>
      </c>
      <c r="U346" s="30" t="n">
        <v>15</v>
      </c>
      <c r="V346" s="26" t="inlineStr">
        <is>
          <t>lapsed</t>
        </is>
      </c>
      <c r="W346" s="34" t="n">
        <v>-5</v>
      </c>
      <c r="X346" s="34" t="n">
        <v>0.08</v>
      </c>
      <c r="Y346" s="34" t="n">
        <v>0</v>
      </c>
      <c r="Z346" s="34" t="n">
        <v>-2.58</v>
      </c>
      <c r="AA346" s="34" t="n">
        <v>5.26</v>
      </c>
      <c r="AB346" s="34" t="n">
        <v>-4.12</v>
      </c>
      <c r="AC346" s="34" t="n">
        <v>4.12</v>
      </c>
      <c r="AD346" s="26" t="inlineStr">
        <is>
          <t>Hang Seng Commerce &amp; Industry sub-index</t>
        </is>
      </c>
      <c r="AE346" s="34" t="n">
        <v>13.92</v>
      </c>
      <c r="AF346" s="28" t="n">
        <v>16532.5</v>
      </c>
      <c r="AG346" s="28" t="n">
        <v>1665</v>
      </c>
      <c r="AH346" s="26" t="inlineStr">
        <is>
          <t>Y</t>
        </is>
      </c>
      <c r="AI346" s="35" t="n">
        <v>16.8</v>
      </c>
      <c r="AJ346" s="35" t="n">
        <v>1.7</v>
      </c>
      <c r="AK346" s="26" t="inlineStr">
        <is>
          <t>Y</t>
        </is>
      </c>
      <c r="AL346" s="26" t="inlineStr">
        <is>
          <t>603345.SS</t>
        </is>
      </c>
      <c r="AM346" s="34" t="n">
        <v>-29.48</v>
      </c>
      <c r="AN346" s="29" t="n">
        <v>85.0814</v>
      </c>
      <c r="AO346" s="42" t="n">
        <v>-0.2882</v>
      </c>
      <c r="AP346" s="26" t="inlineStr">
        <is>
          <t>Goldman Sachs (Asia) L.L.C; China International Capital Corporation Hong Kong Securities Limited</t>
        </is>
      </c>
      <c r="AQ346" s="26" t="inlineStr">
        <is>
          <t>中國國際金融香港證券有限公司; 高盛(亞洲)有限責任公司</t>
        </is>
      </c>
      <c r="AR346" s="26" t="inlineStr">
        <is>
          <t>Managers 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 China Galaxy International Securities (Hong Kong) Co., Limited</t>
        </is>
      </c>
      <c r="AS346" s="26" t="inlineStr">
        <is>
          <t>建銀國際金融有限公司; 中國銀河國際證券(香港)有限公司; 中國國際金融香港證券有限公司; 興證國際融資有限公司; 招銀國際融資有限公司; 中信建投(國際)融資有限公司; 廣發證券（香港）經紀有限公司; 高盛(亞洲)有限責任公司; 華泰金融控股(香港)有限公司; 平安證券（香港）有限公司; 大華繼顯(香港)有限公司</t>
        </is>
      </c>
      <c r="AT346" s="37">
        <f>HYPERLINK("https://www1.hkexnews.hk/listedco/listconews/sehk/2025/0625/2025062500043.pdf","prospectus")</f>
        <v/>
      </c>
      <c r="AU346" s="37">
        <f>HYPERLINK("https://www1.hkexnews.hk/listedco/listconews/sehk/2025/0703/2025070302241.pdf","allotment")</f>
        <v/>
      </c>
      <c r="AV346" s="37">
        <f>HYPERLINK("https://www1.hkexnews.hk/listedco/listconews/sehk/2025/0730/2025073001416.pdf","stabilisation")</f>
        <v/>
      </c>
      <c r="AW346" s="26" t="inlineStr">
        <is>
          <t>A/H: Jul 2025 H listing (frozen foods)</t>
        </is>
      </c>
    </row>
    <row r="347">
      <c r="A347" s="25" t="inlineStr">
        <is>
          <t>2076</t>
        </is>
      </c>
      <c r="B347" s="26" t="inlineStr">
        <is>
          <t>BOSS ZHIPIN-W</t>
        </is>
      </c>
      <c r="C347" s="26" t="inlineStr">
        <is>
          <t>ＢＯＳＳ直聘－Ｗ</t>
        </is>
      </c>
      <c r="D347" s="26" t="inlineStr">
        <is>
          <t>Tech/AI</t>
        </is>
      </c>
      <c r="E347" s="26" t="inlineStr">
        <is>
          <t>Internet platform / e-commerce</t>
        </is>
      </c>
      <c r="F347" s="26" t="inlineStr">
        <is>
          <t>WVR</t>
        </is>
      </c>
      <c r="G347" s="27" t="n">
        <v>45842</v>
      </c>
      <c r="H347" s="28" t="n">
        <v>2277</v>
      </c>
      <c r="I347" s="26" t="inlineStr">
        <is>
          <t>gross (stated)</t>
        </is>
      </c>
      <c r="J347" s="29" t="n"/>
      <c r="K347" s="29" t="n">
        <v>78</v>
      </c>
      <c r="L347" s="29" t="n">
        <v>66</v>
      </c>
      <c r="M347" s="26" t="inlineStr">
        <is>
          <t>N</t>
        </is>
      </c>
      <c r="N347" s="30" t="n">
        <v>84.59999999999999</v>
      </c>
      <c r="O347" s="41">
        <f>IF('BBG Verify'!M347="","not filed — run on terminal",'BBG Verify'!M347)</f>
        <v/>
      </c>
      <c r="P347" s="26" t="n"/>
      <c r="Q347" s="31" t="n">
        <v>12.04</v>
      </c>
      <c r="R347" s="32" t="n">
        <v>12.46</v>
      </c>
      <c r="S347" s="33" t="n">
        <v>0</v>
      </c>
      <c r="T347" s="26" t="n"/>
      <c r="U347" s="30" t="n"/>
      <c r="V347" s="26" t="n"/>
      <c r="W347" s="34" t="n">
        <v>0.76</v>
      </c>
      <c r="X347" s="34" t="n">
        <v>11.44</v>
      </c>
      <c r="Y347" s="34" t="n">
        <v>13.03</v>
      </c>
      <c r="Z347" s="34" t="n">
        <v>35.83</v>
      </c>
      <c r="AA347" s="34" t="n">
        <v>12.18</v>
      </c>
      <c r="AB347" s="34" t="n">
        <v>8.66</v>
      </c>
      <c r="AC347" s="34" t="n">
        <v>4.37</v>
      </c>
      <c r="AD347" s="26" t="inlineStr">
        <is>
          <t>HSTECH (Hang Seng TECH ETF)</t>
        </is>
      </c>
      <c r="AE347" s="34" t="n">
        <v>-6.44</v>
      </c>
      <c r="AF347" s="28" t="n">
        <v>2.2</v>
      </c>
      <c r="AG347" s="28" t="n">
        <v>1743.1</v>
      </c>
      <c r="AH347" s="26" t="inlineStr">
        <is>
          <t>Y</t>
        </is>
      </c>
      <c r="AI347" s="38">
        <f>IF('BBG Verify'!O347="","not filed — run on terminal",'BBG Verify'!O347)</f>
        <v/>
      </c>
      <c r="AJ347" s="35" t="n"/>
      <c r="AK347" s="26" t="inlineStr">
        <is>
          <t>N</t>
        </is>
      </c>
      <c r="AL347" s="36">
        <f>IF('BBG Verify'!K347="","not filed — run on terminal",'BBG Verify'!K347)</f>
        <v/>
      </c>
      <c r="AM347" s="26" t="inlineStr">
        <is>
          <t>N/A</t>
        </is>
      </c>
      <c r="AN347" s="26" t="inlineStr">
        <is>
          <t>N/A</t>
        </is>
      </c>
      <c r="AO347" s="26" t="inlineStr">
        <is>
          <t>N/A</t>
        </is>
      </c>
      <c r="AP347" s="26" t="inlineStr">
        <is>
          <t>Morgan Stanley; Goldman Sachs</t>
        </is>
      </c>
      <c r="AQ347" s="26" t="inlineStr">
        <is>
          <t>高盛(亞洲)有限責任公司; 華泰金融控股(香港)有限公司; 摩根士利亞洲有限公司</t>
        </is>
      </c>
      <c r="AR347" s="26" t="inlineStr">
        <is>
          <t>富途證券國際（香港）有限公司; 高盛(亞洲)有限責任公司; 華泰金融控股(香港)有限公司; 摩根士丹利亞洲有限公司; 老虎證券（香港）環球有限公司</t>
        </is>
      </c>
      <c r="AS347" s="26" t="inlineStr">
        <is>
          <t>富途證券國際（香港）有限公司; 高盛(亞洲)有限責任公司; 華泰金融控股(香港)有限公司; 摩根士丹利亞洲有限公司; 老虎證券（香港）環球有限公司</t>
        </is>
      </c>
      <c r="AT347" s="37">
        <f>HYPERLINK("https://www1.hkexnews.hk/listedco/listconews/sehk/2025/0625/2025062500135.pdf","prospectus")</f>
        <v/>
      </c>
      <c r="AU347" s="37">
        <f>HYPERLINK("https://www1.hkexnews.hk/listedco/listconews/sehk/2025/0703/2025070302291.pdf","allotment")</f>
        <v/>
      </c>
      <c r="AV347" s="26" t="n"/>
      <c r="AW347" s="26" t="inlineStr">
        <is>
          <t>P/E: market cap not derivable (no share count disclosed) · greenshoe: no over-allotment option in the offer structure · A/H: no A-share listing</t>
        </is>
      </c>
    </row>
    <row r="348">
      <c r="A348" s="25" t="inlineStr">
        <is>
          <t>1828</t>
        </is>
      </c>
      <c r="B348" s="26" t="inlineStr">
        <is>
          <t>FWD</t>
        </is>
      </c>
      <c r="C348" s="26" t="inlineStr">
        <is>
          <t>富衛集團</t>
        </is>
      </c>
      <c r="D348" s="26" t="inlineStr">
        <is>
          <t>Financials</t>
        </is>
      </c>
      <c r="E348" s="26" t="inlineStr">
        <is>
          <t>Insurance</t>
        </is>
      </c>
      <c r="F348" s="26" t="inlineStr">
        <is>
          <t>Standard</t>
        </is>
      </c>
      <c r="G348" s="27" t="n">
        <v>45845</v>
      </c>
      <c r="H348" s="28" t="n">
        <v>3471</v>
      </c>
      <c r="I348" s="26" t="inlineStr">
        <is>
          <t>gross (price x shares)</t>
        </is>
      </c>
      <c r="J348" s="29" t="n"/>
      <c r="K348" s="29" t="n">
        <v>38</v>
      </c>
      <c r="L348" s="29" t="n">
        <v>38</v>
      </c>
      <c r="M348" s="26" t="inlineStr">
        <is>
          <t>Y</t>
        </is>
      </c>
      <c r="N348" s="30" t="n">
        <v>100</v>
      </c>
      <c r="O348" s="41">
        <f>IF('BBG Verify'!M348="","not filed — run on terminal",'BBG Verify'!M348)</f>
        <v/>
      </c>
      <c r="P348" s="26" t="n"/>
      <c r="Q348" s="31" t="n">
        <v>37.13</v>
      </c>
      <c r="R348" s="32" t="n">
        <v>2.32</v>
      </c>
      <c r="S348" s="33" t="n">
        <v>56.2</v>
      </c>
      <c r="T348" s="26"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U348" s="30" t="n">
        <v>15</v>
      </c>
      <c r="V348" s="26" t="n"/>
      <c r="W348" s="34" t="n">
        <v>1.05</v>
      </c>
      <c r="X348" s="34" t="n">
        <v>0.66</v>
      </c>
      <c r="Y348" s="34" t="n">
        <v>0.26</v>
      </c>
      <c r="Z348" s="34" t="n">
        <v>21.05</v>
      </c>
      <c r="AA348" s="34" t="n">
        <v>-0.78</v>
      </c>
      <c r="AB348" s="34" t="n">
        <v>-2.16</v>
      </c>
      <c r="AC348" s="34" t="n">
        <v>2.42</v>
      </c>
      <c r="AD348" s="26" t="inlineStr">
        <is>
          <t>Hang Seng Finance sub-index</t>
        </is>
      </c>
      <c r="AE348" s="34" t="n">
        <v>-23.47</v>
      </c>
      <c r="AF348" s="28" t="n">
        <v>20919.6</v>
      </c>
      <c r="AG348" s="28" t="n">
        <v>-444.6</v>
      </c>
      <c r="AH348" s="26" t="inlineStr">
        <is>
          <t>N</t>
        </is>
      </c>
      <c r="AI348" s="38">
        <f>IF('BBG Verify'!O348="","not filed — run on terminal",'BBG Verify'!O348)</f>
        <v/>
      </c>
      <c r="AJ348" s="35" t="n"/>
      <c r="AK348" s="26" t="inlineStr">
        <is>
          <t>N</t>
        </is>
      </c>
      <c r="AL348" s="36">
        <f>IF('BBG Verify'!K348="","not filed — run on terminal",'BBG Verify'!K348)</f>
        <v/>
      </c>
      <c r="AM348" s="26" t="inlineStr">
        <is>
          <t>N/A</t>
        </is>
      </c>
      <c r="AN348" s="26" t="inlineStr">
        <is>
          <t>N/A</t>
        </is>
      </c>
      <c r="AO348" s="26" t="inlineStr">
        <is>
          <t>N/A</t>
        </is>
      </c>
      <c r="AP348" s="26" t="inlineStr">
        <is>
          <t>Morgan Stanley; Goldman Sachs</t>
        </is>
      </c>
      <c r="AQ348" s="26" t="inlineStr">
        <is>
          <t>摩根士丹利亞洲有限公司; 高盛(亞洲)有限責任公司</t>
        </is>
      </c>
      <c r="AR348" s="26" t="inlineStr">
        <is>
          <t>交銀國際證券有限公司; 建銀國際金融有限公司; 招銀國際融資有限公司; 星展亞洲融資有限公司; 高盛(亞洲)有限責任公司; 華泰金融控股(香港)有限公司</t>
        </is>
      </c>
      <c r="AS348" s="26" t="inlineStr">
        <is>
          <t>交銀國際證券有限公司; 建銀國際金融有限公司; 招銀國際融資有限公司; 星展亞洲融資有限公司; 高盛(亞洲)有限責任公司; 華泰金融控股(香港)有限公司; 香港上海匯豐銀行有限公司; 工銀國際證券有限公司; 摩根士丹利亞洲有限公司; 瑞穗證券亞洲有限公司; 華僑銀行有限公司; SMBC Nikko Securities (Hong Kong) Limited; 大華繼顯(香港)有限公司</t>
        </is>
      </c>
      <c r="AT348" s="37">
        <f>HYPERLINK("https://www1.hkexnews.hk/listedco/listconews/sehk/2025/0626/2025062600017.pdf","prospectus")</f>
        <v/>
      </c>
      <c r="AU348" s="37">
        <f>HYPERLINK("https://www1.hkexnews.hk/listedco/listconews/sehk/2025/0704/2025070402160.pdf","allotment")</f>
        <v/>
      </c>
      <c r="AV348" s="26" t="n"/>
      <c r="AW348" s="26" t="inlineStr">
        <is>
          <t>P/E: n/m — loss-making at IPO (use P/S) · greenshoe: end-of-stabilisation notice not located · price range: fixed-price offering (no indicative range) · A/H: no A-share listing</t>
        </is>
      </c>
    </row>
    <row r="349">
      <c r="A349" s="25" t="inlineStr">
        <is>
          <t>2651</t>
        </is>
      </c>
      <c r="B349" s="26" t="inlineStr">
        <is>
          <t>DAZHONG DENTAL</t>
        </is>
      </c>
      <c r="C349" s="26" t="inlineStr">
        <is>
          <t>大眾口腔</t>
        </is>
      </c>
      <c r="D349" s="26" t="inlineStr">
        <is>
          <t>Healthcare</t>
        </is>
      </c>
      <c r="E349" s="26" t="inlineStr">
        <is>
          <t>Hospitals / clinics</t>
        </is>
      </c>
      <c r="F349" s="26" t="inlineStr">
        <is>
          <t>Standard</t>
        </is>
      </c>
      <c r="G349" s="27" t="n">
        <v>45847</v>
      </c>
      <c r="H349" s="28" t="n">
        <v>217.24</v>
      </c>
      <c r="I349" s="26" t="inlineStr">
        <is>
          <t>gross (stated)</t>
        </is>
      </c>
      <c r="J349" s="29" t="n"/>
      <c r="K349" s="29" t="n">
        <v>21.4</v>
      </c>
      <c r="L349" s="29" t="n">
        <v>20</v>
      </c>
      <c r="M349" s="26" t="inlineStr">
        <is>
          <t>N</t>
        </is>
      </c>
      <c r="N349" s="30" t="n">
        <v>93.5</v>
      </c>
      <c r="O349" s="28" t="n">
        <v>987.6</v>
      </c>
      <c r="P349" s="26" t="inlineStr">
        <is>
          <t>derived:price x shares upon listing</t>
        </is>
      </c>
      <c r="Q349" s="31" t="n">
        <v>108.25</v>
      </c>
      <c r="R349" s="32" t="n">
        <v>0.96</v>
      </c>
      <c r="S349" s="33" t="n">
        <v>0</v>
      </c>
      <c r="T349" s="26" t="n"/>
      <c r="U349" s="30" t="n">
        <v>11.65</v>
      </c>
      <c r="V349" s="26" t="inlineStr">
        <is>
          <t>lapsed (no over-allocation)</t>
        </is>
      </c>
      <c r="W349" s="34" t="n">
        <v>3.5</v>
      </c>
      <c r="X349" s="34" t="n">
        <v>-10.5</v>
      </c>
      <c r="Y349" s="34" t="n">
        <v>-28.5</v>
      </c>
      <c r="Z349" s="34" t="n">
        <v>-35.95</v>
      </c>
      <c r="AA349" s="34" t="n">
        <v>-30.92</v>
      </c>
      <c r="AB349" s="34" t="n">
        <v>-43.78</v>
      </c>
      <c r="AC349" s="34" t="n">
        <v>15.28</v>
      </c>
      <c r="AD349" s="26" t="inlineStr">
        <is>
          <t>China Biotech ETF (HS biotech proxy)</t>
        </is>
      </c>
      <c r="AE349" s="34" t="n">
        <v>-4.8</v>
      </c>
      <c r="AF349" s="28" t="n">
        <v>447.8</v>
      </c>
      <c r="AG349" s="28" t="n">
        <v>68.8</v>
      </c>
      <c r="AH349" s="26" t="inlineStr">
        <is>
          <t>Y</t>
        </is>
      </c>
      <c r="AI349" s="35" t="n">
        <v>14.4</v>
      </c>
      <c r="AJ349" s="35" t="n">
        <v>2.2</v>
      </c>
      <c r="AK349" s="26" t="inlineStr">
        <is>
          <t>N</t>
        </is>
      </c>
      <c r="AL349" s="36">
        <f>IF('BBG Verify'!K349="","not filed — run on terminal",'BBG Verify'!K349)</f>
        <v/>
      </c>
      <c r="AM349" s="26" t="inlineStr">
        <is>
          <t>N/A</t>
        </is>
      </c>
      <c r="AN349" s="26" t="inlineStr">
        <is>
          <t>N/A</t>
        </is>
      </c>
      <c r="AO349" s="26" t="inlineStr">
        <is>
          <t>N/A</t>
        </is>
      </c>
      <c r="AP349" s="26" t="inlineStr">
        <is>
          <t>Haitong International Capital Limited</t>
        </is>
      </c>
      <c r="AQ349" s="26" t="inlineStr">
        <is>
          <t>海通國際控股有限公司</t>
        </is>
      </c>
      <c r="AR349" s="26" t="inlineStr">
        <is>
          <t>Haitong International Securities Company Limited</t>
        </is>
      </c>
      <c r="AS349" s="26" t="inlineStr">
        <is>
          <t>海通國際證券有限公司; 利弗莫爾證券有限公司</t>
        </is>
      </c>
      <c r="AT349" s="37">
        <f>HYPERLINK("https://www1.hkexnews.hk/listedco/listconews/sehk/2025/0630/2025063000019.pdf","prospectus")</f>
        <v/>
      </c>
      <c r="AU349" s="37">
        <f>HYPERLINK("https://www1.hkexnews.hk/listedco/listconews/sehk/2025/0708/2025070801104.pdf","allotment")</f>
        <v/>
      </c>
      <c r="AV349" s="37">
        <f>HYPERLINK("https://www1.hkexnews.hk/listedco/listconews/sehk/2025/0804/2025080401259.pdf","stabilisation")</f>
        <v/>
      </c>
      <c r="AW349" s="26" t="inlineStr">
        <is>
          <t>A/H: no A-share listing</t>
        </is>
      </c>
    </row>
    <row r="350">
      <c r="A350" s="25" t="inlineStr">
        <is>
          <t>2590</t>
        </is>
      </c>
      <c r="B350" s="26" t="inlineStr">
        <is>
          <t>GEEKPLUS-W</t>
        </is>
      </c>
      <c r="C350" s="26" t="inlineStr">
        <is>
          <t>極智嘉－Ｗ</t>
        </is>
      </c>
      <c r="D350" s="26" t="inlineStr">
        <is>
          <t>Tech/AI</t>
        </is>
      </c>
      <c r="E350" s="26" t="inlineStr">
        <is>
          <t>Robotics &amp; autonomous driving</t>
        </is>
      </c>
      <c r="F350" s="26" t="inlineStr">
        <is>
          <t>WVR</t>
        </is>
      </c>
      <c r="G350" s="27" t="n">
        <v>45847</v>
      </c>
      <c r="H350" s="28" t="n">
        <v>2711.62</v>
      </c>
      <c r="I350" s="26" t="inlineStr">
        <is>
          <t>gross (stated)</t>
        </is>
      </c>
      <c r="J350" s="29" t="n"/>
      <c r="K350" s="29" t="n">
        <v>16.8</v>
      </c>
      <c r="L350" s="29" t="n">
        <v>16.8</v>
      </c>
      <c r="M350" s="26" t="inlineStr">
        <is>
          <t>Y</t>
        </is>
      </c>
      <c r="N350" s="30" t="n">
        <v>100</v>
      </c>
      <c r="O350" s="28" t="n">
        <v>21832.7</v>
      </c>
      <c r="P350" s="26" t="inlineStr">
        <is>
          <t>prospectus:stated market capitalisation</t>
        </is>
      </c>
      <c r="Q350" s="31" t="n">
        <v>133.6</v>
      </c>
      <c r="R350" s="39">
        <f>IF('BBG Verify'!E350="","not filed — run on terminal",'BBG Verify'!E350)</f>
        <v/>
      </c>
      <c r="S350" s="33" t="n">
        <v>26.3</v>
      </c>
      <c r="T350" s="26" t="inlineStr">
        <is>
          <t>Accelerator VI Ltd; Primus Cabibbo Limited</t>
        </is>
      </c>
      <c r="U350" s="30" t="n">
        <v>15</v>
      </c>
      <c r="V350" s="26" t="inlineStr">
        <is>
          <t>partial</t>
        </is>
      </c>
      <c r="W350" s="34" t="n">
        <v>5.36</v>
      </c>
      <c r="X350" s="34" t="n">
        <v>12.62</v>
      </c>
      <c r="Y350" s="34" t="n">
        <v>9.880000000000001</v>
      </c>
      <c r="Z350" s="34" t="n">
        <v>92.5</v>
      </c>
      <c r="AA350" s="34" t="n">
        <v>4.29</v>
      </c>
      <c r="AB350" s="34" t="n">
        <v>5.87</v>
      </c>
      <c r="AC350" s="34" t="n">
        <v>4.01</v>
      </c>
      <c r="AD350" s="26" t="inlineStr">
        <is>
          <t>HSTECH (Hang Seng TECH ETF)</t>
        </is>
      </c>
      <c r="AE350" s="34" t="n">
        <v>-36.49</v>
      </c>
      <c r="AF350" s="28" t="n">
        <v>2649.9</v>
      </c>
      <c r="AG350" s="28" t="n">
        <v>-1239.4</v>
      </c>
      <c r="AH350" s="26" t="inlineStr">
        <is>
          <t>N</t>
        </is>
      </c>
      <c r="AI350" s="38">
        <f>IF('BBG Verify'!O350="","not filed — run on terminal",'BBG Verify'!O350)</f>
        <v/>
      </c>
      <c r="AJ350" s="35" t="n">
        <v>8.199999999999999</v>
      </c>
      <c r="AK350" s="26" t="inlineStr">
        <is>
          <t>N</t>
        </is>
      </c>
      <c r="AL350" s="36">
        <f>IF('BBG Verify'!K350="","not filed — run on terminal",'BBG Verify'!K350)</f>
        <v/>
      </c>
      <c r="AM350" s="26" t="inlineStr">
        <is>
          <t>N/A</t>
        </is>
      </c>
      <c r="AN350" s="26" t="inlineStr">
        <is>
          <t>N/A</t>
        </is>
      </c>
      <c r="AO350" s="26" t="inlineStr">
        <is>
          <t>N/A</t>
        </is>
      </c>
      <c r="AP350" s="26" t="inlineStr">
        <is>
          <t>Morgan Stanley Asia Limited; China International Capital Corporation Hong Kong Securities Limited</t>
        </is>
      </c>
      <c r="AQ350" s="26" t="inlineStr">
        <is>
          <t>中國國際金融香港證券有限公司; 摩根士丹利亞洲有限公司</t>
        </is>
      </c>
      <c r="AR350" s="26" t="inlineStr">
        <is>
          <t>中國國際金融香港證券有限公司; 招銀國際融資有限公司; 德意志銀行香港分行; 星展亞洲融資有限公司; 大和資本市場香港有限公司; 廣發證券（香港）經紀有限公司</t>
        </is>
      </c>
      <c r="AS350" s="26" t="inlineStr">
        <is>
          <t>中國國際金融香港證券有限公司; 招銀國際融資有限公司; 德意志銀行香港分行; 星展亞洲融資有限公司; 大和資本市場香港有限公司; 廣發證券（香港）經紀有限公司; 工銀國際證券有限公司; 摩根士丹利亞洲有限公司; 南華證券投資有限公司; 申萬宏源證券（香港）有限公司; 老虎證券（香港）環球有限公司</t>
        </is>
      </c>
      <c r="AT350" s="37">
        <f>HYPERLINK("https://www1.hkexnews.hk/listedco/listconews/sehk/2025/0630/2025063000025.pdf","prospectus")</f>
        <v/>
      </c>
      <c r="AU350" s="37">
        <f>HYPERLINK("https://www1.hkexnews.hk/listedco/listconews/sehk/2025/0708/2025070801126.pdf","allotment")</f>
        <v/>
      </c>
      <c r="AV350" s="37">
        <f>HYPERLINK("https://www1.hkexnews.hk/listedco/listconews/sehk/2025/0804/2025080400319.pdf","stabilisation")</f>
        <v/>
      </c>
      <c r="AW350" s="26" t="inlineStr">
        <is>
          <t>intl sub: subscription level not stated in the filing · P/E: n/m — loss-making at IPO (use P/S) · A/H: no A-share listing</t>
        </is>
      </c>
    </row>
    <row r="351">
      <c r="A351" s="25" t="inlineStr">
        <is>
          <t>2597</t>
        </is>
      </c>
      <c r="B351" s="26" t="inlineStr">
        <is>
          <t>XUNZHONG</t>
        </is>
      </c>
      <c r="C351" s="26" t="inlineStr">
        <is>
          <t>訊眾通信</t>
        </is>
      </c>
      <c r="D351" s="26" t="inlineStr">
        <is>
          <t>Tech/AI</t>
        </is>
      </c>
      <c r="E351" s="26" t="inlineStr">
        <is>
          <t>SaaS / enterprise software</t>
        </is>
      </c>
      <c r="F351" s="26" t="inlineStr">
        <is>
          <t>Standard</t>
        </is>
      </c>
      <c r="G351" s="27" t="n">
        <v>45847</v>
      </c>
      <c r="H351" s="28" t="n">
        <v>412.5</v>
      </c>
      <c r="I351" s="26" t="inlineStr">
        <is>
          <t>gross (stated)</t>
        </is>
      </c>
      <c r="J351" s="29" t="n"/>
      <c r="K351" s="29" t="n">
        <v>15.15</v>
      </c>
      <c r="L351" s="29" t="n">
        <v>13.55</v>
      </c>
      <c r="M351" s="26" t="inlineStr">
        <is>
          <t>N</t>
        </is>
      </c>
      <c r="N351" s="30" t="n">
        <v>89.40000000000001</v>
      </c>
      <c r="O351" s="28" t="n">
        <v>1649.8</v>
      </c>
      <c r="P351" s="26" t="inlineStr">
        <is>
          <t>derived:price x shares upon listing</t>
        </is>
      </c>
      <c r="Q351" s="31" t="n">
        <v>12.79</v>
      </c>
      <c r="R351" s="32" t="n">
        <v>1.01</v>
      </c>
      <c r="S351" s="33" t="n">
        <v>31.54</v>
      </c>
      <c r="T351" s="26" t="inlineStr">
        <is>
          <t>Tongzhou International</t>
        </is>
      </c>
      <c r="U351" s="30" t="n">
        <v>7.88</v>
      </c>
      <c r="V351" s="26" t="inlineStr">
        <is>
          <t>lapsed (no over-allocation)</t>
        </is>
      </c>
      <c r="W351" s="34" t="n">
        <v>0.22</v>
      </c>
      <c r="X351" s="34" t="n">
        <v>-0.37</v>
      </c>
      <c r="Y351" s="34" t="n">
        <v>-0.37</v>
      </c>
      <c r="Z351" s="34" t="n">
        <v>47.6</v>
      </c>
      <c r="AA351" s="34" t="n">
        <v>-0.59</v>
      </c>
      <c r="AB351" s="34" t="n">
        <v>-4.38</v>
      </c>
      <c r="AC351" s="34" t="n">
        <v>4.01</v>
      </c>
      <c r="AD351" s="26" t="inlineStr">
        <is>
          <t>HSTECH (Hang Seng TECH ETF)</t>
        </is>
      </c>
      <c r="AE351" s="34" t="n">
        <v>176.9</v>
      </c>
      <c r="AF351" s="28" t="n">
        <v>1009.4</v>
      </c>
      <c r="AG351" s="28" t="n">
        <v>55.7</v>
      </c>
      <c r="AH351" s="26" t="inlineStr">
        <is>
          <t>Y</t>
        </is>
      </c>
      <c r="AI351" s="35" t="n">
        <v>29.6</v>
      </c>
      <c r="AJ351" s="35" t="n">
        <v>1.6</v>
      </c>
      <c r="AK351" s="26" t="inlineStr">
        <is>
          <t>N</t>
        </is>
      </c>
      <c r="AL351" s="36">
        <f>IF('BBG Verify'!K351="","not filed — run on terminal",'BBG Verify'!K351)</f>
        <v/>
      </c>
      <c r="AM351" s="26" t="inlineStr">
        <is>
          <t>N/A</t>
        </is>
      </c>
      <c r="AN351" s="26" t="inlineStr">
        <is>
          <t>N/A</t>
        </is>
      </c>
      <c r="AO351" s="26" t="inlineStr">
        <is>
          <t>N/A</t>
        </is>
      </c>
      <c r="AP351" s="26" t="n"/>
      <c r="AQ351" s="26" t="inlineStr">
        <is>
          <t>星展亞洲融資有限公司</t>
        </is>
      </c>
      <c r="AR351" s="26" t="inlineStr">
        <is>
          <t>Manager and Capital Market Intermediary DBS Asia Capital Limited; Managers and Capital Market Intermediaries Fosun International Securities Limited; Central, Hong Kong ICBC International Securities Limited; Zinvest Global Limited; Huafu International Securities Limited; Sheung Wan, Hong Kong Winbull Securities International (Hong Kong) Limited; Wan Chai, Hong Kong Long Bridge HK Limited; Central, Hong Kong ZH Securities Limited</t>
        </is>
      </c>
      <c r="AS351" s="26" t="inlineStr">
        <is>
          <t>中銀國際亞洲有限公司; 中州國際證券有限公司; 興證國際融資有限公司; 民銀證券有限公司; 中信建投(國際)融資有限公司; 星展亞洲融資有限公司; 復星國際證券有限公司; 國元證券經紀(香港)有限公司; 華福國際證券有限公司; 工銀國際證券有限公司; 長橋證券（香港）有限公司; 盈寶證券國際（香港）有限公司; 尊嘉證券國際有限公司; 中昊證券有限公司</t>
        </is>
      </c>
      <c r="AT351" s="37">
        <f>HYPERLINK("https://www1.hkexnews.hk/listedco/listconews/sehk/2025/0630/2025063000023.pdf","prospectus")</f>
        <v/>
      </c>
      <c r="AU351" s="37">
        <f>HYPERLINK("https://www1.hkexnews.hk/listedco/listconews/sehk/2025/0708/2025070801152.pdf","allotment")</f>
        <v/>
      </c>
      <c r="AV351" s="37">
        <f>HYPERLINK("https://www1.hkexnews.hk/listedco/listconews/sehk/2025/0804/2025080400029.pdf","stabilisation")</f>
        <v/>
      </c>
      <c r="AW351" s="26" t="inlineStr">
        <is>
          <t>A/H: no A-share listing · sponsor: English name not in the filing text; AAStocks 保薦人 shown</t>
        </is>
      </c>
    </row>
    <row r="352">
      <c r="A352" s="25" t="inlineStr">
        <is>
          <t>1304</t>
        </is>
      </c>
      <c r="B352" s="26" t="inlineStr">
        <is>
          <t>FORTIOR</t>
        </is>
      </c>
      <c r="C352" s="26" t="inlineStr">
        <is>
          <t>FORTIOR</t>
        </is>
      </c>
      <c r="D352" s="26" t="inlineStr">
        <is>
          <t>Tech/AI</t>
        </is>
      </c>
      <c r="E352" s="26" t="inlineStr">
        <is>
          <t>AI chips &amp; semis</t>
        </is>
      </c>
      <c r="F352" s="26" t="inlineStr">
        <is>
          <t>Standard</t>
        </is>
      </c>
      <c r="G352" s="27" t="n">
        <v>45847</v>
      </c>
      <c r="H352" s="28" t="n">
        <v>2258.7</v>
      </c>
      <c r="I352" s="26" t="inlineStr">
        <is>
          <t>gross (stated)</t>
        </is>
      </c>
      <c r="J352" s="29" t="n"/>
      <c r="K352" s="29" t="n">
        <v>120.5</v>
      </c>
      <c r="L352" s="29" t="n">
        <v>120.5</v>
      </c>
      <c r="M352" s="26" t="inlineStr">
        <is>
          <t>Y</t>
        </is>
      </c>
      <c r="N352" s="30" t="n">
        <v>100</v>
      </c>
      <c r="O352" s="28" t="n">
        <v>13070.6</v>
      </c>
      <c r="P352" s="26" t="inlineStr">
        <is>
          <t>prospectus:stated market capitalisation</t>
        </is>
      </c>
      <c r="Q352" s="31" t="n">
        <v>138.26</v>
      </c>
      <c r="R352" s="32" t="n">
        <v>8.609999999999999</v>
      </c>
      <c r="S352" s="33" t="n">
        <v>44.76</v>
      </c>
      <c r="T352" s="26" t="inlineStr">
        <is>
          <t>Taikang Life; Pinpoint; Wind Sabre; ChinaAMC; Mega Prime; Sanhua International Singapore; Fourier Capital; Torus; Intac</t>
        </is>
      </c>
      <c r="U352" s="30" t="n">
        <v>15</v>
      </c>
      <c r="V352" s="26" t="inlineStr">
        <is>
          <t>full</t>
        </is>
      </c>
      <c r="W352" s="34" t="n">
        <v>16.02</v>
      </c>
      <c r="X352" s="34" t="n">
        <v>25.81</v>
      </c>
      <c r="Y352" s="34" t="n">
        <v>30.87</v>
      </c>
      <c r="Z352" s="34" t="n">
        <v>65.06</v>
      </c>
      <c r="AA352" s="34" t="n">
        <v>12.8</v>
      </c>
      <c r="AB352" s="34" t="n">
        <v>26.86</v>
      </c>
      <c r="AC352" s="34" t="n">
        <v>4.01</v>
      </c>
      <c r="AD352" s="26" t="inlineStr">
        <is>
          <t>HSTECH (Hang Seng TECH ETF)</t>
        </is>
      </c>
      <c r="AE352" s="34" t="n">
        <v>-1.99</v>
      </c>
      <c r="AF352" s="28" t="n">
        <v>660.4</v>
      </c>
      <c r="AG352" s="28" t="n">
        <v>156.2</v>
      </c>
      <c r="AH352" s="26" t="inlineStr">
        <is>
          <t>Y</t>
        </is>
      </c>
      <c r="AI352" s="35" t="n">
        <v>83.7</v>
      </c>
      <c r="AJ352" s="35" t="n">
        <v>19.8</v>
      </c>
      <c r="AK352" s="26" t="inlineStr">
        <is>
          <t>Y</t>
        </is>
      </c>
      <c r="AL352" s="26" t="inlineStr">
        <is>
          <t>688279.SS</t>
        </is>
      </c>
      <c r="AM352" s="34" t="n">
        <v>-39.88</v>
      </c>
      <c r="AN352" s="29" t="n">
        <v>200.418</v>
      </c>
      <c r="AO352" s="42" t="n">
        <v>-0.4318</v>
      </c>
      <c r="AP352" s="26" t="inlineStr">
        <is>
          <t>China International Capital Corporation Hong Kong Securities Limited</t>
        </is>
      </c>
      <c r="AQ352" s="26" t="inlineStr">
        <is>
          <t>中國國際金融香港證券有限公司</t>
        </is>
      </c>
      <c r="AR352" s="26" t="inlineStr">
        <is>
          <t>China International Capital Corporation Hong Kong Securities Limited; BOCI Asia Limited; GF Securities (Hong Kong) Brokerage Limited</t>
        </is>
      </c>
      <c r="AS352" s="26" t="inlineStr">
        <is>
          <t>中銀國際亞洲有限公司; 中國國際金融香港證券有限公司; 廣發證券（香港）經紀有限公司</t>
        </is>
      </c>
      <c r="AT352" s="37">
        <f>HYPERLINK("https://www1.hkexnews.hk/listedco/listconews/sehk/2025/0630/2025063000015.pdf","prospectus")</f>
        <v/>
      </c>
      <c r="AU352" s="37">
        <f>HYPERLINK("https://www1.hkexnews.hk/listedco/listconews/sehk/2025/0708/2025070801154.pdf","allotment")</f>
        <v/>
      </c>
      <c r="AV352" s="37">
        <f>HYPERLINK("https://www1.hkexnews.hk/listedco/listconews/sehk/2025/0803/2025080300007.pdf","stabilisation")</f>
        <v/>
      </c>
      <c r="AW352" s="26" t="inlineStr">
        <is>
          <t>A/H: Jul 2025 H listing (BLDC motor-driver chips)</t>
        </is>
      </c>
    </row>
    <row r="353">
      <c r="A353" s="25" t="inlineStr">
        <is>
          <t>6613</t>
        </is>
      </c>
      <c r="B353" s="26" t="inlineStr">
        <is>
          <t>LENS</t>
        </is>
      </c>
      <c r="C353" s="26" t="inlineStr">
        <is>
          <t>藍思科技</t>
        </is>
      </c>
      <c r="D353" s="26" t="inlineStr">
        <is>
          <t>Tech/AI</t>
        </is>
      </c>
      <c r="E353" s="26" t="inlineStr">
        <is>
          <t>Smart hardware / consumer electronics</t>
        </is>
      </c>
      <c r="F353" s="26" t="inlineStr">
        <is>
          <t>Standard</t>
        </is>
      </c>
      <c r="G353" s="27" t="n">
        <v>45847</v>
      </c>
      <c r="H353" s="28" t="n">
        <v>4767.83</v>
      </c>
      <c r="I353" s="26" t="inlineStr">
        <is>
          <t>gross (stated)</t>
        </is>
      </c>
      <c r="J353" s="29" t="n"/>
      <c r="K353" s="29" t="n">
        <v>18.18</v>
      </c>
      <c r="L353" s="29" t="n">
        <v>18.18</v>
      </c>
      <c r="M353" s="26" t="inlineStr">
        <is>
          <t>Y</t>
        </is>
      </c>
      <c r="N353" s="30" t="n">
        <v>100</v>
      </c>
      <c r="O353" s="28" t="n">
        <v>96069.8</v>
      </c>
      <c r="P353" s="26" t="inlineStr">
        <is>
          <t>aastocks:上市市值 at the struck price</t>
        </is>
      </c>
      <c r="Q353" s="31" t="n">
        <v>462.76</v>
      </c>
      <c r="R353" s="32" t="n">
        <v>16.68</v>
      </c>
      <c r="S353" s="33" t="n">
        <v>32.2</v>
      </c>
      <c r="T353" s="44" t="inlineStr">
        <is>
          <t>Green Better; Olympic Country; UBS AM Singapore; Poly Platinum; Infini; Verition</t>
        </is>
      </c>
      <c r="U353" s="30" t="n">
        <v>15</v>
      </c>
      <c r="V353" s="26" t="inlineStr">
        <is>
          <t>full</t>
        </is>
      </c>
      <c r="W353" s="34" t="n">
        <v>9.130000000000001</v>
      </c>
      <c r="X353" s="34" t="n">
        <v>6.38</v>
      </c>
      <c r="Y353" s="34" t="n">
        <v>16.06</v>
      </c>
      <c r="Z353" s="34" t="n">
        <v>76.79000000000001</v>
      </c>
      <c r="AA353" s="34" t="n">
        <v>6.35</v>
      </c>
      <c r="AB353" s="34" t="n">
        <v>12.05</v>
      </c>
      <c r="AC353" s="34" t="n">
        <v>4.01</v>
      </c>
      <c r="AD353" s="26" t="inlineStr">
        <is>
          <t>HSTECH (Hang Seng TECH ETF)</t>
        </is>
      </c>
      <c r="AE353" s="34" t="n">
        <v>32.01</v>
      </c>
      <c r="AF353" s="28" t="n">
        <v>2.2</v>
      </c>
      <c r="AG353" s="28" t="n">
        <v>4044.5</v>
      </c>
      <c r="AH353" s="26" t="inlineStr">
        <is>
          <t>Y</t>
        </is>
      </c>
      <c r="AI353" s="35" t="n">
        <v>23.8</v>
      </c>
      <c r="AJ353" s="35" t="n">
        <v>43668.1</v>
      </c>
      <c r="AK353" s="26" t="inlineStr">
        <is>
          <t>Y</t>
        </is>
      </c>
      <c r="AL353" s="26" t="inlineStr">
        <is>
          <t>300433.SZ</t>
        </is>
      </c>
      <c r="AM353" s="34" t="n">
        <v>-28.77</v>
      </c>
      <c r="AN353" s="29" t="n">
        <v>25.5213</v>
      </c>
      <c r="AO353" s="42" t="n">
        <v>-0.4581</v>
      </c>
      <c r="AP353" s="26" t="inlineStr">
        <is>
          <t>CITIC Securities (Hong Kong) Limited</t>
        </is>
      </c>
      <c r="AQ353" s="26" t="inlineStr">
        <is>
          <t>中信證券(香港)有限公司</t>
        </is>
      </c>
      <c r="AR353" s="26" t="inlineStr">
        <is>
          <t>CLSA Limited; Merrill Lynch (Asia Pacific) Limited; ABCI Capital Limited; BOCI Asia Limited; Futu Securities International (Hong Kong) Limited; AVICT Global Asset Management Limited</t>
        </is>
      </c>
      <c r="AS353" s="26" t="inlineStr">
        <is>
          <t>農銀國際證券有限公司; 中航資信環球資產管理有限公司; 中銀國際亞洲有限公司; 中信里昂證券有限公司; 富途證券國際（香港）有限公司; 美林(亞太)有限公司</t>
        </is>
      </c>
      <c r="AT353" s="37">
        <f>HYPERLINK("https://www1.hkexnews.hk/listedco/listconews/sehk/2025/0630/2025063000031.pdf","prospectus")</f>
        <v/>
      </c>
      <c r="AU353" s="37">
        <f>HYPERLINK("https://www1.hkexnews.hk/listedco/listconews/sehk/2025/0708/2025070801180.pdf","allotment")</f>
        <v/>
      </c>
      <c r="AV353" s="37">
        <f>HYPERLINK("https://www1.hkexnews.hk/listedco/listconews/sehk/2025/0803/2025080300029.pdf","stabilisation")</f>
        <v/>
      </c>
      <c r="AW353" s="26" t="inlineStr">
        <is>
          <t>A/H: Jul 2025 H listing (cover glass, Apple chain)</t>
        </is>
      </c>
    </row>
    <row r="354">
      <c r="A354" s="25" t="inlineStr">
        <is>
          <t>9887</t>
        </is>
      </c>
      <c r="B354" s="26" t="inlineStr">
        <is>
          <t>LEADS BIOLABS-B</t>
        </is>
      </c>
      <c r="C354" s="26" t="inlineStr">
        <is>
          <t>維立志博－Ｂ</t>
        </is>
      </c>
      <c r="D354" s="26" t="inlineStr">
        <is>
          <t>Healthcare</t>
        </is>
      </c>
      <c r="E354" s="26" t="inlineStr">
        <is>
          <t>Biotech pre-revenue (18A)</t>
        </is>
      </c>
      <c r="F354" s="26" t="inlineStr">
        <is>
          <t>18A</t>
        </is>
      </c>
      <c r="G354" s="27" t="n">
        <v>45863</v>
      </c>
      <c r="H354" s="28" t="n">
        <v>1290.2</v>
      </c>
      <c r="I354" s="26" t="inlineStr">
        <is>
          <t>gross (stated)</t>
        </is>
      </c>
      <c r="J354" s="29" t="n">
        <v>31.6</v>
      </c>
      <c r="K354" s="29" t="n">
        <v>35</v>
      </c>
      <c r="L354" s="29" t="n">
        <v>35</v>
      </c>
      <c r="M354" s="26" t="inlineStr">
        <is>
          <t>Y</t>
        </is>
      </c>
      <c r="N354" s="30" t="n">
        <v>100</v>
      </c>
      <c r="O354" s="28" t="n">
        <v>5958.3</v>
      </c>
      <c r="P354" s="26" t="inlineStr">
        <is>
          <t>prospectus:stated market capitalisation</t>
        </is>
      </c>
      <c r="Q354" s="31" t="n">
        <v>3494.78</v>
      </c>
      <c r="R354" s="32" t="n">
        <v>40.78</v>
      </c>
      <c r="S354" s="33" t="n">
        <v>10.63</v>
      </c>
      <c r="T354" s="26" t="inlineStr">
        <is>
          <t>Loyal Valley Fund III; Vision Fund</t>
        </is>
      </c>
      <c r="U354" s="30" t="n">
        <v>15</v>
      </c>
      <c r="V354" s="26" t="inlineStr">
        <is>
          <t>full</t>
        </is>
      </c>
      <c r="W354" s="34" t="n">
        <v>91.70999999999999</v>
      </c>
      <c r="X354" s="34" t="n">
        <v>100</v>
      </c>
      <c r="Y354" s="34" t="n">
        <v>94.29000000000001</v>
      </c>
      <c r="Z354" s="34" t="n">
        <v>69.14</v>
      </c>
      <c r="AA354" s="34" t="n">
        <v>1.35</v>
      </c>
      <c r="AB354" s="34" t="n">
        <v>84.23999999999999</v>
      </c>
      <c r="AC354" s="34" t="n">
        <v>10.05</v>
      </c>
      <c r="AD354" s="26" t="inlineStr">
        <is>
          <t>China Biotech ETF (HS biotech proxy)</t>
        </is>
      </c>
      <c r="AE354" s="34" t="n">
        <v>108.57</v>
      </c>
      <c r="AF354" s="28" t="n">
        <v>9.800000000000001</v>
      </c>
      <c r="AG354" s="28" t="n">
        <v>-95.2</v>
      </c>
      <c r="AH354" s="26" t="inlineStr">
        <is>
          <t>N</t>
        </is>
      </c>
      <c r="AI354" s="38">
        <f>IF('BBG Verify'!O354="","not filed — run on terminal",'BBG Verify'!O354)</f>
        <v/>
      </c>
      <c r="AJ354" s="35" t="n">
        <v>608</v>
      </c>
      <c r="AK354" s="26" t="inlineStr">
        <is>
          <t>N</t>
        </is>
      </c>
      <c r="AL354" s="36">
        <f>IF('BBG Verify'!K354="","not filed — run on terminal",'BBG Verify'!K354)</f>
        <v/>
      </c>
      <c r="AM354" s="26" t="inlineStr">
        <is>
          <t>N/A</t>
        </is>
      </c>
      <c r="AN354" s="26" t="inlineStr">
        <is>
          <t>N/A</t>
        </is>
      </c>
      <c r="AO354" s="26" t="inlineStr">
        <is>
          <t>N/A</t>
        </is>
      </c>
      <c r="AP354" s="26" t="inlineStr">
        <is>
          <t>Morgan StanleyAsia Limited; CITIC Securities (Hong Kong) Limited; Sponsor — Overall Coordinators Morgan StanleyAsia Limited; CLSA Limited</t>
        </is>
      </c>
      <c r="AQ354" s="26" t="inlineStr">
        <is>
          <t>摩根士丹利亞洲有限公司; 中信證券(香港)有限公司</t>
        </is>
      </c>
      <c r="AR354" s="26" t="inlineStr">
        <is>
          <t>建銀國際金融有限公司; 中信里昂證券有限公司; 招銀國際融資有限公司; 富途證券國際（香港）有限公司; 摩根士丹利亞洲有限公司</t>
        </is>
      </c>
      <c r="AS354" s="26" t="inlineStr">
        <is>
          <t>建銀國際金融有限公司; 中信里昂證券有限公司; 招銀國際融資有限公司; 富途證券國際（香港）有限公司; 摩根士丹利亞洲有限公司</t>
        </is>
      </c>
      <c r="AT354" s="37">
        <f>HYPERLINK("https://www1.hkexnews.hk/listedco/listconews/sehk/2025/0717/2025071700005.pdf","prospectus")</f>
        <v/>
      </c>
      <c r="AU354" s="37">
        <f>HYPERLINK("https://www1.hkexnews.hk/listedco/listconews/sehk/2025/0724/2025072401812.pdf","allotment")</f>
        <v/>
      </c>
      <c r="AV354" s="37">
        <f>HYPERLINK("https://www1.hkexnews.hk/listedco/listconews/sehk/2025/0821/2025082100862.pdf","stabilisation")</f>
        <v/>
      </c>
      <c r="AW354" s="26" t="inlineStr">
        <is>
          <t>P/E: n/m — loss-making at IPO (use P/S) · A/H: no A-share listing</t>
        </is>
      </c>
    </row>
    <row r="355">
      <c r="A355" s="25" t="inlineStr">
        <is>
          <t>2627</t>
        </is>
      </c>
      <c r="B355" s="26" t="inlineStr">
        <is>
          <t>AB&amp;B BIO-TECH-B</t>
        </is>
      </c>
      <c r="C355" s="26" t="inlineStr">
        <is>
          <t>中慧生物－Ｂ</t>
        </is>
      </c>
      <c r="D355" s="26" t="inlineStr">
        <is>
          <t>Healthcare</t>
        </is>
      </c>
      <c r="E355" s="26" t="inlineStr">
        <is>
          <t>Biotech pre-revenue (18A)</t>
        </is>
      </c>
      <c r="F355" s="26" t="inlineStr">
        <is>
          <t>18A</t>
        </is>
      </c>
      <c r="G355" s="27" t="n">
        <v>45880</v>
      </c>
      <c r="H355" s="28" t="n">
        <v>431.4</v>
      </c>
      <c r="I355" s="26" t="inlineStr">
        <is>
          <t>gross (stated)</t>
        </is>
      </c>
      <c r="J355" s="29" t="n"/>
      <c r="K355" s="29" t="n">
        <v>15.5</v>
      </c>
      <c r="L355" s="29" t="n">
        <v>12.9</v>
      </c>
      <c r="M355" s="26" t="inlineStr">
        <is>
          <t>N</t>
        </is>
      </c>
      <c r="N355" s="30" t="n">
        <v>83.2</v>
      </c>
      <c r="O355" s="28" t="n">
        <v>5075.4</v>
      </c>
      <c r="P355" s="26" t="inlineStr">
        <is>
          <t>derived:price x shares upon listing</t>
        </is>
      </c>
      <c r="Q355" s="31" t="n">
        <v>4007.64</v>
      </c>
      <c r="R355" s="32" t="n">
        <v>0.99</v>
      </c>
      <c r="S355" s="33" t="n">
        <v>33.3</v>
      </c>
      <c r="T355" s="26" t="n"/>
      <c r="U355" s="30" t="n"/>
      <c r="V355" s="26" t="n"/>
      <c r="W355" s="34" t="n">
        <v>157.98</v>
      </c>
      <c r="X355" s="34" t="n">
        <v>314.73</v>
      </c>
      <c r="Y355" s="34" t="n">
        <v>261.09</v>
      </c>
      <c r="Z355" s="34" t="n">
        <v>212.71</v>
      </c>
      <c r="AA355" s="34" t="n">
        <v>39.97</v>
      </c>
      <c r="AB355" s="34" t="n">
        <v>248.23</v>
      </c>
      <c r="AC355" s="34" t="n">
        <v>12.86</v>
      </c>
      <c r="AD355" s="26" t="inlineStr">
        <is>
          <t>China Biotech ETF (HS biotech proxy)</t>
        </is>
      </c>
      <c r="AE355" s="34" t="n">
        <v>127.29</v>
      </c>
      <c r="AF355" s="28" t="n">
        <v>0.3</v>
      </c>
      <c r="AG355" s="28" t="n">
        <v>0</v>
      </c>
      <c r="AH355" s="26" t="inlineStr">
        <is>
          <t>N</t>
        </is>
      </c>
      <c r="AI355" s="38">
        <f>IF('BBG Verify'!O355="","not filed — run on terminal",'BBG Verify'!O355)</f>
        <v/>
      </c>
      <c r="AJ355" s="35" t="n">
        <v>16918</v>
      </c>
      <c r="AK355" s="26" t="inlineStr">
        <is>
          <t>N</t>
        </is>
      </c>
      <c r="AL355" s="36">
        <f>IF('BBG Verify'!K355="","not filed — run on terminal",'BBG Verify'!K355)</f>
        <v/>
      </c>
      <c r="AM355" s="26" t="inlineStr">
        <is>
          <t>N/A</t>
        </is>
      </c>
      <c r="AN355" s="26" t="inlineStr">
        <is>
          <t>N/A</t>
        </is>
      </c>
      <c r="AO355" s="26" t="inlineStr">
        <is>
          <t>N/A</t>
        </is>
      </c>
      <c r="AP355" s="26" t="inlineStr">
        <is>
          <t>CITIC Securities (Hong Kong) Limited; CMB International Capital Limited</t>
        </is>
      </c>
      <c r="AQ355" s="26" t="inlineStr">
        <is>
          <t>中信證券(香港)有限公司; 招銀國際融資有限公司</t>
        </is>
      </c>
      <c r="AR355" s="26" t="inlineStr">
        <is>
          <t>CLSA Limited; CMB International Capital Limited; Livermore Holdings Limited; Funde Securities Limited; Aristo Securities Limited; BOCI Asia Limited; ICBC International Securities Limited</t>
        </is>
      </c>
      <c r="AS355" s="26" t="inlineStr">
        <is>
          <t>雅利多證券有限公司; 中銀國際亞洲有限公司; 中信里昂證券有限公司; 招銀國際融資有限公司; 富德證券有限公司; 工銀國際證券有限公司; 利弗莫爾證券有限公司</t>
        </is>
      </c>
      <c r="AT355" s="37">
        <f>HYPERLINK("https://www1.hkexnews.hk/listedco/listconews/sehk/2025/0731/2025073100087.pdf","prospectus")</f>
        <v/>
      </c>
      <c r="AU355" s="37">
        <f>HYPERLINK("https://www1.hkexnews.hk/listedco/listconews/sehk/2025/0808/2025080801368.pdf","allotment")</f>
        <v/>
      </c>
      <c r="AV355" s="26" t="n"/>
      <c r="AW355" s="26" t="inlineStr">
        <is>
          <t>P/E: n/m — loss-making at IPO (use P/S) · greenshoe: no over-allotment option in the offer structure · A/H: no A-share listing</t>
        </is>
      </c>
    </row>
    <row r="356">
      <c r="A356" s="25" t="inlineStr">
        <is>
          <t>2591</t>
        </is>
      </c>
      <c r="B356" s="26" t="inlineStr">
        <is>
          <t>INNOGEN-B</t>
        </is>
      </c>
      <c r="C356" s="26" t="inlineStr">
        <is>
          <t>銀諾醫藥－Ｂ</t>
        </is>
      </c>
      <c r="D356" s="26" t="inlineStr">
        <is>
          <t>Healthcare</t>
        </is>
      </c>
      <c r="E356" s="26" t="inlineStr">
        <is>
          <t>Biotech pre-revenue (18A)</t>
        </is>
      </c>
      <c r="F356" s="26" t="inlineStr">
        <is>
          <t>18A</t>
        </is>
      </c>
      <c r="G356" s="27" t="n">
        <v>45884</v>
      </c>
      <c r="H356" s="28" t="n">
        <v>682.9</v>
      </c>
      <c r="I356" s="26" t="inlineStr">
        <is>
          <t>gross (stated)</t>
        </is>
      </c>
      <c r="J356" s="29" t="n"/>
      <c r="K356" s="29" t="n">
        <v>18.68</v>
      </c>
      <c r="L356" s="29" t="n">
        <v>18.68</v>
      </c>
      <c r="M356" s="26" t="inlineStr">
        <is>
          <t>Y</t>
        </is>
      </c>
      <c r="N356" s="30" t="n">
        <v>100</v>
      </c>
      <c r="O356" s="28" t="n">
        <v>8533.4</v>
      </c>
      <c r="P356" s="26" t="inlineStr">
        <is>
          <t>derived:price x shares upon listing</t>
        </is>
      </c>
      <c r="Q356" s="31" t="n">
        <v>5341.66</v>
      </c>
      <c r="R356" s="32" t="n">
        <v>10.67</v>
      </c>
      <c r="S356" s="33" t="n">
        <v>11.49</v>
      </c>
      <c r="T356" s="26" t="inlineStr">
        <is>
          <t>LI Huifeng ( ኇᅆჾ); June Star Global Limited; SPC-XtalPi AI Fund SP; Marketingforce Management Ltd; DENG Haifeng; Palace Investments Pte. Ltd; BioTrack AA Limited Note; BioTrack BZ Limited Note</t>
        </is>
      </c>
      <c r="U356" s="30" t="n">
        <v>11.19</v>
      </c>
      <c r="V356" s="26" t="n"/>
      <c r="W356" s="34" t="n">
        <v>206.48</v>
      </c>
      <c r="X356" s="34" t="n">
        <v>183.73</v>
      </c>
      <c r="Y356" s="34" t="n">
        <v>137.37</v>
      </c>
      <c r="Z356" s="34" t="n">
        <v>84.58</v>
      </c>
      <c r="AA356" s="34" t="n">
        <v>-22.55</v>
      </c>
      <c r="AB356" s="34" t="n">
        <v>131.52</v>
      </c>
      <c r="AC356" s="34" t="n">
        <v>5.85</v>
      </c>
      <c r="AD356" s="26" t="inlineStr">
        <is>
          <t>China Biotech ETF (HS biotech proxy)</t>
        </is>
      </c>
      <c r="AE356" s="34" t="n">
        <v>-75.95999999999999</v>
      </c>
      <c r="AF356" s="28" t="n">
        <v>42</v>
      </c>
      <c r="AG356" s="28" t="n">
        <v>-68.09999999999999</v>
      </c>
      <c r="AH356" s="26" t="inlineStr">
        <is>
          <t>N</t>
        </is>
      </c>
      <c r="AI356" s="38">
        <f>IF('BBG Verify'!O356="","not filed — run on terminal",'BBG Verify'!O356)</f>
        <v/>
      </c>
      <c r="AJ356" s="35" t="n">
        <v>203.2</v>
      </c>
      <c r="AK356" s="26" t="inlineStr">
        <is>
          <t>N</t>
        </is>
      </c>
      <c r="AL356" s="36">
        <f>IF('BBG Verify'!K356="","not filed — run on terminal",'BBG Verify'!K356)</f>
        <v/>
      </c>
      <c r="AM356" s="26" t="inlineStr">
        <is>
          <t>N/A</t>
        </is>
      </c>
      <c r="AN356" s="26" t="inlineStr">
        <is>
          <t>N/A</t>
        </is>
      </c>
      <c r="AO356" s="26" t="inlineStr">
        <is>
          <t>N/A</t>
        </is>
      </c>
      <c r="AP356" s="26" t="inlineStr">
        <is>
          <t>CITIC Securities (Hong Kong) Limited; China International Capital Corporation Hong Kong Securities Limited</t>
        </is>
      </c>
      <c r="AQ356" s="26" t="inlineStr">
        <is>
          <t>中國國際金融香港證券有限公司; 中信證券(香港)有限公司</t>
        </is>
      </c>
      <c r="AR356" s="26"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AS356" s="26" t="inlineStr">
        <is>
          <t>農銀國際證券有限公司; 交銀國際證券有限公司; 中國銀河國際證券(香港)有限公司; 中國國際金融香港證券有限公司; 中信里昂證券有限公司; 招銀國際融資有限公司; 德意志銀行; 復星國際證券有限公司; 富途證券國際（香港）有限公司; 富澤證券（國際）有限公司; 哈富證券有限公司; 麥格理資本股份有限公司; 老虎證券（香港）環球有限公司</t>
        </is>
      </c>
      <c r="AT356" s="37">
        <f>HYPERLINK("https://www1.hkexnews.hk/listedco/listconews/sehk/2025/0807/2025080700013.pdf","prospectus")</f>
        <v/>
      </c>
      <c r="AU356" s="37">
        <f>HYPERLINK("https://www1.hkexnews.hk/listedco/listconews/sehk/2025/0814/2025081401622.pdf","allotment")</f>
        <v/>
      </c>
      <c r="AV356" s="26" t="n"/>
      <c r="AW356" s="26" t="inlineStr">
        <is>
          <t>P/E: n/m — loss-making at IPO (use P/S) · greenshoe: end-of-stabilisation notice not located · A/H: no A-share listing</t>
        </is>
      </c>
    </row>
    <row r="357">
      <c r="A357" s="25" t="inlineStr">
        <is>
          <t>2631</t>
        </is>
      </c>
      <c r="B357" s="26" t="inlineStr">
        <is>
          <t>SICC</t>
        </is>
      </c>
      <c r="C357" s="26" t="inlineStr">
        <is>
          <t>天岳先進</t>
        </is>
      </c>
      <c r="D357" s="26" t="inlineStr">
        <is>
          <t>Tech/AI</t>
        </is>
      </c>
      <c r="E357" s="26" t="inlineStr">
        <is>
          <t>AI chips &amp; semis</t>
        </is>
      </c>
      <c r="F357" s="26" t="inlineStr">
        <is>
          <t>Standard</t>
        </is>
      </c>
      <c r="G357" s="27" t="n">
        <v>45889</v>
      </c>
      <c r="H357" s="28" t="n">
        <v>2043.5</v>
      </c>
      <c r="I357" s="26" t="inlineStr">
        <is>
          <t>gross (stated)</t>
        </is>
      </c>
      <c r="J357" s="29" t="n"/>
      <c r="K357" s="29" t="n">
        <v>42.8</v>
      </c>
      <c r="L357" s="29" t="n">
        <v>42.8</v>
      </c>
      <c r="M357" s="26" t="inlineStr">
        <is>
          <t>Y</t>
        </is>
      </c>
      <c r="N357" s="30" t="n">
        <v>100</v>
      </c>
      <c r="O357" s="28" t="n">
        <v>18084.1</v>
      </c>
      <c r="P357" s="26" t="inlineStr">
        <is>
          <t>derived:deal size / offer % of enlarged capital</t>
        </is>
      </c>
      <c r="Q357" s="31" t="n">
        <v>2809.19</v>
      </c>
      <c r="R357" s="32" t="n">
        <v>9.039999999999999</v>
      </c>
      <c r="S357" s="33" t="n">
        <v>36.2</v>
      </c>
      <c r="T357" s="26" t="inlineStr">
        <is>
          <t>H&amp;T Intelligent Control International Co., Limited; Mr. Lan Kun ( ᚆտ)</t>
        </is>
      </c>
      <c r="U357" s="30" t="n">
        <v>15</v>
      </c>
      <c r="V357" s="26" t="inlineStr">
        <is>
          <t>full</t>
        </is>
      </c>
      <c r="W357" s="34" t="n">
        <v>6.4</v>
      </c>
      <c r="X357" s="34" t="n">
        <v>2.34</v>
      </c>
      <c r="Y357" s="34" t="n">
        <v>42.29</v>
      </c>
      <c r="Z357" s="34" t="n">
        <v>23.25</v>
      </c>
      <c r="AA357" s="34" t="n">
        <v>33.73</v>
      </c>
      <c r="AB357" s="34" t="n">
        <v>29.25</v>
      </c>
      <c r="AC357" s="34" t="n">
        <v>13.04</v>
      </c>
      <c r="AD357" s="26" t="inlineStr">
        <is>
          <t>HSTECH (Hang Seng TECH ETF)</t>
        </is>
      </c>
      <c r="AE357" s="34" t="n">
        <v>87.5</v>
      </c>
      <c r="AF357" s="28" t="n">
        <v>1945</v>
      </c>
      <c r="AG357" s="28" t="n">
        <v>196.9</v>
      </c>
      <c r="AH357" s="26" t="inlineStr">
        <is>
          <t>Y</t>
        </is>
      </c>
      <c r="AI357" s="35" t="n">
        <v>91.8</v>
      </c>
      <c r="AJ357" s="35" t="n">
        <v>9.300000000000001</v>
      </c>
      <c r="AK357" s="26" t="inlineStr">
        <is>
          <t>Y</t>
        </is>
      </c>
      <c r="AL357" s="26" t="inlineStr">
        <is>
          <t>688234.SS</t>
        </is>
      </c>
      <c r="AM357" s="34" t="n">
        <v>-41.19</v>
      </c>
      <c r="AN357" s="29" t="n">
        <v>72.779</v>
      </c>
      <c r="AO357" s="42" t="n">
        <v>-0.368</v>
      </c>
      <c r="AP357" s="26" t="inlineStr">
        <is>
          <t>China International Capital Corporation Hong Kong Securities Limited; CITIC Securities (Hong Kong) Limited; Sponsor-OC China International Capital Corporation Hong Kong Securities Limited; CLSA Limited</t>
        </is>
      </c>
      <c r="AQ357" s="26" t="inlineStr">
        <is>
          <t>中國國際金融香港證券有限公司; 中信證券(香港)有限公司</t>
        </is>
      </c>
      <c r="AR357" s="26"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AS357" s="26" t="inlineStr">
        <is>
          <t>農銀國際證券有限公司; 中銀國際亞洲有限公司; 建銀國際金融有限公司; 中國銀河國際證券(香港)有限公司; 中國國際金融香港證券有限公司; 中信里昂證券有限公司; 招銀國際融資有限公司; 復星國際證券有限公司; 富途證券國際（香港）有限公司; 廣發證券（香港）經紀有限公司; 華福國際證券有限公司; 海通國際證券有限公司; 香港上海匯豐銀行有限公司; 工銀國際證券有限公司; 申萬宏源證券（香港）有限公司; 太陽證券有限公司; 老虎證券（香港）環球有限公司; 大華繼顯(香港)有限公司; 中泰國際證券有限公司</t>
        </is>
      </c>
      <c r="AT357" s="37">
        <f>HYPERLINK("https://www1.hkexnews.hk/listedco/listconews/sehk/2025/0811/2025081100005.pdf","prospectus")</f>
        <v/>
      </c>
      <c r="AU357" s="37">
        <f>HYPERLINK("https://www1.hkexnews.hk/listedco/listconews/sehk/2025/0819/2025081901728.pdf","allotment")</f>
        <v/>
      </c>
      <c r="AV357" s="37">
        <f>HYPERLINK("https://www1.hkexnews.hk/listedco/listconews/sehk/2025/0914/2025091400109.pdf","stabilisation")</f>
        <v/>
      </c>
      <c r="AW357" s="26" t="inlineStr">
        <is>
          <t>A/H: Aug 2025 H listing (SiC substrates)</t>
        </is>
      </c>
    </row>
    <row r="358">
      <c r="A358" s="25" t="inlineStr">
        <is>
          <t>6960</t>
        </is>
      </c>
      <c r="B358" s="26" t="inlineStr">
        <is>
          <t>SHUANGDENG</t>
        </is>
      </c>
      <c r="C358" s="26" t="inlineStr">
        <is>
          <t>雙登股份</t>
        </is>
      </c>
      <c r="D358" s="26" t="inlineStr">
        <is>
          <t>Industrials</t>
        </is>
      </c>
      <c r="E358" s="26" t="inlineStr">
        <is>
          <t>Batteries / energy storage</t>
        </is>
      </c>
      <c r="F358" s="26" t="inlineStr">
        <is>
          <t>Standard</t>
        </is>
      </c>
      <c r="G358" s="27" t="n">
        <v>45895</v>
      </c>
      <c r="H358" s="28" t="n">
        <v>849.66</v>
      </c>
      <c r="I358" s="26" t="inlineStr">
        <is>
          <t>gross (stated)</t>
        </is>
      </c>
      <c r="J358" s="29" t="n"/>
      <c r="K358" s="29" t="n">
        <v>14.51</v>
      </c>
      <c r="L358" s="29" t="n">
        <v>14.51</v>
      </c>
      <c r="M358" s="26" t="inlineStr">
        <is>
          <t>Y</t>
        </is>
      </c>
      <c r="N358" s="30" t="n">
        <v>100</v>
      </c>
      <c r="O358" s="28" t="n">
        <v>6048.1</v>
      </c>
      <c r="P358" s="26" t="inlineStr">
        <is>
          <t>prospectus:stated market capitalisation</t>
        </is>
      </c>
      <c r="Q358" s="31" t="n">
        <v>3876.25</v>
      </c>
      <c r="R358" s="32" t="n">
        <v>18.75</v>
      </c>
      <c r="S358" s="33" t="n">
        <v>28.47</v>
      </c>
      <c r="T358" s="26" t="inlineStr">
        <is>
          <t>CCB International Capital Limited; Huatai Capital Investment Limited; Connected Client CSOP Asset Management Limited</t>
        </is>
      </c>
      <c r="U358" s="30" t="n">
        <v>15</v>
      </c>
      <c r="V358" s="26" t="inlineStr">
        <is>
          <t>full</t>
        </is>
      </c>
      <c r="W358" s="34" t="n">
        <v>31.29</v>
      </c>
      <c r="X358" s="34" t="n">
        <v>20.06</v>
      </c>
      <c r="Y358" s="34" t="n">
        <v>24.4</v>
      </c>
      <c r="Z358" s="34" t="n">
        <v>20.06</v>
      </c>
      <c r="AA358" s="34" t="n">
        <v>-5.25</v>
      </c>
      <c r="AB358" s="34" t="n">
        <v>18.63</v>
      </c>
      <c r="AC358" s="34" t="n">
        <v>5.77</v>
      </c>
      <c r="AD358" s="26" t="inlineStr">
        <is>
          <t>Hang Seng Commerce &amp; Industry sub-index</t>
        </is>
      </c>
      <c r="AE358" s="34" t="n">
        <v>-42.87</v>
      </c>
      <c r="AF358" s="28" t="n">
        <v>4948.4</v>
      </c>
      <c r="AG358" s="28" t="n">
        <v>388.7</v>
      </c>
      <c r="AH358" s="26" t="inlineStr">
        <is>
          <t>Y</t>
        </is>
      </c>
      <c r="AI358" s="35" t="n">
        <v>15.6</v>
      </c>
      <c r="AJ358" s="35" t="n">
        <v>1.2</v>
      </c>
      <c r="AK358" s="26" t="inlineStr">
        <is>
          <t>N</t>
        </is>
      </c>
      <c r="AL358" s="36">
        <f>IF('BBG Verify'!K358="","not filed — run on terminal",'BBG Verify'!K358)</f>
        <v/>
      </c>
      <c r="AM358" s="26" t="inlineStr">
        <is>
          <t>N/A</t>
        </is>
      </c>
      <c r="AN358" s="26" t="inlineStr">
        <is>
          <t>N/A</t>
        </is>
      </c>
      <c r="AO358" s="26" t="inlineStr">
        <is>
          <t>N/A</t>
        </is>
      </c>
      <c r="AP358" s="26" t="inlineStr">
        <is>
          <t>China International Capital Corporation Hong Kong Securities Limited; Central, Hong Kong Huatai Financial Holdings (Hong Kong) Limited; CCB International Capital Limited</t>
        </is>
      </c>
      <c r="AQ358" s="26" t="inlineStr">
        <is>
          <t>中國國際金融香港證券有限公司; 建銀國際金融有限公司; 華泰金融控股(香港)有限公司</t>
        </is>
      </c>
      <c r="AR358" s="26" t="inlineStr">
        <is>
          <t>China International Capital Corporation Hong Kong Securities Limited; Central, Hong Kong Huatai Financial Holdings (Hong Kong) Limited; CCB International Capital Limited; China Internatio nal Capital Corporation Hong Kong Securities Limited; ICBC International Securities Limited; ABCI Capital Limited; Livermore Holdings Limited; C h i n aG a l a x yI n t e r n a t i o n a lSecurities (Hong Kong) Co., Limited; ABCI Securities Company Limited</t>
        </is>
      </c>
      <c r="AS358" s="26" t="inlineStr">
        <is>
          <t>農銀國際證券有限公司; 建銀國際金融有限公司; 中國銀河國際證券(香港)有限公司; 中國國際金融香港證券有限公司; 華泰金融控股(香港)有限公司; 工銀國際證券有限公司; 利弗莫爾證券有限公司</t>
        </is>
      </c>
      <c r="AT358" s="37">
        <f>HYPERLINK("https://www1.hkexnews.hk/listedco/listconews/sehk/2025/0818/2025081800011.pdf","prospectus")</f>
        <v/>
      </c>
      <c r="AU358" s="37">
        <f>HYPERLINK("https://www1.hkexnews.hk/listedco/listconews/sehk/2025/0825/2025082502151.pdf","allotment")</f>
        <v/>
      </c>
      <c r="AV358" s="37">
        <f>HYPERLINK("https://www1.hkexnews.hk/listedco/listconews/sehk/2025/0921/2025092100013.pdf","stabilisation")</f>
        <v/>
      </c>
      <c r="AW358" s="26" t="inlineStr">
        <is>
          <t>A/H: no A-share listing</t>
        </is>
      </c>
    </row>
    <row r="359">
      <c r="A359" s="25" t="inlineStr">
        <is>
          <t>3858</t>
        </is>
      </c>
      <c r="B359" s="26" t="inlineStr">
        <is>
          <t>JIAXIN INTL RES</t>
        </is>
      </c>
      <c r="C359" s="26" t="inlineStr">
        <is>
          <t>佳鑫國際資源</t>
        </is>
      </c>
      <c r="D359" s="26" t="inlineStr">
        <is>
          <t>Materials/Energy</t>
        </is>
      </c>
      <c r="E359" s="26" t="inlineStr">
        <is>
          <t>Mining / metals</t>
        </is>
      </c>
      <c r="F359" s="26" t="inlineStr">
        <is>
          <t>Standard</t>
        </is>
      </c>
      <c r="G359" s="27" t="n">
        <v>45897</v>
      </c>
      <c r="H359" s="28" t="n">
        <v>1199.1</v>
      </c>
      <c r="I359" s="26" t="inlineStr">
        <is>
          <t>gross (stated)</t>
        </is>
      </c>
      <c r="J359" s="29" t="n"/>
      <c r="K359" s="29" t="n">
        <v>10.92</v>
      </c>
      <c r="L359" s="29" t="n">
        <v>10.92</v>
      </c>
      <c r="M359" s="26" t="inlineStr">
        <is>
          <t>Y</t>
        </is>
      </c>
      <c r="N359" s="30" t="n">
        <v>100</v>
      </c>
      <c r="O359" s="28" t="n">
        <v>4796.4</v>
      </c>
      <c r="P359" s="26" t="inlineStr">
        <is>
          <t>prospectus:stated market capitalisation</t>
        </is>
      </c>
      <c r="Q359" s="31" t="n">
        <v>2041.62</v>
      </c>
      <c r="R359" s="32" t="n">
        <v>21.11</v>
      </c>
      <c r="S359" s="33" t="n">
        <v>31.7</v>
      </c>
      <c r="T359" s="26" t="inlineStr">
        <is>
          <t>GF Fund Management Co., Ltd; Fullgoal Asset Management (HK) Limited; Fullgoal Fund Management Co., Ltd; CICC Financial Trading Limited (CICC FT)</t>
        </is>
      </c>
      <c r="U359" s="30" t="n">
        <v>15</v>
      </c>
      <c r="V359" s="26" t="inlineStr">
        <is>
          <t>full</t>
        </is>
      </c>
      <c r="W359" s="34" t="n">
        <v>177.84</v>
      </c>
      <c r="X359" s="34" t="n">
        <v>193.59</v>
      </c>
      <c r="Y359" s="34" t="n">
        <v>146.34</v>
      </c>
      <c r="Z359" s="34" t="n">
        <v>225.09</v>
      </c>
      <c r="AA359" s="34" t="n">
        <v>-11.34</v>
      </c>
      <c r="AB359" s="34" t="n">
        <v>148.32</v>
      </c>
      <c r="AC359" s="34" t="n">
        <v>-1.98</v>
      </c>
      <c r="AD359" s="26" t="inlineStr">
        <is>
          <t>Hang Seng Utilities sub-index</t>
        </is>
      </c>
      <c r="AE359" s="34" t="n">
        <v>463.64</v>
      </c>
      <c r="AF359" s="28" t="n">
        <v>126.3</v>
      </c>
      <c r="AG359" s="28" t="n">
        <v>-176.5</v>
      </c>
      <c r="AH359" s="26" t="inlineStr">
        <is>
          <t>N</t>
        </is>
      </c>
      <c r="AI359" s="38">
        <f>IF('BBG Verify'!O359="","not filed — run on terminal",'BBG Verify'!O359)</f>
        <v/>
      </c>
      <c r="AJ359" s="35" t="n">
        <v>38</v>
      </c>
      <c r="AK359" s="26" t="inlineStr">
        <is>
          <t>N</t>
        </is>
      </c>
      <c r="AL359" s="36">
        <f>IF('BBG Verify'!K359="","not filed — run on terminal",'BBG Verify'!K359)</f>
        <v/>
      </c>
      <c r="AM359" s="26" t="inlineStr">
        <is>
          <t>N/A</t>
        </is>
      </c>
      <c r="AN359" s="26" t="inlineStr">
        <is>
          <t>N/A</t>
        </is>
      </c>
      <c r="AO359" s="26" t="inlineStr">
        <is>
          <t>N/A</t>
        </is>
      </c>
      <c r="AP359" s="26" t="inlineStr">
        <is>
          <t>-Overall Coordinator China International Capital Corporation Hong Kong Securities Limited</t>
        </is>
      </c>
      <c r="AQ359" s="26" t="inlineStr">
        <is>
          <t>中國國際金融香港證券有限公司</t>
        </is>
      </c>
      <c r="AR359" s="26" t="inlineStr">
        <is>
          <t>China International Capital Corporation Hong Kong Securities Limited; China Galaxy International Securities (Hong Kong) Co., Limited; CMB International Capital Limited; Central, Hong Kong Celestial Securities Limited; ABCI Capital Limited; Central, Hong Kong Tiger Brokers (HK) Global Limited</t>
        </is>
      </c>
      <c r="AS359" s="26" t="inlineStr">
        <is>
          <t>農銀國際證券有限公司; 中航資信環球資產管理有限公司; 中國銀河國際證券(香港)有限公司; 中國國際金融香港證券有限公司; 招銀國際融資有限公司; 時富證券有限公司; 光源資本（香港）金融有限公司; 老虎證券（香港）環球有限公司</t>
        </is>
      </c>
      <c r="AT359" s="37">
        <f>HYPERLINK("https://www1.hkexnews.hk/listedco/listconews/sehk/2025/0820/2025082000021.pdf","prospectus")</f>
        <v/>
      </c>
      <c r="AU359" s="37">
        <f>HYPERLINK("https://www1.hkexnews.hk/listedco/listconews/sehk/2025/0827/2025082702293.pdf","allotment")</f>
        <v/>
      </c>
      <c r="AV359" s="37">
        <f>HYPERLINK("https://www1.hkexnews.hk/listedco/listconews/sehk/2025/0924/2025092401050.pdf","stabilisation")</f>
        <v/>
      </c>
      <c r="AW359" s="26" t="inlineStr">
        <is>
          <t>P/E: n/m — loss-making at IPO (use P/S) · A/H: no A-share listing</t>
        </is>
      </c>
    </row>
    <row r="360">
      <c r="A360" s="25" t="inlineStr">
        <is>
          <t>2580</t>
        </is>
      </c>
      <c r="B360" s="26" t="inlineStr">
        <is>
          <t>AUX ELECTRIC</t>
        </is>
      </c>
      <c r="C360" s="26" t="inlineStr">
        <is>
          <t>奧克斯電氣</t>
        </is>
      </c>
      <c r="D360" s="26" t="inlineStr">
        <is>
          <t>Tech/AI</t>
        </is>
      </c>
      <c r="E360" s="26" t="inlineStr">
        <is>
          <t>Smart hardware / consumer electronics</t>
        </is>
      </c>
      <c r="F360" s="26" t="inlineStr">
        <is>
          <t>Standard</t>
        </is>
      </c>
      <c r="G360" s="27" t="n">
        <v>45902</v>
      </c>
      <c r="H360" s="28" t="n">
        <v>4150.1</v>
      </c>
      <c r="I360" s="26" t="inlineStr">
        <is>
          <t>gross (stated)</t>
        </is>
      </c>
      <c r="J360" s="29" t="n">
        <v>16</v>
      </c>
      <c r="K360" s="29" t="n">
        <v>17.42</v>
      </c>
      <c r="L360" s="29" t="n">
        <v>17.42</v>
      </c>
      <c r="M360" s="26" t="inlineStr">
        <is>
          <t>Y</t>
        </is>
      </c>
      <c r="N360" s="30" t="n">
        <v>100</v>
      </c>
      <c r="O360" s="28" t="n">
        <v>27667.3</v>
      </c>
      <c r="P360" s="26" t="inlineStr">
        <is>
          <t>derived:deal size / offer % of enlarged capital</t>
        </is>
      </c>
      <c r="Q360" s="47" t="n">
        <v>557.2</v>
      </c>
      <c r="R360" s="39">
        <f>IF('BBG Verify'!E360="","not filed — run on terminal",'BBG Verify'!E360)</f>
        <v/>
      </c>
      <c r="S360" s="33" t="n">
        <v>33.9</v>
      </c>
      <c r="T360" s="26" t="inlineStr">
        <is>
          <t>China Post Insurance; PSBC WM</t>
        </is>
      </c>
      <c r="U360" s="30" t="n">
        <v>15</v>
      </c>
      <c r="V360" s="26" t="inlineStr">
        <is>
          <t>lapsed</t>
        </is>
      </c>
      <c r="W360" s="34" t="n">
        <v>-5.4</v>
      </c>
      <c r="X360" s="34" t="n">
        <v>-7.58</v>
      </c>
      <c r="Y360" s="34" t="n">
        <v>-20.49</v>
      </c>
      <c r="Z360" s="34" t="n">
        <v>-9.300000000000001</v>
      </c>
      <c r="AA360" s="34" t="n">
        <v>-15.95</v>
      </c>
      <c r="AB360" s="34" t="n">
        <v>-35.88</v>
      </c>
      <c r="AC360" s="34" t="n">
        <v>15.39</v>
      </c>
      <c r="AD360" s="26" t="inlineStr">
        <is>
          <t>HSTECH (Hang Seng TECH ETF)</t>
        </is>
      </c>
      <c r="AE360" s="34" t="n">
        <v>-41.85</v>
      </c>
      <c r="AF360" s="28" t="n">
        <v>32735.3</v>
      </c>
      <c r="AG360" s="28" t="n">
        <v>3201.2</v>
      </c>
      <c r="AH360" s="26" t="inlineStr">
        <is>
          <t>Y</t>
        </is>
      </c>
      <c r="AI360" s="35" t="n">
        <v>8.6</v>
      </c>
      <c r="AJ360" s="35" t="n">
        <v>0.8</v>
      </c>
      <c r="AK360" s="26" t="inlineStr">
        <is>
          <t>N</t>
        </is>
      </c>
      <c r="AL360" s="36">
        <f>IF('BBG Verify'!K360="","not filed — run on terminal",'BBG Verify'!K360)</f>
        <v/>
      </c>
      <c r="AM360" s="26" t="inlineStr">
        <is>
          <t>N/A</t>
        </is>
      </c>
      <c r="AN360" s="26" t="inlineStr">
        <is>
          <t>N/A</t>
        </is>
      </c>
      <c r="AO360" s="26" t="inlineStr">
        <is>
          <t>N/A</t>
        </is>
      </c>
      <c r="AP360" s="26" t="inlineStr">
        <is>
          <t>CICC</t>
        </is>
      </c>
      <c r="AQ360" s="26" t="inlineStr">
        <is>
          <t>中國國際金融香港證券有限公司</t>
        </is>
      </c>
      <c r="AR360" s="26" t="inlineStr">
        <is>
          <t>China International Capital Corporation Hong Kong Securities Limited; Orient Securities (Hong Kong) Limited; ABCI Capital Limited; ICBC International Securities Limited; Futu Securities International (Hong Kong) Limited</t>
        </is>
      </c>
      <c r="AS360" s="26" t="inlineStr">
        <is>
          <t>農銀國際證券有限公司; 中國國際金融香港證券有限公司; 富途證券國際（香港）有限公司; 工銀國際證券有限公司; 東方證券(香港)有限公司</t>
        </is>
      </c>
      <c r="AT360" s="37">
        <f>HYPERLINK("https://www1.hkexnews.hk/listedco/listconews/sehk/2025/0825/2025082500020.htm","prospectus")</f>
        <v/>
      </c>
      <c r="AU360" s="37">
        <f>HYPERLINK("https://www1.hkexnews.hk/listedco/listconews/sehk/2025/0901/2025090103683.pdf","allotment")</f>
        <v/>
      </c>
      <c r="AV360" s="37">
        <f>HYPERLINK("https://www1.hkexnews.hk/listedco/listconews/sehk/2025/0928/2025092800005.pdf","stabilisation")</f>
        <v/>
      </c>
      <c r="AW360" s="26" t="inlineStr">
        <is>
          <t>intl sub: subscription level not stated in the filing · A/H: no A-share listing</t>
        </is>
      </c>
    </row>
    <row r="361">
      <c r="A361" s="25" t="inlineStr">
        <is>
          <t>2543</t>
        </is>
      </c>
      <c r="B361" s="26" t="inlineStr">
        <is>
          <t>DAHON TECH</t>
        </is>
      </c>
      <c r="C361" s="26" t="inlineStr">
        <is>
          <t>大行科工</t>
        </is>
      </c>
      <c r="D361" s="26" t="inlineStr">
        <is>
          <t>Tech/AI</t>
        </is>
      </c>
      <c r="E361" s="26" t="inlineStr">
        <is>
          <t>Smart hardware / consumer electronics</t>
        </is>
      </c>
      <c r="F361" s="26" t="inlineStr">
        <is>
          <t>Standard</t>
        </is>
      </c>
      <c r="G361" s="27" t="n">
        <v>45909</v>
      </c>
      <c r="H361" s="28" t="n">
        <v>392.04</v>
      </c>
      <c r="I361" s="26" t="inlineStr">
        <is>
          <t>gross (stated)</t>
        </is>
      </c>
      <c r="J361" s="29" t="n"/>
      <c r="K361" s="29" t="n">
        <v>49.5</v>
      </c>
      <c r="L361" s="29" t="n">
        <v>49.5</v>
      </c>
      <c r="M361" s="26" t="inlineStr">
        <is>
          <t>Y</t>
        </is>
      </c>
      <c r="N361" s="30" t="n">
        <v>100</v>
      </c>
      <c r="O361" s="28" t="n">
        <v>1567.6</v>
      </c>
      <c r="P361" s="26" t="inlineStr">
        <is>
          <t>prospectus:stated market capitalisation</t>
        </is>
      </c>
      <c r="Q361" s="31" t="n">
        <v>7558.4</v>
      </c>
      <c r="R361" s="32" t="n">
        <v>21.65</v>
      </c>
      <c r="S361" s="33" t="n">
        <v>25.43</v>
      </c>
      <c r="T361" s="26" t="inlineStr">
        <is>
          <t>Asia Pacific Limited; Allianz Global Investors Asia Pacific Limited; GBAD Fund Management; Dahon Tech Enterprise LP</t>
        </is>
      </c>
      <c r="U361" s="30" t="n">
        <v>14.9</v>
      </c>
      <c r="V361" s="26" t="inlineStr">
        <is>
          <t>partial</t>
        </is>
      </c>
      <c r="W361" s="34" t="n">
        <v>14.95</v>
      </c>
      <c r="X361" s="34" t="n">
        <v>30</v>
      </c>
      <c r="Y361" s="34" t="n">
        <v>0.89</v>
      </c>
      <c r="Z361" s="34" t="n">
        <v>-17.45</v>
      </c>
      <c r="AA361" s="34" t="n">
        <v>-12.23</v>
      </c>
      <c r="AB361" s="34" t="n">
        <v>-8.15</v>
      </c>
      <c r="AC361" s="34" t="n">
        <v>9.039999999999999</v>
      </c>
      <c r="AD361" s="26" t="inlineStr">
        <is>
          <t>HSTECH (Hang Seng TECH ETF)</t>
        </is>
      </c>
      <c r="AE361" s="34" t="n">
        <v>-38.83</v>
      </c>
      <c r="AF361" s="28" t="n">
        <v>495.8</v>
      </c>
      <c r="AG361" s="28" t="n">
        <v>57.5</v>
      </c>
      <c r="AH361" s="26" t="inlineStr">
        <is>
          <t>Y</t>
        </is>
      </c>
      <c r="AI361" s="35" t="n">
        <v>27.3</v>
      </c>
      <c r="AJ361" s="35" t="n">
        <v>3.2</v>
      </c>
      <c r="AK361" s="26" t="inlineStr">
        <is>
          <t>N</t>
        </is>
      </c>
      <c r="AL361" s="36">
        <f>IF('BBG Verify'!K361="","not filed — run on terminal",'BBG Verify'!K361)</f>
        <v/>
      </c>
      <c r="AM361" s="26" t="inlineStr">
        <is>
          <t>N/A</t>
        </is>
      </c>
      <c r="AN361" s="26" t="inlineStr">
        <is>
          <t>N/A</t>
        </is>
      </c>
      <c r="AO361" s="26" t="inlineStr">
        <is>
          <t>N/A</t>
        </is>
      </c>
      <c r="AP361" s="26" t="inlineStr">
        <is>
          <t>China Securities (International) Corporate Finance Company Limited</t>
        </is>
      </c>
      <c r="AQ361" s="26" t="inlineStr">
        <is>
          <t>中信建投(國際)融資有限公司</t>
        </is>
      </c>
      <c r="AR361" s="26" t="inlineStr">
        <is>
          <t>China Securities (International) Corporate Finance Company Limited; ABCI Capital Limited; BOCI Asia Limited; CCB International Capital Limited; CMB International Capital Limited; Futu Securities International (Hong Kong) Limited</t>
        </is>
      </c>
      <c r="AS361" s="26" t="inlineStr">
        <is>
          <t>農銀國際證券有限公司; 中銀國際亞洲有限公司; 建銀國際金融有限公司; 招銀國際金融有限公司; 中信建投(國際)融資有限公司; 富途證券國際（香港）有限公司</t>
        </is>
      </c>
      <c r="AT361" s="37">
        <f>HYPERLINK("https://www1.hkexnews.hk/listedco/listconews/sehk/2025/0901/2025090100007.pdf","prospectus")</f>
        <v/>
      </c>
      <c r="AU361" s="37">
        <f>HYPERLINK("https://www1.hkexnews.hk/listedco/listconews/sehk/2025/0908/2025090801334.pdf","allotment")</f>
        <v/>
      </c>
      <c r="AV361" s="37">
        <f>HYPERLINK("https://www1.hkexnews.hk/listedco/listconews/sehk/2025/1005/2025100500245.pdf","stabilisation")</f>
        <v/>
      </c>
      <c r="AW361" s="26" t="inlineStr">
        <is>
          <t>A/H: no A-share listing</t>
        </is>
      </c>
    </row>
    <row r="362">
      <c r="A362" s="25" t="inlineStr">
        <is>
          <t>2525</t>
        </is>
      </c>
      <c r="B362" s="26" t="inlineStr">
        <is>
          <t>HESAI-W</t>
        </is>
      </c>
      <c r="C362" s="26" t="inlineStr">
        <is>
          <t>禾賽－Ｗ</t>
        </is>
      </c>
      <c r="D362" s="26" t="inlineStr">
        <is>
          <t>Tech/AI</t>
        </is>
      </c>
      <c r="E362" s="26" t="inlineStr">
        <is>
          <t>Robotics &amp; autonomous driving</t>
        </is>
      </c>
      <c r="F362" s="26" t="inlineStr">
        <is>
          <t>WVR</t>
        </is>
      </c>
      <c r="G362" s="27" t="n">
        <v>45916</v>
      </c>
      <c r="H362" s="28" t="n">
        <v>4160.24</v>
      </c>
      <c r="I362" s="26" t="inlineStr">
        <is>
          <t>gross (stated)</t>
        </is>
      </c>
      <c r="J362" s="29" t="n"/>
      <c r="K362" s="29" t="n">
        <v>228</v>
      </c>
      <c r="L362" s="29" t="n">
        <v>212.8</v>
      </c>
      <c r="M362" s="26" t="inlineStr">
        <is>
          <t>N</t>
        </is>
      </c>
      <c r="N362" s="30" t="n">
        <v>93.3</v>
      </c>
      <c r="O362" s="28" t="n">
        <v>244720</v>
      </c>
      <c r="P362" s="26" t="inlineStr">
        <is>
          <t>derived:deal size / offer % of enlarged capital</t>
        </is>
      </c>
      <c r="Q362" s="31" t="n">
        <v>168.7</v>
      </c>
      <c r="R362" s="39">
        <f>IF('BBG Verify'!E362="","not filed — run on terminal",'BBG Verify'!E362)</f>
        <v/>
      </c>
      <c r="S362" s="33" t="n">
        <v>4.3</v>
      </c>
      <c r="T362" s="26" t="inlineStr">
        <is>
          <t>HHLRA; Taikang Life; Hongda Group; Trading Limited; WT Asset Management; Grab Inc; Commando Global Fund</t>
        </is>
      </c>
      <c r="U362" s="30" t="n">
        <v>15</v>
      </c>
      <c r="V362" s="26" t="inlineStr">
        <is>
          <t>full</t>
        </is>
      </c>
      <c r="W362" s="34" t="n">
        <v>9.960000000000001</v>
      </c>
      <c r="X362" s="34" t="n">
        <v>8.08</v>
      </c>
      <c r="Y362" s="34" t="n">
        <v>-20.49</v>
      </c>
      <c r="Z362" s="34" t="n">
        <v>-20.39</v>
      </c>
      <c r="AA362" s="34" t="n">
        <v>-27.69</v>
      </c>
      <c r="AB362" s="34" t="n">
        <v>-15.52</v>
      </c>
      <c r="AC362" s="34" t="n">
        <v>-4.97</v>
      </c>
      <c r="AD362" s="26" t="inlineStr">
        <is>
          <t>HSTECH (Hang Seng TECH ETF)</t>
        </is>
      </c>
      <c r="AE362" s="34" t="n">
        <v>-91.38</v>
      </c>
      <c r="AF362" s="28" t="n">
        <v>2284.9</v>
      </c>
      <c r="AG362" s="28" t="n">
        <v>-112.6</v>
      </c>
      <c r="AH362" s="26" t="inlineStr">
        <is>
          <t>N</t>
        </is>
      </c>
      <c r="AI362" s="38">
        <f>IF('BBG Verify'!O362="","not filed — run on terminal",'BBG Verify'!O362)</f>
        <v/>
      </c>
      <c r="AJ362" s="35" t="n">
        <v>107.1</v>
      </c>
      <c r="AK362" s="26" t="inlineStr">
        <is>
          <t>N</t>
        </is>
      </c>
      <c r="AL362" s="36">
        <f>IF('BBG Verify'!K362="","not filed — run on terminal",'BBG Verify'!K362)</f>
        <v/>
      </c>
      <c r="AM362" s="26" t="inlineStr">
        <is>
          <t>N/A</t>
        </is>
      </c>
      <c r="AN362" s="26" t="inlineStr">
        <is>
          <t>N/A</t>
        </is>
      </c>
      <c r="AO362" s="26" t="inlineStr">
        <is>
          <t>N/A</t>
        </is>
      </c>
      <c r="AP362" s="26" t="inlineStr">
        <is>
          <t>China International Capital Corporation Hong Kong Securities Limited; Guotai Junan Capital Limited; CMB International Capital Limited; Sponsor-OCs China International Capital Corporation Hong Kong Securities Limited; Guotai Junan Securities (Hong Kong) Limited</t>
        </is>
      </c>
      <c r="AQ362" s="26" t="inlineStr">
        <is>
          <t>中國國際金融香港證券有限公司; 國泰君安融資有限公司; 招銀國際融資有限公司</t>
        </is>
      </c>
      <c r="AR362" s="26" t="inlineStr">
        <is>
          <t>China International Capital Corporation Hong Kong Securities Limited; Guotai Junan Securities (Hong Kong) Limited; CMB International Capital Limited; Haitong International Securities Company Limited; BOCI Asia Limited; Futu Securities International (Hong Kong) Limited; DIRECTORS AND PARTIES INVOLVED IN THE GLOBAL OFFERING – 179 – DBS Asia Capital Limited; ICBC International Securities Limited; DBS Asia Capital Limited; ABCI Capital Limited; CCB International Capital Limited</t>
        </is>
      </c>
      <c r="AS362" s="26" t="inlineStr">
        <is>
          <t>農銀國際證券有限公司; 中銀國際亞洲有限公司; 建銀國際金融有限公司; 中國國際金融香港證券有限公司; 招銀國際融資有限公司; 星展亞洲融資有限公司; 富途證券國際（香港）有限公司; 國泰君安證券(香港)有限公司; 海通國際證券有限公司; 工銀國際證券有限公司</t>
        </is>
      </c>
      <c r="AT362" s="37">
        <f>HYPERLINK("https://www1.hkexnews.hk/listedco/listconews/sehk/2025/0908/2025090800017.pdf","prospectus")</f>
        <v/>
      </c>
      <c r="AU362" s="37">
        <f>HYPERLINK("https://www1.hkexnews.hk/listedco/listconews/sehk/2025/0915/2025091501458.pdf","allotment")</f>
        <v/>
      </c>
      <c r="AV362" s="37">
        <f>HYPERLINK("https://www1.hkexnews.hk/listedco/listconews/sehk/2025/1012/2025101200001.pdf","stabilisation")</f>
        <v/>
      </c>
      <c r="AW362" s="26" t="inlineStr">
        <is>
          <t>intl sub: subscription level not stated in the filing · P/E: n/m — loss-making at IPO (use P/S) · A/H: no A-share listing</t>
        </is>
      </c>
    </row>
    <row r="363">
      <c r="A363" s="25" t="inlineStr">
        <is>
          <t>2656</t>
        </is>
      </c>
      <c r="B363" s="26" t="inlineStr">
        <is>
          <t>160 HEALTH</t>
        </is>
      </c>
      <c r="C363" s="26" t="inlineStr">
        <is>
          <t>健康１６０</t>
        </is>
      </c>
      <c r="D363" s="26" t="inlineStr">
        <is>
          <t>Healthcare</t>
        </is>
      </c>
      <c r="E363" s="26" t="inlineStr">
        <is>
          <t>Digital health</t>
        </is>
      </c>
      <c r="F363" s="26" t="inlineStr">
        <is>
          <t>Standard</t>
        </is>
      </c>
      <c r="G363" s="27" t="n">
        <v>45917</v>
      </c>
      <c r="H363" s="28" t="n">
        <v>400</v>
      </c>
      <c r="I363" s="26" t="inlineStr">
        <is>
          <t>gross (stated)</t>
        </is>
      </c>
      <c r="J363" s="29" t="n"/>
      <c r="K363" s="29" t="n">
        <v>14.86</v>
      </c>
      <c r="L363" s="29" t="n">
        <v>11.89</v>
      </c>
      <c r="M363" s="26" t="inlineStr">
        <is>
          <t>N</t>
        </is>
      </c>
      <c r="N363" s="30" t="n">
        <v>80</v>
      </c>
      <c r="O363" s="28" t="n">
        <v>4000.4</v>
      </c>
      <c r="P363" s="26" t="inlineStr">
        <is>
          <t>derived:price x shares upon listing</t>
        </is>
      </c>
      <c r="Q363" s="31" t="n">
        <v>751.77</v>
      </c>
      <c r="R363" s="32" t="n">
        <v>1.92</v>
      </c>
      <c r="S363" s="33" t="n">
        <v>0</v>
      </c>
      <c r="T363" s="26" t="n"/>
      <c r="U363" s="30" t="n">
        <v>11.33</v>
      </c>
      <c r="V363" s="26" t="n"/>
      <c r="W363" s="34" t="n">
        <v>137.34</v>
      </c>
      <c r="X363" s="34" t="n">
        <v>139.7</v>
      </c>
      <c r="Y363" s="34" t="n">
        <v>236.92</v>
      </c>
      <c r="Z363" s="34" t="n">
        <v>337.76</v>
      </c>
      <c r="AA363" s="34" t="n">
        <v>41.96</v>
      </c>
      <c r="AB363" s="34" t="n">
        <v>243.75</v>
      </c>
      <c r="AC363" s="34" t="n">
        <v>-6.83</v>
      </c>
      <c r="AD363" s="26" t="inlineStr">
        <is>
          <t>China Biotech ETF (HS biotech proxy)</t>
        </is>
      </c>
      <c r="AE363" s="34" t="n">
        <v>-16.57</v>
      </c>
      <c r="AF363" s="28" t="n">
        <v>682.8</v>
      </c>
      <c r="AG363" s="28" t="n">
        <v>-119.1</v>
      </c>
      <c r="AH363" s="26" t="inlineStr">
        <is>
          <t>N</t>
        </is>
      </c>
      <c r="AI363" s="38">
        <f>IF('BBG Verify'!O363="","not filed — run on terminal",'BBG Verify'!O363)</f>
        <v/>
      </c>
      <c r="AJ363" s="35" t="n">
        <v>5.9</v>
      </c>
      <c r="AK363" s="26" t="inlineStr">
        <is>
          <t>N</t>
        </is>
      </c>
      <c r="AL363" s="36">
        <f>IF('BBG Verify'!K363="","not filed — run on terminal",'BBG Verify'!K363)</f>
        <v/>
      </c>
      <c r="AM363" s="26" t="inlineStr">
        <is>
          <t>N/A</t>
        </is>
      </c>
      <c r="AN363" s="26" t="inlineStr">
        <is>
          <t>N/A</t>
        </is>
      </c>
      <c r="AO363" s="26" t="inlineStr">
        <is>
          <t>N/A</t>
        </is>
      </c>
      <c r="AP363" s="26" t="inlineStr">
        <is>
          <t>Shenwan Hongyuan Capital (H.K.) Limited; Zero2IPO Capital Limited</t>
        </is>
      </c>
      <c r="AQ363" s="26" t="inlineStr">
        <is>
          <t>清科資本有限公司; 申萬宏源融資（香港）有限公司</t>
        </is>
      </c>
      <c r="AR363" s="26"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AS363" s="26" t="inlineStr">
        <is>
          <t>農銀國際證券有限公司; 中銀國際亞洲有限公司; 艾德證券期貨有限公司; 鼎新證券有限公司; 利弗莫爾證券有限公司; 南華證券投資有限公司; 申萬宏源證券（香港）有限公司; 太陽證券有限公司; 友信證券有限公司; 華盛資本証券有限公司; 清科證券有限公司; 中泰國際證券有限公司</t>
        </is>
      </c>
      <c r="AT363" s="37">
        <f>HYPERLINK("https://www1.hkexnews.hk/listedco/listconews/sehk/2025/0909/2025090900019.pdf","prospectus")</f>
        <v/>
      </c>
      <c r="AU363" s="37">
        <f>HYPERLINK("https://www1.hkexnews.hk/listedco/listconews/sehk/2025/0916/2025091601472.pdf","allotment")</f>
        <v/>
      </c>
      <c r="AV363" s="26" t="n"/>
      <c r="AW363" s="26" t="inlineStr">
        <is>
          <t>P/E: n/m — loss-making at IPO (use P/S) · greenshoe: end-of-stabilisation notice not located · A/H: no A-share listing</t>
        </is>
      </c>
    </row>
    <row r="364">
      <c r="A364" s="25" t="inlineStr">
        <is>
          <t>2595</t>
        </is>
      </c>
      <c r="B364" s="26" t="inlineStr">
        <is>
          <t>GENFLEET-B</t>
        </is>
      </c>
      <c r="C364" s="26" t="inlineStr">
        <is>
          <t>勁方醫藥－Ｂ</t>
        </is>
      </c>
      <c r="D364" s="26" t="inlineStr">
        <is>
          <t>Healthcare</t>
        </is>
      </c>
      <c r="E364" s="26" t="inlineStr">
        <is>
          <t>Biotech pre-revenue (18A)</t>
        </is>
      </c>
      <c r="F364" s="26" t="inlineStr">
        <is>
          <t>18A</t>
        </is>
      </c>
      <c r="G364" s="27" t="n">
        <v>45919</v>
      </c>
      <c r="H364" s="28" t="n">
        <v>1819.6</v>
      </c>
      <c r="I364" s="26" t="inlineStr">
        <is>
          <t>gross (stated)</t>
        </is>
      </c>
      <c r="J364" s="29" t="n"/>
      <c r="K364" s="29" t="n">
        <v>20.39</v>
      </c>
      <c r="L364" s="29" t="n">
        <v>20.39</v>
      </c>
      <c r="M364" s="26" t="inlineStr">
        <is>
          <t>Y</t>
        </is>
      </c>
      <c r="N364" s="30" t="n">
        <v>100</v>
      </c>
      <c r="O364" s="28" t="n">
        <v>7041.5</v>
      </c>
      <c r="P364" s="26" t="inlineStr">
        <is>
          <t>prospectus:stated market capitalisation</t>
        </is>
      </c>
      <c r="Q364" s="31" t="n">
        <v>2662.79</v>
      </c>
      <c r="R364" s="32" t="n">
        <v>39.05</v>
      </c>
      <c r="S364" s="33" t="n">
        <v>42.84</v>
      </c>
      <c r="T364" s="26" t="inlineStr">
        <is>
          <t>RTW Master Fund, Ltd; The Biotech Growth Trust PLC; LBC HK Opportunity Fund; Lake Bleu Innovation Fund; GF International; Value Partners; E Fund Hong Kong</t>
        </is>
      </c>
      <c r="U364" s="30" t="n">
        <v>15</v>
      </c>
      <c r="V364" s="26" t="inlineStr">
        <is>
          <t>full</t>
        </is>
      </c>
      <c r="W364" s="34" t="n">
        <v>106.47</v>
      </c>
      <c r="X364" s="34" t="n">
        <v>87.34999999999999</v>
      </c>
      <c r="Y364" s="34" t="n">
        <v>30.06</v>
      </c>
      <c r="Z364" s="34" t="n">
        <v>25.75</v>
      </c>
      <c r="AA364" s="34" t="n">
        <v>-37.01</v>
      </c>
      <c r="AB364" s="34" t="n">
        <v>37.77</v>
      </c>
      <c r="AC364" s="34" t="n">
        <v>-7.71</v>
      </c>
      <c r="AD364" s="26" t="inlineStr">
        <is>
          <t>China Biotech ETF (HS biotech proxy)</t>
        </is>
      </c>
      <c r="AE364" s="34" t="n">
        <v>53.02</v>
      </c>
      <c r="AF364" s="28" t="n">
        <v>2.2</v>
      </c>
      <c r="AG364" s="28" t="n">
        <v>-559.2</v>
      </c>
      <c r="AH364" s="26" t="inlineStr">
        <is>
          <t>N</t>
        </is>
      </c>
      <c r="AI364" s="38">
        <f>IF('BBG Verify'!O364="","not filed — run on terminal",'BBG Verify'!O364)</f>
        <v/>
      </c>
      <c r="AJ364" s="35" t="n">
        <v>3200.7</v>
      </c>
      <c r="AK364" s="26" t="inlineStr">
        <is>
          <t>N</t>
        </is>
      </c>
      <c r="AL364" s="36">
        <f>IF('BBG Verify'!K364="","not filed — run on terminal",'BBG Verify'!K364)</f>
        <v/>
      </c>
      <c r="AM364" s="26" t="inlineStr">
        <is>
          <t>N/A</t>
        </is>
      </c>
      <c r="AN364" s="26" t="inlineStr">
        <is>
          <t>N/A</t>
        </is>
      </c>
      <c r="AO364" s="26" t="inlineStr">
        <is>
          <t>N/A</t>
        </is>
      </c>
      <c r="AP364" s="26" t="inlineStr">
        <is>
          <t>CITIC Securities (Hong Kong) Limited; -Overall Coordinator CLSA Limited</t>
        </is>
      </c>
      <c r="AQ364" s="26" t="inlineStr">
        <is>
          <t>中信證券(香港)有限公司</t>
        </is>
      </c>
      <c r="AR364" s="26" t="inlineStr">
        <is>
          <t>CLSA Limited; Fosun International Securities Limited; ABCI Capital Limited; CCB International Capital Limited; BOCOM International Securities Limited; China Renaissance Securities (Hong Kong) Limited; Central, Hong Kong GF Securities (Hong Kong) Brokerage Limited</t>
        </is>
      </c>
      <c r="AS364" s="26" t="inlineStr">
        <is>
          <t>農銀國際證券有限公司; 交銀國際證券有限公司; 建銀國際金融有限公司; 中信里昂證券有限公司; 華興資本證券(香港)有限公司; 復星國際證券有限公司; 廣發證券（香港）經紀有限公司</t>
        </is>
      </c>
      <c r="AT364" s="37">
        <f>HYPERLINK("https://www1.hkexnews.hk/listedco/listconews/sehk/2025/0911/2025091100031.pdf","prospectus")</f>
        <v/>
      </c>
      <c r="AU364" s="37">
        <f>HYPERLINK("https://www1.hkexnews.hk/listedco/listconews/sehk/2025/0918/2025091801757.pdf","allotment")</f>
        <v/>
      </c>
      <c r="AV364" s="37">
        <f>HYPERLINK("https://www1.hkexnews.hk/listedco/listconews/sehk/2025/1016/2025101601000.pdf","stabilisation")</f>
        <v/>
      </c>
      <c r="AW364" s="26" t="inlineStr">
        <is>
          <t>P/E: n/m — loss-making at IPO (use P/S) · A/H: no A-share listing</t>
        </is>
      </c>
    </row>
    <row r="365">
      <c r="A365" s="25" t="inlineStr">
        <is>
          <t>6090</t>
        </is>
      </c>
      <c r="B365" s="26" t="inlineStr">
        <is>
          <t>BUTONG GROUP</t>
        </is>
      </c>
      <c r="C365" s="26" t="inlineStr">
        <is>
          <t>不同集團</t>
        </is>
      </c>
      <c r="D365" s="26" t="inlineStr">
        <is>
          <t>Other</t>
        </is>
      </c>
      <c r="E365" s="26" t="inlineStr">
        <is>
          <t>Other / unclassified</t>
        </is>
      </c>
      <c r="F365" s="26" t="inlineStr">
        <is>
          <t>Standard</t>
        </is>
      </c>
      <c r="G365" s="27" t="n">
        <v>45923</v>
      </c>
      <c r="H365" s="28" t="n">
        <v>781.84</v>
      </c>
      <c r="I365" s="26" t="inlineStr">
        <is>
          <t>gross (stated)</t>
        </is>
      </c>
      <c r="J365" s="29" t="n"/>
      <c r="K365" s="29" t="n">
        <v>71.2</v>
      </c>
      <c r="L365" s="29" t="n">
        <v>71.2</v>
      </c>
      <c r="M365" s="26" t="inlineStr">
        <is>
          <t>Y</t>
        </is>
      </c>
      <c r="N365" s="30" t="n">
        <v>100</v>
      </c>
      <c r="O365" s="28" t="n">
        <v>6461.5</v>
      </c>
      <c r="P365" s="26" t="inlineStr">
        <is>
          <t>derived:price x shares upon listing</t>
        </is>
      </c>
      <c r="Q365" s="31" t="n">
        <v>3317.47</v>
      </c>
      <c r="R365" s="32" t="n">
        <v>7.37</v>
      </c>
      <c r="S365" s="33" t="n">
        <v>14.96</v>
      </c>
      <c r="T365" s="26" t="inlineStr">
        <is>
          <t>Cithara Fund; Great Praise</t>
        </is>
      </c>
      <c r="U365" s="30" t="n"/>
      <c r="V365" s="26" t="n"/>
      <c r="W365" s="34" t="n">
        <v>43.96</v>
      </c>
      <c r="X365" s="34" t="n">
        <v>46.07</v>
      </c>
      <c r="Y365" s="34" t="n">
        <v>36.31</v>
      </c>
      <c r="Z365" s="34" t="n">
        <v>46.07</v>
      </c>
      <c r="AA365" s="34" t="n">
        <v>-5.31</v>
      </c>
      <c r="AB365" s="34" t="n">
        <v>37.01</v>
      </c>
      <c r="AC365" s="34" t="n">
        <v>-0.7</v>
      </c>
      <c r="AD365" s="26" t="inlineStr">
        <is>
          <t>Hang Seng Index</t>
        </is>
      </c>
      <c r="AE365" s="34" t="n">
        <v>-38.43</v>
      </c>
      <c r="AF365" s="28" t="n">
        <v>1373.8</v>
      </c>
      <c r="AG365" s="28" t="n">
        <v>64.40000000000001</v>
      </c>
      <c r="AH365" s="26" t="inlineStr">
        <is>
          <t>Y</t>
        </is>
      </c>
      <c r="AI365" s="35" t="n">
        <v>100.3</v>
      </c>
      <c r="AJ365" s="35" t="n">
        <v>4.7</v>
      </c>
      <c r="AK365" s="26" t="inlineStr">
        <is>
          <t>N</t>
        </is>
      </c>
      <c r="AL365" s="36">
        <f>IF('BBG Verify'!K365="","not filed — run on terminal",'BBG Verify'!K365)</f>
        <v/>
      </c>
      <c r="AM365" s="26" t="inlineStr">
        <is>
          <t>N/A</t>
        </is>
      </c>
      <c r="AN365" s="26" t="inlineStr">
        <is>
          <t>N/A</t>
        </is>
      </c>
      <c r="AO365" s="26" t="inlineStr">
        <is>
          <t>N/A</t>
        </is>
      </c>
      <c r="AP365" s="26" t="n"/>
      <c r="AQ365" s="26" t="inlineStr">
        <is>
          <t>海通國際資本有限公司; 中信證券(香港)有限公司</t>
        </is>
      </c>
      <c r="AR365" s="26" t="inlineStr">
        <is>
          <t>中信里昂證券有限公司; 富途證券國際（香港）有限公司; 華泰金融控股(香港)有限公司; 海通國際證券有限公司; 利弗莫爾證券有限公司; 百惠證券有限公司</t>
        </is>
      </c>
      <c r="AS365" s="26" t="inlineStr">
        <is>
          <t>中信里昂證券有限公司; 富途證券國際（香港）有限公司; 華泰金融控股(香港)有限公司; 海通國際證券有限公司; 利弗莫爾證券有限公司; 百惠證券有限公司; 浦銀國際融資有限公司</t>
        </is>
      </c>
      <c r="AT365" s="37">
        <f>HYPERLINK("https://www1.hkexnews.hk/listedco/listconews/sehk/2025/0915/2025091500009.pdf","prospectus")</f>
        <v/>
      </c>
      <c r="AU365" s="37">
        <f>HYPERLINK("https://www1.hkexnews.hk/listedco/listconews/sehk/2025/0922/2025092201984.pdf","allotment")</f>
        <v/>
      </c>
      <c r="AV365" s="26" t="n"/>
      <c r="AW365" s="26" t="inlineStr">
        <is>
          <t>greenshoe: no over-allotment option in the offer structure · price range: fixed-price offering (no indicative range) · A/H: no A-share listing · sponsor: English name not in the filing text; AAStocks 保薦人 shown</t>
        </is>
      </c>
    </row>
    <row r="366">
      <c r="A366" s="25" t="inlineStr">
        <is>
          <t>9973</t>
        </is>
      </c>
      <c r="B366" s="26" t="inlineStr">
        <is>
          <t>CHERY AUTO</t>
        </is>
      </c>
      <c r="C366" s="26" t="inlineStr">
        <is>
          <t>奇瑞汽車</t>
        </is>
      </c>
      <c r="D366" s="26" t="inlineStr">
        <is>
          <t>Consumer</t>
        </is>
      </c>
      <c r="E366" s="26" t="inlineStr">
        <is>
          <t>Autos (NEV OEM)</t>
        </is>
      </c>
      <c r="F366" s="26" t="inlineStr">
        <is>
          <t>Standard</t>
        </is>
      </c>
      <c r="G366" s="27" t="n">
        <v>45925</v>
      </c>
      <c r="H366" s="28" t="n">
        <v>9145</v>
      </c>
      <c r="I366" s="26" t="inlineStr">
        <is>
          <t>gross (stated)</t>
        </is>
      </c>
      <c r="J366" s="29" t="n"/>
      <c r="K366" s="29" t="n">
        <v>30.75</v>
      </c>
      <c r="L366" s="29" t="n">
        <v>30.75</v>
      </c>
      <c r="M366" s="26" t="inlineStr">
        <is>
          <t>Y</t>
        </is>
      </c>
      <c r="N366" s="30" t="n">
        <v>100</v>
      </c>
      <c r="O366" s="28" t="n">
        <v>177342.3</v>
      </c>
      <c r="P366" s="26" t="inlineStr">
        <is>
          <t>derived:price x shares upon listing</t>
        </is>
      </c>
      <c r="Q366" s="31" t="n">
        <v>308.18</v>
      </c>
      <c r="R366" s="32" t="n">
        <v>11.61</v>
      </c>
      <c r="S366" s="33" t="n">
        <v>50.1</v>
      </c>
      <c r="T366" s="26" t="inlineStr">
        <is>
          <t>HHLR Advisors, Ltd; Martis Fund, L.P; Xingyu Automotive Lighting (Hong Kong) Company Limited; Gotion; HK Greenwoods; Horizon Together; Dajia Life; Martis Fund; Tulip Fund, L.P; CICC FT; GF Global Capital Limited</t>
        </is>
      </c>
      <c r="U366" s="30" t="n">
        <v>15</v>
      </c>
      <c r="V366" s="26" t="inlineStr">
        <is>
          <t>partial</t>
        </is>
      </c>
      <c r="W366" s="34" t="n">
        <v>3.8</v>
      </c>
      <c r="X366" s="34" t="n">
        <v>3.67</v>
      </c>
      <c r="Y366" s="34" t="n">
        <v>6.41</v>
      </c>
      <c r="Z366" s="34" t="n">
        <v>-0.16</v>
      </c>
      <c r="AA366" s="34" t="n">
        <v>2.51</v>
      </c>
      <c r="AB366" s="34" t="n">
        <v>9.49</v>
      </c>
      <c r="AC366" s="34" t="n">
        <v>-3.08</v>
      </c>
      <c r="AD366" s="26" t="inlineStr">
        <is>
          <t>Hang Seng Commerce &amp; Industry sub-index</t>
        </is>
      </c>
      <c r="AE366" s="34" t="n">
        <v>-16.68</v>
      </c>
      <c r="AF366" s="28" t="n">
        <v>296886.7</v>
      </c>
      <c r="AG366" s="28" t="n">
        <v>15548.5</v>
      </c>
      <c r="AH366" s="26" t="inlineStr">
        <is>
          <t>Y</t>
        </is>
      </c>
      <c r="AI366" s="35" t="n">
        <v>11.4</v>
      </c>
      <c r="AJ366" s="35" t="n">
        <v>0.6</v>
      </c>
      <c r="AK366" s="26" t="inlineStr">
        <is>
          <t>N</t>
        </is>
      </c>
      <c r="AL366" s="36">
        <f>IF('BBG Verify'!K366="","not filed — run on terminal",'BBG Verify'!K366)</f>
        <v/>
      </c>
      <c r="AM366" s="26" t="inlineStr">
        <is>
          <t>N/A</t>
        </is>
      </c>
      <c r="AN366" s="26" t="inlineStr">
        <is>
          <t>N/A</t>
        </is>
      </c>
      <c r="AO366" s="26" t="inlineStr">
        <is>
          <t>N/A</t>
        </is>
      </c>
      <c r="AP366" s="44" t="inlineStr">
        <is>
          <t>China International Capital Corporation Hong Kong Securities Limited; Huatai Financial Holdings (Hong Kong) Limited; GF Capital (Hong Kong) Limited</t>
        </is>
      </c>
      <c r="AQ366" s="26" t="inlineStr">
        <is>
          <t>中國國際金融香港證券有限公司; 華泰金融控股(香港)有限公司; 廣發融資（香港）有限公司</t>
        </is>
      </c>
      <c r="AR366" s="26" t="inlineStr">
        <is>
          <t>China International Capital Corporation Hong Kong Securities Limited; Huatai Financial Holdings (Hong Kong) Limited; GF Securities (Hong Kong) Brokerage Limited; DIRECTORS, SUPERVISORS AND PARTIES INVOLVED IN THE GLOBAL OFFERING – 106 – CLSA Limited; CLSA Limited; BOCI Asia Limited; CMB International Capital Limited; Futu Securities International (Hong Kong) Limited</t>
        </is>
      </c>
      <c r="AS366" s="26" t="inlineStr">
        <is>
          <t>農銀國際證券有限公司; 中銀國際亞洲有限公司; 中國國際金融香港證券有限公司; 中信里昂證券有限公司; 招銀國際融資有限公司; 富途證券國際（香港）有限公司; 廣發證券（香港）經紀有限公司; 華泰金融控股(香港)有限公司</t>
        </is>
      </c>
      <c r="AT366" s="37">
        <f>HYPERLINK("https://www1.hkexnews.hk/listedco/listconews/sehk/2025/0917/2025091700013.pdf","prospectus")</f>
        <v/>
      </c>
      <c r="AU366" s="37">
        <f>HYPERLINK("https://www1.hkexnews.hk/listedco/listconews/sehk/2025/0924/2025092401262.pdf","allotment")</f>
        <v/>
      </c>
      <c r="AV366" s="37">
        <f>HYPERLINK("https://www1.hkexnews.hk/listedco/listconews/sehk/2025/1022/2025102201148.pdf","stabilisation")</f>
        <v/>
      </c>
      <c r="AW366" s="26" t="inlineStr">
        <is>
          <t>A/H: no A-share listing</t>
        </is>
      </c>
    </row>
    <row r="367">
      <c r="A367" s="25" t="inlineStr">
        <is>
          <t>2583</t>
        </is>
      </c>
      <c r="B367" s="26" t="inlineStr">
        <is>
          <t>HIPINE</t>
        </is>
      </c>
      <c r="C367" s="26" t="inlineStr">
        <is>
          <t>西普尼</t>
        </is>
      </c>
      <c r="D367" s="26" t="inlineStr">
        <is>
          <t>Consumer</t>
        </is>
      </c>
      <c r="E367" s="26" t="inlineStr">
        <is>
          <t>Apparel / luxury</t>
        </is>
      </c>
      <c r="F367" s="26" t="inlineStr">
        <is>
          <t>Standard</t>
        </is>
      </c>
      <c r="G367" s="27" t="n">
        <v>45930</v>
      </c>
      <c r="H367" s="28" t="n">
        <v>313.76</v>
      </c>
      <c r="I367" s="26" t="inlineStr">
        <is>
          <t>gross (stated)</t>
        </is>
      </c>
      <c r="J367" s="29" t="n"/>
      <c r="K367" s="29" t="n">
        <v>29.6</v>
      </c>
      <c r="L367" s="29" t="n">
        <v>29.6</v>
      </c>
      <c r="M367" s="26" t="inlineStr">
        <is>
          <t>Y</t>
        </is>
      </c>
      <c r="N367" s="30" t="n">
        <v>100</v>
      </c>
      <c r="O367" s="28" t="n">
        <v>1741.2</v>
      </c>
      <c r="P367" s="26" t="inlineStr">
        <is>
          <t>derived:price x shares upon listing</t>
        </is>
      </c>
      <c r="Q367" s="31" t="n">
        <v>2505.9</v>
      </c>
      <c r="R367" s="32" t="n">
        <v>3.9</v>
      </c>
      <c r="S367" s="33" t="n"/>
      <c r="T367" s="26" t="inlineStr">
        <is>
          <t>Ms. Fan; Jinyingu Investment</t>
        </is>
      </c>
      <c r="U367" s="30" t="n"/>
      <c r="V367" s="26" t="n"/>
      <c r="W367" s="34" t="n">
        <v>258.11</v>
      </c>
      <c r="X367" s="34" t="n">
        <v>457.43</v>
      </c>
      <c r="Y367" s="34" t="n">
        <v>456.42</v>
      </c>
      <c r="Z367" s="34" t="n">
        <v>467.23</v>
      </c>
      <c r="AA367" s="34" t="n">
        <v>55.38</v>
      </c>
      <c r="AB367" s="34" t="n">
        <v>461.42</v>
      </c>
      <c r="AC367" s="34" t="n">
        <v>-5</v>
      </c>
      <c r="AD367" s="26" t="inlineStr">
        <is>
          <t>Hang Seng Commerce &amp; Industry sub-index</t>
        </is>
      </c>
      <c r="AE367" s="34" t="n">
        <v>90.54000000000001</v>
      </c>
      <c r="AF367" s="28" t="n">
        <v>502.2</v>
      </c>
      <c r="AG367" s="28" t="n">
        <v>54.3</v>
      </c>
      <c r="AH367" s="26" t="inlineStr">
        <is>
          <t>Y</t>
        </is>
      </c>
      <c r="AI367" s="35" t="n">
        <v>32.1</v>
      </c>
      <c r="AJ367" s="35" t="n">
        <v>3.5</v>
      </c>
      <c r="AK367" s="26" t="inlineStr">
        <is>
          <t>N</t>
        </is>
      </c>
      <c r="AL367" s="36">
        <f>IF('BBG Verify'!K367="","not filed — run on terminal",'BBG Verify'!K367)</f>
        <v/>
      </c>
      <c r="AM367" s="26" t="inlineStr">
        <is>
          <t>N/A</t>
        </is>
      </c>
      <c r="AN367" s="26" t="inlineStr">
        <is>
          <t>N/A</t>
        </is>
      </c>
      <c r="AO367" s="26" t="inlineStr">
        <is>
          <t>N/A</t>
        </is>
      </c>
      <c r="AP367" s="26" t="inlineStr">
        <is>
          <t>Ping An of China Capital (Hong Kong) Company Limited</t>
        </is>
      </c>
      <c r="AQ367" s="26" t="inlineStr">
        <is>
          <t>中國平安資本（香港）有限公司</t>
        </is>
      </c>
      <c r="AR367" s="26" t="inlineStr">
        <is>
          <t>Ping An Securities (Hong Kong) Company Limited; Managers Ping An Securities (Hong Kong) Company Limited; A VICT Global Asset Management Limited; uSMART Securities Limited; ABCI Capital Limited</t>
        </is>
      </c>
      <c r="AS367" s="26" t="inlineStr">
        <is>
          <t>農銀國際證券有限公司; 中航資信環球資產管理有限公司; 平安證券（香港）有限公司; 百惠證券有限公司; 瑞邦證券有限公司; 友信證券有限公司</t>
        </is>
      </c>
      <c r="AT367" s="37">
        <f>HYPERLINK("https://www1.hkexnews.hk/listedco/listconews/sehk/2025/0919/2025091900019.pdf","prospectus")</f>
        <v/>
      </c>
      <c r="AU367" s="37">
        <f>HYPERLINK("https://www1.hkexnews.hk/listedco/listconews/sehk/2025/0929/2025092902274.pdf","allotment")</f>
        <v/>
      </c>
      <c r="AV367" s="26" t="n"/>
      <c r="AW367" s="26" t="inlineStr">
        <is>
          <t>greenshoe: no over-allotment option in the offer structure · A/H: no A-share listing</t>
        </is>
      </c>
    </row>
    <row r="368">
      <c r="A368" s="25" t="inlineStr">
        <is>
          <t>2889</t>
        </is>
      </c>
      <c r="B368" s="26" t="inlineStr">
        <is>
          <t>PATEO</t>
        </is>
      </c>
      <c r="C368" s="26" t="inlineStr">
        <is>
          <t>博泰車聯</t>
        </is>
      </c>
      <c r="D368" s="26" t="inlineStr">
        <is>
          <t>Consumer</t>
        </is>
      </c>
      <c r="E368" s="26" t="inlineStr">
        <is>
          <t>Auto parts / supply chain</t>
        </is>
      </c>
      <c r="F368" s="26" t="inlineStr">
        <is>
          <t>Standard</t>
        </is>
      </c>
      <c r="G368" s="27" t="n">
        <v>45930</v>
      </c>
      <c r="H368" s="28" t="n">
        <v>1066.96</v>
      </c>
      <c r="I368" s="26" t="inlineStr">
        <is>
          <t>gross (stated)</t>
        </is>
      </c>
      <c r="J368" s="29" t="n"/>
      <c r="K368" s="29" t="n">
        <v>102.23</v>
      </c>
      <c r="L368" s="29" t="n">
        <v>102.23</v>
      </c>
      <c r="M368" s="26" t="inlineStr">
        <is>
          <t>Y</t>
        </is>
      </c>
      <c r="N368" s="30" t="n">
        <v>100</v>
      </c>
      <c r="O368" s="41">
        <f>IF('BBG Verify'!M368="","not filed — run on terminal",'BBG Verify'!M368)</f>
        <v/>
      </c>
      <c r="P368" s="26" t="n"/>
      <c r="Q368" s="31" t="n">
        <v>529.79</v>
      </c>
      <c r="R368" s="32" t="n">
        <v>3.72</v>
      </c>
      <c r="S368" s="33" t="n">
        <v>22.8</v>
      </c>
      <c r="T368" s="26" t="inlineStr">
        <is>
          <t>Listing Top</t>
        </is>
      </c>
      <c r="U368" s="30" t="n"/>
      <c r="V368" s="26" t="n"/>
      <c r="W368" s="34" t="n">
        <v>53.58</v>
      </c>
      <c r="X368" s="34" t="n">
        <v>98.95999999999999</v>
      </c>
      <c r="Y368" s="34" t="n">
        <v>68.05</v>
      </c>
      <c r="Z368" s="34" t="n">
        <v>110.51</v>
      </c>
      <c r="AA368" s="34" t="n">
        <v>9.42</v>
      </c>
      <c r="AB368" s="34" t="n">
        <v>73.05</v>
      </c>
      <c r="AC368" s="34" t="n">
        <v>-5</v>
      </c>
      <c r="AD368" s="26" t="inlineStr">
        <is>
          <t>Hang Seng Commerce &amp; Industry sub-index</t>
        </is>
      </c>
      <c r="AE368" s="34" t="n">
        <v>73.73</v>
      </c>
      <c r="AF368" s="28" t="n">
        <v>2812.7</v>
      </c>
      <c r="AG368" s="28" t="n">
        <v>-595.4</v>
      </c>
      <c r="AH368" s="26" t="inlineStr">
        <is>
          <t>N</t>
        </is>
      </c>
      <c r="AI368" s="38">
        <f>IF('BBG Verify'!O368="","not filed — run on terminal",'BBG Verify'!O368)</f>
        <v/>
      </c>
      <c r="AJ368" s="35" t="n"/>
      <c r="AK368" s="26" t="inlineStr">
        <is>
          <t>N</t>
        </is>
      </c>
      <c r="AL368" s="36">
        <f>IF('BBG Verify'!K368="","not filed — run on terminal",'BBG Verify'!K368)</f>
        <v/>
      </c>
      <c r="AM368" s="26" t="inlineStr">
        <is>
          <t>N/A</t>
        </is>
      </c>
      <c r="AN368" s="26" t="inlineStr">
        <is>
          <t>N/A</t>
        </is>
      </c>
      <c r="AO368" s="26" t="inlineStr">
        <is>
          <t>N/A</t>
        </is>
      </c>
      <c r="AP368" s="26" t="n"/>
      <c r="AQ368" s="26" t="inlineStr">
        <is>
          <t>中國國際金融香港證券有限公司; 華泰金融控股(香港)有限公司; 中信證券(香港)有限公司; 國泰君安融資有限公司; 招銀國際融資有限公司</t>
        </is>
      </c>
      <c r="AR368" s="26" t="inlineStr">
        <is>
          <t>農銀國際證券有限公司; 中銀國際亞洲有限公司; 中國國際金融香港證券有限公司; 中信里昂證券有限公司; 招銀國際融資有限公司; 國泰君安證券(香港)有限公司</t>
        </is>
      </c>
      <c r="AS368" s="26" t="inlineStr">
        <is>
          <t>農銀國際證券有限公司; 中銀國際亞洲有限公司; 中國國際金融香港證券有限公司; 中信里昂證券有限公司; 招銀國際融資有限公司; 國泰君安證券(香港)有限公司; 華泰金融控股(香港)有限公司; 利弗莫爾證券有限公司; 老虎證券（香港）環球有限公司</t>
        </is>
      </c>
      <c r="AT368" s="37">
        <f>HYPERLINK("https://www1.hkexnews.hk/listedco/listconews/sehk/2025/0922/2025092200011.pdf","prospectus")</f>
        <v/>
      </c>
      <c r="AU368" s="37">
        <f>HYPERLINK("https://www1.hkexnews.hk/listedco/listconews/sehk/2025/0929/2025092903622.pdf","allotment")</f>
        <v/>
      </c>
      <c r="AV368" s="26" t="n"/>
      <c r="AW368" s="26" t="inlineStr">
        <is>
          <t>P/E: n/m — loss-making at IPO (use P/S) · greenshoe: no over-allotment option in the offer structure · price range: fixed-price offering (no indicative range) · A/H: no A-share listing · sponsor: English name not in the filing text; AAStocks 保薦人 shown</t>
        </is>
      </c>
    </row>
    <row r="369">
      <c r="A369" s="25" t="inlineStr">
        <is>
          <t>2259</t>
        </is>
      </c>
      <c r="B369" s="26" t="inlineStr">
        <is>
          <t>ZIJIN GOLD INTL</t>
        </is>
      </c>
      <c r="C369" s="26" t="inlineStr">
        <is>
          <t>紫金黃金國際</t>
        </is>
      </c>
      <c r="D369" s="26" t="inlineStr">
        <is>
          <t>Materials/Energy</t>
        </is>
      </c>
      <c r="E369" s="26" t="inlineStr">
        <is>
          <t>Mining / metals</t>
        </is>
      </c>
      <c r="F369" s="26" t="inlineStr">
        <is>
          <t>Standard</t>
        </is>
      </c>
      <c r="G369" s="27" t="n">
        <v>45930</v>
      </c>
      <c r="H369" s="28" t="n">
        <v>24984.2</v>
      </c>
      <c r="I369" s="26" t="inlineStr">
        <is>
          <t>gross (stated)</t>
        </is>
      </c>
      <c r="J369" s="29" t="n"/>
      <c r="K369" s="29" t="n">
        <v>71.59</v>
      </c>
      <c r="L369" s="29" t="n">
        <v>71.59</v>
      </c>
      <c r="M369" s="26" t="inlineStr">
        <is>
          <t>Y</t>
        </is>
      </c>
      <c r="N369" s="30" t="n">
        <v>100</v>
      </c>
      <c r="O369" s="28" t="n">
        <v>187900</v>
      </c>
      <c r="P369" s="26" t="inlineStr">
        <is>
          <t>prospectus:stated market capitalisation</t>
        </is>
      </c>
      <c r="Q369" s="31" t="n">
        <v>240.74</v>
      </c>
      <c r="R369" s="32" t="n">
        <v>22.36</v>
      </c>
      <c r="S369" s="33" t="n">
        <v>1.6</v>
      </c>
      <c r="T369" s="26" t="inlineStr">
        <is>
          <t>UBS AM Singapore</t>
        </is>
      </c>
      <c r="U369" s="30" t="n">
        <v>5</v>
      </c>
      <c r="V369" s="26" t="n"/>
      <c r="W369" s="34" t="n">
        <v>68.45999999999999</v>
      </c>
      <c r="X369" s="34" t="n">
        <v>97.37</v>
      </c>
      <c r="Y369" s="34" t="n">
        <v>81.45</v>
      </c>
      <c r="Z369" s="34" t="n">
        <v>100.73</v>
      </c>
      <c r="AA369" s="34" t="n">
        <v>7.71</v>
      </c>
      <c r="AB369" s="34" t="n">
        <v>77.87</v>
      </c>
      <c r="AC369" s="34" t="n">
        <v>3.58</v>
      </c>
      <c r="AD369" s="26" t="inlineStr">
        <is>
          <t>Hang Seng Utilities sub-index</t>
        </is>
      </c>
      <c r="AE369" s="34" t="n">
        <v>92.48</v>
      </c>
      <c r="AF369" s="28" t="n">
        <v>23321.5</v>
      </c>
      <c r="AG369" s="28" t="n">
        <v>4.8</v>
      </c>
      <c r="AH369" s="26" t="inlineStr">
        <is>
          <t>Y</t>
        </is>
      </c>
      <c r="AI369" s="35" t="n">
        <v>39145.8</v>
      </c>
      <c r="AJ369" s="35" t="n">
        <v>8.1</v>
      </c>
      <c r="AK369" s="26" t="inlineStr">
        <is>
          <t>N</t>
        </is>
      </c>
      <c r="AL369" s="36">
        <f>IF('BBG Verify'!K369="","not filed — run on terminal",'BBG Verify'!K369)</f>
        <v/>
      </c>
      <c r="AM369" s="26" t="inlineStr">
        <is>
          <t>N/A</t>
        </is>
      </c>
      <c r="AN369" s="26" t="inlineStr">
        <is>
          <t>N/A</t>
        </is>
      </c>
      <c r="AO369" s="26" t="inlineStr">
        <is>
          <t>N/A</t>
        </is>
      </c>
      <c r="AP369" s="26" t="inlineStr">
        <is>
          <t>Morgan Stanley Asia Limited; CITIC Securities (Hong Kong) Limited</t>
        </is>
      </c>
      <c r="AQ369" s="26" t="inlineStr">
        <is>
          <t>摩根士丹利亞洲有限公司; 中信證券(香港)有限公司</t>
        </is>
      </c>
      <c r="AR369" s="26" t="inlineStr">
        <is>
          <t>Morgan Stanley &amp; Co. International plc; Canary Wharf London E14 4QA United Kingdom CLSA Limited; Managers and Capital Market Intermediaries GF Securities (Hong Kong) Brokerage Limited; Huatai Financial Holdings (Hong Kong) Limited</t>
        </is>
      </c>
      <c r="AS369" s="26" t="inlineStr">
        <is>
          <t>興證國際融資有限公司; 中信里昂證券有限公司; 廣發證券（香港）經紀有限公司; 華泰金融控股(香港)有限公司; 麥格理資本股份有限公司; 摩根士丹利亞洲有限公司</t>
        </is>
      </c>
      <c r="AT369" s="37">
        <f>HYPERLINK("https://www1.hkexnews.hk/listedco/listconews/sehk/2025/0919/2025091900073.pdf","prospectus")</f>
        <v/>
      </c>
      <c r="AU369" s="37">
        <f>HYPERLINK("https://www1.hkexnews.hk/listedco/listconews/sehk/2025/0929/2025092903788.pdf","allotment")</f>
        <v/>
      </c>
      <c r="AV369" s="26" t="n"/>
      <c r="AW369" s="26" t="inlineStr">
        <is>
          <t>greenshoe: end-of-stabilisation notice not located · A/H: no A-share listing</t>
        </is>
      </c>
    </row>
    <row r="370">
      <c r="A370" s="25" t="inlineStr">
        <is>
          <t>2652</t>
        </is>
      </c>
      <c r="B370" s="26" t="inlineStr">
        <is>
          <t>CF PHARMTECH</t>
        </is>
      </c>
      <c r="C370" s="26" t="inlineStr">
        <is>
          <t>長風藥業</t>
        </is>
      </c>
      <c r="D370" s="26" t="inlineStr">
        <is>
          <t>Healthcare</t>
        </is>
      </c>
      <c r="E370" s="26" t="inlineStr">
        <is>
          <t>Biopharma commercial</t>
        </is>
      </c>
      <c r="F370" s="26" t="inlineStr">
        <is>
          <t>Standard</t>
        </is>
      </c>
      <c r="G370" s="27" t="n">
        <v>45938</v>
      </c>
      <c r="H370" s="28" t="n">
        <v>607.7</v>
      </c>
      <c r="I370" s="26" t="inlineStr">
        <is>
          <t>gross (price x shares)</t>
        </is>
      </c>
      <c r="J370" s="29" t="n"/>
      <c r="K370" s="29" t="n">
        <v>14.75</v>
      </c>
      <c r="L370" s="29" t="n">
        <v>14.75</v>
      </c>
      <c r="M370" s="26" t="inlineStr">
        <is>
          <t>Y</t>
        </is>
      </c>
      <c r="N370" s="30" t="n">
        <v>100</v>
      </c>
      <c r="O370" s="28" t="n">
        <v>6076.7</v>
      </c>
      <c r="P370" s="26" t="inlineStr">
        <is>
          <t>derived:price x shares upon listing</t>
        </is>
      </c>
      <c r="Q370" s="31" t="n">
        <v>6697.8</v>
      </c>
      <c r="R370" s="32" t="n">
        <v>12.74</v>
      </c>
      <c r="S370" s="33" t="n">
        <v>10</v>
      </c>
      <c r="T370" s="26" t="inlineStr">
        <is>
          <t>Shanghai Yangtze River Delta Industry Upgrade Equity Investment</t>
        </is>
      </c>
      <c r="U370" s="30" t="n"/>
      <c r="V370" s="26" t="n"/>
      <c r="W370" s="34" t="n">
        <v>161.02</v>
      </c>
      <c r="X370" s="34" t="n">
        <v>94.58</v>
      </c>
      <c r="Y370" s="34" t="n">
        <v>89.83</v>
      </c>
      <c r="Z370" s="34" t="n">
        <v>112.88</v>
      </c>
      <c r="AA370" s="34" t="n">
        <v>-27.27</v>
      </c>
      <c r="AB370" s="34" t="n">
        <v>102.26</v>
      </c>
      <c r="AC370" s="34" t="n">
        <v>-12.43</v>
      </c>
      <c r="AD370" s="26" t="inlineStr">
        <is>
          <t>China Biotech ETF (HS biotech proxy)</t>
        </is>
      </c>
      <c r="AE370" s="34" t="n">
        <v>13.49</v>
      </c>
      <c r="AF370" s="28" t="n">
        <v>668.5</v>
      </c>
      <c r="AG370" s="28" t="n">
        <v>0</v>
      </c>
      <c r="AH370" s="26" t="inlineStr">
        <is>
          <t>N</t>
        </is>
      </c>
      <c r="AI370" s="38">
        <f>IF('BBG Verify'!O370="","not filed — run on terminal",'BBG Verify'!O370)</f>
        <v/>
      </c>
      <c r="AJ370" s="35" t="n">
        <v>9.1</v>
      </c>
      <c r="AK370" s="26" t="inlineStr">
        <is>
          <t>N</t>
        </is>
      </c>
      <c r="AL370" s="36">
        <f>IF('BBG Verify'!K370="","not filed — run on terminal",'BBG Verify'!K370)</f>
        <v/>
      </c>
      <c r="AM370" s="26" t="inlineStr">
        <is>
          <t>N/A</t>
        </is>
      </c>
      <c r="AN370" s="26" t="inlineStr">
        <is>
          <t>N/A</t>
        </is>
      </c>
      <c r="AO370" s="26" t="inlineStr">
        <is>
          <t>N/A</t>
        </is>
      </c>
      <c r="AP370" s="26" t="inlineStr">
        <is>
          <t>CITIC Securities (Hong Kong) Limited; CMB International Capital Limited</t>
        </is>
      </c>
      <c r="AQ370" s="26" t="inlineStr">
        <is>
          <t>中信證券(香港)有限公司</t>
        </is>
      </c>
      <c r="AR370" s="26"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AS370" s="26" t="inlineStr">
        <is>
          <t>農銀國際證券有限公司; 交銀國際證券有限公司; 建銀國際金融有限公司; 中州國際證券有限公司; 中信里昂證券有限公司; 招銀國際融資有限公司; 國信證券（香港）經紀有限公司; 工銀國際證券有限公司; 國證國際證券（香港）有限公司; 申萬宏源證券（香港）有限公司; 浦銀國際融資有限公司; 東吳證券國際經紀有限公司</t>
        </is>
      </c>
      <c r="AT370" s="37">
        <f>HYPERLINK("https://www1.hkexnews.hk/listedco/listconews/sehk/2025/0926/2025092600041.pdf","prospectus")</f>
        <v/>
      </c>
      <c r="AU370" s="37">
        <f>HYPERLINK("https://www1.hkexnews.hk/listedco/listconews/sehk/2025/1006/2025100601430.pdf","allotment")</f>
        <v/>
      </c>
      <c r="AV370" s="26" t="n"/>
      <c r="AW370" s="26" t="inlineStr">
        <is>
          <t>P/E: n/m — loss-making at IPO (use P/S) · greenshoe: no over-allotment option in the offer structure · A/H: no A-share listing</t>
        </is>
      </c>
    </row>
    <row r="371">
      <c r="A371" s="25" t="inlineStr">
        <is>
          <t>2650</t>
        </is>
      </c>
      <c r="B371" s="26" t="inlineStr">
        <is>
          <t>ZHIDA TECH</t>
        </is>
      </c>
      <c r="C371" s="26" t="inlineStr">
        <is>
          <t>摯達科技</t>
        </is>
      </c>
      <c r="D371" s="26" t="inlineStr">
        <is>
          <t>Consumer</t>
        </is>
      </c>
      <c r="E371" s="26" t="inlineStr">
        <is>
          <t>Auto parts / supply chain</t>
        </is>
      </c>
      <c r="F371" s="26" t="inlineStr">
        <is>
          <t>Standard</t>
        </is>
      </c>
      <c r="G371" s="27" t="n">
        <v>45940</v>
      </c>
      <c r="H371" s="28" t="n">
        <v>400.12</v>
      </c>
      <c r="I371" s="26" t="inlineStr">
        <is>
          <t>gross (stated)</t>
        </is>
      </c>
      <c r="J371" s="29" t="n"/>
      <c r="K371" s="29" t="n">
        <v>83.63</v>
      </c>
      <c r="L371" s="29" t="n">
        <v>66.92</v>
      </c>
      <c r="M371" s="26" t="inlineStr">
        <is>
          <t>N</t>
        </is>
      </c>
      <c r="N371" s="30" t="n">
        <v>80</v>
      </c>
      <c r="O371" s="28" t="n">
        <v>4001.1</v>
      </c>
      <c r="P371" s="26" t="inlineStr">
        <is>
          <t>derived:price x shares upon listing</t>
        </is>
      </c>
      <c r="Q371" s="31" t="n">
        <v>5440.8</v>
      </c>
      <c r="R371" s="32" t="n">
        <v>2.37</v>
      </c>
      <c r="S371" s="33" t="n">
        <v>0</v>
      </c>
      <c r="T371" s="26" t="n"/>
      <c r="U371" s="30" t="n">
        <v>11.33</v>
      </c>
      <c r="V371" s="26" t="inlineStr">
        <is>
          <t>lapsed</t>
        </is>
      </c>
      <c r="W371" s="48" t="n">
        <v>1360.7</v>
      </c>
      <c r="X371" s="34" t="n">
        <v>1256.1</v>
      </c>
      <c r="Y371" s="34" t="n">
        <v>1235.18</v>
      </c>
      <c r="Z371" s="34" t="n">
        <v>1693.19</v>
      </c>
      <c r="AA371" s="34" t="n">
        <v>-8.59</v>
      </c>
      <c r="AB371" s="34" t="n">
        <v>1240.44</v>
      </c>
      <c r="AC371" s="34" t="n">
        <v>-5.26</v>
      </c>
      <c r="AD371" s="26" t="inlineStr">
        <is>
          <t>Hang Seng Commerce &amp; Industry sub-index</t>
        </is>
      </c>
      <c r="AE371" s="34" t="n">
        <v>-83.13</v>
      </c>
      <c r="AF371" s="28" t="n">
        <v>652.7</v>
      </c>
      <c r="AG371" s="28" t="n">
        <v>-259.5</v>
      </c>
      <c r="AH371" s="26" t="inlineStr">
        <is>
          <t>N</t>
        </is>
      </c>
      <c r="AI371" s="38">
        <f>IF('BBG Verify'!O371="","not filed — run on terminal",'BBG Verify'!O371)</f>
        <v/>
      </c>
      <c r="AJ371" s="35" t="n">
        <v>6.1</v>
      </c>
      <c r="AK371" s="26" t="inlineStr">
        <is>
          <t>N</t>
        </is>
      </c>
      <c r="AL371" s="36">
        <f>IF('BBG Verify'!K371="","not filed — run on terminal",'BBG Verify'!K371)</f>
        <v/>
      </c>
      <c r="AM371" s="26" t="inlineStr">
        <is>
          <t>N/A</t>
        </is>
      </c>
      <c r="AN371" s="26" t="inlineStr">
        <is>
          <t>N/A</t>
        </is>
      </c>
      <c r="AO371" s="26" t="inlineStr">
        <is>
          <t>N/A</t>
        </is>
      </c>
      <c r="AP371" s="26" t="inlineStr">
        <is>
          <t>Shenwan Hongyuan Capital (H.K.) Limited</t>
        </is>
      </c>
      <c r="AQ371" s="26" t="inlineStr">
        <is>
          <t>申萬宏源融資（香港）有限公司</t>
        </is>
      </c>
      <c r="AR371" s="26" t="inlineStr">
        <is>
          <t>Shenwan Hongyuan Securities (H.K.) Limited; BOCOM International Securities Limited; First Shanghai Securities Limited; China Industrial Securities International Capital Limited; Livermore Holdings Limited; SPDB International Capital Limited</t>
        </is>
      </c>
      <c r="AS371" s="26" t="inlineStr">
        <is>
          <t>交銀國際證券有限公司; 興證國際融資有限公司; 第一上海證券有限公司; 利弗莫爾證券有限公司; 申萬宏源證券（香港）有限公司; 浦銀國際融資有限公司; 西牛證券有限公司; 元宇宙（國際）證券有限公司; 黃河證券有限公司</t>
        </is>
      </c>
      <c r="AT371" s="37">
        <f>HYPERLINK("https://www1.hkexnews.hk/listedco/listconews/sehk/2025/0930/2025093000033.pdf","prospectus")</f>
        <v/>
      </c>
      <c r="AU371" s="37">
        <f>HYPERLINK("https://www1.hkexnews.hk/listedco/listconews/sehk/2025/1009/2025100901252.pdf","allotment")</f>
        <v/>
      </c>
      <c r="AV371" s="37">
        <f>HYPERLINK("https://www1.hkexnews.hk/listedco/listconews/sehk/2025/1105/2025110500584.pdf","stabilisation")</f>
        <v/>
      </c>
      <c r="AW371" s="26" t="inlineStr">
        <is>
          <t>P/E: n/m — loss-making at IPO (use P/S) · A/H: no A-share listing</t>
        </is>
      </c>
    </row>
    <row r="372">
      <c r="A372" s="25" t="inlineStr">
        <is>
          <t>2575</t>
        </is>
      </c>
      <c r="B372" s="26" t="inlineStr">
        <is>
          <t>XUANZHUBIO-B</t>
        </is>
      </c>
      <c r="C372" s="26" t="inlineStr">
        <is>
          <t>軒竹生物－Ｂ</t>
        </is>
      </c>
      <c r="D372" s="26" t="inlineStr">
        <is>
          <t>Healthcare</t>
        </is>
      </c>
      <c r="E372" s="26" t="inlineStr">
        <is>
          <t>Biotech pre-revenue (18A)</t>
        </is>
      </c>
      <c r="F372" s="26" t="inlineStr">
        <is>
          <t>18A</t>
        </is>
      </c>
      <c r="G372" s="27" t="n">
        <v>45945</v>
      </c>
      <c r="H372" s="28" t="n">
        <v>781.1</v>
      </c>
      <c r="I372" s="26" t="inlineStr">
        <is>
          <t>gross (stated)</t>
        </is>
      </c>
      <c r="J372" s="29" t="n"/>
      <c r="K372" s="29" t="n">
        <v>11.6</v>
      </c>
      <c r="L372" s="29" t="n">
        <v>11.6</v>
      </c>
      <c r="M372" s="26" t="inlineStr">
        <is>
          <t>Y</t>
        </is>
      </c>
      <c r="N372" s="30" t="n">
        <v>100</v>
      </c>
      <c r="O372" s="28" t="n">
        <v>6008.2</v>
      </c>
      <c r="P372" s="26" t="inlineStr">
        <is>
          <t>derived:price x shares upon listing</t>
        </is>
      </c>
      <c r="Q372" s="31" t="n">
        <v>4908.33</v>
      </c>
      <c r="R372" s="32" t="n">
        <v>72.48999999999999</v>
      </c>
      <c r="S372" s="33" t="n">
        <v>78</v>
      </c>
      <c r="T372" s="26" t="inlineStr">
        <is>
          <t>Xu Yanjun/ᜮё –; Li Jia Kui/ ҽྗඃ –; Subtotal –</t>
        </is>
      </c>
      <c r="U372" s="30" t="n">
        <v>15</v>
      </c>
      <c r="V372" s="26" t="n"/>
      <c r="W372" s="34" t="n">
        <v>126.72</v>
      </c>
      <c r="X372" s="34" t="n">
        <v>417.24</v>
      </c>
      <c r="Y372" s="34" t="n">
        <v>451.29</v>
      </c>
      <c r="Z372" s="34" t="n">
        <v>509.05</v>
      </c>
      <c r="AA372" s="34" t="n">
        <v>143.16</v>
      </c>
      <c r="AB372" s="34" t="n">
        <v>448.13</v>
      </c>
      <c r="AC372" s="34" t="n">
        <v>3.16</v>
      </c>
      <c r="AD372" s="26" t="inlineStr">
        <is>
          <t>China Biotech ETF (HS biotech proxy)</t>
        </is>
      </c>
      <c r="AE372" s="34" t="n">
        <v>6.03</v>
      </c>
      <c r="AF372" s="28" t="n">
        <v>17.6</v>
      </c>
      <c r="AG372" s="28" t="n">
        <v>-612.1</v>
      </c>
      <c r="AH372" s="26" t="inlineStr">
        <is>
          <t>N</t>
        </is>
      </c>
      <c r="AI372" s="38">
        <f>IF('BBG Verify'!O372="","not filed — run on terminal",'BBG Verify'!O372)</f>
        <v/>
      </c>
      <c r="AJ372" s="35" t="n">
        <v>341.4</v>
      </c>
      <c r="AK372" s="26" t="inlineStr">
        <is>
          <t>N</t>
        </is>
      </c>
      <c r="AL372" s="36">
        <f>IF('BBG Verify'!K372="","not filed — run on terminal",'BBG Verify'!K372)</f>
        <v/>
      </c>
      <c r="AM372" s="26" t="inlineStr">
        <is>
          <t>N/A</t>
        </is>
      </c>
      <c r="AN372" s="26" t="inlineStr">
        <is>
          <t>N/A</t>
        </is>
      </c>
      <c r="AO372" s="26" t="inlineStr">
        <is>
          <t>N/A</t>
        </is>
      </c>
      <c r="AP372" s="26" t="inlineStr">
        <is>
          <t>Compliance Advisor First Shanghai Capital Limited; Receiving Banks CMB Wing Lung Bank Limited; China CITIC Bank International Limited; Ms. Wang Y u ( ˮρ) H Share Registrar Computershare Hong Kong Investor Services Limited</t>
        </is>
      </c>
      <c r="AQ372" s="26" t="inlineStr">
        <is>
          <t>中國國際金融香港證券有限公司</t>
        </is>
      </c>
      <c r="AR372" s="26" t="inlineStr">
        <is>
          <t>中國國際金融香港證券有限公司; 招銀國際融資有限公司</t>
        </is>
      </c>
      <c r="AS372" s="26" t="inlineStr">
        <is>
          <t>中國國際金融香港證券有限公司; 招銀國際融資有限公司</t>
        </is>
      </c>
      <c r="AT372" s="37">
        <f>HYPERLINK("https://www1.hkexnews.hk/listedco/listconews/sehk/2025/1006/2025100600007.pdf","prospectus")</f>
        <v/>
      </c>
      <c r="AU372" s="37">
        <f>HYPERLINK("https://www1.hkexnews.hk/listedco/listconews/sehk/2025/1014/2025101401222.pdf","allotment")</f>
        <v/>
      </c>
      <c r="AV372" s="26" t="n"/>
      <c r="AW372" s="26" t="inlineStr">
        <is>
          <t>P/E: n/m — loss-making at IPO (use P/S) · greenshoe: end-of-stabilisation notice not located · A/H: no A-share listing</t>
        </is>
      </c>
    </row>
    <row r="373">
      <c r="A373" s="25" t="inlineStr">
        <is>
          <t>2670</t>
        </is>
      </c>
      <c r="B373" s="26" t="inlineStr">
        <is>
          <t>YUNJI</t>
        </is>
      </c>
      <c r="C373" s="26" t="inlineStr">
        <is>
          <t>雲迹</t>
        </is>
      </c>
      <c r="D373" s="26" t="inlineStr">
        <is>
          <t>Tech/AI</t>
        </is>
      </c>
      <c r="E373" s="26" t="inlineStr">
        <is>
          <t>Robotics &amp; autonomous driving</t>
        </is>
      </c>
      <c r="F373" s="26" t="inlineStr">
        <is>
          <t>Standard</t>
        </is>
      </c>
      <c r="G373" s="27" t="n">
        <v>45946</v>
      </c>
      <c r="H373" s="28" t="n">
        <v>659.6</v>
      </c>
      <c r="I373" s="26" t="inlineStr">
        <is>
          <t>gross (stated)</t>
        </is>
      </c>
      <c r="J373" s="29" t="n"/>
      <c r="K373" s="29" t="n">
        <v>95.59999999999999</v>
      </c>
      <c r="L373" s="29" t="n">
        <v>95.59999999999999</v>
      </c>
      <c r="M373" s="26" t="inlineStr">
        <is>
          <t>Y</t>
        </is>
      </c>
      <c r="N373" s="30" t="n">
        <v>100</v>
      </c>
      <c r="O373" s="28" t="n">
        <v>6569</v>
      </c>
      <c r="P373" s="26" t="inlineStr">
        <is>
          <t>prospectus:stated market capitalisation</t>
        </is>
      </c>
      <c r="Q373" s="31" t="n">
        <v>5657.2</v>
      </c>
      <c r="R373" s="32" t="n">
        <v>18.62</v>
      </c>
      <c r="S373" s="33" t="n">
        <v>10</v>
      </c>
      <c r="T373" s="26" t="n"/>
      <c r="U373" s="30" t="n">
        <v>15</v>
      </c>
      <c r="V373" s="26" t="inlineStr">
        <is>
          <t>full</t>
        </is>
      </c>
      <c r="W373" s="34" t="n">
        <v>26.05</v>
      </c>
      <c r="X373" s="34" t="n">
        <v>29.18</v>
      </c>
      <c r="Y373" s="34" t="n">
        <v>18.2</v>
      </c>
      <c r="Z373" s="34" t="n">
        <v>23.74</v>
      </c>
      <c r="AA373" s="34" t="n">
        <v>-6.23</v>
      </c>
      <c r="AB373" s="34" t="n">
        <v>23.4</v>
      </c>
      <c r="AC373" s="34" t="n">
        <v>-5.2</v>
      </c>
      <c r="AD373" s="26" t="inlineStr">
        <is>
          <t>HSTECH (Hang Seng TECH ETF)</t>
        </is>
      </c>
      <c r="AE373" s="34" t="n">
        <v>51.67</v>
      </c>
      <c r="AF373" s="28" t="n">
        <v>269.3</v>
      </c>
      <c r="AG373" s="28" t="n">
        <v>-64</v>
      </c>
      <c r="AH373" s="26" t="inlineStr">
        <is>
          <t>N</t>
        </is>
      </c>
      <c r="AI373" s="38">
        <f>IF('BBG Verify'!O373="","not filed — run on terminal",'BBG Verify'!O373)</f>
        <v/>
      </c>
      <c r="AJ373" s="35" t="n">
        <v>24.4</v>
      </c>
      <c r="AK373" s="26" t="inlineStr">
        <is>
          <t>N</t>
        </is>
      </c>
      <c r="AL373" s="36">
        <f>IF('BBG Verify'!K373="","not filed — run on terminal",'BBG Verify'!K373)</f>
        <v/>
      </c>
      <c r="AM373" s="26" t="inlineStr">
        <is>
          <t>N/A</t>
        </is>
      </c>
      <c r="AN373" s="26" t="inlineStr">
        <is>
          <t>N/A</t>
        </is>
      </c>
      <c r="AO373" s="26" t="inlineStr">
        <is>
          <t>N/A</t>
        </is>
      </c>
      <c r="AP373" s="26" t="inlineStr">
        <is>
          <t>CITIC Securities (Hong Kong) Limited; CCB International Capital Limited</t>
        </is>
      </c>
      <c r="AQ373" s="26" t="inlineStr">
        <is>
          <t>建銀國際金融有限公司; 中信證券(香港)有限公司</t>
        </is>
      </c>
      <c r="AR373" s="26" t="inlineStr">
        <is>
          <t>CLSA Limited; CCB International Capital Limited; SDICS International Securities (Hong Kong) Limited; Futu Securities International (Hong Kong) Limited; Fuze Securities (International) Limited; SPDB International Capital Limited; Tiger Brokers (HK) Global Limited</t>
        </is>
      </c>
      <c r="AS373" s="26" t="inlineStr">
        <is>
          <t>建銀國際金融有限公司; 中灣國際證券有限公司; 中信里昂證券有限公司; 富途證券國際（香港）有限公司; 富澤證券（國際）有限公司; 國證國際證券（香港）有限公司; 浦銀國際融資有限公司; 老虎證券（香港）環球有限公司</t>
        </is>
      </c>
      <c r="AT373" s="37">
        <f>HYPERLINK("https://www1.hkexnews.hk/listedco/listconews/sehk/2025/1008/2025100800003.pdf","prospectus")</f>
        <v/>
      </c>
      <c r="AU373" s="37">
        <f>HYPERLINK("https://www1.hkexnews.hk/listedco/listconews/sehk/2025/1015/2025101501398.pdf","allotment")</f>
        <v/>
      </c>
      <c r="AV373" s="37">
        <f>HYPERLINK("https://www1.hkexnews.hk/listedco/listconews/sehk/2025/1112/2025111201502.pdf","stabilisation")</f>
        <v/>
      </c>
      <c r="AW373" s="26" t="inlineStr">
        <is>
          <t>P/E: n/m — loss-making at IPO (use P/S) · A/H: no A-share listing</t>
        </is>
      </c>
    </row>
    <row r="374">
      <c r="A374" s="25" t="inlineStr">
        <is>
          <t>2637</t>
        </is>
      </c>
      <c r="B374" s="26" t="inlineStr">
        <is>
          <t>HAIXI PHARMA</t>
        </is>
      </c>
      <c r="C374" s="26" t="inlineStr">
        <is>
          <t>海西新藥</t>
        </is>
      </c>
      <c r="D374" s="26" t="inlineStr">
        <is>
          <t>Healthcare</t>
        </is>
      </c>
      <c r="E374" s="26" t="inlineStr">
        <is>
          <t>Biopharma commercial</t>
        </is>
      </c>
      <c r="F374" s="26" t="inlineStr">
        <is>
          <t>Standard</t>
        </is>
      </c>
      <c r="G374" s="27" t="n">
        <v>45950</v>
      </c>
      <c r="H374" s="28" t="n">
        <v>993.6</v>
      </c>
      <c r="I374" s="26" t="inlineStr">
        <is>
          <t>gross (stated)</t>
        </is>
      </c>
      <c r="J374" s="29" t="n"/>
      <c r="K374" s="29" t="n">
        <v>86.40000000000001</v>
      </c>
      <c r="L374" s="29" t="n">
        <v>86.40000000000001</v>
      </c>
      <c r="M374" s="26" t="inlineStr">
        <is>
          <t>Y</t>
        </is>
      </c>
      <c r="N374" s="30" t="n">
        <v>100</v>
      </c>
      <c r="O374" s="28" t="n">
        <v>6800.3</v>
      </c>
      <c r="P374" s="26" t="inlineStr">
        <is>
          <t>derived:price x shares upon listing</t>
        </is>
      </c>
      <c r="Q374" s="31" t="n">
        <v>3165.1</v>
      </c>
      <c r="R374" s="32" t="n">
        <v>6.3</v>
      </c>
      <c r="S374" s="33" t="n">
        <v>21.79</v>
      </c>
      <c r="T374" s="26" t="inlineStr">
        <is>
          <t>Huatai Capital Investment Limited; Guosen (HK) Financial Products Company Limited</t>
        </is>
      </c>
      <c r="U374" s="30" t="n"/>
      <c r="V374" s="26" t="n"/>
      <c r="W374" s="34" t="n">
        <v>20.6</v>
      </c>
      <c r="X374" s="34" t="n">
        <v>30.67</v>
      </c>
      <c r="Y374" s="34" t="n">
        <v>47.57</v>
      </c>
      <c r="Z374" s="34" t="n">
        <v>62.85</v>
      </c>
      <c r="AA374" s="34" t="n">
        <v>22.36</v>
      </c>
      <c r="AB374" s="34" t="n">
        <v>49.17</v>
      </c>
      <c r="AC374" s="34" t="n">
        <v>-1.6</v>
      </c>
      <c r="AD374" s="26" t="inlineStr">
        <is>
          <t>China Biotech ETF (HS biotech proxy)</t>
        </is>
      </c>
      <c r="AE374" s="34" t="n">
        <v>151.16</v>
      </c>
      <c r="AF374" s="28" t="n">
        <v>513.4</v>
      </c>
      <c r="AG374" s="28" t="n">
        <v>149.7</v>
      </c>
      <c r="AH374" s="26" t="inlineStr">
        <is>
          <t>Y</t>
        </is>
      </c>
      <c r="AI374" s="35" t="n">
        <v>45.4</v>
      </c>
      <c r="AJ374" s="35" t="n">
        <v>13.2</v>
      </c>
      <c r="AK374" s="26" t="inlineStr">
        <is>
          <t>N</t>
        </is>
      </c>
      <c r="AL374" s="36">
        <f>IF('BBG Verify'!K374="","not filed — run on terminal",'BBG Verify'!K374)</f>
        <v/>
      </c>
      <c r="AM374" s="26" t="inlineStr">
        <is>
          <t>N/A</t>
        </is>
      </c>
      <c r="AN374" s="26" t="inlineStr">
        <is>
          <t>N/A</t>
        </is>
      </c>
      <c r="AO374" s="26" t="inlineStr">
        <is>
          <t>N/A</t>
        </is>
      </c>
      <c r="AP374" s="26" t="inlineStr">
        <is>
          <t>Huatai Financial Holdings (Hong Kong) Limited; CMB International Capital Limited</t>
        </is>
      </c>
      <c r="AQ374" s="26" t="inlineStr">
        <is>
          <t>華泰金融控股(香港)有限公司; 招銀國際融資有限公司</t>
        </is>
      </c>
      <c r="AR374" s="26" t="inlineStr">
        <is>
          <t>Managers and Capital Market Intermediaries Huatai Financial Holdings (Hong Kong) Limited; SDICS International Securities (Hong Kong) Limited; Huatai Financial Holdings (Hong Kong) Limited; CMB International Capital Limited; Guosen Securities (HK) Brokerage Company, Limited; Futu Securities International (Hong Kong) Limited; China Industrial Securities International Capital Limited; Central, Hong Kong Zhongtai International Securities Limited</t>
        </is>
      </c>
      <c r="AS374" s="26" t="inlineStr">
        <is>
          <t>興證國際融資有限公司; 民銀證券有限公司; 招銀國際金融有限公司; 富途證券國際（香港）有限公司; 國信證券（香港）經紀有限公司; 華泰金融控股(香港)有限公司; 國證國際證券（香港）有限公司; 中泰國際證券有限公司</t>
        </is>
      </c>
      <c r="AT374" s="37">
        <f>HYPERLINK("https://www1.hkexnews.hk/listedco/listconews/sehk/2025/1009/2025100900041.pdf","prospectus")</f>
        <v/>
      </c>
      <c r="AU374" s="37">
        <f>HYPERLINK("https://www1.hkexnews.hk/listedco/listconews/sehk/2025/1017/2025101701654.pdf","allotment")</f>
        <v/>
      </c>
      <c r="AV374" s="26" t="n"/>
      <c r="AW374" s="26" t="inlineStr">
        <is>
          <t>greenshoe: no over-allotment option in the offer structure · A/H: no A-share listing</t>
        </is>
      </c>
    </row>
    <row r="375">
      <c r="A375" s="25" t="inlineStr">
        <is>
          <t>6687</t>
        </is>
      </c>
      <c r="B375" s="26" t="inlineStr">
        <is>
          <t>JST GROUP</t>
        </is>
      </c>
      <c r="C375" s="26" t="inlineStr">
        <is>
          <t>聚水潭</t>
        </is>
      </c>
      <c r="D375" s="26" t="inlineStr">
        <is>
          <t>Other</t>
        </is>
      </c>
      <c r="E375" s="26" t="inlineStr">
        <is>
          <t>Other / unclassified</t>
        </is>
      </c>
      <c r="F375" s="26" t="inlineStr">
        <is>
          <t>Standard</t>
        </is>
      </c>
      <c r="G375" s="27" t="n">
        <v>45951</v>
      </c>
      <c r="H375" s="28" t="n">
        <v>2085.89</v>
      </c>
      <c r="I375" s="26" t="inlineStr">
        <is>
          <t>gross (stated)</t>
        </is>
      </c>
      <c r="J375" s="29" t="n"/>
      <c r="K375" s="29" t="n">
        <v>30.6</v>
      </c>
      <c r="L375" s="29" t="n">
        <v>30.6</v>
      </c>
      <c r="M375" s="26" t="inlineStr">
        <is>
          <t>Y</t>
        </is>
      </c>
      <c r="N375" s="30" t="n">
        <v>100</v>
      </c>
      <c r="O375" s="28" t="n">
        <v>13036.8</v>
      </c>
      <c r="P375" s="26" t="inlineStr">
        <is>
          <t>derived:price x shares upon listing</t>
        </is>
      </c>
      <c r="Q375" s="31" t="n">
        <v>1952.95</v>
      </c>
      <c r="R375" s="32" t="n">
        <v>22.89</v>
      </c>
      <c r="S375" s="33" t="n">
        <v>48.5</v>
      </c>
      <c r="T375" s="26" t="inlineStr">
        <is>
          <t>Stoneylake Global Alpha Fund; Blue Lake Capital Opportunity Fund; Zhou Keting Note; CUAM Entities; Fourier Capital; GTCS Holdings; Jain Global Master Fund; Perseverance Asset Management; WT Asset Management</t>
        </is>
      </c>
      <c r="U375" s="30" t="n">
        <v>15</v>
      </c>
      <c r="V375" s="26" t="inlineStr">
        <is>
          <t>full</t>
        </is>
      </c>
      <c r="W375" s="34" t="n">
        <v>23.86</v>
      </c>
      <c r="X375" s="34" t="n">
        <v>8.5</v>
      </c>
      <c r="Y375" s="34" t="n">
        <v>-15.1</v>
      </c>
      <c r="Z375" s="34" t="n">
        <v>-6.27</v>
      </c>
      <c r="AA375" s="34" t="n">
        <v>-31.45</v>
      </c>
      <c r="AB375" s="34" t="n">
        <v>-15.01</v>
      </c>
      <c r="AC375" s="34" t="n">
        <v>-0.09</v>
      </c>
      <c r="AD375" s="26" t="inlineStr">
        <is>
          <t>Hang Seng Index</t>
        </is>
      </c>
      <c r="AE375" s="34" t="n">
        <v>-55.13</v>
      </c>
      <c r="AF375" s="28" t="n">
        <v>1000.7</v>
      </c>
      <c r="AG375" s="28" t="n">
        <v>11.6</v>
      </c>
      <c r="AH375" s="26" t="inlineStr">
        <is>
          <t>Y</t>
        </is>
      </c>
      <c r="AI375" s="35" t="n">
        <v>1123.9</v>
      </c>
      <c r="AJ375" s="35" t="n">
        <v>13</v>
      </c>
      <c r="AK375" s="26" t="inlineStr">
        <is>
          <t>N</t>
        </is>
      </c>
      <c r="AL375" s="36">
        <f>IF('BBG Verify'!K375="","not filed — run on terminal",'BBG Verify'!K375)</f>
        <v/>
      </c>
      <c r="AM375" s="26" t="inlineStr">
        <is>
          <t>N/A</t>
        </is>
      </c>
      <c r="AN375" s="26" t="inlineStr">
        <is>
          <t>N/A</t>
        </is>
      </c>
      <c r="AO375" s="26" t="inlineStr">
        <is>
          <t>N/A</t>
        </is>
      </c>
      <c r="AP375" s="26" t="inlineStr">
        <is>
          <t>China International Capital Corporation Hong Kong Securities Limited; J.P. Morgan Securities (Far East) Limited</t>
        </is>
      </c>
      <c r="AQ375" s="26" t="inlineStr">
        <is>
          <t>中國國際金融香港證券有限公司; J.P. Morgan Securities (Far East) Limited</t>
        </is>
      </c>
      <c r="AR375" s="26" t="inlineStr">
        <is>
          <t>China International Capital Corporation Hong Kong Securities Limited; J.P. Morgan Securities (Asia Pacific) Limited</t>
        </is>
      </c>
      <c r="AS375" s="26" t="inlineStr">
        <is>
          <t>中國國際金融香港證券有限公司; 富途證券國際（香港）有限公司; J.P. Morgan Securities (Asia Pacific) Limited</t>
        </is>
      </c>
      <c r="AT375" s="37">
        <f>HYPERLINK("https://www1.hkexnews.hk/listedco/listconews/sehk/2025/1013/2025101300005.pdf","prospectus")</f>
        <v/>
      </c>
      <c r="AU375" s="37">
        <f>HYPERLINK("https://www1.hkexnews.hk/listedco/listconews/sehk/2025/1020/2025102001624.pdf","allotment")</f>
        <v/>
      </c>
      <c r="AV375" s="37">
        <f>HYPERLINK("https://www1.hkexnews.hk/listedco/listconews/sehk/2025/1116/2025111600017.pdf","stabilisation")</f>
        <v/>
      </c>
      <c r="AW375" s="26" t="inlineStr">
        <is>
          <t>A/H: no A-share listing</t>
        </is>
      </c>
    </row>
    <row r="376">
      <c r="A376" s="25" t="inlineStr">
        <is>
          <t>0638</t>
        </is>
      </c>
      <c r="B376" s="26" t="inlineStr">
        <is>
          <t>FIBOCOM</t>
        </is>
      </c>
      <c r="C376" s="26" t="inlineStr">
        <is>
          <t>廣和通</t>
        </is>
      </c>
      <c r="D376" s="26" t="inlineStr">
        <is>
          <t>Tech/AI</t>
        </is>
      </c>
      <c r="E376" s="26" t="inlineStr">
        <is>
          <t>Smart hardware / consumer electronics</t>
        </is>
      </c>
      <c r="F376" s="26" t="inlineStr">
        <is>
          <t>Standard</t>
        </is>
      </c>
      <c r="G376" s="27" t="n">
        <v>45952</v>
      </c>
      <c r="H376" s="28" t="n">
        <v>2904.2</v>
      </c>
      <c r="I376" s="26" t="inlineStr">
        <is>
          <t>gross (stated)</t>
        </is>
      </c>
      <c r="J376" s="29" t="n"/>
      <c r="K376" s="29" t="n">
        <v>21.5</v>
      </c>
      <c r="L376" s="29" t="n">
        <v>21.5</v>
      </c>
      <c r="M376" s="26" t="inlineStr">
        <is>
          <t>Y</t>
        </is>
      </c>
      <c r="N376" s="30" t="n">
        <v>100</v>
      </c>
      <c r="O376" s="28" t="n">
        <v>18632</v>
      </c>
      <c r="P376" s="26" t="inlineStr">
        <is>
          <t>aastocks:上市市值 at the struck price</t>
        </is>
      </c>
      <c r="Q376" s="31" t="n">
        <v>550.99</v>
      </c>
      <c r="R376" s="32" t="n">
        <v>9.16</v>
      </c>
      <c r="S376" s="33" t="n">
        <v>43.04</v>
      </c>
      <c r="T376" s="26" t="inlineStr">
        <is>
          <t>Qindao Gantong; Pacific Asset Management; CPIC; GF Fund Management; GF International; Ruihua Investment; Genimous Investment; Mr. Zhang Xiaolei; GTINV; Dream ee HK Fund</t>
        </is>
      </c>
      <c r="U376" s="30" t="n">
        <v>15</v>
      </c>
      <c r="V376" s="26" t="n"/>
      <c r="W376" s="34" t="n">
        <v>-11.72</v>
      </c>
      <c r="X376" s="34" t="n">
        <v>-10.23</v>
      </c>
      <c r="Y376" s="34" t="n">
        <v>-27.91</v>
      </c>
      <c r="Z376" s="34" t="n">
        <v>-24.88</v>
      </c>
      <c r="AA376" s="34" t="n">
        <v>-18.34</v>
      </c>
      <c r="AB376" s="34" t="n">
        <v>-17.38</v>
      </c>
      <c r="AC376" s="34" t="n">
        <v>-10.53</v>
      </c>
      <c r="AD376" s="26" t="inlineStr">
        <is>
          <t>HSTECH (Hang Seng TECH ETF)</t>
        </is>
      </c>
      <c r="AE376" s="34" t="n">
        <v>-63.35</v>
      </c>
      <c r="AF376" s="28" t="n">
        <v>9007.700000000001</v>
      </c>
      <c r="AG376" s="28" t="n">
        <v>734.8</v>
      </c>
      <c r="AH376" s="26" t="inlineStr">
        <is>
          <t>Y</t>
        </is>
      </c>
      <c r="AI376" s="35" t="n">
        <v>25.4</v>
      </c>
      <c r="AJ376" s="35" t="n">
        <v>2.1</v>
      </c>
      <c r="AK376" s="26" t="inlineStr">
        <is>
          <t>Y</t>
        </is>
      </c>
      <c r="AL376" s="26" t="inlineStr">
        <is>
          <t>300638.SZ</t>
        </is>
      </c>
      <c r="AM376" s="34" t="n">
        <v>-34.16</v>
      </c>
      <c r="AN376" s="29" t="n">
        <v>32.6548</v>
      </c>
      <c r="AO376" s="42" t="n">
        <v>-0.6618000000000001</v>
      </c>
      <c r="AP376" s="26" t="n"/>
      <c r="AQ376" s="26" t="inlineStr">
        <is>
          <t>中信證券(香港)有限公司</t>
        </is>
      </c>
      <c r="AR376" s="26" t="inlineStr">
        <is>
          <t>農銀國際證券有限公司; 中信里昂證券有限公司; 招銀國際融資有限公司; 華升證券（國際）有限公司; 富途證券國際（香港）有限公司; 國證國際證券（香港）有限公司</t>
        </is>
      </c>
      <c r="AS376" s="26" t="inlineStr">
        <is>
          <t>農銀國際證券有限公司; 中信里昂證券有限公司; 招銀國際融資有限公司; 華升證券（國際）有限公司; 富途證券國際（香港）有限公司; 國證國際證券（香港）有限公司</t>
        </is>
      </c>
      <c r="AT376" s="37">
        <f>HYPERLINK("https://www1.hkexnews.hk/listedco/listconews/sehk/2025/1014/2025101400007.pdf","prospectus")</f>
        <v/>
      </c>
      <c r="AU376" s="37">
        <f>HYPERLINK("https://www1.hkexnews.hk/listedco/listconews/sehk/2025/1021/2025102101036.pdf","allotment")</f>
        <v/>
      </c>
      <c r="AV376" s="26" t="n"/>
      <c r="AW376" s="26" t="inlineStr">
        <is>
          <t>greenshoe: end-of-stabilisation notice not located · price range: fixed-price offering (no indicative range) · A/H: Oct 2025 H listing (IoT wireless modules) · sponsor: English name not in the filing text; AAStocks 保薦人 shown</t>
        </is>
      </c>
    </row>
    <row r="377">
      <c r="A377" s="25" t="inlineStr">
        <is>
          <t>1384</t>
        </is>
      </c>
      <c r="B377" s="26" t="inlineStr">
        <is>
          <t>DEEPEXI TECH</t>
        </is>
      </c>
      <c r="C377" s="26" t="inlineStr">
        <is>
          <t>滴普科技</t>
        </is>
      </c>
      <c r="D377" s="26" t="inlineStr">
        <is>
          <t>Tech/AI</t>
        </is>
      </c>
      <c r="E377" s="26" t="inlineStr">
        <is>
          <t>AI application / agent software</t>
        </is>
      </c>
      <c r="F377" s="26" t="inlineStr">
        <is>
          <t>Standard</t>
        </is>
      </c>
      <c r="G377" s="27" t="n">
        <v>45958</v>
      </c>
      <c r="H377" s="28" t="n">
        <v>710.01</v>
      </c>
      <c r="I377" s="26" t="inlineStr">
        <is>
          <t>gross (stated)</t>
        </is>
      </c>
      <c r="J377" s="29" t="n"/>
      <c r="K377" s="29" t="n">
        <v>26.66</v>
      </c>
      <c r="L377" s="29" t="n">
        <v>26.66</v>
      </c>
      <c r="M377" s="26" t="inlineStr">
        <is>
          <t>Y</t>
        </is>
      </c>
      <c r="N377" s="30" t="n">
        <v>100</v>
      </c>
      <c r="O377" s="28" t="n">
        <v>8708</v>
      </c>
      <c r="P377" s="26" t="inlineStr">
        <is>
          <t>derived:price x shares upon listing</t>
        </is>
      </c>
      <c r="Q377" s="31" t="n">
        <v>7569.83</v>
      </c>
      <c r="R377" s="32" t="n">
        <v>16.61</v>
      </c>
      <c r="S377" s="33" t="n">
        <v>0</v>
      </c>
      <c r="T377" s="26" t="n"/>
      <c r="U377" s="30" t="n"/>
      <c r="V377" s="26" t="n"/>
      <c r="W377" s="34" t="n">
        <v>150.56</v>
      </c>
      <c r="X377" s="34" t="n">
        <v>278.84</v>
      </c>
      <c r="Y377" s="34" t="n">
        <v>169.5</v>
      </c>
      <c r="Z377" s="34" t="n">
        <v>205.51</v>
      </c>
      <c r="AA377" s="34" t="n">
        <v>7.56</v>
      </c>
      <c r="AB377" s="34" t="n">
        <v>178.84</v>
      </c>
      <c r="AC377" s="34" t="n">
        <v>-9.34</v>
      </c>
      <c r="AD377" s="26" t="inlineStr">
        <is>
          <t>HSTECH (Hang Seng TECH ETF)</t>
        </is>
      </c>
      <c r="AE377" s="34" t="n">
        <v>39.46</v>
      </c>
      <c r="AF377" s="28" t="n">
        <v>267.2</v>
      </c>
      <c r="AG377" s="28" t="n">
        <v>-1380.5</v>
      </c>
      <c r="AH377" s="26" t="inlineStr">
        <is>
          <t>N</t>
        </is>
      </c>
      <c r="AI377" s="38">
        <f>IF('BBG Verify'!O377="","not filed — run on terminal",'BBG Verify'!O377)</f>
        <v/>
      </c>
      <c r="AJ377" s="35" t="n">
        <v>32.6</v>
      </c>
      <c r="AK377" s="26" t="inlineStr">
        <is>
          <t>N</t>
        </is>
      </c>
      <c r="AL377" s="36">
        <f>IF('BBG Verify'!K377="","not filed — run on terminal",'BBG Verify'!K377)</f>
        <v/>
      </c>
      <c r="AM377" s="26" t="inlineStr">
        <is>
          <t>N/A</t>
        </is>
      </c>
      <c r="AN377" s="26" t="inlineStr">
        <is>
          <t>N/A</t>
        </is>
      </c>
      <c r="AO377" s="26" t="inlineStr">
        <is>
          <t>N/A</t>
        </is>
      </c>
      <c r="AP377" s="26" t="inlineStr">
        <is>
          <t>CITIC Securities (Hong Kong) Limited; CMBC International Capital Limited; Guotai Junan Capital Limited; SPDB International Capital Limited; BOCOM International (Asia) Limited</t>
        </is>
      </c>
      <c r="AQ377" s="26" t="inlineStr">
        <is>
          <t>中信證券(香港)有限公司; 交銀國際（亞洲）有限公司; 國泰君安融資有限公司; 民銀資本有限公司; 浦銀國際融資有限公司</t>
        </is>
      </c>
      <c r="AR377" s="26" t="inlineStr">
        <is>
          <t>交銀國際證券有限公司; 中信里昂證券有限公司; 民銀證券有限公司; 國泰君安證券(香港)有限公司; 利弗莫爾證券有限公司; 浦銀國際融資有限公司</t>
        </is>
      </c>
      <c r="AS377" s="26" t="inlineStr">
        <is>
          <t>交銀國際證券有限公司; 中信里昂證券有限公司; 民銀證券有限公司; 國泰君安證券(香港)有限公司; 利弗莫爾證券有限公司; 浦銀國際融資有限公司; 黃河證券有限公司</t>
        </is>
      </c>
      <c r="AT377" s="37">
        <f>HYPERLINK("https://www1.hkexnews.hk/listedco/listconews/sehk/2025/1020/2025102000015.pdf","prospectus")</f>
        <v/>
      </c>
      <c r="AU377" s="37">
        <f>HYPERLINK("https://www1.hkexnews.hk/listedco/listconews/sehk/2025/1027/2025102701434.pdf","allotment")</f>
        <v/>
      </c>
      <c r="AV377" s="26" t="n"/>
      <c r="AW377" s="26" t="inlineStr">
        <is>
          <t>P/E: n/m — loss-making at IPO (use P/S) · greenshoe: no over-allotment option in the offer structure · A/H: no A-share listing</t>
        </is>
      </c>
    </row>
    <row r="378">
      <c r="A378" s="25" t="inlineStr">
        <is>
          <t>6031</t>
        </is>
      </c>
      <c r="B378" s="26" t="inlineStr">
        <is>
          <t>SANY HEAVY IND</t>
        </is>
      </c>
      <c r="C378" s="26" t="inlineStr">
        <is>
          <t>三一重工</t>
        </is>
      </c>
      <c r="D378" s="26" t="inlineStr">
        <is>
          <t>Industrials</t>
        </is>
      </c>
      <c r="E378" s="26" t="inlineStr">
        <is>
          <t>Capital goods / machinery</t>
        </is>
      </c>
      <c r="F378" s="26" t="inlineStr">
        <is>
          <t>Standard</t>
        </is>
      </c>
      <c r="G378" s="27" t="n">
        <v>45958</v>
      </c>
      <c r="H378" s="28" t="n">
        <v>13453.1</v>
      </c>
      <c r="I378" s="26" t="inlineStr">
        <is>
          <t>gross (stated)</t>
        </is>
      </c>
      <c r="J378" s="29" t="n"/>
      <c r="K378" s="29" t="n">
        <v>21.3</v>
      </c>
      <c r="L378" s="29" t="n">
        <v>21.3</v>
      </c>
      <c r="M378" s="26" t="inlineStr">
        <is>
          <t>Y</t>
        </is>
      </c>
      <c r="N378" s="30" t="n">
        <v>100</v>
      </c>
      <c r="O378" s="28" t="n">
        <v>184289</v>
      </c>
      <c r="P378" s="26" t="inlineStr">
        <is>
          <t>derived:deal size / offer % of enlarged capital</t>
        </is>
      </c>
      <c r="Q378" s="31" t="n">
        <v>52.93</v>
      </c>
      <c r="R378" s="32" t="n">
        <v>13.96</v>
      </c>
      <c r="S378" s="33" t="n">
        <v>43.8</v>
      </c>
      <c r="T378" s="44" t="inlineStr">
        <is>
          <t>HHLR Advisors, Ltd; BlackRock Funds Note; Ghisallo Fund Master Ltd; FengHe Asia Fund Ltd; Qube Master Fund Ltd; Temasek; Fullerton Fund Management Co Ltd; Infore Holding (Hong Kong) Limited; UBS Asset Management Singapore; LMR Partners Ltd; BlackRock AM North Asia Ltd; WT Asset Management; Foresight Fund (Hong Kong) Limited; Perseverance; Greenwoods</t>
        </is>
      </c>
      <c r="U378" s="30" t="n">
        <v>15</v>
      </c>
      <c r="V378" s="26" t="inlineStr">
        <is>
          <t>partial</t>
        </is>
      </c>
      <c r="W378" s="34" t="n">
        <v>2.82</v>
      </c>
      <c r="X378" s="34" t="n">
        <v>6.67</v>
      </c>
      <c r="Y378" s="34" t="n">
        <v>0.19</v>
      </c>
      <c r="Z378" s="34" t="n">
        <v>18.78</v>
      </c>
      <c r="AA378" s="34" t="n">
        <v>-2.56</v>
      </c>
      <c r="AB378" s="34" t="n">
        <v>6.17</v>
      </c>
      <c r="AC378" s="34" t="n">
        <v>-5.98</v>
      </c>
      <c r="AD378" s="26" t="inlineStr">
        <is>
          <t>Hang Seng Commerce &amp; Industry sub-index</t>
        </is>
      </c>
      <c r="AE378" s="34" t="n">
        <v>-11.27</v>
      </c>
      <c r="AF378" s="28" t="n">
        <v>-2.2</v>
      </c>
      <c r="AG378" s="28" t="n">
        <v>6701.8</v>
      </c>
      <c r="AH378" s="26" t="inlineStr">
        <is>
          <t>Y</t>
        </is>
      </c>
      <c r="AI378" s="35" t="n">
        <v>27.5</v>
      </c>
      <c r="AJ378" s="35" t="n"/>
      <c r="AK378" s="26" t="inlineStr">
        <is>
          <t>Y</t>
        </is>
      </c>
      <c r="AL378" s="26" t="inlineStr">
        <is>
          <t>600031.SS</t>
        </is>
      </c>
      <c r="AM378" s="34" t="n">
        <v>-13.34</v>
      </c>
      <c r="AN378" s="29" t="n">
        <v>24.5793</v>
      </c>
      <c r="AO378" s="42" t="n">
        <v>-0.1595</v>
      </c>
      <c r="AP378" s="26" t="inlineStr">
        <is>
          <t>CITIC Securities (Hong Kong) Limited</t>
        </is>
      </c>
      <c r="AQ378" s="26" t="inlineStr">
        <is>
          <t>中信證券(香港)有限公司</t>
        </is>
      </c>
      <c r="AR378" s="26" t="inlineStr">
        <is>
          <t>CLSA Limited; China International Capital Corporation Hong Kong Securities Limited; BOCI Asia Limited; Central, Hong Kong ABCI Capital Limited; ICBC International Securities Limited; China Merchants Securities (HK) Co., Limited</t>
        </is>
      </c>
      <c r="AS378" s="26" t="inlineStr">
        <is>
          <t>農銀國際證券有限公司; 中銀國際亞洲有限公司; 中國國際金融香港證券有限公司; 中信里昂證券有限公司; 招商證券(香港)有限公司; 工銀國際證券有限公司</t>
        </is>
      </c>
      <c r="AT378" s="37">
        <f>HYPERLINK("https://www1.hkexnews.hk/listedco/listconews/sehk/2025/1020/2025102000017.pdf","prospectus")</f>
        <v/>
      </c>
      <c r="AU378" s="37">
        <f>HYPERLINK("https://www1.hkexnews.hk/listedco/listconews/sehk/2025/1027/2025102701586.pdf","allotment")</f>
        <v/>
      </c>
      <c r="AV378" s="37">
        <f>HYPERLINK("https://www1.hkexnews.hk/listedco/listconews/sehk/2025/1123/2025112300093.pdf","stabilisation")</f>
        <v/>
      </c>
      <c r="AW378" s="26" t="inlineStr">
        <is>
          <t>A/H: Oct 2025, ~US$1.72bn</t>
        </is>
      </c>
    </row>
    <row r="379">
      <c r="A379" s="25" t="inlineStr">
        <is>
          <t>6166</t>
        </is>
      </c>
      <c r="B379" s="26" t="inlineStr">
        <is>
          <t>CIG</t>
        </is>
      </c>
      <c r="C379" s="26" t="inlineStr">
        <is>
          <t>劍橋科技</t>
        </is>
      </c>
      <c r="D379" s="26" t="inlineStr">
        <is>
          <t>Tech/AI</t>
        </is>
      </c>
      <c r="E379" s="26" t="inlineStr">
        <is>
          <t>Smart hardware / consumer electronics</t>
        </is>
      </c>
      <c r="F379" s="26" t="inlineStr">
        <is>
          <t>Standard</t>
        </is>
      </c>
      <c r="G379" s="27" t="n">
        <v>45958</v>
      </c>
      <c r="H379" s="28" t="n">
        <v>4615.7</v>
      </c>
      <c r="I379" s="26" t="inlineStr">
        <is>
          <t>gross (stated)</t>
        </is>
      </c>
      <c r="J379" s="29" t="n"/>
      <c r="K379" s="29" t="n">
        <v>68.88</v>
      </c>
      <c r="L379" s="29" t="n">
        <v>68.88</v>
      </c>
      <c r="M379" s="26" t="inlineStr">
        <is>
          <t>Y</t>
        </is>
      </c>
      <c r="N379" s="30" t="n">
        <v>100</v>
      </c>
      <c r="O379" s="41">
        <f>IF('BBG Verify'!M379="","not filed — run on terminal",'BBG Verify'!M379)</f>
        <v/>
      </c>
      <c r="P379" s="26" t="n"/>
      <c r="Q379" s="31" t="n">
        <v>338.7</v>
      </c>
      <c r="R379" s="32" t="n">
        <v>16.5</v>
      </c>
      <c r="S379" s="33" t="n">
        <v>48.9</v>
      </c>
      <c r="T379" s="44" t="inlineStr">
        <is>
          <t>MSIP; Barings; HCEP; CloudAlpha Capital; Cithara Fund; Martis; Tulip Fund, L.P; Taikang Life</t>
        </is>
      </c>
      <c r="U379" s="30" t="n">
        <v>15</v>
      </c>
      <c r="V379" s="26" t="n"/>
      <c r="W379" s="34" t="n">
        <v>33.86</v>
      </c>
      <c r="X379" s="34" t="n">
        <v>13.53</v>
      </c>
      <c r="Y379" s="34" t="n">
        <v>14.76</v>
      </c>
      <c r="Z379" s="34" t="n">
        <v>19.05</v>
      </c>
      <c r="AA379" s="34" t="n">
        <v>-14.27</v>
      </c>
      <c r="AB379" s="34" t="n">
        <v>24.1</v>
      </c>
      <c r="AC379" s="34" t="n">
        <v>-9.34</v>
      </c>
      <c r="AD379" s="26" t="inlineStr">
        <is>
          <t>HSTECH (Hang Seng TECH ETF)</t>
        </is>
      </c>
      <c r="AE379" s="34" t="n">
        <v>46.63</v>
      </c>
      <c r="AF379" s="28" t="n">
        <v>4014.9</v>
      </c>
      <c r="AG379" s="28" t="n">
        <v>183.3</v>
      </c>
      <c r="AH379" s="26" t="inlineStr">
        <is>
          <t>Y</t>
        </is>
      </c>
      <c r="AI379" s="38">
        <f>IF('BBG Verify'!O379="","not filed — run on terminal",'BBG Verify'!O379)</f>
        <v/>
      </c>
      <c r="AJ379" s="35" t="n"/>
      <c r="AK379" s="26" t="inlineStr">
        <is>
          <t>Y</t>
        </is>
      </c>
      <c r="AL379" s="26" t="inlineStr">
        <is>
          <t>603083.SS</t>
        </is>
      </c>
      <c r="AM379" s="34" t="n">
        <v>-46.94</v>
      </c>
      <c r="AN379" s="29" t="n">
        <v>129.8239</v>
      </c>
      <c r="AO379" s="42" t="n">
        <v>-0.5368000000000001</v>
      </c>
      <c r="AP379" s="26" t="n"/>
      <c r="AQ379" s="26" t="inlineStr">
        <is>
          <t>國泰君安融資有限公司</t>
        </is>
      </c>
      <c r="AR379" s="26" t="inlineStr">
        <is>
          <t>中信里昂證券有限公司; 星展亞洲融資有限公司; 國泰君安證券(香港)有限公司; 星河證券有限公司</t>
        </is>
      </c>
      <c r="AS379" s="26" t="inlineStr">
        <is>
          <t>中信里昂證券有限公司; 星展亞洲融資有限公司; 國泰君安證券(香港)有限公司; 星河證券有限公司</t>
        </is>
      </c>
      <c r="AT379" s="37">
        <f>HYPERLINK("https://www1.hkexnews.hk/listedco/listconews/sehk/2025/1020/2025102000019.pdf","prospectus")</f>
        <v/>
      </c>
      <c r="AU379" s="37">
        <f>HYPERLINK("https://www1.hkexnews.hk/listedco/listconews/sehk/2025/1027/2025102701698.pdf","allotment")</f>
        <v/>
      </c>
      <c r="AV379" s="26" t="n"/>
      <c r="AW379" s="26" t="inlineStr">
        <is>
          <t>P/E: market cap not derivable (no share count disclosed) · greenshoe: end-of-stabilisation notice not located · A/H: Oct 2025 H listing (telecom/AI networking hardware) · sponsor: English name not in the filing text; AAStocks 保薦人 shown</t>
        </is>
      </c>
    </row>
    <row r="380">
      <c r="A380" s="25" t="inlineStr">
        <is>
          <t>6980</t>
        </is>
      </c>
      <c r="B380" s="26" t="inlineStr">
        <is>
          <t>BAMA TEA</t>
        </is>
      </c>
      <c r="C380" s="26" t="inlineStr">
        <is>
          <t>八馬茶業</t>
        </is>
      </c>
      <c r="D380" s="26" t="inlineStr">
        <is>
          <t>Consumer</t>
        </is>
      </c>
      <c r="E380" s="26" t="inlineStr">
        <is>
          <t>Beverages / packaged food</t>
        </is>
      </c>
      <c r="F380" s="26" t="inlineStr">
        <is>
          <t>Standard</t>
        </is>
      </c>
      <c r="G380" s="27" t="n">
        <v>45958</v>
      </c>
      <c r="H380" s="28" t="n">
        <v>450</v>
      </c>
      <c r="I380" s="26" t="inlineStr">
        <is>
          <t>gross (stated)</t>
        </is>
      </c>
      <c r="J380" s="29" t="n"/>
      <c r="K380" s="29" t="n">
        <v>50</v>
      </c>
      <c r="L380" s="29" t="n">
        <v>50</v>
      </c>
      <c r="M380" s="26" t="inlineStr">
        <is>
          <t>Y</t>
        </is>
      </c>
      <c r="N380" s="30" t="n">
        <v>100</v>
      </c>
      <c r="O380" s="28" t="n">
        <v>4250</v>
      </c>
      <c r="P380" s="26" t="inlineStr">
        <is>
          <t>derived:price x shares upon listing</t>
        </is>
      </c>
      <c r="Q380" s="31" t="n">
        <v>2680.04</v>
      </c>
      <c r="R380" s="32" t="n">
        <v>13.58</v>
      </c>
      <c r="S380" s="33" t="n">
        <v>0</v>
      </c>
      <c r="T380" s="26" t="n"/>
      <c r="U380" s="30" t="n">
        <v>15</v>
      </c>
      <c r="V380" s="26" t="n"/>
      <c r="W380" s="34" t="n">
        <v>86.7</v>
      </c>
      <c r="X380" s="34" t="n">
        <v>46</v>
      </c>
      <c r="Y380" s="34" t="n">
        <v>5</v>
      </c>
      <c r="Z380" s="34" t="n">
        <v>-40.04</v>
      </c>
      <c r="AA380" s="34" t="n">
        <v>-43.76</v>
      </c>
      <c r="AB380" s="34" t="n">
        <v>10.98</v>
      </c>
      <c r="AC380" s="34" t="n">
        <v>-5.98</v>
      </c>
      <c r="AD380" s="26" t="inlineStr">
        <is>
          <t>Hang Seng Commerce &amp; Industry sub-index</t>
        </is>
      </c>
      <c r="AE380" s="34" t="n">
        <v>-48</v>
      </c>
      <c r="AF380" s="28" t="n">
        <v>2357.6</v>
      </c>
      <c r="AG380" s="28" t="n">
        <v>246.6</v>
      </c>
      <c r="AH380" s="26" t="inlineStr">
        <is>
          <t>Y</t>
        </is>
      </c>
      <c r="AI380" s="35" t="n">
        <v>17.2</v>
      </c>
      <c r="AJ380" s="35" t="n">
        <v>1.8</v>
      </c>
      <c r="AK380" s="26" t="inlineStr">
        <is>
          <t>N</t>
        </is>
      </c>
      <c r="AL380" s="36">
        <f>IF('BBG Verify'!K380="","not filed — run on terminal",'BBG Verify'!K380)</f>
        <v/>
      </c>
      <c r="AM380" s="26" t="inlineStr">
        <is>
          <t>N/A</t>
        </is>
      </c>
      <c r="AN380" s="26" t="inlineStr">
        <is>
          <t>N/A</t>
        </is>
      </c>
      <c r="AO380" s="26" t="inlineStr">
        <is>
          <t>N/A</t>
        </is>
      </c>
      <c r="AP380" s="26" t="inlineStr">
        <is>
          <t>Huatai Financial Holdings (Hong Kong) Limited; ABCI Capital Limited; TFI Capital Limited</t>
        </is>
      </c>
      <c r="AQ380" s="26" t="inlineStr">
        <is>
          <t>華泰金融控股(香港)有限公司; 天風國際資本市場有限公司; 農銀國際融資有限公司</t>
        </is>
      </c>
      <c r="AR380" s="26" t="inlineStr">
        <is>
          <t>Huatai Financial Holdings (Hong Kong) Limited; ABCI Capital Limited; TFI Securities and Futures Limited; DIRECTORS AND PARTIES INVOLVED IN THE GLOBAL OFFERING – 105 – ABCI Capital Limited; CLSA Limited; Shenwan Hongyuan Securities (H.K.) Limited; China Galaxy International Securities (Hong Kong) Co., Limited; UOB Kay Hian (Hong Kong) Limited; SPDB International Capital Limited; CMBC Securities Company Limited; Funde Securities Limited</t>
        </is>
      </c>
      <c r="AS380" s="26" t="inlineStr">
        <is>
          <t>農銀國際證券有限公司; 中航資信環球資產管理有限公司; 中國銀河國際證券(香港)有限公司; 中信里昂證券有限公司; 民銀證券有限公司; 富德證券有限公司; 第一上海證券有限公司; 富途證券國際（香港）有限公司; 華泰金融控股(香港)有限公司; 邁時資本有限公司; 申萬宏源證券（香港）有限公司; 浦銀國際融資有限公司; 老虎證券（香港）環球有限公司; 天風國際證券與期貨有限公司; TradeGo Markets Limited; 大華繼顯(香港)有限公司</t>
        </is>
      </c>
      <c r="AT380" s="37">
        <f>HYPERLINK("https://www1.hkexnews.hk/listedco/listconews/sehk/2025/1020/2025102000021.pdf","prospectus")</f>
        <v/>
      </c>
      <c r="AU380" s="37">
        <f>HYPERLINK("https://www1.hkexnews.hk/listedco/listconews/sehk/2025/1027/2025102701732.pdf","allotment")</f>
        <v/>
      </c>
      <c r="AV380" s="26" t="n"/>
      <c r="AW380" s="26" t="inlineStr">
        <is>
          <t>greenshoe: end-of-stabilisation notice not located · A/H: no A-share listing</t>
        </is>
      </c>
    </row>
    <row r="381">
      <c r="A381" s="25" t="inlineStr">
        <is>
          <t>2718</t>
        </is>
      </c>
      <c r="B381" s="26" t="inlineStr">
        <is>
          <t>MININGLAMP-W</t>
        </is>
      </c>
      <c r="C381" s="26" t="inlineStr">
        <is>
          <t>明略科技－Ｗ</t>
        </is>
      </c>
      <c r="D381" s="26" t="inlineStr">
        <is>
          <t>Tech/AI</t>
        </is>
      </c>
      <c r="E381" s="26" t="inlineStr">
        <is>
          <t>AI application / agent software</t>
        </is>
      </c>
      <c r="F381" s="26" t="inlineStr">
        <is>
          <t>WVR</t>
        </is>
      </c>
      <c r="G381" s="27" t="n">
        <v>45964</v>
      </c>
      <c r="H381" s="28" t="n">
        <v>1017.9</v>
      </c>
      <c r="I381" s="26" t="inlineStr">
        <is>
          <t>gross (stated)</t>
        </is>
      </c>
      <c r="J381" s="29" t="n"/>
      <c r="K381" s="29" t="n">
        <v>141</v>
      </c>
      <c r="L381" s="29" t="n">
        <v>141</v>
      </c>
      <c r="M381" s="26" t="inlineStr">
        <is>
          <t>Y</t>
        </is>
      </c>
      <c r="N381" s="30" t="n">
        <v>100</v>
      </c>
      <c r="O381" s="41">
        <f>IF('BBG Verify'!M381="","not filed — run on terminal",'BBG Verify'!M381)</f>
        <v/>
      </c>
      <c r="P381" s="26" t="n"/>
      <c r="Q381" s="31" t="n">
        <v>4452.86</v>
      </c>
      <c r="R381" s="32" t="n">
        <v>13.93</v>
      </c>
      <c r="S381" s="33" t="n">
        <v>45.1</v>
      </c>
      <c r="T381" s="26" t="inlineStr">
        <is>
          <t>Huang River Investment Limited; Hundreds Capital; GFH Financial Group B.S.C; QuantumPharm Limited; International Capital Management Limited; China AMC; Huatai Capital Investment Limited</t>
        </is>
      </c>
      <c r="U381" s="30" t="n">
        <v>15</v>
      </c>
      <c r="V381" s="26" t="n"/>
      <c r="W381" s="34" t="n">
        <v>106.1</v>
      </c>
      <c r="X381" s="34" t="n">
        <v>57.16</v>
      </c>
      <c r="Y381" s="34" t="n">
        <v>45.25</v>
      </c>
      <c r="Z381" s="34" t="n">
        <v>77.87</v>
      </c>
      <c r="AA381" s="34" t="n">
        <v>-29.52</v>
      </c>
      <c r="AB381" s="34" t="n">
        <v>50.16</v>
      </c>
      <c r="AC381" s="34" t="n">
        <v>-4.91</v>
      </c>
      <c r="AD381" s="26" t="inlineStr">
        <is>
          <t>HSTECH (Hang Seng TECH ETF)</t>
        </is>
      </c>
      <c r="AE381" s="34" t="n">
        <v>-70.03</v>
      </c>
      <c r="AF381" s="28" t="n">
        <v>1519.5</v>
      </c>
      <c r="AG381" s="28" t="n">
        <v>5.2</v>
      </c>
      <c r="AH381" s="26" t="inlineStr">
        <is>
          <t>Y</t>
        </is>
      </c>
      <c r="AI381" s="38">
        <f>IF('BBG Verify'!O381="","not filed — run on terminal",'BBG Verify'!O381)</f>
        <v/>
      </c>
      <c r="AJ381" s="35" t="n"/>
      <c r="AK381" s="26" t="inlineStr">
        <is>
          <t>N</t>
        </is>
      </c>
      <c r="AL381" s="36">
        <f>IF('BBG Verify'!K381="","not filed — run on terminal",'BBG Verify'!K381)</f>
        <v/>
      </c>
      <c r="AM381" s="26" t="inlineStr">
        <is>
          <t>N/A</t>
        </is>
      </c>
      <c r="AN381" s="26" t="inlineStr">
        <is>
          <t>N/A</t>
        </is>
      </c>
      <c r="AO381" s="26" t="inlineStr">
        <is>
          <t>N/A</t>
        </is>
      </c>
      <c r="AP381" s="26" t="n"/>
      <c r="AQ381" s="26" t="inlineStr">
        <is>
          <t>中國國際金融香港證券有限公司</t>
        </is>
      </c>
      <c r="AR381" s="26" t="inlineStr">
        <is>
          <t>中國國際金融香港證券有限公司; 鉅誠證券有限公司; 中信里昂證券有限公司; 華興資本證券(香港)有限公司; 富途證券國際（香港）有限公司; 富澤證券（國際）有限公司</t>
        </is>
      </c>
      <c r="AS381" s="26" t="inlineStr">
        <is>
          <t>中國國際金融香港證券有限公司; 鉅誠證券有限公司; 中信里昂證券有限公司; 華興資本證券(香港)有限公司; 富途證券國際（香港）有限公司; 富澤證券（國際）有限公司; 利弗莫爾證券有限公司; 木蘭投資管理有限公司; 老虎證券（香港）環球有限公司</t>
        </is>
      </c>
      <c r="AT381" s="37">
        <f>HYPERLINK("https://www1.hkexnews.hk/listedco/listconews/sehk/2025/1023/2025102300005.pdf","prospectus")</f>
        <v/>
      </c>
      <c r="AU381" s="37">
        <f>HYPERLINK("https://www1.hkexnews.hk/listedco/listconews/sehk/2025/1031/2025103103042.pdf","allotment")</f>
        <v/>
      </c>
      <c r="AV381" s="26" t="n"/>
      <c r="AW381" s="26" t="inlineStr">
        <is>
          <t>P/E: market cap not derivable (no share count disclosed) · greenshoe: end-of-stabilisation notice not located · price range: fixed-price offering (no indicative range) · A/H: no A-share listing · sponsor: English name not in the filing text; AAStocks 保薦人 shown</t>
        </is>
      </c>
    </row>
    <row r="382">
      <c r="A382" s="25" t="inlineStr">
        <is>
          <t>9927</t>
        </is>
      </c>
      <c r="B382" s="26" t="inlineStr">
        <is>
          <t>SERES</t>
        </is>
      </c>
      <c r="C382" s="26" t="inlineStr">
        <is>
          <t>賽力斯</t>
        </is>
      </c>
      <c r="D382" s="26" t="inlineStr">
        <is>
          <t>Consumer</t>
        </is>
      </c>
      <c r="E382" s="26" t="inlineStr">
        <is>
          <t>Autos (NEV OEM)</t>
        </is>
      </c>
      <c r="F382" s="26" t="inlineStr">
        <is>
          <t>Standard</t>
        </is>
      </c>
      <c r="G382" s="27" t="n">
        <v>45966</v>
      </c>
      <c r="H382" s="28" t="n">
        <v>14283.4</v>
      </c>
      <c r="I382" s="26" t="inlineStr">
        <is>
          <t>gross (stated)</t>
        </is>
      </c>
      <c r="J382" s="29" t="n"/>
      <c r="K382" s="29" t="n">
        <v>131.5</v>
      </c>
      <c r="L382" s="29" t="n">
        <v>131.5</v>
      </c>
      <c r="M382" s="26" t="inlineStr">
        <is>
          <t>Y</t>
        </is>
      </c>
      <c r="N382" s="30" t="n">
        <v>100</v>
      </c>
      <c r="O382" s="28" t="n">
        <v>216743.6</v>
      </c>
      <c r="P382" s="26" t="inlineStr">
        <is>
          <t>derived:deal size / offer % of enlarged capital</t>
        </is>
      </c>
      <c r="Q382" s="31" t="n">
        <v>132.68</v>
      </c>
      <c r="R382" s="32" t="n">
        <v>8.609999999999999</v>
      </c>
      <c r="S382" s="33" t="n">
        <v>44.8</v>
      </c>
      <c r="T382" s="44" t="inlineStr">
        <is>
          <t>Shareholder Lin Yuan; GF Fund Management; Shareholder GF Fund; New China Asset Management; Sanhua (Hong Kong); Zhink International; Gold Wings; Honour Goal Investments; Hichain Logistics; Schroder Investment Management (Singapore) Ltd; Mirae Securities; Mirae Asset Securities (HK) Limited; New Alternative; China Meidong; Ghisallo Capital Management (HK) Limited</t>
        </is>
      </c>
      <c r="U382" s="30" t="n">
        <v>5.78</v>
      </c>
      <c r="V382" s="26" t="inlineStr">
        <is>
          <t>partial</t>
        </is>
      </c>
      <c r="W382" s="34" t="n">
        <v>0</v>
      </c>
      <c r="X382" s="34" t="n">
        <v>-12.17</v>
      </c>
      <c r="Y382" s="34" t="n">
        <v>-11.94</v>
      </c>
      <c r="Z382" s="34" t="n">
        <v>-26.2</v>
      </c>
      <c r="AA382" s="34" t="n">
        <v>-11.94</v>
      </c>
      <c r="AB382" s="34" t="n">
        <v>-11.49</v>
      </c>
      <c r="AC382" s="34" t="n">
        <v>-0.45</v>
      </c>
      <c r="AD382" s="26" t="inlineStr">
        <is>
          <t>Hang Seng Commerce &amp; Industry sub-index</t>
        </is>
      </c>
      <c r="AE382" s="34" t="n">
        <v>-68.81</v>
      </c>
      <c r="AF382" s="28" t="n">
        <v>159625</v>
      </c>
      <c r="AG382" s="28" t="n">
        <v>-1527.6</v>
      </c>
      <c r="AH382" s="26" t="inlineStr">
        <is>
          <t>N</t>
        </is>
      </c>
      <c r="AI382" s="38">
        <f>IF('BBG Verify'!O382="","not filed — run on terminal",'BBG Verify'!O382)</f>
        <v/>
      </c>
      <c r="AJ382" s="35" t="n">
        <v>1.4</v>
      </c>
      <c r="AK382" s="26" t="inlineStr">
        <is>
          <t>Y</t>
        </is>
      </c>
      <c r="AL382" s="26" t="inlineStr">
        <is>
          <t>601127.SS</t>
        </is>
      </c>
      <c r="AM382" s="34" t="n">
        <v>-21.51</v>
      </c>
      <c r="AN382" s="29" t="n">
        <v>167.5467</v>
      </c>
      <c r="AO382" s="42" t="n">
        <v>-0.3297</v>
      </c>
      <c r="AP382" s="26" t="inlineStr">
        <is>
          <t>CICC; China Galaxy International</t>
        </is>
      </c>
      <c r="AQ382" s="26" t="inlineStr">
        <is>
          <t>中國國際金融香港證券有限公司; 中國銀河國際證券(香港)有限公司</t>
        </is>
      </c>
      <c r="AR382" s="26" t="inlineStr">
        <is>
          <t>China International Capital Corporation Hong Kong Securities Limited; China Galaxy International Securities (Hong Kong) Co., Limited; Huatai Financial Holdings (Hong Kong) Limited</t>
        </is>
      </c>
      <c r="AS382" s="26" t="inlineStr">
        <is>
          <t>中國銀河國際證券(香港)有限公司; 中國國際金融香港證券有限公司; 華泰金融控股(香港)有限公司</t>
        </is>
      </c>
      <c r="AT382" s="37">
        <f>HYPERLINK("https://www1.hkexnews.hk/listedco/listconews/sehk/2025/1027/2025102700059.pdf","prospectus")</f>
        <v/>
      </c>
      <c r="AU382" s="37">
        <f>HYPERLINK("https://www1.hkexnews.hk/listedco/listconews/sehk/2025/1104/2025110402282.pdf","allotment")</f>
        <v/>
      </c>
      <c r="AV382" s="37">
        <f>HYPERLINK("https://www1.hkexnews.hk/listedco/listconews/sehk/2025/1130/2025113000281.pdf","stabilisation")</f>
        <v/>
      </c>
      <c r="AW382" s="26" t="inlineStr">
        <is>
          <t>P/E: n/m — loss-making at IPO (use P/S) · A/H: Nov 2025, HK$14.28bn (~US$1.8bn) — 3rd-largest HK IPO of 2025; flat debut</t>
        </is>
      </c>
    </row>
    <row r="383">
      <c r="A383" s="25" t="inlineStr">
        <is>
          <t>2630</t>
        </is>
      </c>
      <c r="B383" s="26" t="inlineStr">
        <is>
          <t>VIGONVITA-B</t>
        </is>
      </c>
      <c r="C383" s="26" t="inlineStr">
        <is>
          <t>旺山旺水－Ｂ</t>
        </is>
      </c>
      <c r="D383" s="26" t="inlineStr">
        <is>
          <t>Healthcare</t>
        </is>
      </c>
      <c r="E383" s="26" t="inlineStr">
        <is>
          <t>Biotech pre-revenue (18A)</t>
        </is>
      </c>
      <c r="F383" s="26" t="inlineStr">
        <is>
          <t>18A</t>
        </is>
      </c>
      <c r="G383" s="27" t="n">
        <v>45967</v>
      </c>
      <c r="H383" s="28" t="n">
        <v>587.24</v>
      </c>
      <c r="I383" s="26" t="inlineStr">
        <is>
          <t>gross (stated)</t>
        </is>
      </c>
      <c r="J383" s="29" t="n"/>
      <c r="K383" s="29" t="n">
        <v>34</v>
      </c>
      <c r="L383" s="29" t="n">
        <v>33.37</v>
      </c>
      <c r="M383" s="26" t="inlineStr">
        <is>
          <t>N</t>
        </is>
      </c>
      <c r="N383" s="30" t="n">
        <v>98.09999999999999</v>
      </c>
      <c r="O383" s="28" t="n">
        <v>5592.7</v>
      </c>
      <c r="P383" s="26" t="inlineStr">
        <is>
          <t>derived:price x shares upon listing</t>
        </is>
      </c>
      <c r="Q383" s="31" t="n">
        <v>6238.42</v>
      </c>
      <c r="R383" s="32" t="n">
        <v>16.87</v>
      </c>
      <c r="S383" s="33" t="n"/>
      <c r="T383" s="26" t="inlineStr">
        <is>
          <t>Ms. Jin Jie; Dr. Shen; Suzhou Industrial Investment</t>
        </is>
      </c>
      <c r="U383" s="30" t="n">
        <v>6.24</v>
      </c>
      <c r="V383" s="26" t="inlineStr">
        <is>
          <t>lapsed (no over-allocation)</t>
        </is>
      </c>
      <c r="W383" s="34" t="n">
        <v>145.73</v>
      </c>
      <c r="X383" s="34" t="n">
        <v>64.97</v>
      </c>
      <c r="Y383" s="34" t="n">
        <v>131.05</v>
      </c>
      <c r="Z383" s="34" t="n">
        <v>216.15</v>
      </c>
      <c r="AA383" s="34" t="n">
        <v>-5.97</v>
      </c>
      <c r="AB383" s="34" t="n">
        <v>132.59</v>
      </c>
      <c r="AC383" s="34" t="n">
        <v>-1.54</v>
      </c>
      <c r="AD383" s="26" t="inlineStr">
        <is>
          <t>China Biotech ETF (HS biotech proxy)</t>
        </is>
      </c>
      <c r="AE383" s="34" t="n">
        <v>164.01</v>
      </c>
      <c r="AF383" s="28" t="n">
        <v>3.5</v>
      </c>
      <c r="AG383" s="28" t="n">
        <v>-81.2</v>
      </c>
      <c r="AH383" s="26" t="inlineStr">
        <is>
          <t>N</t>
        </is>
      </c>
      <c r="AI383" s="38">
        <f>IF('BBG Verify'!O383="","not filed — run on terminal",'BBG Verify'!O383)</f>
        <v/>
      </c>
      <c r="AJ383" s="35" t="n">
        <v>1597.9</v>
      </c>
      <c r="AK383" s="26" t="inlineStr">
        <is>
          <t>N</t>
        </is>
      </c>
      <c r="AL383" s="36">
        <f>IF('BBG Verify'!K383="","not filed — run on terminal",'BBG Verify'!K383)</f>
        <v/>
      </c>
      <c r="AM383" s="26" t="inlineStr">
        <is>
          <t>N/A</t>
        </is>
      </c>
      <c r="AN383" s="26" t="inlineStr">
        <is>
          <t>N/A</t>
        </is>
      </c>
      <c r="AO383" s="26" t="inlineStr">
        <is>
          <t>N/A</t>
        </is>
      </c>
      <c r="AP383" s="26" t="inlineStr">
        <is>
          <t>CITIC Securities (Hong Kong) Limited</t>
        </is>
      </c>
      <c r="AQ383" s="26" t="inlineStr">
        <is>
          <t>中信證券(香港)有限公司</t>
        </is>
      </c>
      <c r="AR383" s="26"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AS383" s="26" t="inlineStr">
        <is>
          <t>農銀國際證券有限公司; 建銀國際金融有限公司; 中國光大證券(香港)有限公司; 中國銀河國際證券(香港)有限公司; 中國國際金融香港證券有限公司; 中信里昂證券有限公司; 富途證券國際（香港）有限公司; 老虎證券（香港）環球有限公司; 中泰國際證券有限公司</t>
        </is>
      </c>
      <c r="AT383" s="37">
        <f>HYPERLINK("https://www1.hkexnews.hk/listedco/listconews/sehk/2025/1028/2025102800017.pdf","prospectus")</f>
        <v/>
      </c>
      <c r="AU383" s="37">
        <f>HYPERLINK("https://www1.hkexnews.hk/listedco/listconews/sehk/2025/1105/2025110502006.pdf","allotment")</f>
        <v/>
      </c>
      <c r="AV383" s="37">
        <f>HYPERLINK("https://www1.hkexnews.hk/listedco/listconews/sehk/2025/1203/2025120300845.pdf","stabilisation")</f>
        <v/>
      </c>
      <c r="AW383" s="26" t="inlineStr">
        <is>
          <t>P/E: n/m — loss-making at IPO (use P/S) · A/H: no A-share listing</t>
        </is>
      </c>
    </row>
    <row r="384">
      <c r="A384" s="25" t="inlineStr">
        <is>
          <t>2026</t>
        </is>
      </c>
      <c r="B384" s="26" t="inlineStr">
        <is>
          <t>PONY-W</t>
        </is>
      </c>
      <c r="C384" s="26" t="inlineStr">
        <is>
          <t>小馬智行－Ｗ</t>
        </is>
      </c>
      <c r="D384" s="26" t="inlineStr">
        <is>
          <t>Tech/AI</t>
        </is>
      </c>
      <c r="E384" s="26" t="inlineStr">
        <is>
          <t>Robotics &amp; autonomous driving</t>
        </is>
      </c>
      <c r="F384" s="26" t="inlineStr">
        <is>
          <t>WVR</t>
        </is>
      </c>
      <c r="G384" s="27" t="n">
        <v>45967</v>
      </c>
      <c r="H384" s="28" t="n">
        <v>6706.61</v>
      </c>
      <c r="I384" s="26" t="inlineStr">
        <is>
          <t>gross (stated)</t>
        </is>
      </c>
      <c r="J384" s="29" t="n"/>
      <c r="K384" s="29" t="n">
        <v>180</v>
      </c>
      <c r="L384" s="29" t="n">
        <v>139</v>
      </c>
      <c r="M384" s="26" t="inlineStr">
        <is>
          <t>N</t>
        </is>
      </c>
      <c r="N384" s="30" t="n">
        <v>77.2</v>
      </c>
      <c r="O384" s="28" t="n">
        <v>60419.9</v>
      </c>
      <c r="P384" s="26" t="inlineStr">
        <is>
          <t>derived:deal size / offer % of enlarged capital</t>
        </is>
      </c>
      <c r="Q384" s="31" t="n">
        <v>15.88</v>
      </c>
      <c r="R384" s="39">
        <f>IF('BBG Verify'!E384="","not filed — run on terminal",'BBG Verify'!E384)</f>
        <v/>
      </c>
      <c r="S384" s="33" t="n">
        <v>1.9</v>
      </c>
      <c r="T384" s="26" t="inlineStr">
        <is>
          <t>Ghisallo Fund Master Ltd; Athos Capital Limited; Hel Ved Master Fund; Ocean Arete Limited; Ghisallo; Eastspring; Athos; Hel Ved; Ocean Arete</t>
        </is>
      </c>
      <c r="U384" s="30" t="n">
        <v>15</v>
      </c>
      <c r="V384" s="26" t="inlineStr">
        <is>
          <t>lapsed</t>
        </is>
      </c>
      <c r="W384" s="34" t="n">
        <v>-9.279999999999999</v>
      </c>
      <c r="X384" s="34" t="n">
        <v>-22.3</v>
      </c>
      <c r="Y384" s="34" t="n">
        <v>-16.47</v>
      </c>
      <c r="Z384" s="34" t="n">
        <v>-25.4</v>
      </c>
      <c r="AA384" s="34" t="n">
        <v>-7.93</v>
      </c>
      <c r="AB384" s="34" t="n">
        <v>-14.18</v>
      </c>
      <c r="AC384" s="34" t="n">
        <v>-2.29</v>
      </c>
      <c r="AD384" s="26" t="inlineStr">
        <is>
          <t>HSTECH (Hang Seng TECH ETF)</t>
        </is>
      </c>
      <c r="AE384" s="34" t="n">
        <v>-55.32</v>
      </c>
      <c r="AF384" s="28" t="n">
        <v>585.2</v>
      </c>
      <c r="AG384" s="28" t="n">
        <v>-2138.1</v>
      </c>
      <c r="AH384" s="26" t="inlineStr">
        <is>
          <t>N</t>
        </is>
      </c>
      <c r="AI384" s="38">
        <f>IF('BBG Verify'!O384="","not filed — run on terminal",'BBG Verify'!O384)</f>
        <v/>
      </c>
      <c r="AJ384" s="35" t="n">
        <v>103.2</v>
      </c>
      <c r="AK384" s="26" t="inlineStr">
        <is>
          <t>N</t>
        </is>
      </c>
      <c r="AL384" s="36">
        <f>IF('BBG Verify'!K384="","not filed — run on terminal",'BBG Verify'!K384)</f>
        <v/>
      </c>
      <c r="AM384" s="26" t="inlineStr">
        <is>
          <t>N/A</t>
        </is>
      </c>
      <c r="AN384" s="26" t="inlineStr">
        <is>
          <t>N/A</t>
        </is>
      </c>
      <c r="AO384" s="26" t="inlineStr">
        <is>
          <t>N/A</t>
        </is>
      </c>
      <c r="AP384" s="44" t="inlineStr">
        <is>
          <t>Goldman Sachs (Asia) L.L.C; Central, Hong Kong Merrill Lynch (Asia Pacific) Limited; Central, Hong Kong Deutsche Securities Asia Limited; Huatai Financial Holdings (Hong Kong) Limited; -Overall Coordinators Goldman Sachs (Asia) L.L.C; Central, Hong Kong Huatai Financial Holdings (Hong Kong) Limited</t>
        </is>
      </c>
      <c r="AQ384" s="26" t="inlineStr">
        <is>
          <t>美林(亞太)有限公司; 高盛(亞洲)有限責任公司; 華泰金融控股(香港)有限公司; 德意志證券亞洲有限公司</t>
        </is>
      </c>
      <c r="AR384" s="26" t="inlineStr">
        <is>
          <t>Goldman Sachs (Asia) L.L.C; Central, Hong Kong Merrill Lynch (Asia Pacific) Limited; Central, Hong Kong Deutsche Bank AG, Hong Kong Branch; Huatai Financial Holdings (Hong Kong) Limited; Central, Hong Kong CLSA Limited; BOCI Asia Limited</t>
        </is>
      </c>
      <c r="AS384" s="26" t="inlineStr">
        <is>
          <t>中銀國際亞洲有限公司; 中信里昂證券有限公司; 德意志銀行香港分行; 富途證券國際（香港）有限公司; 高盛(亞洲)有限責任公司; 華泰金融控股(香港)有限公司; 麥格理資本股份有限公司; 美林(亞太)有限公司; 老虎證券（香港）環球有限公司</t>
        </is>
      </c>
      <c r="AT384" s="37">
        <f>HYPERLINK("https://www1.hkexnews.hk/listedco/listconews/sehk/2025/1028/2025102800087.pdf","prospectus")</f>
        <v/>
      </c>
      <c r="AU384" s="37">
        <f>HYPERLINK("https://www1.hkexnews.hk/listedco/listconews/sehk/2025/1105/2025110502018.pdf","allotment")</f>
        <v/>
      </c>
      <c r="AV384" s="37">
        <f>HYPERLINK("https://www1.hkexnews.hk/listedco/listconews/sehk/2025/1203/2025120302148.pdf","stabilisation")</f>
        <v/>
      </c>
      <c r="AW384" s="26" t="inlineStr">
        <is>
          <t>intl sub: subscription level not stated in the filing · P/E: n/m — loss-making at IPO (use P/S) · A/H: no A-share listing</t>
        </is>
      </c>
    </row>
    <row r="385">
      <c r="A385" s="25" t="inlineStr">
        <is>
          <t>0699</t>
        </is>
      </c>
      <c r="B385" s="26" t="inlineStr">
        <is>
          <t>JOYSON ELEC</t>
        </is>
      </c>
      <c r="C385" s="26" t="inlineStr">
        <is>
          <t>均勝電子</t>
        </is>
      </c>
      <c r="D385" s="26" t="inlineStr">
        <is>
          <t>Consumer</t>
        </is>
      </c>
      <c r="E385" s="26" t="inlineStr">
        <is>
          <t>Auto parts / supply chain</t>
        </is>
      </c>
      <c r="F385" s="26" t="inlineStr">
        <is>
          <t>Standard</t>
        </is>
      </c>
      <c r="G385" s="27" t="n">
        <v>45967</v>
      </c>
      <c r="H385" s="28" t="n">
        <v>3412.2</v>
      </c>
      <c r="I385" s="26" t="inlineStr">
        <is>
          <t>gross (stated)</t>
        </is>
      </c>
      <c r="J385" s="29" t="n"/>
      <c r="K385" s="29" t="n">
        <v>23.6</v>
      </c>
      <c r="L385" s="29" t="n">
        <v>22</v>
      </c>
      <c r="M385" s="26" t="inlineStr">
        <is>
          <t>N</t>
        </is>
      </c>
      <c r="N385" s="30" t="n">
        <v>93.2</v>
      </c>
      <c r="O385" s="41">
        <f>IF('BBG Verify'!M385="","not filed — run on terminal",'BBG Verify'!M385)</f>
        <v/>
      </c>
      <c r="P385" s="26" t="n"/>
      <c r="Q385" s="31" t="n">
        <v>147.67</v>
      </c>
      <c r="R385" s="32" t="n">
        <v>9.779999999999999</v>
      </c>
      <c r="S385" s="33" t="n">
        <v>24.5</v>
      </c>
      <c r="T385" s="44" t="inlineStr">
        <is>
          <t>Jun Sheng SP; Vandi Investments Limited; Seguros, S.A; Jump Trading; PSBC Wealth; Vandi; Fidelidade; GF Global Capital Limited; Ningbo Xinzhi; Eastern Bell Capital VIII</t>
        </is>
      </c>
      <c r="U385" s="30" t="n">
        <v>15</v>
      </c>
      <c r="V385" s="26" t="n"/>
      <c r="W385" s="34" t="n">
        <v>-8</v>
      </c>
      <c r="X385" s="34" t="n">
        <v>-20.45</v>
      </c>
      <c r="Y385" s="34" t="n">
        <v>-20.82</v>
      </c>
      <c r="Z385" s="34" t="n">
        <v>-22.86</v>
      </c>
      <c r="AA385" s="34" t="n">
        <v>-13.93</v>
      </c>
      <c r="AB385" s="34" t="n">
        <v>-20.92</v>
      </c>
      <c r="AC385" s="34" t="n">
        <v>0.1</v>
      </c>
      <c r="AD385" s="26" t="inlineStr">
        <is>
          <t>Hang Seng Commerce &amp; Industry sub-index</t>
        </is>
      </c>
      <c r="AE385" s="34" t="n">
        <v>-39.14</v>
      </c>
      <c r="AF385" s="28" t="n">
        <v>61449.9</v>
      </c>
      <c r="AG385" s="28" t="n">
        <v>1049.7</v>
      </c>
      <c r="AH385" s="26" t="inlineStr">
        <is>
          <t>Y</t>
        </is>
      </c>
      <c r="AI385" s="38">
        <f>IF('BBG Verify'!O385="","not filed — run on terminal",'BBG Verify'!O385)</f>
        <v/>
      </c>
      <c r="AJ385" s="35" t="n"/>
      <c r="AK385" s="26" t="inlineStr">
        <is>
          <t>Y</t>
        </is>
      </c>
      <c r="AL385" s="26" t="inlineStr">
        <is>
          <t>600699.SS</t>
        </is>
      </c>
      <c r="AM385" s="34" t="n">
        <v>-32.51</v>
      </c>
      <c r="AN385" s="29" t="n">
        <v>32.5992</v>
      </c>
      <c r="AO385" s="42" t="n">
        <v>-0.4566</v>
      </c>
      <c r="AP385" s="26" t="inlineStr">
        <is>
          <t>CICC; UBS</t>
        </is>
      </c>
      <c r="AQ385" s="26" t="inlineStr">
        <is>
          <t>中國國際金融香港證券有限公司; 瑞銀證券香港有限公司</t>
        </is>
      </c>
      <c r="AR385" s="26" t="inlineStr">
        <is>
          <t>農銀國際證券有限公司; 中國國際金融香港證券有限公司; 華興資本證券(香港)有限公司; 廣發證券（香港）經紀有限公司; UBS AG 香港分行</t>
        </is>
      </c>
      <c r="AS385" s="26" t="inlineStr">
        <is>
          <t>農銀國際證券有限公司; 中國國際金融香港證券有限公司; 華興資本證券(香港)有限公司; 廣發證券（香港）經紀有限公司; UBS AG 香港分行</t>
        </is>
      </c>
      <c r="AT385" s="37">
        <f>HYPERLINK("https://www1.hkexnews.hk/listedco/listconews/sehk/2025/1028/2025102800057.pdf","prospectus")</f>
        <v/>
      </c>
      <c r="AU385" s="37">
        <f>HYPERLINK("https://www1.hkexnews.hk/listedco/listconews/sehk/2025/1105/2025110502028.pdf","allotment")</f>
        <v/>
      </c>
      <c r="AV385" s="26" t="n"/>
      <c r="AW385" s="26" t="inlineStr">
        <is>
          <t>P/E: market cap not derivable (no share count disclosed) · greenshoe: end-of-stabilisation notice not located · A/H: Nov 2025 H listing (auto electronics/safety)</t>
        </is>
      </c>
    </row>
    <row r="386">
      <c r="A386" s="25" t="inlineStr">
        <is>
          <t>2698</t>
        </is>
      </c>
      <c r="B386" s="26" t="inlineStr">
        <is>
          <t>SOFTCARE</t>
        </is>
      </c>
      <c r="C386" s="26" t="inlineStr">
        <is>
          <t>樂舒適</t>
        </is>
      </c>
      <c r="D386" s="26" t="inlineStr">
        <is>
          <t>Other</t>
        </is>
      </c>
      <c r="E386" s="26" t="inlineStr">
        <is>
          <t>Other / unclassified</t>
        </is>
      </c>
      <c r="F386" s="26" t="inlineStr">
        <is>
          <t>Standard</t>
        </is>
      </c>
      <c r="G386" s="27" t="n">
        <v>45971</v>
      </c>
      <c r="H386" s="28" t="n">
        <v>2381.16</v>
      </c>
      <c r="I386" s="26" t="inlineStr">
        <is>
          <t>gross (stated)</t>
        </is>
      </c>
      <c r="J386" s="29" t="n"/>
      <c r="K386" s="29" t="n">
        <v>26.2</v>
      </c>
      <c r="L386" s="29" t="n">
        <v>26.2</v>
      </c>
      <c r="M386" s="26" t="inlineStr">
        <is>
          <t>Y</t>
        </is>
      </c>
      <c r="N386" s="30" t="n">
        <v>100</v>
      </c>
      <c r="O386" s="28" t="n">
        <v>15611.8</v>
      </c>
      <c r="P386" s="26" t="inlineStr">
        <is>
          <t>aastocks:上市市值 at the struck price</t>
        </is>
      </c>
      <c r="Q386" s="31" t="n">
        <v>1813.77</v>
      </c>
      <c r="R386" s="32" t="n">
        <v>34.33</v>
      </c>
      <c r="S386" s="33" t="n">
        <v>4.6</v>
      </c>
      <c r="T386" s="26" t="inlineStr">
        <is>
          <t>BA HM; NewTrails Capital; NewTrails Forest; China Southern; Fullgoal Fund; E Fund Management; Relationship E Fund; CICC FT; Qihui Runjin; ChinaAMC; Relationship CITIC AM</t>
        </is>
      </c>
      <c r="U386" s="30" t="n">
        <v>15</v>
      </c>
      <c r="V386" s="26" t="n"/>
      <c r="W386" s="34" t="n">
        <v>25.95</v>
      </c>
      <c r="X386" s="34" t="n">
        <v>17.71</v>
      </c>
      <c r="Y386" s="34" t="n">
        <v>14.5</v>
      </c>
      <c r="Z386" s="34" t="n">
        <v>17.1</v>
      </c>
      <c r="AA386" s="34" t="n">
        <v>-9.09</v>
      </c>
      <c r="AB386" s="34" t="n">
        <v>17.58</v>
      </c>
      <c r="AC386" s="34" t="n">
        <v>-3.08</v>
      </c>
      <c r="AD386" s="26" t="inlineStr">
        <is>
          <t>Hang Seng Index</t>
        </is>
      </c>
      <c r="AE386" s="34" t="n">
        <v>30.23</v>
      </c>
      <c r="AF386" s="28" t="n">
        <v>3544.2</v>
      </c>
      <c r="AG386" s="28" t="n">
        <v>741.9</v>
      </c>
      <c r="AH386" s="26" t="inlineStr">
        <is>
          <t>Y</t>
        </is>
      </c>
      <c r="AI386" s="35" t="n">
        <v>21</v>
      </c>
      <c r="AJ386" s="35" t="n">
        <v>4.4</v>
      </c>
      <c r="AK386" s="26" t="inlineStr">
        <is>
          <t>N</t>
        </is>
      </c>
      <c r="AL386" s="36">
        <f>IF('BBG Verify'!K386="","not filed — run on terminal",'BBG Verify'!K386)</f>
        <v/>
      </c>
      <c r="AM386" s="26" t="inlineStr">
        <is>
          <t>N/A</t>
        </is>
      </c>
      <c r="AN386" s="26" t="inlineStr">
        <is>
          <t>N/A</t>
        </is>
      </c>
      <c r="AO386" s="26" t="inlineStr">
        <is>
          <t>N/A</t>
        </is>
      </c>
      <c r="AP386" s="26" t="n"/>
      <c r="AQ386" s="26" t="inlineStr">
        <is>
          <t>中國國際金融香港證券有限公司; 中信證券(香港)有限公司; 廣發融資（香港）有限公司</t>
        </is>
      </c>
      <c r="AR386" s="26" t="inlineStr">
        <is>
          <t>中國國際金融香港證券有限公司; 中信里昂證券有限公司; 廣發證券（香港）經紀有限公司</t>
        </is>
      </c>
      <c r="AS386" s="26" t="inlineStr">
        <is>
          <t>中國國際金融香港證券有限公司; 中信里昂證券有限公司; 廣發證券（香港）經紀有限公司</t>
        </is>
      </c>
      <c r="AT386" s="37">
        <f>HYPERLINK("https://www1.hkexnews.hk/listedco/listconews/sehk/2025/1031/2025103100021.pdf","prospectus")</f>
        <v/>
      </c>
      <c r="AU386" s="37">
        <f>HYPERLINK("https://www1.hkexnews.hk/listedco/listconews/sehk/2025/1107/2025110701708.pdf","allotment")</f>
        <v/>
      </c>
      <c r="AV386" s="26" t="n"/>
      <c r="AW386" s="26" t="inlineStr">
        <is>
          <t>greenshoe: end-of-stabilisation notice not located · price range: fixed-price offering (no indicative range) · A/H: no A-share listing · sponsor: English name not in the filing text; AAStocks 保薦人 shown</t>
        </is>
      </c>
    </row>
    <row r="387">
      <c r="A387" s="25" t="inlineStr">
        <is>
          <t>2579</t>
        </is>
      </c>
      <c r="B387" s="26" t="inlineStr">
        <is>
          <t>CNGR</t>
        </is>
      </c>
      <c r="C387" s="26" t="inlineStr">
        <is>
          <t>中偉新材</t>
        </is>
      </c>
      <c r="D387" s="26" t="inlineStr">
        <is>
          <t>Industrials</t>
        </is>
      </c>
      <c r="E387" s="26" t="inlineStr">
        <is>
          <t>Batteries / energy storage</t>
        </is>
      </c>
      <c r="F387" s="26" t="inlineStr">
        <is>
          <t>Standard</t>
        </is>
      </c>
      <c r="G387" s="27" t="n">
        <v>45978</v>
      </c>
      <c r="H387" s="28" t="n">
        <v>3543.7</v>
      </c>
      <c r="I387" s="26" t="inlineStr">
        <is>
          <t>gross (price x shares)</t>
        </is>
      </c>
      <c r="J387" s="29" t="n"/>
      <c r="K387" s="29" t="n">
        <v>37.8</v>
      </c>
      <c r="L387" s="29" t="n">
        <v>34</v>
      </c>
      <c r="M387" s="26" t="inlineStr">
        <is>
          <t>N</t>
        </is>
      </c>
      <c r="N387" s="30" t="n">
        <v>89.90000000000001</v>
      </c>
      <c r="O387" s="28" t="n">
        <v>31277.1</v>
      </c>
      <c r="P387" s="26" t="inlineStr">
        <is>
          <t>derived:deal size / offer % of enlarged capital</t>
        </is>
      </c>
      <c r="Q387" s="31" t="n">
        <v>27.9</v>
      </c>
      <c r="R387" s="32" t="n">
        <v>4.08</v>
      </c>
      <c r="S387" s="33" t="n">
        <v>46.8</v>
      </c>
      <c r="T387" s="44" t="inlineStr">
        <is>
          <t>NR 1 SP; Ultimate Client (Gaoyi); Pointer Investment; Industry Parent Fund; Lens Hong Kong; Sunwoda Treasury; Huatai Capital Investment Limited</t>
        </is>
      </c>
      <c r="U387" s="30" t="n">
        <v>15</v>
      </c>
      <c r="V387" s="26" t="inlineStr">
        <is>
          <t>lapsed</t>
        </is>
      </c>
      <c r="W387" s="34" t="n">
        <v>-0.12</v>
      </c>
      <c r="X387" s="34" t="n">
        <v>-10.88</v>
      </c>
      <c r="Y387" s="34" t="n">
        <v>-22.65</v>
      </c>
      <c r="Z387" s="34" t="n">
        <v>2.53</v>
      </c>
      <c r="AA387" s="34" t="n">
        <v>-22.56</v>
      </c>
      <c r="AB387" s="34" t="n">
        <v>-16.86</v>
      </c>
      <c r="AC387" s="34" t="n">
        <v>-5.79</v>
      </c>
      <c r="AD387" s="26" t="inlineStr">
        <is>
          <t>Hang Seng Commerce &amp; Industry sub-index</t>
        </is>
      </c>
      <c r="AE387" s="34" t="n">
        <v>-26.47</v>
      </c>
      <c r="AF387" s="28" t="n">
        <v>44245.2</v>
      </c>
      <c r="AG387" s="28" t="n">
        <v>1966.5</v>
      </c>
      <c r="AH387" s="26" t="inlineStr">
        <is>
          <t>Y</t>
        </is>
      </c>
      <c r="AI387" s="35" t="n">
        <v>15.9</v>
      </c>
      <c r="AJ387" s="35" t="n">
        <v>0.7</v>
      </c>
      <c r="AK387" s="26" t="inlineStr">
        <is>
          <t>Y</t>
        </is>
      </c>
      <c r="AL387" s="26" t="inlineStr">
        <is>
          <t>300919.SZ</t>
        </is>
      </c>
      <c r="AM387" s="34" t="n">
        <v>-37.24</v>
      </c>
      <c r="AN387" s="29" t="n">
        <v>54.1727</v>
      </c>
      <c r="AO387" s="42" t="n">
        <v>-0.4726</v>
      </c>
      <c r="AP387" s="26" t="inlineStr">
        <is>
          <t>and Sponsor-overall Coordinators Morgan Stanley Asia Limited; Huatai Financial Holdings (Hong Kong) Limited</t>
        </is>
      </c>
      <c r="AQ387" s="26" t="inlineStr">
        <is>
          <t>摩根士丹利亞洲有限公司; 華泰金融控股(香港)有限公司</t>
        </is>
      </c>
      <c r="AR387" s="26" t="inlineStr">
        <is>
          <t>Morgan Stanley Asia Limited; Huatai Financial Holdings (Hong Kong) Limited; China International Capital Corporation Hong Kong Securities Limited; BNP Paribas Securities (Asia) Limited; ABCI CAPITAL LIMITED; – 91 – DIRECTORS AND PARTIES INVOLVED IN THE GLOBAL OFFERING ABCI CAPITAL LIMITED; BOCI Asia Limited; ICBC International Securities Limited; CCB International Capital Limited; Mizuho Securities Asia Limited; Tiger Brokers (HK) Global Limited</t>
        </is>
      </c>
      <c r="AS387" s="26" t="inlineStr">
        <is>
          <t>農銀國際融資有限公司; 法國巴黎證券（亞洲）有限公司; 中銀國際亞洲有限公司; 建銀國際金融有限公司; 中國國際金融香港證券有限公司; 第一上海證券有限公司; 華泰金融控股(香港)有限公司; 工銀國際證券有限公司; 摩根士丹利亞洲有限公司; 瑞穗證券亞洲有限公司; 老虎證券（香港）環球有限公司</t>
        </is>
      </c>
      <c r="AT387" s="37">
        <f>HYPERLINK("https://www1.hkexnews.hk/listedco/listconews/sehk/2025/1107/2025110700058.htm","prospectus")</f>
        <v/>
      </c>
      <c r="AU387" s="37">
        <f>HYPERLINK("https://www1.hkexnews.hk/listedco/listconews/sehk/2025/1116/2025111600003.pdf","allotment")</f>
        <v/>
      </c>
      <c r="AV387" s="37">
        <f>HYPERLINK("https://www1.hkexnews.hk/listedco/listconews/sehk/2025/1212/2025121200406.pdf","stabilisation")</f>
        <v/>
      </c>
      <c r="AW387" s="26" t="inlineStr">
        <is>
          <t>A/H: Nov 2025 H listing (battery precursor materials)</t>
        </is>
      </c>
    </row>
    <row r="388">
      <c r="A388" s="25" t="inlineStr">
        <is>
          <t>2788</t>
        </is>
      </c>
      <c r="B388" s="26" t="inlineStr">
        <is>
          <t>CHUANGXIN IND</t>
        </is>
      </c>
      <c r="C388" s="26" t="inlineStr">
        <is>
          <t>創新實業</t>
        </is>
      </c>
      <c r="D388" s="26" t="inlineStr">
        <is>
          <t>Other</t>
        </is>
      </c>
      <c r="E388" s="26" t="inlineStr">
        <is>
          <t>Other / unclassified</t>
        </is>
      </c>
      <c r="F388" s="26" t="inlineStr">
        <is>
          <t>Standard</t>
        </is>
      </c>
      <c r="G388" s="27" t="n">
        <v>45985</v>
      </c>
      <c r="H388" s="28" t="n">
        <v>5495</v>
      </c>
      <c r="I388" s="26" t="inlineStr">
        <is>
          <t>gross (stated)</t>
        </is>
      </c>
      <c r="J388" s="29" t="n"/>
      <c r="K388" s="29" t="n">
        <v>10.99</v>
      </c>
      <c r="L388" s="29" t="n">
        <v>10.99</v>
      </c>
      <c r="M388" s="26" t="inlineStr">
        <is>
          <t>Y</t>
        </is>
      </c>
      <c r="N388" s="30" t="n">
        <v>100</v>
      </c>
      <c r="O388" s="28" t="n">
        <v>21963.8</v>
      </c>
      <c r="P388" s="26" t="inlineStr">
        <is>
          <t>aastocks:上市市值 at the struck price</t>
        </is>
      </c>
      <c r="Q388" s="31" t="n">
        <v>447.2</v>
      </c>
      <c r="R388" s="32" t="n">
        <v>19.85</v>
      </c>
      <c r="S388" s="33" t="n">
        <v>49.66</v>
      </c>
      <c r="T388" s="26" t="inlineStr">
        <is>
          <t>HHLR Advisors, Ltd; China Hongqiao Group Limited; Jane Street Asia Trading Limited; Management (HK) Limited</t>
        </is>
      </c>
      <c r="U388" s="30" t="n">
        <v>15</v>
      </c>
      <c r="V388" s="26" t="n"/>
      <c r="W388" s="34" t="n">
        <v>32.76</v>
      </c>
      <c r="X388" s="34" t="n">
        <v>59.42</v>
      </c>
      <c r="Y388" s="34" t="n">
        <v>78.34</v>
      </c>
      <c r="Z388" s="34" t="n">
        <v>115.65</v>
      </c>
      <c r="AA388" s="34" t="n">
        <v>34.33</v>
      </c>
      <c r="AB388" s="34" t="n">
        <v>76.14</v>
      </c>
      <c r="AC388" s="34" t="n">
        <v>2.2</v>
      </c>
      <c r="AD388" s="26" t="inlineStr">
        <is>
          <t>Hang Seng Index</t>
        </is>
      </c>
      <c r="AE388" s="34" t="n">
        <v>42.95</v>
      </c>
      <c r="AF388" s="28" t="n">
        <v>16679.5</v>
      </c>
      <c r="AG388" s="28" t="n">
        <v>2261.8</v>
      </c>
      <c r="AH388" s="26" t="inlineStr">
        <is>
          <t>Y</t>
        </is>
      </c>
      <c r="AI388" s="35" t="n">
        <v>9.699999999999999</v>
      </c>
      <c r="AJ388" s="35" t="n">
        <v>1.3</v>
      </c>
      <c r="AK388" s="26" t="inlineStr">
        <is>
          <t>N</t>
        </is>
      </c>
      <c r="AL388" s="36">
        <f>IF('BBG Verify'!K388="","not filed — run on terminal",'BBG Verify'!K388)</f>
        <v/>
      </c>
      <c r="AM388" s="26" t="inlineStr">
        <is>
          <t>N/A</t>
        </is>
      </c>
      <c r="AN388" s="26" t="inlineStr">
        <is>
          <t>N/A</t>
        </is>
      </c>
      <c r="AO388" s="26" t="inlineStr">
        <is>
          <t>N/A</t>
        </is>
      </c>
      <c r="AP388" s="26" t="n"/>
      <c r="AQ388" s="26" t="inlineStr">
        <is>
          <t>中國國際金融香港證券有限公司; 華泰金融控股(香港)有限公司</t>
        </is>
      </c>
      <c r="AR388" s="26" t="inlineStr">
        <is>
          <t>中航資信環球資產管理有限公司; 中銀國際亞洲有限公司; 中國國際金融香港證券有限公司; 招銀國際融資有限公司; 富途證券國際（香港）有限公司; 華泰金融控股(香港)有限公司</t>
        </is>
      </c>
      <c r="AS388" s="26" t="inlineStr">
        <is>
          <t>中航資信環球資產管理有限公司; 中銀國際亞洲有限公司; 中國國際金融香港證券有限公司; 招銀國際融資有限公司; 富途證券國際（香港）有限公司; 華泰金融控股(香港)有限公司; 利弗莫爾證券有限公司; 南華證券投資有限公司; 老虎證券（香港）環球有限公司; 大華繼顯(香港)有限公司</t>
        </is>
      </c>
      <c r="AT388" s="37">
        <f>HYPERLINK("https://www1.hkexnews.hk/listedco/listconews/sehk/2025/1114/2025111400009.pdf","prospectus")</f>
        <v/>
      </c>
      <c r="AU388" s="37">
        <f>HYPERLINK("https://www1.hkexnews.hk/listedco/listconews/sehk/2025/1121/2025112101421.pdf","allotment")</f>
        <v/>
      </c>
      <c r="AV388" s="26" t="n"/>
      <c r="AW388" s="26" t="inlineStr">
        <is>
          <t>greenshoe: end-of-stabilisation notice not located · price range: fixed-price offering (no indicative range) · A/H: no A-share listing · sponsor: English name not in the filing text; AAStocks 保薦人 shown</t>
        </is>
      </c>
    </row>
    <row r="389">
      <c r="A389" s="25" t="inlineStr">
        <is>
          <t>2685</t>
        </is>
      </c>
      <c r="B389" s="26" t="inlineStr">
        <is>
          <t>QUANTGROUP</t>
        </is>
      </c>
      <c r="C389" s="26" t="inlineStr">
        <is>
          <t>量化派</t>
        </is>
      </c>
      <c r="D389" s="26" t="inlineStr">
        <is>
          <t>Tech/AI</t>
        </is>
      </c>
      <c r="E389" s="26" t="inlineStr">
        <is>
          <t>Internet platform / e-commerce</t>
        </is>
      </c>
      <c r="F389" s="26" t="inlineStr">
        <is>
          <t>Standard</t>
        </is>
      </c>
      <c r="G389" s="27" t="n">
        <v>45988</v>
      </c>
      <c r="H389" s="28" t="n">
        <v>130.81</v>
      </c>
      <c r="I389" s="26" t="inlineStr">
        <is>
          <t>gross (stated)</t>
        </is>
      </c>
      <c r="J389" s="29" t="n"/>
      <c r="K389" s="29" t="n">
        <v>9.800000000000001</v>
      </c>
      <c r="L389" s="29" t="n">
        <v>9.800000000000001</v>
      </c>
      <c r="M389" s="26" t="inlineStr">
        <is>
          <t>Y</t>
        </is>
      </c>
      <c r="N389" s="30" t="n">
        <v>100</v>
      </c>
      <c r="O389" s="28" t="n">
        <v>5031.2</v>
      </c>
      <c r="P389" s="26" t="inlineStr">
        <is>
          <t>derived:deal size / offer % of enlarged capital</t>
        </is>
      </c>
      <c r="Q389" s="31" t="n">
        <v>9366.280000000001</v>
      </c>
      <c r="R389" s="32" t="n">
        <v>15.07</v>
      </c>
      <c r="S389" s="33" t="n">
        <v>0</v>
      </c>
      <c r="T389" s="26" t="n"/>
      <c r="U389" s="30" t="n">
        <v>15</v>
      </c>
      <c r="V389" s="26" t="inlineStr">
        <is>
          <t>partial</t>
        </is>
      </c>
      <c r="W389" s="34" t="n">
        <v>88.78</v>
      </c>
      <c r="X389" s="34" t="n">
        <v>189.8</v>
      </c>
      <c r="Y389" s="34" t="n">
        <v>177.76</v>
      </c>
      <c r="Z389" s="34" t="n">
        <v>208.98</v>
      </c>
      <c r="AA389" s="34" t="n">
        <v>47.13</v>
      </c>
      <c r="AB389" s="34" t="n">
        <v>178.58</v>
      </c>
      <c r="AC389" s="34" t="n">
        <v>-0.82</v>
      </c>
      <c r="AD389" s="26" t="inlineStr">
        <is>
          <t>HSTECH (Hang Seng TECH ETF)</t>
        </is>
      </c>
      <c r="AE389" s="34" t="n">
        <v>-54.69</v>
      </c>
      <c r="AF389" s="28" t="n">
        <v>1092.3</v>
      </c>
      <c r="AG389" s="28" t="n">
        <v>161.8</v>
      </c>
      <c r="AH389" s="26" t="inlineStr">
        <is>
          <t>Y</t>
        </is>
      </c>
      <c r="AI389" s="35" t="n">
        <v>31.1</v>
      </c>
      <c r="AJ389" s="35" t="n">
        <v>4.6</v>
      </c>
      <c r="AK389" s="26" t="inlineStr">
        <is>
          <t>N</t>
        </is>
      </c>
      <c r="AL389" s="36">
        <f>IF('BBG Verify'!K389="","not filed — run on terminal",'BBG Verify'!K389)</f>
        <v/>
      </c>
      <c r="AM389" s="26" t="inlineStr">
        <is>
          <t>N/A</t>
        </is>
      </c>
      <c r="AN389" s="26" t="inlineStr">
        <is>
          <t>N/A</t>
        </is>
      </c>
      <c r="AO389" s="26" t="inlineStr">
        <is>
          <t>N/A</t>
        </is>
      </c>
      <c r="AP389" s="26" t="inlineStr">
        <is>
          <t>China International Capital Corporation Hong Kong Securities Limited; Hong Kong SAR CITIC Securities (Hong Kong) Limited</t>
        </is>
      </c>
      <c r="AQ389" s="26" t="inlineStr">
        <is>
          <t>中國國際金融香港證券有限公司; 中信證券(香港)有限公司</t>
        </is>
      </c>
      <c r="AR389" s="26" t="inlineStr">
        <is>
          <t>China International Capital Corporation Hong Kong Securities Limited; DIRECTORS AND PARTIES INVOLVED IN THE GLOBAL OFFERING CLSA Limited; Hong Kong SAR Fosun International Securities Limited; Hong Kong SAR CLSA Limited; Hong Kong SAR Futu Securities International (Hong Kong) Limited; No.95 Queensway Admiralty Hong Kong SAR Tiger Brokers (HK) Global Limited</t>
        </is>
      </c>
      <c r="AS389" s="26" t="inlineStr">
        <is>
          <t>中國國際金融香港證券有限公司; 中信里昂證券有限公司; 復星國際證券有限公司; 富途證券國際（香港）有限公司; 老虎證券（香港）環球有限公司</t>
        </is>
      </c>
      <c r="AT389" s="37">
        <f>HYPERLINK("https://www1.hkexnews.hk/listedco/listconews/sehk/2025/1119/2025111900009.pdf","prospectus")</f>
        <v/>
      </c>
      <c r="AU389" s="37">
        <f>HYPERLINK("https://www1.hkexnews.hk/listedco/listconews/sehk/2025/1126/2025112601522.pdf","allotment")</f>
        <v/>
      </c>
      <c r="AV389" s="37">
        <f>HYPERLINK("https://www1.hkexnews.hk/listedco/listconews/sehk/2025/1224/2025122401992.pdf","stabilisation")</f>
        <v/>
      </c>
      <c r="AW389" s="26" t="inlineStr">
        <is>
          <t>A/H: no A-share listing</t>
        </is>
      </c>
    </row>
    <row r="390">
      <c r="A390" s="25" t="inlineStr">
        <is>
          <t>9609</t>
        </is>
      </c>
      <c r="B390" s="26" t="inlineStr">
        <is>
          <t>HAIWEI ELEC</t>
        </is>
      </c>
      <c r="C390" s="26" t="inlineStr">
        <is>
          <t>海偉股份</t>
        </is>
      </c>
      <c r="D390" s="26" t="inlineStr">
        <is>
          <t>Materials/Energy</t>
        </is>
      </c>
      <c r="E390" s="26" t="inlineStr">
        <is>
          <t>Chemicals</t>
        </is>
      </c>
      <c r="F390" s="26" t="inlineStr">
        <is>
          <t>Standard</t>
        </is>
      </c>
      <c r="G390" s="27" t="n">
        <v>45989</v>
      </c>
      <c r="H390" s="28" t="n">
        <v>506.31</v>
      </c>
      <c r="I390" s="26" t="inlineStr">
        <is>
          <t>gross (stated)</t>
        </is>
      </c>
      <c r="J390" s="29" t="n"/>
      <c r="K390" s="29" t="n">
        <v>14.28</v>
      </c>
      <c r="L390" s="29" t="n">
        <v>14.28</v>
      </c>
      <c r="M390" s="26" t="inlineStr">
        <is>
          <t>Y</t>
        </is>
      </c>
      <c r="N390" s="30" t="n">
        <v>100</v>
      </c>
      <c r="O390" s="28" t="n">
        <v>2272.9</v>
      </c>
      <c r="P390" s="26" t="inlineStr">
        <is>
          <t>derived:price x shares upon listing</t>
        </is>
      </c>
      <c r="Q390" s="31" t="n">
        <v>5426.27</v>
      </c>
      <c r="R390" s="39">
        <f>IF('BBG Verify'!E390="","not filed — run on terminal",'BBG Verify'!E390)</f>
        <v/>
      </c>
      <c r="S390" s="33" t="n">
        <v>43.1</v>
      </c>
      <c r="T390" s="26" t="inlineStr">
        <is>
          <t>Huatai Capital Investment Limited; BYD Company Limited –; Sungrow Power Note 1 –; CICC Pucheng Investment Co., Ltd. –; Horizon Splendor</t>
        </is>
      </c>
      <c r="U390" s="30" t="n">
        <v>15</v>
      </c>
      <c r="V390" s="26" t="inlineStr">
        <is>
          <t>partial</t>
        </is>
      </c>
      <c r="W390" s="34" t="n">
        <v>-22.97</v>
      </c>
      <c r="X390" s="34" t="n">
        <v>-21.5</v>
      </c>
      <c r="Y390" s="34" t="n">
        <v>-35.36</v>
      </c>
      <c r="Z390" s="34" t="n">
        <v>-36.2</v>
      </c>
      <c r="AA390" s="34" t="n">
        <v>-16.08</v>
      </c>
      <c r="AB390" s="34" t="n">
        <v>-36.15</v>
      </c>
      <c r="AC390" s="34" t="n">
        <v>0.79</v>
      </c>
      <c r="AD390" s="26" t="inlineStr">
        <is>
          <t>Hang Seng Utilities sub-index</t>
        </is>
      </c>
      <c r="AE390" s="34" t="n">
        <v>-46.04</v>
      </c>
      <c r="AF390" s="28" t="n">
        <v>463.9</v>
      </c>
      <c r="AG390" s="28" t="n">
        <v>95.09999999999999</v>
      </c>
      <c r="AH390" s="26" t="inlineStr">
        <is>
          <t>Y</t>
        </is>
      </c>
      <c r="AI390" s="35" t="n">
        <v>23.9</v>
      </c>
      <c r="AJ390" s="35" t="n">
        <v>4.9</v>
      </c>
      <c r="AK390" s="26" t="inlineStr">
        <is>
          <t>N</t>
        </is>
      </c>
      <c r="AL390" s="36">
        <f>IF('BBG Verify'!K390="","not filed — run on terminal",'BBG Verify'!K390)</f>
        <v/>
      </c>
      <c r="AM390" s="26" t="inlineStr">
        <is>
          <t>N/A</t>
        </is>
      </c>
      <c r="AN390" s="26" t="inlineStr">
        <is>
          <t>N/A</t>
        </is>
      </c>
      <c r="AO390" s="26" t="inlineStr">
        <is>
          <t>N/A</t>
        </is>
      </c>
      <c r="AP390" s="26" t="inlineStr">
        <is>
          <t>China International Capital Corporation Hong Kong Securities Limited; -Overall Coordinator China International Capital Corporation Hong Kong Securities Limited</t>
        </is>
      </c>
      <c r="AQ390" s="26" t="inlineStr">
        <is>
          <t>中國國際金融香港證券有限公司</t>
        </is>
      </c>
      <c r="AR390" s="26" t="inlineStr">
        <is>
          <t>China International Capital Corporation Hong Kong Securities Limited; China Securities (International) Corporate Finance Company Limited; CLSA Limited; CCB International Capital Limited; DIRECTORS AND PARTIES INVOLVED IN THE GLOBAL OFFERING – 88 – BOCI Asia Limited; Huizhi International Capital Holdings Co., Limited</t>
        </is>
      </c>
      <c r="AS390" s="26" t="inlineStr">
        <is>
          <t>中銀國際亞洲有限公司; 建銀國際金融有限公司; 中國國際金融香港證券有限公司; 中信里昂證券有限公司; 中信建投(國際)融資有限公司; 富途證券國際（香港）有限公司; 匯智國際金融控股有限公司; 利弗莫爾證券有限公司</t>
        </is>
      </c>
      <c r="AT390" s="37">
        <f>HYPERLINK("https://www1.hkexnews.hk/listedco/listconews/sehk/2025/1120/2025112000009.pdf","prospectus")</f>
        <v/>
      </c>
      <c r="AU390" s="37">
        <f>HYPERLINK("https://www1.hkexnews.hk/listedco/listconews/sehk/2025/1127/2025112701630.pdf","allotment")</f>
        <v/>
      </c>
      <c r="AV390" s="37">
        <f>HYPERLINK("https://www1.hkexnews.hk/listedco/listconews/sehk/2025/1228/2025122800169.pdf","stabilisation")</f>
        <v/>
      </c>
      <c r="AW390" s="26" t="inlineStr">
        <is>
          <t>intl sub: subscription level not stated in the filing · A/H: no A-share listing</t>
        </is>
      </c>
    </row>
    <row r="391">
      <c r="A391" s="25" t="inlineStr">
        <is>
          <t>2539</t>
        </is>
      </c>
      <c r="B391" s="26" t="inlineStr">
        <is>
          <t>LEMO SERVICES</t>
        </is>
      </c>
      <c r="C391" s="26" t="inlineStr">
        <is>
          <t>樂摩科技</t>
        </is>
      </c>
      <c r="D391" s="26" t="inlineStr">
        <is>
          <t>Real Estate</t>
        </is>
      </c>
      <c r="E391" s="26" t="inlineStr">
        <is>
          <t>Property management</t>
        </is>
      </c>
      <c r="F391" s="26" t="inlineStr">
        <is>
          <t>Standard</t>
        </is>
      </c>
      <c r="G391" s="27" t="n">
        <v>45994</v>
      </c>
      <c r="H391" s="28" t="n">
        <v>222.22</v>
      </c>
      <c r="I391" s="26" t="inlineStr">
        <is>
          <t>gross (stated)</t>
        </is>
      </c>
      <c r="J391" s="29" t="n"/>
      <c r="K391" s="29" t="n">
        <v>40</v>
      </c>
      <c r="L391" s="29" t="n">
        <v>40</v>
      </c>
      <c r="M391" s="26" t="inlineStr">
        <is>
          <t>Y</t>
        </is>
      </c>
      <c r="N391" s="30" t="n">
        <v>100</v>
      </c>
      <c r="O391" s="28" t="n">
        <v>2222.2</v>
      </c>
      <c r="P391" s="26" t="inlineStr">
        <is>
          <t>derived:price x shares upon listing</t>
        </is>
      </c>
      <c r="Q391" s="31" t="n">
        <v>7324.29</v>
      </c>
      <c r="R391" s="32" t="n">
        <v>6.78</v>
      </c>
      <c r="S391" s="33" t="n">
        <v>0</v>
      </c>
      <c r="T391" s="26" t="n"/>
      <c r="U391" s="30" t="n"/>
      <c r="V391" s="26" t="n"/>
      <c r="W391" s="34" t="n">
        <v>36.25</v>
      </c>
      <c r="X391" s="34" t="n">
        <v>66.75</v>
      </c>
      <c r="Y391" s="34" t="n">
        <v>-16.05</v>
      </c>
      <c r="Z391" s="34" t="n">
        <v>-55.7</v>
      </c>
      <c r="AA391" s="34" t="n">
        <v>-38.39</v>
      </c>
      <c r="AB391" s="34" t="n">
        <v>-14.01</v>
      </c>
      <c r="AC391" s="34" t="n">
        <v>-2.04</v>
      </c>
      <c r="AD391" s="26" t="inlineStr">
        <is>
          <t>Hang Seng Properties sub-index</t>
        </is>
      </c>
      <c r="AE391" s="34" t="n">
        <v>-72.45</v>
      </c>
      <c r="AF391" s="28" t="n">
        <v>877.8</v>
      </c>
      <c r="AG391" s="28" t="n">
        <v>94.40000000000001</v>
      </c>
      <c r="AH391" s="26" t="inlineStr">
        <is>
          <t>Y</t>
        </is>
      </c>
      <c r="AI391" s="35" t="n">
        <v>23.5</v>
      </c>
      <c r="AJ391" s="35" t="n">
        <v>2.5</v>
      </c>
      <c r="AK391" s="26" t="inlineStr">
        <is>
          <t>N</t>
        </is>
      </c>
      <c r="AL391" s="36">
        <f>IF('BBG Verify'!K391="","not filed — run on terminal",'BBG Verify'!K391)</f>
        <v/>
      </c>
      <c r="AM391" s="26" t="inlineStr">
        <is>
          <t>N/A</t>
        </is>
      </c>
      <c r="AN391" s="26" t="inlineStr">
        <is>
          <t>N/A</t>
        </is>
      </c>
      <c r="AO391" s="26" t="inlineStr">
        <is>
          <t>N/A</t>
        </is>
      </c>
      <c r="AP391" s="26" t="inlineStr">
        <is>
          <t>China Securities (International) Corporate Finance Company Limited; Shenwan Hongyuan Capital (H.K.) Limited</t>
        </is>
      </c>
      <c r="AQ391" s="26" t="inlineStr">
        <is>
          <t>中信建投(國際)融資有限公司; 申萬宏源融資（香港）有限公司</t>
        </is>
      </c>
      <c r="AR391" s="26" t="inlineStr">
        <is>
          <t>China Securities (International) Corporate Finance Company Limited; Shenwan Hongyuan Securities (H.K.) Limited; SPDB International Capital Limited; CMB International Capital Limited; BOCI Asia Limited; ICBC International Securities Limited; Managers China Securities (International) Corporate Finance Company Limited; CCB International Capital Limited; Guoyuan Securities Brokerage (Hong Kong) Limited; ABCI Capital Limited; ABCI Securities Company Limited</t>
        </is>
      </c>
      <c r="AS391" s="26" t="inlineStr">
        <is>
          <t>農銀國際證券有限公司; Beta International Securities Limited; 中銀國際亞洲有限公司; 建銀國際金融有限公司; 招銀國際融資有限公司; 中信建投(國際)融資有限公司; 國元證券經紀(香港)有限公司; 工銀國際證券有限公司; 利弗莫爾證券有限公司; 華富建業證券有限公司; 申萬宏源證券（香港）有限公司; 浦銀國際融資有限公司; 老虎證券（香港）環球有限公司</t>
        </is>
      </c>
      <c r="AT391" s="37">
        <f>HYPERLINK("https://www1.hkexnews.hk/listedco/listconews/sehk/2025/1125/2025112500051.pdf","prospectus")</f>
        <v/>
      </c>
      <c r="AU391" s="37">
        <f>HYPERLINK("https://www1.hkexnews.hk/listedco/listconews/sehk/2025/1202/2025120202454.pdf","allotment")</f>
        <v/>
      </c>
      <c r="AV391" s="26" t="n"/>
      <c r="AW391" s="26" t="inlineStr">
        <is>
          <t>greenshoe: no over-allotment option in the offer structure · A/H: no A-share listing</t>
        </is>
      </c>
    </row>
    <row r="392">
      <c r="A392" s="25" t="inlineStr">
        <is>
          <t>2693</t>
        </is>
      </c>
      <c r="B392" s="26" t="inlineStr">
        <is>
          <t>JINYAN KAOLIN</t>
        </is>
      </c>
      <c r="C392" s="26" t="inlineStr">
        <is>
          <t>金岩高嶺新材</t>
        </is>
      </c>
      <c r="D392" s="26" t="inlineStr">
        <is>
          <t>Materials/Energy</t>
        </is>
      </c>
      <c r="E392" s="26" t="inlineStr">
        <is>
          <t>Mining / metals</t>
        </is>
      </c>
      <c r="F392" s="26" t="inlineStr">
        <is>
          <t>Standard</t>
        </is>
      </c>
      <c r="G392" s="27" t="n">
        <v>45994</v>
      </c>
      <c r="H392" s="28" t="n">
        <v>177.4</v>
      </c>
      <c r="I392" s="26" t="inlineStr">
        <is>
          <t>gross (price x shares)</t>
        </is>
      </c>
      <c r="J392" s="29" t="n">
        <v>7.3</v>
      </c>
      <c r="K392" s="29" t="n">
        <v>7.3</v>
      </c>
      <c r="L392" s="29" t="n">
        <v>7.3</v>
      </c>
      <c r="M392" s="26" t="inlineStr">
        <is>
          <t>Y</t>
        </is>
      </c>
      <c r="N392" s="30" t="n">
        <v>100</v>
      </c>
      <c r="O392" s="28" t="n">
        <v>709.5</v>
      </c>
      <c r="P392" s="26" t="inlineStr">
        <is>
          <t>derived:price x shares upon listing</t>
        </is>
      </c>
      <c r="Q392" s="47" t="n">
        <v>6876.17</v>
      </c>
      <c r="R392" s="32" t="n">
        <v>2.01</v>
      </c>
      <c r="S392" s="33" t="n">
        <v>80.2</v>
      </c>
      <c r="T392" s="26" t="n"/>
      <c r="U392" s="30" t="n">
        <v>6.1</v>
      </c>
      <c r="V392" s="26" t="inlineStr">
        <is>
          <t>lapsed</t>
        </is>
      </c>
      <c r="W392" s="34" t="n">
        <v>2.19</v>
      </c>
      <c r="X392" s="34" t="n">
        <v>-11.51</v>
      </c>
      <c r="Y392" s="34" t="n">
        <v>-41.1</v>
      </c>
      <c r="Z392" s="34" t="n">
        <v>-39.04</v>
      </c>
      <c r="AA392" s="34" t="n">
        <v>-42.36</v>
      </c>
      <c r="AB392" s="34" t="n">
        <v>-42.71</v>
      </c>
      <c r="AC392" s="34" t="n">
        <v>1.61</v>
      </c>
      <c r="AD392" s="26" t="inlineStr">
        <is>
          <t>Hang Seng Utilities sub-index</t>
        </is>
      </c>
      <c r="AE392" s="34" t="n">
        <v>-58.9</v>
      </c>
      <c r="AF392" s="28" t="n">
        <v>293.9</v>
      </c>
      <c r="AG392" s="28" t="n">
        <v>57.9</v>
      </c>
      <c r="AH392" s="26" t="inlineStr">
        <is>
          <t>Y</t>
        </is>
      </c>
      <c r="AI392" s="35" t="n">
        <v>12.3</v>
      </c>
      <c r="AJ392" s="35" t="n">
        <v>2.4</v>
      </c>
      <c r="AK392" s="26" t="inlineStr">
        <is>
          <t>N</t>
        </is>
      </c>
      <c r="AL392" s="36">
        <f>IF('BBG Verify'!K392="","not filed — run on terminal",'BBG Verify'!K392)</f>
        <v/>
      </c>
      <c r="AM392" s="26" t="inlineStr">
        <is>
          <t>N/A</t>
        </is>
      </c>
      <c r="AN392" s="26" t="inlineStr">
        <is>
          <t>N/A</t>
        </is>
      </c>
      <c r="AO392" s="26" t="inlineStr">
        <is>
          <t>N/A</t>
        </is>
      </c>
      <c r="AP392" s="26" t="inlineStr">
        <is>
          <t>Guoyuan Capital (Hong Kong) Limited; CMBC International Capital Limited</t>
        </is>
      </c>
      <c r="AQ392" s="26" t="inlineStr">
        <is>
          <t>國元融資（香港）有限公司; 民銀資本有限公司</t>
        </is>
      </c>
      <c r="AR392" s="26" t="inlineStr">
        <is>
          <t>Managers China Sunrise Securities (International) Limited; First Shanghai Securities Limited; Futu Securities International (Hong Kong) Limited; ICBC International Securities Limited; Shenwan Hongyuan Securities (H.K.) Limited; uSmart Securities Limited</t>
        </is>
      </c>
      <c r="AS392" s="26" t="inlineStr">
        <is>
          <t>建銀國際金融有限公司; 民銀證券有限公司; 華升證券（國際）有限公司; 星展亞洲融資有限公司; 第一上海證券有限公司; 富途證券國際（香港）有限公司; 國元證券經紀(香港)有限公司; 工銀國際證券有限公司; 申萬宏源證券（香港）有限公司; 友信證券有限公司</t>
        </is>
      </c>
      <c r="AT392" s="37">
        <f>HYPERLINK("https://www1.hkexnews.hk/listedco/listconews/sehk/2025/1125/2025112500049.pdf","prospectus")</f>
        <v/>
      </c>
      <c r="AU392" s="37">
        <f>HYPERLINK("https://www1.hkexnews.hk/listedco/listconews/sehk/2025/1202/2025120202632.pdf","allotment")</f>
        <v/>
      </c>
      <c r="AV392" s="37">
        <f>HYPERLINK("https://www1.hkexnews.hk/listedco/listconews/sehk/2025/1228/2025122800123.pdf","stabilisation")</f>
        <v/>
      </c>
      <c r="AW392" s="26" t="inlineStr">
        <is>
          <t>A/H: no A-share listing</t>
        </is>
      </c>
    </row>
    <row r="393">
      <c r="A393" s="25" t="inlineStr">
        <is>
          <t>2408</t>
        </is>
      </c>
      <c r="B393" s="26" t="inlineStr">
        <is>
          <t>XIAO NOODLES</t>
        </is>
      </c>
      <c r="C393" s="26" t="inlineStr">
        <is>
          <t>遇見小麵</t>
        </is>
      </c>
      <c r="D393" s="26" t="inlineStr">
        <is>
          <t>Consumer</t>
        </is>
      </c>
      <c r="E393" s="26" t="inlineStr">
        <is>
          <t>F&amp;B chains / restaurants</t>
        </is>
      </c>
      <c r="F393" s="26" t="inlineStr">
        <is>
          <t>Standard</t>
        </is>
      </c>
      <c r="G393" s="27" t="n">
        <v>45996</v>
      </c>
      <c r="H393" s="28" t="n">
        <v>685.4</v>
      </c>
      <c r="I393" s="26" t="inlineStr">
        <is>
          <t>gross (stated)</t>
        </is>
      </c>
      <c r="J393" s="29" t="n"/>
      <c r="K393" s="29" t="n">
        <v>7.04</v>
      </c>
      <c r="L393" s="29" t="n">
        <v>7.04</v>
      </c>
      <c r="M393" s="26" t="inlineStr">
        <is>
          <t>Y</t>
        </is>
      </c>
      <c r="N393" s="30" t="n">
        <v>100</v>
      </c>
      <c r="O393" s="28" t="n">
        <v>4796.4</v>
      </c>
      <c r="P393" s="26" t="inlineStr">
        <is>
          <t>derived:deal size / offer % of enlarged capital</t>
        </is>
      </c>
      <c r="Q393" s="31" t="n">
        <v>425.97</v>
      </c>
      <c r="R393" s="32" t="n">
        <v>4.99</v>
      </c>
      <c r="S393" s="33" t="n">
        <v>24.95</v>
      </c>
      <c r="T393" s="26" t="inlineStr">
        <is>
          <t>Qingcong Capital; Mr. Su; Mr. Gao Defu; Hong Kong Shengying Investment Limited; Hai Di Lao Holdings Pte. Ltd; Pusheng Fund; China Galaxy International Investment Company Limited</t>
        </is>
      </c>
      <c r="U393" s="30" t="n">
        <v>5</v>
      </c>
      <c r="V393" s="26" t="inlineStr">
        <is>
          <t>lapsed</t>
        </is>
      </c>
      <c r="W393" s="34" t="n">
        <v>-27.84</v>
      </c>
      <c r="X393" s="34" t="n">
        <v>-28.69</v>
      </c>
      <c r="Y393" s="34" t="n">
        <v>-37.22</v>
      </c>
      <c r="Z393" s="34" t="n">
        <v>-33.66</v>
      </c>
      <c r="AA393" s="34" t="n">
        <v>-13</v>
      </c>
      <c r="AB393" s="34" t="n">
        <v>-35.45</v>
      </c>
      <c r="AC393" s="34" t="n">
        <v>-1.77</v>
      </c>
      <c r="AD393" s="26" t="inlineStr">
        <is>
          <t>Hang Seng Commerce &amp; Industry sub-index</t>
        </is>
      </c>
      <c r="AE393" s="34" t="n">
        <v>-52.13</v>
      </c>
      <c r="AF393" s="28" t="n">
        <v>1269.9</v>
      </c>
      <c r="AG393" s="28" t="n">
        <v>82.40000000000001</v>
      </c>
      <c r="AH393" s="26" t="inlineStr">
        <is>
          <t>Y</t>
        </is>
      </c>
      <c r="AI393" s="35" t="n">
        <v>58.2</v>
      </c>
      <c r="AJ393" s="35" t="n">
        <v>3.8</v>
      </c>
      <c r="AK393" s="26" t="inlineStr">
        <is>
          <t>N</t>
        </is>
      </c>
      <c r="AL393" s="36">
        <f>IF('BBG Verify'!K393="","not filed — run on terminal",'BBG Verify'!K393)</f>
        <v/>
      </c>
      <c r="AM393" s="26" t="inlineStr">
        <is>
          <t>N/A</t>
        </is>
      </c>
      <c r="AN393" s="26" t="inlineStr">
        <is>
          <t>N/A</t>
        </is>
      </c>
      <c r="AO393" s="26" t="inlineStr">
        <is>
          <t>N/A</t>
        </is>
      </c>
      <c r="AP393" s="26" t="inlineStr">
        <is>
          <t>and Sole Sponsor-Overall Coordinator CMB International Capital Limited</t>
        </is>
      </c>
      <c r="AQ393" s="26" t="inlineStr">
        <is>
          <t>招銀國際融資有限公司</t>
        </is>
      </c>
      <c r="AR393" s="26"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AS393" s="26" t="inlineStr">
        <is>
          <t>農銀國際證券有限公司; 中銀國際亞洲有限公司; 中國銀河國際證券(香港)有限公司; 中信里昂證券有限公司; 招銀國際融資有限公司; 富途證券國際（香港）有限公司; 利弗莫爾證券有限公司; 國投證券（香港）有限公司; 申萬宏源證券（香港）有限公司; 老虎證券（香港）環球有限公司; 中泰國際證券有限公司</t>
        </is>
      </c>
      <c r="AT393" s="37">
        <f>HYPERLINK("https://www1.hkexnews.hk/listedco/listconews/sehk/2025/1127/2025112700009.pdf","prospectus")</f>
        <v/>
      </c>
      <c r="AU393" s="37">
        <f>HYPERLINK("https://www1.hkexnews.hk/listedco/listconews/sehk/2025/1204/2025120402156.pdf","allotment")</f>
        <v/>
      </c>
      <c r="AV393" s="37">
        <f>HYPERLINK("https://www1.hkexnews.hk/listedco/listconews/sehk/2026/0101/2026010100007.pdf","stabilisation")</f>
        <v/>
      </c>
      <c r="AW393" s="26" t="inlineStr">
        <is>
          <t>A/H: no A-share listing</t>
        </is>
      </c>
    </row>
    <row r="394">
      <c r="A394" s="25" t="inlineStr">
        <is>
          <t>2658</t>
        </is>
      </c>
      <c r="B394" s="26" t="inlineStr">
        <is>
          <t>TIANYU SEMI</t>
        </is>
      </c>
      <c r="C394" s="26" t="inlineStr">
        <is>
          <t>天域半導體</t>
        </is>
      </c>
      <c r="D394" s="26" t="inlineStr">
        <is>
          <t>Tech/AI</t>
        </is>
      </c>
      <c r="E394" s="26" t="inlineStr">
        <is>
          <t>AI chips &amp; semis</t>
        </is>
      </c>
      <c r="F394" s="26" t="inlineStr">
        <is>
          <t>Standard</t>
        </is>
      </c>
      <c r="G394" s="27" t="n">
        <v>45996</v>
      </c>
      <c r="H394" s="28" t="n">
        <v>1744.1</v>
      </c>
      <c r="I394" s="26" t="inlineStr">
        <is>
          <t>gross (stated)</t>
        </is>
      </c>
      <c r="J394" s="29" t="n"/>
      <c r="K394" s="29" t="n">
        <v>58</v>
      </c>
      <c r="L394" s="29" t="n">
        <v>58</v>
      </c>
      <c r="M394" s="26" t="inlineStr">
        <is>
          <t>Y</t>
        </is>
      </c>
      <c r="N394" s="30" t="n">
        <v>100</v>
      </c>
      <c r="O394" s="28" t="n">
        <v>22810</v>
      </c>
      <c r="P394" s="26" t="inlineStr">
        <is>
          <t>prospectus:stated market capitalisation</t>
        </is>
      </c>
      <c r="Q394" s="31" t="n">
        <v>60.63</v>
      </c>
      <c r="R394" s="32" t="n">
        <v>2.47</v>
      </c>
      <c r="S394" s="33" t="n">
        <v>9.26</v>
      </c>
      <c r="T394" s="26" t="inlineStr">
        <is>
          <t>Mr. Mao Xiangyu; GF International; GF Global Capital Limited; GF Securities; GF Fund</t>
        </is>
      </c>
      <c r="U394" s="30" t="n">
        <v>7.3537</v>
      </c>
      <c r="V394" s="26" t="inlineStr">
        <is>
          <t>lapsed (no over-allocation)</t>
        </is>
      </c>
      <c r="W394" s="34" t="n">
        <v>-30.17</v>
      </c>
      <c r="X394" s="34" t="n">
        <v>-21.69</v>
      </c>
      <c r="Y394" s="34" t="n">
        <v>-17.79</v>
      </c>
      <c r="Z394" s="34" t="n">
        <v>-17.93</v>
      </c>
      <c r="AA394" s="34" t="n">
        <v>17.73</v>
      </c>
      <c r="AB394" s="34" t="n">
        <v>-18.79</v>
      </c>
      <c r="AC394" s="34" t="n">
        <v>1</v>
      </c>
      <c r="AD394" s="26" t="inlineStr">
        <is>
          <t>HSTECH (Hang Seng TECH ETF)</t>
        </is>
      </c>
      <c r="AE394" s="34" t="n">
        <v>-35.52</v>
      </c>
      <c r="AF394" s="28" t="n">
        <v>1.2</v>
      </c>
      <c r="AG394" s="28" t="n">
        <v>-541.7</v>
      </c>
      <c r="AH394" s="26" t="inlineStr">
        <is>
          <t>N</t>
        </is>
      </c>
      <c r="AI394" s="38">
        <f>IF('BBG Verify'!O394="","not filed — run on terminal",'BBG Verify'!O394)</f>
        <v/>
      </c>
      <c r="AJ394" s="35" t="n">
        <v>19008.3</v>
      </c>
      <c r="AK394" s="26" t="inlineStr">
        <is>
          <t>N</t>
        </is>
      </c>
      <c r="AL394" s="36">
        <f>IF('BBG Verify'!K394="","not filed — run on terminal",'BBG Verify'!K394)</f>
        <v/>
      </c>
      <c r="AM394" s="26" t="inlineStr">
        <is>
          <t>N/A</t>
        </is>
      </c>
      <c r="AN394" s="26" t="inlineStr">
        <is>
          <t>N/A</t>
        </is>
      </c>
      <c r="AO394" s="26" t="inlineStr">
        <is>
          <t>N/A</t>
        </is>
      </c>
      <c r="AP394" s="26" t="inlineStr">
        <is>
          <t>CITIC Securities (Hong Kong) Limited</t>
        </is>
      </c>
      <c r="AQ394" s="26" t="inlineStr">
        <is>
          <t>中信證券(香港)有限公司</t>
        </is>
      </c>
      <c r="AR394" s="26" t="inlineStr">
        <is>
          <t>CLSA Limited; China International Capital Corporation Hong Kong Securities Limited; GF Securities (Hong Kong) Brokerage Limited; CMB International Capital Limited; ABCI Capital Limited; Cheer Union Securities Limited; Sheung Wan, Hong Kong CNI Securities Group Limited; Futu Securities International (Hong Kong) Limited; ICBC International Securities Limited; Livermore Holdings Limited; Shenwan Hongyuan Securities (H.K.) Limited; Sinolink Securities (Hong Kong) Company Limited</t>
        </is>
      </c>
      <c r="AS394" s="26" t="inlineStr">
        <is>
          <t>農銀國際證券有限公司; 滿好證券有限公司; 中國國際金融香港證券有限公司; 興證國際融資有限公司; 中信里昂證券有限公司; 招銀國際融資有限公司; 中國北方證券集團有限公司; 富途證券國際（香港）有限公司; 廣發證券（香港）經紀有限公司; 工銀國際證券有限公司; 利弗莫爾證券有限公司; 申萬宏源證券（香港）有限公司; 國金證券（香港）有限公司; 星河證券有限公司; 太陽證券有限公司; 老虎證券（香港）環球有限公司; TradeGo Markets Limited</t>
        </is>
      </c>
      <c r="AT394" s="37">
        <f>HYPERLINK("https://www1.hkexnews.hk/listedco/listconews/sehk/2025/1127/2025112700013.pdf","prospectus")</f>
        <v/>
      </c>
      <c r="AU394" s="37">
        <f>HYPERLINK("https://www1.hkexnews.hk/listedco/listconews/sehk/2025/1204/2025120402598.pdf","allotment")</f>
        <v/>
      </c>
      <c r="AV394" s="37">
        <f>HYPERLINK("https://www1.hkexnews.hk/listedco/listconews/sehk/2026/0101/2026010100003.pdf","stabilisation")</f>
        <v/>
      </c>
      <c r="AW394" s="26" t="inlineStr">
        <is>
          <t>P/E: n/m — loss-making at IPO (use P/S) · A/H: no A-share listing</t>
        </is>
      </c>
    </row>
    <row r="395">
      <c r="A395" s="25" t="inlineStr">
        <is>
          <t>2676</t>
        </is>
      </c>
      <c r="B395" s="26" t="inlineStr">
        <is>
          <t>NOVOSENSE</t>
        </is>
      </c>
      <c r="C395" s="26" t="inlineStr">
        <is>
          <t>納芯微</t>
        </is>
      </c>
      <c r="D395" s="26" t="inlineStr">
        <is>
          <t>Tech/AI</t>
        </is>
      </c>
      <c r="E395" s="26" t="inlineStr">
        <is>
          <t>AI chips &amp; semis</t>
        </is>
      </c>
      <c r="F395" s="26" t="inlineStr">
        <is>
          <t>Standard</t>
        </is>
      </c>
      <c r="G395" s="27" t="n">
        <v>45999</v>
      </c>
      <c r="H395" s="28" t="n">
        <v>2211.9</v>
      </c>
      <c r="I395" s="26" t="inlineStr">
        <is>
          <t>gross (stated)</t>
        </is>
      </c>
      <c r="J395" s="29" t="n"/>
      <c r="K395" s="29" t="n">
        <v>116</v>
      </c>
      <c r="L395" s="29" t="n">
        <v>116</v>
      </c>
      <c r="M395" s="26" t="inlineStr">
        <is>
          <t>Y</t>
        </is>
      </c>
      <c r="N395" s="30" t="n">
        <v>100</v>
      </c>
      <c r="O395" s="28" t="n">
        <v>116415.8</v>
      </c>
      <c r="P395" s="26" t="inlineStr">
        <is>
          <t>derived:deal size / offer % of enlarged capital</t>
        </is>
      </c>
      <c r="Q395" s="31" t="n">
        <v>25.33</v>
      </c>
      <c r="R395" s="32" t="n">
        <v>2.65</v>
      </c>
      <c r="S395" s="33" t="n">
        <v>49.23</v>
      </c>
      <c r="T395" s="26" t="inlineStr">
        <is>
          <t>Golden Link; Hield International; Perseverance Asset Management; Green Better; Dreamee HK Fund; Oriza Naxin</t>
        </is>
      </c>
      <c r="U395" s="30" t="n">
        <v>15</v>
      </c>
      <c r="V395" s="26" t="inlineStr">
        <is>
          <t>partial</t>
        </is>
      </c>
      <c r="W395" s="34" t="n">
        <v>-4.31</v>
      </c>
      <c r="X395" s="34" t="n">
        <v>-2.5</v>
      </c>
      <c r="Y395" s="34" t="n">
        <v>20.78</v>
      </c>
      <c r="Z395" s="34" t="n">
        <v>8.619999999999999</v>
      </c>
      <c r="AA395" s="34" t="n">
        <v>26.22</v>
      </c>
      <c r="AB395" s="34" t="n">
        <v>20.33</v>
      </c>
      <c r="AC395" s="34" t="n">
        <v>0.45</v>
      </c>
      <c r="AD395" s="26" t="inlineStr">
        <is>
          <t>HSTECH (Hang Seng TECH ETF)</t>
        </is>
      </c>
      <c r="AE395" s="34" t="n">
        <v>40.34</v>
      </c>
      <c r="AF395" s="28" t="n">
        <v>2156.3</v>
      </c>
      <c r="AG395" s="28" t="n">
        <v>-419.5</v>
      </c>
      <c r="AH395" s="26" t="inlineStr">
        <is>
          <t>N</t>
        </is>
      </c>
      <c r="AI395" s="38">
        <f>IF('BBG Verify'!O395="","not filed — run on terminal",'BBG Verify'!O395)</f>
        <v/>
      </c>
      <c r="AJ395" s="35" t="n">
        <v>54</v>
      </c>
      <c r="AK395" s="26" t="inlineStr">
        <is>
          <t>Y</t>
        </is>
      </c>
      <c r="AL395" s="26" t="inlineStr">
        <is>
          <t>688052.SS</t>
        </is>
      </c>
      <c r="AM395" s="34" t="n">
        <v>-33.4</v>
      </c>
      <c r="AN395" s="29" t="n">
        <v>174.1672</v>
      </c>
      <c r="AO395" s="42" t="n">
        <v>-0.4025</v>
      </c>
      <c r="AP395" s="26" t="inlineStr">
        <is>
          <t>China International Capital Corporation Hong Kong Securities Limited; CITIC Securities (Hong Kong) Limited; CCB International Capital Limited</t>
        </is>
      </c>
      <c r="AQ395" s="26" t="inlineStr">
        <is>
          <t>中國國際金融香港證券有限公司; 建銀國際金融有限公司; 中信證券(香港)有限公司</t>
        </is>
      </c>
      <c r="AR395" s="26" t="inlineStr">
        <is>
          <t>China International Capital Corporation Hong Kong Securities Limited; CLSA Limited; CCB International Capital Limited; DIRECTORS AND PARTIES INVOLVED IN THE GLOBAL OFFERING – 104 – ABCI Capital Limited; Soochow Securities International Brokerage Limited; Zheshang International Financial Holdings Co., Limited; Orient Securities (Hong Kong) Limited; Beta International Securities Limited; Sheung Wan, Hong Kong I Win Securities Limited</t>
        </is>
      </c>
      <c r="AS395" s="26" t="inlineStr">
        <is>
          <t>農銀國際證券有限公司; Beta International Securities Limited; 建銀國際金融有限公司; 中國國際金融香港證券有限公司; 中信里昂證券有限公司; 一盈證券有限公司; 東方證券(香港)有限公司; 東吳證券國際經紀有限公司; 浙商國際金融控股有限公司</t>
        </is>
      </c>
      <c r="AT395" s="37">
        <f>HYPERLINK("https://www1.hkexnews.hk/listedco/listconews/sehk/2025/1128/2025112800015.pdf","prospectus")</f>
        <v/>
      </c>
      <c r="AU395" s="37">
        <f>HYPERLINK("https://www1.hkexnews.hk/listedco/listconews/sehk/2025/1205/2025120501747.pdf","allotment")</f>
        <v/>
      </c>
      <c r="AV395" s="37">
        <f>HYPERLINK("https://www1.hkexnews.hk/listedco/listconews/sehk/2026/0102/2026010203002.pdf","stabilisation")</f>
        <v/>
      </c>
      <c r="AW395" s="26" t="inlineStr">
        <is>
          <t>P/E: n/m — loss-making at IPO (use P/S) · A/H: Dec 2025 H listing (analog/mixed-signal chips)</t>
        </is>
      </c>
    </row>
    <row r="396">
      <c r="A396" s="25" t="inlineStr">
        <is>
          <t>2687</t>
        </is>
      </c>
      <c r="B396" s="26" t="inlineStr">
        <is>
          <t>ABLE DIGITAL</t>
        </is>
      </c>
      <c r="C396" s="26" t="inlineStr">
        <is>
          <t>卓越睿新</t>
        </is>
      </c>
      <c r="D396" s="26" t="inlineStr">
        <is>
          <t>Tech/AI</t>
        </is>
      </c>
      <c r="E396" s="26" t="inlineStr">
        <is>
          <t>SaaS / enterprise software</t>
        </is>
      </c>
      <c r="F396" s="26" t="inlineStr">
        <is>
          <t>Standard</t>
        </is>
      </c>
      <c r="G396" s="27" t="n">
        <v>45999</v>
      </c>
      <c r="H396" s="28" t="n">
        <v>450</v>
      </c>
      <c r="I396" s="26" t="inlineStr">
        <is>
          <t>gross (stated)</t>
        </is>
      </c>
      <c r="J396" s="29" t="n">
        <v>62.26</v>
      </c>
      <c r="K396" s="29" t="n">
        <v>76.09999999999999</v>
      </c>
      <c r="L396" s="29" t="n">
        <v>67.5</v>
      </c>
      <c r="M396" s="26" t="inlineStr">
        <is>
          <t>N</t>
        </is>
      </c>
      <c r="N396" s="30" t="n">
        <v>88.7</v>
      </c>
      <c r="O396" s="28" t="n">
        <v>4500</v>
      </c>
      <c r="P396" s="26" t="inlineStr">
        <is>
          <t>derived:price x shares upon listing</t>
        </is>
      </c>
      <c r="Q396" s="31" t="n">
        <v>4813.4</v>
      </c>
      <c r="R396" s="32" t="n">
        <v>2.33</v>
      </c>
      <c r="S396" s="33" t="n">
        <v>0</v>
      </c>
      <c r="T396" s="26" t="n"/>
      <c r="U396" s="30" t="n"/>
      <c r="V396" s="26" t="n"/>
      <c r="W396" s="34" t="n">
        <v>87.26000000000001</v>
      </c>
      <c r="X396" s="34" t="n">
        <v>140</v>
      </c>
      <c r="Y396" s="34" t="n">
        <v>138.52</v>
      </c>
      <c r="Z396" s="34" t="n">
        <v>107.7</v>
      </c>
      <c r="AA396" s="34" t="n">
        <v>27.37</v>
      </c>
      <c r="AB396" s="34" t="n">
        <v>138.07</v>
      </c>
      <c r="AC396" s="34" t="n">
        <v>0.45</v>
      </c>
      <c r="AD396" s="26" t="inlineStr">
        <is>
          <t>HSTECH (Hang Seng TECH ETF)</t>
        </is>
      </c>
      <c r="AE396" s="34" t="n">
        <v>329.33</v>
      </c>
      <c r="AF396" s="28" t="n">
        <v>933</v>
      </c>
      <c r="AG396" s="28" t="n">
        <v>117.3</v>
      </c>
      <c r="AH396" s="26" t="inlineStr">
        <is>
          <t>Y</t>
        </is>
      </c>
      <c r="AI396" s="35" t="n">
        <v>38.4</v>
      </c>
      <c r="AJ396" s="35" t="n">
        <v>4.8</v>
      </c>
      <c r="AK396" s="26" t="inlineStr">
        <is>
          <t>N</t>
        </is>
      </c>
      <c r="AL396" s="36">
        <f>IF('BBG Verify'!K396="","not filed — run on terminal",'BBG Verify'!K396)</f>
        <v/>
      </c>
      <c r="AM396" s="26" t="inlineStr">
        <is>
          <t>N/A</t>
        </is>
      </c>
      <c r="AN396" s="26" t="inlineStr">
        <is>
          <t>N/A</t>
        </is>
      </c>
      <c r="AO396" s="26" t="inlineStr">
        <is>
          <t>N/A</t>
        </is>
      </c>
      <c r="AP396" s="26" t="inlineStr">
        <is>
          <t>ABCI Capital Limited</t>
        </is>
      </c>
      <c r="AQ396" s="26" t="inlineStr">
        <is>
          <t>農銀國際融資有限公司</t>
        </is>
      </c>
      <c r="AR396" s="26" t="inlineStr">
        <is>
          <t>ABCI Capital Limited</t>
        </is>
      </c>
      <c r="AS396" s="26" t="inlineStr">
        <is>
          <t>農銀國際證券有限公司; 利弗莫爾證券有限公司; 老虎證券（香港）環球有限公司</t>
        </is>
      </c>
      <c r="AT396" s="37">
        <f>HYPERLINK("https://www1.hkexnews.hk/listedco/listconews/sehk/2025/1128/2025112800005.pdf","prospectus")</f>
        <v/>
      </c>
      <c r="AU396" s="37">
        <f>HYPERLINK("https://www1.hkexnews.hk/listedco/listconews/sehk/2025/1205/2025120501787.pdf","allotment")</f>
        <v/>
      </c>
      <c r="AV396" s="26" t="n"/>
      <c r="AW396" s="26" t="inlineStr">
        <is>
          <t>greenshoe: no over-allotment option in the offer structure · A/H: no A-share listing</t>
        </is>
      </c>
    </row>
    <row r="397">
      <c r="A397" s="25" t="inlineStr">
        <is>
          <t>2659</t>
        </is>
      </c>
      <c r="B397" s="26" t="inlineStr">
        <is>
          <t>BAO PHARMA-B</t>
        </is>
      </c>
      <c r="C397" s="26" t="inlineStr">
        <is>
          <t>寶濟藥業－Ｂ</t>
        </is>
      </c>
      <c r="D397" s="26" t="inlineStr">
        <is>
          <t>Healthcare</t>
        </is>
      </c>
      <c r="E397" s="26" t="inlineStr">
        <is>
          <t>Biotech pre-revenue (18A)</t>
        </is>
      </c>
      <c r="F397" s="26" t="inlineStr">
        <is>
          <t>18A</t>
        </is>
      </c>
      <c r="G397" s="27" t="n">
        <v>46001</v>
      </c>
      <c r="H397" s="28" t="n">
        <v>1000.1</v>
      </c>
      <c r="I397" s="26" t="inlineStr">
        <is>
          <t>gross (stated)</t>
        </is>
      </c>
      <c r="J397" s="29" t="n"/>
      <c r="K397" s="29" t="n">
        <v>26.38</v>
      </c>
      <c r="L397" s="29" t="n">
        <v>26.38</v>
      </c>
      <c r="M397" s="26" t="inlineStr">
        <is>
          <t>Y</t>
        </is>
      </c>
      <c r="N397" s="30" t="n">
        <v>100</v>
      </c>
      <c r="O397" s="28" t="n">
        <v>8599.4</v>
      </c>
      <c r="P397" s="26" t="inlineStr">
        <is>
          <t>derived:price x shares upon listing</t>
        </is>
      </c>
      <c r="Q397" s="31" t="n">
        <v>3526.34</v>
      </c>
      <c r="R397" s="32" t="n">
        <v>6.59</v>
      </c>
      <c r="S397" s="33" t="n">
        <v>20.1</v>
      </c>
      <c r="T397" s="26" t="inlineStr">
        <is>
          <t>Center Lab; Zhang Yahong (ߎ2,838,885; Fan Hong (ߎ2,365,735; Zheng Keqing (ڡ222,220; Nie Miao ( ᔗ↿) –; Wang Jufang (ٹ581,930; Cui Hongyan (ᜮ) –; Liu Jintao (ᏹ) –; Huang Haitao ( රऎᏹ); Xu Sumin ( ஢९ઽ) –; Song Aihui ( ҂ฌฯ); Zhao Liping ( Ⴛ஁റ); Listing Top</t>
        </is>
      </c>
      <c r="U397" s="30" t="n">
        <v>15</v>
      </c>
      <c r="V397" s="26" t="n"/>
      <c r="W397" s="34" t="n">
        <v>138.82</v>
      </c>
      <c r="X397" s="34" t="n">
        <v>173.69</v>
      </c>
      <c r="Y397" s="34" t="n">
        <v>226.76</v>
      </c>
      <c r="Z397" s="34" t="n">
        <v>249.32</v>
      </c>
      <c r="AA397" s="34" t="n">
        <v>36.82</v>
      </c>
      <c r="AB397" s="34" t="n">
        <v>221.06</v>
      </c>
      <c r="AC397" s="34" t="n">
        <v>5.7</v>
      </c>
      <c r="AD397" s="26" t="inlineStr">
        <is>
          <t>China Biotech ETF (HS biotech proxy)</t>
        </is>
      </c>
      <c r="AE397" s="34" t="n">
        <v>-37.23</v>
      </c>
      <c r="AF397" s="28" t="n">
        <v>1.6</v>
      </c>
      <c r="AG397" s="28" t="n">
        <v>-184</v>
      </c>
      <c r="AH397" s="26" t="inlineStr">
        <is>
          <t>N</t>
        </is>
      </c>
      <c r="AI397" s="38">
        <f>IF('BBG Verify'!O397="","not filed — run on terminal",'BBG Verify'!O397)</f>
        <v/>
      </c>
      <c r="AJ397" s="35" t="n">
        <v>5374.6</v>
      </c>
      <c r="AK397" s="26" t="inlineStr">
        <is>
          <t>N</t>
        </is>
      </c>
      <c r="AL397" s="36">
        <f>IF('BBG Verify'!K397="","not filed — run on terminal",'BBG Verify'!K397)</f>
        <v/>
      </c>
      <c r="AM397" s="26" t="inlineStr">
        <is>
          <t>N/A</t>
        </is>
      </c>
      <c r="AN397" s="26" t="inlineStr">
        <is>
          <t>N/A</t>
        </is>
      </c>
      <c r="AO397" s="26" t="inlineStr">
        <is>
          <t>N/A</t>
        </is>
      </c>
      <c r="AP397" s="26" t="inlineStr">
        <is>
          <t>CITIC Securities (Hong Kong) Limited; Haitong International Capital Limited</t>
        </is>
      </c>
      <c r="AQ397" s="26" t="inlineStr">
        <is>
          <t>海通國際資本有限公司; 中信證券(香港)有限公司</t>
        </is>
      </c>
      <c r="AR397" s="26" t="inlineStr">
        <is>
          <t>CLSA Limited; Haitong International Securities Company Limited; West Bull Securities Limited; BOCOM International Securities Limited; CCB International Capital Limited; Central, Hong Kong Guoyuan Securities Brokerage (Hong Kong) Limited; Phillip Securities (Hong Kong) Limited; SDIC Securities (Hong Kong) Limited; Shenwan Hongyuan Securities (H.K.) Limited; SPDB International Capital Limited; Valuable Capital Limited</t>
        </is>
      </c>
      <c r="AS397" s="26" t="inlineStr">
        <is>
          <t>交銀國際證券有限公司; 建銀國際金融有限公司; 中信里昂證券有限公司; 富途證券國際（香港）有限公司; 國元證券經紀(香港)有限公司; 海通國際證券有限公司; 利弗莫爾證券有限公司; 輝立証券（香港）有限公司; 國投證券（香港）有限公司; 申萬宏源證券（香港）有限公司; 浦銀國際融資有限公司; 老虎證券（香港）環球有限公司; 華盛資本証券有限公司; 西牛證券有限公司</t>
        </is>
      </c>
      <c r="AT397" s="37">
        <f>HYPERLINK("https://www1.hkexnews.hk/listedco/listconews/sehk/2025/1202/2025120200034.pdf","prospectus")</f>
        <v/>
      </c>
      <c r="AU397" s="37">
        <f>HYPERLINK("https://www1.hkexnews.hk/listedco/listconews/sehk/2025/1209/2025120901444.pdf","allotment")</f>
        <v/>
      </c>
      <c r="AV397" s="26" t="n"/>
      <c r="AW397" s="26" t="inlineStr">
        <is>
          <t>P/E: n/m — loss-making at IPO (use P/S) · greenshoe: end-of-stabilisation notice not located · A/H: no A-share listing</t>
        </is>
      </c>
    </row>
    <row r="398">
      <c r="A398" s="25" t="inlineStr">
        <is>
          <t>7618</t>
        </is>
      </c>
      <c r="B398" s="26" t="inlineStr">
        <is>
          <t>JD INDUSTRIALS</t>
        </is>
      </c>
      <c r="C398" s="26" t="inlineStr">
        <is>
          <t>京東工業</t>
        </is>
      </c>
      <c r="D398" s="26" t="inlineStr">
        <is>
          <t>Tech/AI</t>
        </is>
      </c>
      <c r="E398" s="26" t="inlineStr">
        <is>
          <t>Internet platform / e-commerce</t>
        </is>
      </c>
      <c r="F398" s="26" t="inlineStr">
        <is>
          <t>Standard</t>
        </is>
      </c>
      <c r="G398" s="27" t="n">
        <v>46002</v>
      </c>
      <c r="H398" s="28" t="n">
        <v>2978</v>
      </c>
      <c r="I398" s="26" t="inlineStr">
        <is>
          <t>gross (stated)</t>
        </is>
      </c>
      <c r="J398" s="29" t="n"/>
      <c r="K398" s="29" t="n">
        <v>15.5</v>
      </c>
      <c r="L398" s="29" t="n">
        <v>14.1</v>
      </c>
      <c r="M398" s="26" t="inlineStr">
        <is>
          <t>N</t>
        </is>
      </c>
      <c r="N398" s="30" t="n">
        <v>91</v>
      </c>
      <c r="O398" s="28" t="n">
        <v>41038</v>
      </c>
      <c r="P398" s="26" t="inlineStr">
        <is>
          <t>aastocks:上市市值 at the struck price</t>
        </is>
      </c>
      <c r="Q398" s="31" t="n">
        <v>60.52</v>
      </c>
      <c r="R398" s="32" t="n">
        <v>7.88</v>
      </c>
      <c r="S398" s="33" t="n">
        <v>44.45</v>
      </c>
      <c r="T398" s="26" t="inlineStr">
        <is>
          <t>CPE Investment; IvyRock; CoreView; Schonfeld; Burkehill</t>
        </is>
      </c>
      <c r="U398" s="30" t="n">
        <v>15</v>
      </c>
      <c r="V398" s="26" t="inlineStr">
        <is>
          <t>partial</t>
        </is>
      </c>
      <c r="W398" s="34" t="n">
        <v>0</v>
      </c>
      <c r="X398" s="34" t="n">
        <v>-1.28</v>
      </c>
      <c r="Y398" s="34" t="n">
        <v>-3.4</v>
      </c>
      <c r="Z398" s="34" t="n">
        <v>-8.44</v>
      </c>
      <c r="AA398" s="34" t="n">
        <v>-3.4</v>
      </c>
      <c r="AB398" s="34" t="n">
        <v>-9.17</v>
      </c>
      <c r="AC398" s="34" t="n">
        <v>5.77</v>
      </c>
      <c r="AD398" s="26" t="inlineStr">
        <is>
          <t>HSTECH (Hang Seng TECH ETF)</t>
        </is>
      </c>
      <c r="AE398" s="34" t="n">
        <v>-11.13</v>
      </c>
      <c r="AF398" s="28" t="n">
        <v>22437.5</v>
      </c>
      <c r="AG398" s="28" t="n">
        <v>837.8</v>
      </c>
      <c r="AH398" s="26" t="inlineStr">
        <is>
          <t>Y</t>
        </is>
      </c>
      <c r="AI398" s="35" t="n">
        <v>49</v>
      </c>
      <c r="AJ398" s="35" t="n">
        <v>1.8</v>
      </c>
      <c r="AK398" s="26" t="inlineStr">
        <is>
          <t>N</t>
        </is>
      </c>
      <c r="AL398" s="36">
        <f>IF('BBG Verify'!K398="","not filed — run on terminal",'BBG Verify'!K398)</f>
        <v/>
      </c>
      <c r="AM398" s="26" t="inlineStr">
        <is>
          <t>N/A</t>
        </is>
      </c>
      <c r="AN398" s="26" t="inlineStr">
        <is>
          <t>N/A</t>
        </is>
      </c>
      <c r="AO398" s="26" t="inlineStr">
        <is>
          <t>N/A</t>
        </is>
      </c>
      <c r="AP398" s="26" t="inlineStr">
        <is>
          <t>Merrill Lynch (Asia Pacific) Limited; UBS Securities Hong Kong Limited; Haitong International Capital Limited; Goldman Sachs (Asia) L.L.C; -Overall Coordinators Merrill Lynch (Asia Pacific) Limited; Haitong International Securities Company Limited</t>
        </is>
      </c>
      <c r="AQ398" s="26" t="inlineStr">
        <is>
          <t>海通國際資本有限公司; 瑞銀證券香港有限公司; 美林(亞太)有限公司; 高盛(亞洲)有限責任公司</t>
        </is>
      </c>
      <c r="AR398" s="26" t="inlineStr">
        <is>
          <t>Merrill Lynch (Asia Pacific) Limited; UBS AG Hong Kong Branch; Goldman Sachs (Asia) L.L.C; Huatai Financial Holdings (Hong Kong) Limited; ABCI Capital Limited; Central, Hong Kong BOCI Asia Limited; Central, Hong Kong CLSA Limited; CMBC Securities Company Limited; Central, Hong Kong Futu Securities International (Hong Kong) Limited; Orient Securities (Hong Kong) Limited; Haitong International Securities Company Limited; DIRECTORS AND PARTIES INVOLVED IN THE GLOBAL OFFERING CLSA Limited</t>
        </is>
      </c>
      <c r="AS398" s="26" t="inlineStr">
        <is>
          <t>農銀國際證券有限公司; 中銀國際亞洲有限公司; 中信里昂證券有限公司; 民銀證券有限公司; 富途證券國際（香港）有限公司; 高盛(亞洲)有限責任公司; 華泰金融控股(香港)有限公司; 海通國際證券有限公司; 香港上海匯豐銀行有限公司; 工銀國際證券有限公司; 美林(亞太)有限公司; 東方證券(香港)有限公司; UBS AG 香港分行</t>
        </is>
      </c>
      <c r="AT398" s="37">
        <f>HYPERLINK("https://www1.hkexnews.hk/listedco/listconews/sehk/2025/1203/2025120300086.pdf","prospectus")</f>
        <v/>
      </c>
      <c r="AU398" s="37">
        <f>HYPERLINK("https://www1.hkexnews.hk/listedco/listconews/sehk/2025/1210/2025121001474.pdf","allotment")</f>
        <v/>
      </c>
      <c r="AV398" s="37">
        <f>HYPERLINK("https://www1.hkexnews.hk/listedco/listconews/sehk/2026/0107/2026010701764.pdf","stabilisation")</f>
        <v/>
      </c>
      <c r="AW398" s="26" t="inlineStr">
        <is>
          <t>A/H: no A-share listing · market cap: estimate from stated market capitalisation disagreed with the published listing cap — published figure adopted</t>
        </is>
      </c>
    </row>
    <row r="399">
      <c r="A399" s="25" t="inlineStr">
        <is>
          <t>2655</t>
        </is>
      </c>
      <c r="B399" s="26" t="inlineStr">
        <is>
          <t>GUOXIA TECH</t>
        </is>
      </c>
      <c r="C399" s="26" t="inlineStr">
        <is>
          <t>果下科技</t>
        </is>
      </c>
      <c r="D399" s="26" t="inlineStr">
        <is>
          <t>Tech/AI</t>
        </is>
      </c>
      <c r="E399" s="26" t="inlineStr">
        <is>
          <t>SaaS / enterprise software</t>
        </is>
      </c>
      <c r="F399" s="26" t="inlineStr">
        <is>
          <t>Standard</t>
        </is>
      </c>
      <c r="G399" s="27" t="n">
        <v>46007</v>
      </c>
      <c r="H399" s="28" t="n">
        <v>782.51</v>
      </c>
      <c r="I399" s="26" t="inlineStr">
        <is>
          <t>gross (stated)</t>
        </is>
      </c>
      <c r="J399" s="29" t="n"/>
      <c r="K399" s="29" t="n">
        <v>20.1</v>
      </c>
      <c r="L399" s="29" t="n">
        <v>20.1</v>
      </c>
      <c r="M399" s="26" t="inlineStr">
        <is>
          <t>Y</t>
        </is>
      </c>
      <c r="N399" s="30" t="n">
        <v>100</v>
      </c>
      <c r="O399" s="28" t="n">
        <v>9099</v>
      </c>
      <c r="P399" s="26" t="inlineStr">
        <is>
          <t>derived:deal size / offer % of enlarged capital</t>
        </is>
      </c>
      <c r="Q399" s="31" t="n">
        <v>1890.73</v>
      </c>
      <c r="R399" s="32" t="n">
        <v>3.63</v>
      </c>
      <c r="S399" s="33" t="n">
        <v>10.9</v>
      </c>
      <c r="T399" s="26" t="inlineStr">
        <is>
          <t>Dreamee HK Fund; RIME Capital</t>
        </is>
      </c>
      <c r="U399" s="30" t="n">
        <v>15</v>
      </c>
      <c r="V399" s="26" t="inlineStr">
        <is>
          <t>full</t>
        </is>
      </c>
      <c r="W399" s="34" t="n">
        <v>117.91</v>
      </c>
      <c r="X399" s="34" t="n">
        <v>107.76</v>
      </c>
      <c r="Y399" s="34" t="n">
        <v>222.39</v>
      </c>
      <c r="Z399" s="34" t="n">
        <v>141.79</v>
      </c>
      <c r="AA399" s="34" t="n">
        <v>47.95</v>
      </c>
      <c r="AB399" s="34" t="n">
        <v>217.84</v>
      </c>
      <c r="AC399" s="34" t="n">
        <v>4.55</v>
      </c>
      <c r="AD399" s="26" t="inlineStr">
        <is>
          <t>HSTECH (Hang Seng TECH ETF)</t>
        </is>
      </c>
      <c r="AE399" s="34" t="n">
        <v>-15.67</v>
      </c>
      <c r="AF399" s="28" t="n">
        <v>1128.2</v>
      </c>
      <c r="AG399" s="28" t="n">
        <v>35</v>
      </c>
      <c r="AH399" s="26" t="inlineStr">
        <is>
          <t>Y</t>
        </is>
      </c>
      <c r="AI399" s="35" t="n">
        <v>260</v>
      </c>
      <c r="AJ399" s="35" t="n">
        <v>8.1</v>
      </c>
      <c r="AK399" s="26" t="inlineStr">
        <is>
          <t>N</t>
        </is>
      </c>
      <c r="AL399" s="36">
        <f>IF('BBG Verify'!K399="","not filed — run on terminal",'BBG Verify'!K399)</f>
        <v/>
      </c>
      <c r="AM399" s="26" t="inlineStr">
        <is>
          <t>N/A</t>
        </is>
      </c>
      <c r="AN399" s="26" t="inlineStr">
        <is>
          <t>N/A</t>
        </is>
      </c>
      <c r="AO399" s="26" t="inlineStr">
        <is>
          <t>N/A</t>
        </is>
      </c>
      <c r="AP399" s="26" t="inlineStr">
        <is>
          <t>China Everbright Capital Limited</t>
        </is>
      </c>
      <c r="AQ399" s="26" t="inlineStr">
        <is>
          <t>中國光大融資有限公司</t>
        </is>
      </c>
      <c r="AR399" s="26" t="inlineStr">
        <is>
          <t>ABCI Capital Limited; Managers Yellow River Securities Limited; Wanchai, Hong Kong West Bull Securities Limited; BOCI Asia Limited; ICBC International Securities Limited; Yue Xiu Securities Company Limited; Wanchai, Hong Kong Shenwan Hongyuan Securities (H.K.) Limited; CMB International Capital Limited; CMBC Securities Company Limited; CCB International Capital Limited; Caitong International Securities Co., Limited; Futu Securities International (Hong Kong) Limited</t>
        </is>
      </c>
      <c r="AS399" s="26" t="inlineStr">
        <is>
          <t>農銀國際證券有限公司; 中銀國際亞洲有限公司; 財通國際證券有限公司; 建銀國際金融有限公司; 中國光大證券(香港)有限公司; 民銀證券有限公司; 招銀國際融資有限公司; 富途證券國際（香港）有限公司; 華福國際證券有限公司; 工銀國際證券有限公司; 利弗莫爾證券有限公司; 申萬宏源證券（香港）有限公司; 浦銀國際融資有限公司; 天風國際證券與期貨有限公司; 西牛證券有限公司; 元宇宙（國際）證券有限公司; 黃河證券有限公司; 越秀證券有限公司</t>
        </is>
      </c>
      <c r="AT399" s="37">
        <f>HYPERLINK("https://www1.hkexnews.hk/listedco/listconews/sehk/2025/1208/2025120800011.pdf","prospectus")</f>
        <v/>
      </c>
      <c r="AU399" s="37">
        <f>HYPERLINK("https://www1.hkexnews.hk/listedco/listconews/sehk/2025/1215/2025121501608.pdf","allotment")</f>
        <v/>
      </c>
      <c r="AV399" s="37">
        <f>HYPERLINK("https://www1.hkexnews.hk/listedco/listconews/sehk/2026/0109/2026010901587.pdf","stabilisation")</f>
        <v/>
      </c>
      <c r="AW399" s="26" t="inlineStr">
        <is>
          <t>A/H: no A-share listing</t>
        </is>
      </c>
    </row>
    <row r="400">
      <c r="A400" s="25" t="inlineStr">
        <is>
          <t>3887</t>
        </is>
      </c>
      <c r="B400" s="26" t="inlineStr">
        <is>
          <t>HASHKEY HLDGS</t>
        </is>
      </c>
      <c r="C400" s="26" t="inlineStr">
        <is>
          <t>HASHKEY HLDGS</t>
        </is>
      </c>
      <c r="D400" s="26" t="inlineStr">
        <is>
          <t>Tech/AI</t>
        </is>
      </c>
      <c r="E400" s="26" t="inlineStr">
        <is>
          <t>Fintech platform</t>
        </is>
      </c>
      <c r="F400" s="26" t="inlineStr">
        <is>
          <t>Standard</t>
        </is>
      </c>
      <c r="G400" s="27" t="n">
        <v>46008</v>
      </c>
      <c r="H400" s="28" t="n">
        <v>1607</v>
      </c>
      <c r="I400" s="26" t="inlineStr">
        <is>
          <t>gross (price x shares)</t>
        </is>
      </c>
      <c r="J400" s="29" t="n"/>
      <c r="K400" s="29" t="n">
        <v>6.95</v>
      </c>
      <c r="L400" s="29" t="n">
        <v>6.68</v>
      </c>
      <c r="M400" s="26" t="inlineStr">
        <is>
          <t>N</t>
        </is>
      </c>
      <c r="N400" s="30" t="n">
        <v>96.09999999999999</v>
      </c>
      <c r="O400" s="28" t="n">
        <v>19116.7</v>
      </c>
      <c r="P400" s="26" t="inlineStr">
        <is>
          <t>aastocks:上市市值 at the struck price</t>
        </is>
      </c>
      <c r="Q400" s="31" t="n">
        <v>393.71</v>
      </c>
      <c r="R400" s="32" t="n">
        <v>5.46</v>
      </c>
      <c r="S400" s="33" t="n">
        <v>39.43</v>
      </c>
      <c r="T400" s="26" t="inlineStr">
        <is>
          <t>Space Z PTE. LTD; Cithara Fund; UBS AM Singapore; Epoch Vantage Limited; Mr. Lu Weiding; XChainX Limited; Black Shadows, L.P; Fidelity Funds; TDR Investment Inc; Tomars Limited</t>
        </is>
      </c>
      <c r="U400" s="30" t="n">
        <v>15</v>
      </c>
      <c r="V400" s="26" t="inlineStr">
        <is>
          <t>partial</t>
        </is>
      </c>
      <c r="W400" s="34" t="n">
        <v>-0.15</v>
      </c>
      <c r="X400" s="34" t="n">
        <v>-14.37</v>
      </c>
      <c r="Y400" s="34" t="n">
        <v>7.34</v>
      </c>
      <c r="Z400" s="34" t="n">
        <v>-29.34</v>
      </c>
      <c r="AA400" s="34" t="n">
        <v>7.5</v>
      </c>
      <c r="AB400" s="34" t="n">
        <v>2.14</v>
      </c>
      <c r="AC400" s="34" t="n">
        <v>5.2</v>
      </c>
      <c r="AD400" s="26" t="inlineStr">
        <is>
          <t>HSTECH (Hang Seng TECH ETF)</t>
        </is>
      </c>
      <c r="AE400" s="34" t="n">
        <v>-58.98</v>
      </c>
      <c r="AF400" s="28" t="n">
        <v>720.7</v>
      </c>
      <c r="AG400" s="28" t="n">
        <v>-1189.6</v>
      </c>
      <c r="AH400" s="26" t="inlineStr">
        <is>
          <t>N</t>
        </is>
      </c>
      <c r="AI400" s="38">
        <f>IF('BBG Verify'!O400="","not filed — run on terminal",'BBG Verify'!O400)</f>
        <v/>
      </c>
      <c r="AJ400" s="35" t="n">
        <v>26.5</v>
      </c>
      <c r="AK400" s="26" t="inlineStr">
        <is>
          <t>N</t>
        </is>
      </c>
      <c r="AL400" s="36">
        <f>IF('BBG Verify'!K400="","not filed — run on terminal",'BBG Verify'!K400)</f>
        <v/>
      </c>
      <c r="AM400" s="26" t="inlineStr">
        <is>
          <t>N/A</t>
        </is>
      </c>
      <c r="AN400" s="26" t="inlineStr">
        <is>
          <t>N/A</t>
        </is>
      </c>
      <c r="AO400" s="26" t="inlineStr">
        <is>
          <t>N/A</t>
        </is>
      </c>
      <c r="AP400" s="26" t="inlineStr">
        <is>
          <t>J.P. Morgan Securities (Far East) Limited; Guotai Junan Capital Limited</t>
        </is>
      </c>
      <c r="AQ400" s="26" t="inlineStr">
        <is>
          <t>J.P. Morgan Securities (Far East) Limited; 國泰君安融資有限公司</t>
        </is>
      </c>
      <c r="AR400" s="26" t="inlineStr">
        <is>
          <t>Managers ( in alphabetical order ) CMB International Capital Limited; Tiger Brokers (HK) Global Limited; Victory Securities Company Limited</t>
        </is>
      </c>
      <c r="AS400" s="26" t="inlineStr">
        <is>
          <t>招銀國際融資有限公司; 艾德證券期貨有限公司; 第一上海證券有限公司; 富途證券國際（香港）有限公司; 國泰君安證券(香港)有限公司; 華泰金融控股(香港)有限公司; J.P. Morgan Securities (Asia Pacific) Limited; 老虎證券（香港）環球有限公司; 勝利證券有限公司</t>
        </is>
      </c>
      <c r="AT400" s="37">
        <f>HYPERLINK("https://www1.hkexnews.hk/listedco/listconews/sehk/2025/1209/2025120900025.pdf","prospectus")</f>
        <v/>
      </c>
      <c r="AU400" s="37">
        <f>HYPERLINK("https://www1.hkexnews.hk/listedco/listconews/sehk/2025/1216/2025121601390.pdf","allotment")</f>
        <v/>
      </c>
      <c r="AV400" s="37">
        <f>HYPERLINK("https://www1.hkexnews.hk/listedco/listconews/sehk/2026/0112/2026011200057.pdf","stabilisation")</f>
        <v/>
      </c>
      <c r="AW400" s="26" t="inlineStr">
        <is>
          <t>P/E: n/m — loss-making at IPO (use P/S) · A/H: no A-share listing · market cap: estimate from deal size / offer % of enlarged capital disagreed with the published listing cap — published figure adopted</t>
        </is>
      </c>
    </row>
    <row r="401">
      <c r="A401" s="25" t="inlineStr">
        <is>
          <t>2546</t>
        </is>
      </c>
      <c r="B401" s="26" t="inlineStr">
        <is>
          <t>ZHIHUI MINING</t>
        </is>
      </c>
      <c r="C401" s="26" t="inlineStr">
        <is>
          <t>智匯礦業</t>
        </is>
      </c>
      <c r="D401" s="26" t="inlineStr">
        <is>
          <t>Materials/Energy</t>
        </is>
      </c>
      <c r="E401" s="26" t="inlineStr">
        <is>
          <t>Mining / metals</t>
        </is>
      </c>
      <c r="F401" s="26" t="inlineStr">
        <is>
          <t>Standard</t>
        </is>
      </c>
      <c r="G401" s="27" t="n">
        <v>46010</v>
      </c>
      <c r="H401" s="28" t="n">
        <v>550</v>
      </c>
      <c r="I401" s="26" t="inlineStr">
        <is>
          <t>gross (stated)</t>
        </is>
      </c>
      <c r="J401" s="29" t="n"/>
      <c r="K401" s="29" t="n">
        <v>4.51</v>
      </c>
      <c r="L401" s="29" t="n">
        <v>4.51</v>
      </c>
      <c r="M401" s="26" t="inlineStr">
        <is>
          <t>Y</t>
        </is>
      </c>
      <c r="N401" s="30" t="n">
        <v>100</v>
      </c>
      <c r="O401" s="28" t="n">
        <v>2200</v>
      </c>
      <c r="P401" s="26" t="inlineStr">
        <is>
          <t>derived:price x shares upon listing</t>
        </is>
      </c>
      <c r="Q401" s="31" t="n">
        <v>5248.15</v>
      </c>
      <c r="R401" s="32" t="n">
        <v>2.68</v>
      </c>
      <c r="S401" s="33" t="n">
        <v>40.78</v>
      </c>
      <c r="T401" s="26" t="inlineStr">
        <is>
          <t>Sparky International Company Limited; GIGA Industries Limited; Enterprises Limited; Listing Top</t>
        </is>
      </c>
      <c r="U401" s="30" t="n"/>
      <c r="V401" s="26" t="n"/>
      <c r="W401" s="34" t="n">
        <v>90.69</v>
      </c>
      <c r="X401" s="34" t="n">
        <v>109.31</v>
      </c>
      <c r="Y401" s="34" t="n">
        <v>186.03</v>
      </c>
      <c r="Z401" s="34" t="n">
        <v>212.64</v>
      </c>
      <c r="AA401" s="34" t="n">
        <v>50</v>
      </c>
      <c r="AB401" s="34" t="n">
        <v>179.52</v>
      </c>
      <c r="AC401" s="34" t="n">
        <v>6.51</v>
      </c>
      <c r="AD401" s="26" t="inlineStr">
        <is>
          <t>Hang Seng Utilities sub-index</t>
        </is>
      </c>
      <c r="AE401" s="34" t="n">
        <v>328.38</v>
      </c>
      <c r="AF401" s="28" t="n">
        <v>331.6</v>
      </c>
      <c r="AG401" s="28" t="n">
        <v>69.09999999999999</v>
      </c>
      <c r="AH401" s="26" t="inlineStr">
        <is>
          <t>Y</t>
        </is>
      </c>
      <c r="AI401" s="35" t="n">
        <v>31.8</v>
      </c>
      <c r="AJ401" s="35" t="n">
        <v>6.6</v>
      </c>
      <c r="AK401" s="26" t="inlineStr">
        <is>
          <t>N</t>
        </is>
      </c>
      <c r="AL401" s="36">
        <f>IF('BBG Verify'!K401="","not filed — run on terminal",'BBG Verify'!K401)</f>
        <v/>
      </c>
      <c r="AM401" s="26" t="inlineStr">
        <is>
          <t>N/A</t>
        </is>
      </c>
      <c r="AN401" s="26" t="inlineStr">
        <is>
          <t>N/A</t>
        </is>
      </c>
      <c r="AO401" s="26" t="inlineStr">
        <is>
          <t>N/A</t>
        </is>
      </c>
      <c r="AP401" s="26" t="inlineStr">
        <is>
          <t>Sinolink Securities (Hong Kong) Company Limited; Maxa Capital Limited</t>
        </is>
      </c>
      <c r="AQ401" s="26" t="inlineStr">
        <is>
          <t>邁時資本有限公司; 國金證券（香港）有限公司</t>
        </is>
      </c>
      <c r="AR401" s="26" t="inlineStr">
        <is>
          <t>Joint Lead Managers Sinolink Securities (Hong Kong) Company Limited; Maxa Capital Limited; Managers ABCI Capital Limited; ABCI Securities Company Limited</t>
        </is>
      </c>
      <c r="AS401" s="26" t="inlineStr">
        <is>
          <t>農銀國際證券有限公司; 建銀國際金融有限公司; 民銀證券有限公司; 招銀國際融資有限公司; 富中證券有限公司; 結好證券有限公司; 華業證券有限公司; 寶新證券有限公司; 華安證券（香港）經紀有限公司; 工銀國際證券有限公司; 力高證券有限公司; 未來金融有限公司; 邁時資本有限公司; 國金證券（香港）有限公司; 浦銀國際融資有限公司; 老虎證券（香港）環球有限公司</t>
        </is>
      </c>
      <c r="AT401" s="37">
        <f>HYPERLINK("https://www1.hkexnews.hk/listedco/listconews/sehk/2025/1211/2025121100043.pdf","prospectus")</f>
        <v/>
      </c>
      <c r="AU401" s="37">
        <f>HYPERLINK("https://www1.hkexnews.hk/listedco/listconews/sehk/2025/1218/2025121801566.pdf","allotment")</f>
        <v/>
      </c>
      <c r="AV401" s="26" t="n"/>
      <c r="AW401" s="26" t="inlineStr">
        <is>
          <t>greenshoe: no over-allotment option in the offer structure · A/H: no A-share listing</t>
        </is>
      </c>
    </row>
    <row r="402">
      <c r="A402" s="25" t="inlineStr">
        <is>
          <t>3881</t>
        </is>
      </c>
      <c r="B402" s="26" t="inlineStr">
        <is>
          <t>CIDI</t>
        </is>
      </c>
      <c r="C402" s="26" t="inlineStr">
        <is>
          <t>希迪智駕</t>
        </is>
      </c>
      <c r="D402" s="26" t="inlineStr">
        <is>
          <t>Tech/AI</t>
        </is>
      </c>
      <c r="E402" s="26" t="inlineStr">
        <is>
          <t>Robotics &amp; autonomous driving</t>
        </is>
      </c>
      <c r="F402" s="26" t="inlineStr">
        <is>
          <t>Standard</t>
        </is>
      </c>
      <c r="G402" s="27" t="n">
        <v>46010</v>
      </c>
      <c r="H402" s="28" t="n">
        <v>1422.3</v>
      </c>
      <c r="I402" s="26" t="inlineStr">
        <is>
          <t>gross (stated)</t>
        </is>
      </c>
      <c r="J402" s="29" t="n"/>
      <c r="K402" s="29" t="n">
        <v>263</v>
      </c>
      <c r="L402" s="29" t="n">
        <v>263</v>
      </c>
      <c r="M402" s="26" t="inlineStr">
        <is>
          <t>Y</t>
        </is>
      </c>
      <c r="N402" s="30" t="n">
        <v>100</v>
      </c>
      <c r="O402" s="28" t="n">
        <v>11516.6</v>
      </c>
      <c r="P402" s="26" t="inlineStr">
        <is>
          <t>prospectus:stated market capitalisation</t>
        </is>
      </c>
      <c r="Q402" s="31" t="n">
        <v>22.55</v>
      </c>
      <c r="R402" s="32" t="n">
        <v>2.1</v>
      </c>
      <c r="S402" s="33" t="n">
        <v>38.39</v>
      </c>
      <c r="T402" s="26" t="inlineStr">
        <is>
          <t>Xiangjiang Zhicheng; Zhijia No. 1 RMB70,000,000; ICBCUBS; ICBCUBSI; QHKY Qunwei</t>
        </is>
      </c>
      <c r="U402" s="30" t="n">
        <v>10</v>
      </c>
      <c r="V402" s="26" t="inlineStr">
        <is>
          <t>lapsed</t>
        </is>
      </c>
      <c r="W402" s="48" t="n">
        <v>763.12</v>
      </c>
      <c r="X402" s="34" t="n">
        <v>747.91</v>
      </c>
      <c r="Y402" s="34" t="n">
        <v>821.67</v>
      </c>
      <c r="Z402" s="34" t="n">
        <v>-91.18000000000001</v>
      </c>
      <c r="AA402" s="34" t="n">
        <v>6.78</v>
      </c>
      <c r="AB402" s="34" t="n">
        <v>815.46</v>
      </c>
      <c r="AC402" s="34" t="n">
        <v>6.21</v>
      </c>
      <c r="AD402" s="26" t="inlineStr">
        <is>
          <t>HSTECH (Hang Seng TECH ETF)</t>
        </is>
      </c>
      <c r="AE402" s="34" t="n">
        <v>-92.59</v>
      </c>
      <c r="AF402" s="28" t="n">
        <v>451</v>
      </c>
      <c r="AG402" s="28" t="n">
        <v>-638.8</v>
      </c>
      <c r="AH402" s="26" t="inlineStr">
        <is>
          <t>N</t>
        </is>
      </c>
      <c r="AI402" s="38">
        <f>IF('BBG Verify'!O402="","not filed — run on terminal",'BBG Verify'!O402)</f>
        <v/>
      </c>
      <c r="AJ402" s="35" t="n">
        <v>25.5</v>
      </c>
      <c r="AK402" s="26" t="inlineStr">
        <is>
          <t>N</t>
        </is>
      </c>
      <c r="AL402" s="36">
        <f>IF('BBG Verify'!K402="","not filed — run on terminal",'BBG Verify'!K402)</f>
        <v/>
      </c>
      <c r="AM402" s="26" t="inlineStr">
        <is>
          <t>N/A</t>
        </is>
      </c>
      <c r="AN402" s="26" t="inlineStr">
        <is>
          <t>N/A</t>
        </is>
      </c>
      <c r="AO402" s="26" t="inlineStr">
        <is>
          <t>N/A</t>
        </is>
      </c>
      <c r="AP402" s="26" t="inlineStr">
        <is>
          <t>China International Capital Corporation Hong Kong Securities Limited; Central, Hong Kong China Securities (International) Corporate Finance Company Limited; Central, Hong Kong Ping An of China Capital (Hong Kong) Company Limited</t>
        </is>
      </c>
      <c r="AQ402" s="26" t="inlineStr">
        <is>
          <t>中國國際金融香港證券有限公司; 中國平安資本（香港）有限公司; 中信建投(國際)融資有限公司</t>
        </is>
      </c>
      <c r="AR402" s="26" t="inlineStr">
        <is>
          <t>China International Capital Corporation Hong Kong Securities Limited; Central, Hong Kong China Securities (International) Corporate Finance Company Limited; Central, Hong Kong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AS402" s="26" t="inlineStr">
        <is>
          <t>農銀國際證券有限公司; 中國光大證券(香港)有限公司; 中國國際金融香港證券有限公司; 中信建投(國際)融資有限公司; 富德證券有限公司; 國信證券（香港）經紀有限公司; 工銀國際證券有限公司; 利弗莫爾證券有限公司; 平安證券（香港）有限公司; 申萬宏源證券（香港）有限公司; 老虎證券（香港）環球有限公司; 盈寶證券國際（香港）有限公司</t>
        </is>
      </c>
      <c r="AT402" s="37">
        <f>HYPERLINK("https://www1.hkexnews.hk/listedco/listconews/sehk/2025/1211/2025121100007.pdf","prospectus")</f>
        <v/>
      </c>
      <c r="AU402" s="37">
        <f>HYPERLINK("https://www1.hkexnews.hk/listedco/listconews/sehk/2025/1218/2025121801904.pdf","allotment")</f>
        <v/>
      </c>
      <c r="AV402" s="37">
        <f>HYPERLINK("https://www1.hkexnews.hk/listedco/listconews/sehk/2026/0116/2026011600161.pdf","stabilisation")</f>
        <v/>
      </c>
      <c r="AW402" s="26" t="inlineStr">
        <is>
          <t>P/E: n/m — loss-making at IPO (use P/S) · A/H: no A-share listing</t>
        </is>
      </c>
    </row>
    <row r="403">
      <c r="A403" s="25" t="inlineStr">
        <is>
          <t>2695</t>
        </is>
      </c>
      <c r="B403" s="26" t="inlineStr">
        <is>
          <t>IMPRESSION DHP</t>
        </is>
      </c>
      <c r="C403" s="26" t="inlineStr">
        <is>
          <t>印象大紅袍</t>
        </is>
      </c>
      <c r="D403" s="26" t="inlineStr">
        <is>
          <t>TMT-other</t>
        </is>
      </c>
      <c r="E403" s="26" t="inlineStr">
        <is>
          <t>Media / advertising</t>
        </is>
      </c>
      <c r="F403" s="26" t="inlineStr">
        <is>
          <t>Standard</t>
        </is>
      </c>
      <c r="G403" s="27" t="n">
        <v>46013</v>
      </c>
      <c r="H403" s="28" t="n">
        <v>129.96</v>
      </c>
      <c r="I403" s="26" t="inlineStr">
        <is>
          <t>gross (stated)</t>
        </is>
      </c>
      <c r="J403" s="29" t="n"/>
      <c r="K403" s="29" t="n">
        <v>4.1</v>
      </c>
      <c r="L403" s="29" t="n">
        <v>3.6</v>
      </c>
      <c r="M403" s="26" t="inlineStr">
        <is>
          <t>N</t>
        </is>
      </c>
      <c r="N403" s="30" t="n">
        <v>87.8</v>
      </c>
      <c r="O403" s="28" t="n">
        <v>519</v>
      </c>
      <c r="P403" s="26" t="inlineStr">
        <is>
          <t>derived:price x shares upon listing</t>
        </is>
      </c>
      <c r="Q403" s="31" t="n">
        <v>3397.48</v>
      </c>
      <c r="R403" s="32" t="n">
        <v>1.91</v>
      </c>
      <c r="S403" s="33" t="n">
        <v>0</v>
      </c>
      <c r="T403" s="26" t="n"/>
      <c r="U403" s="30" t="n">
        <v>11.4</v>
      </c>
      <c r="V403" s="26" t="n"/>
      <c r="W403" s="34" t="n">
        <v>-35.28</v>
      </c>
      <c r="X403" s="34" t="n">
        <v>-41.11</v>
      </c>
      <c r="Y403" s="34" t="n">
        <v>-35.56</v>
      </c>
      <c r="Z403" s="34" t="n">
        <v>-50.28</v>
      </c>
      <c r="AA403" s="34" t="n">
        <v>-0.43</v>
      </c>
      <c r="AB403" s="34" t="n">
        <v>-39.68</v>
      </c>
      <c r="AC403" s="34" t="n">
        <v>4.12</v>
      </c>
      <c r="AD403" s="26" t="inlineStr">
        <is>
          <t>Hang Seng Index</t>
        </is>
      </c>
      <c r="AE403" s="34" t="n">
        <v>-61.94</v>
      </c>
      <c r="AF403" s="28" t="n">
        <v>150.9</v>
      </c>
      <c r="AG403" s="28" t="n">
        <v>47.1</v>
      </c>
      <c r="AH403" s="26" t="inlineStr">
        <is>
          <t>Y</t>
        </is>
      </c>
      <c r="AI403" s="35" t="n">
        <v>11</v>
      </c>
      <c r="AJ403" s="35" t="n">
        <v>3.4</v>
      </c>
      <c r="AK403" s="26" t="inlineStr">
        <is>
          <t>N</t>
        </is>
      </c>
      <c r="AL403" s="36">
        <f>IF('BBG Verify'!K403="","not filed — run on terminal",'BBG Verify'!K403)</f>
        <v/>
      </c>
      <c r="AM403" s="26" t="inlineStr">
        <is>
          <t>N/A</t>
        </is>
      </c>
      <c r="AN403" s="26" t="inlineStr">
        <is>
          <t>N/A</t>
        </is>
      </c>
      <c r="AO403" s="26" t="inlineStr">
        <is>
          <t>N/A</t>
        </is>
      </c>
      <c r="AP403" s="26" t="inlineStr">
        <is>
          <t>China Industrial Securities International Capital Limited; Halcyon Capital Limited</t>
        </is>
      </c>
      <c r="AQ403" s="26" t="inlineStr">
        <is>
          <t>興證國際融資有限公司; 鎧盛資本有限公司</t>
        </is>
      </c>
      <c r="AR403" s="26" t="inlineStr">
        <is>
          <t>China Industrial Securities International Capital Limited; Halcyon Securities Limited; Managers China Industrial Securities International Capital Limited; DIRECTORS AND PARTIES INVOLVED IN THE GLOBAL OFFERING −8 3− Halcyon Securities Limited; ABCI Capital Limited; ABCI Securities Company Limited</t>
        </is>
      </c>
      <c r="AS403" s="26" t="inlineStr">
        <is>
          <t>農銀國際證券有限公司; 中銀國際亞洲有限公司; 建銀國際金融有限公司; 興證國際融資有限公司; 招銀國際融資有限公司; 華升證券（國際）有限公司; 富途證券國際（香港）有限公司; 港利資本有限公司; 鎧盛證券有限公司; 華福國際證券有限公司; 工銀國際證券有限公司; 百惠證券有限公司; 輝立証券（香港）有限公司; 駿達證券有限公司; TradeGo Markets Limited; 友信證券有限公司; 浙商國際金融控股有限公司</t>
        </is>
      </c>
      <c r="AT403" s="37">
        <f>HYPERLINK("https://www1.hkexnews.hk/listedco/listconews/sehk/2025/1212/2025121200055.pdf","prospectus")</f>
        <v/>
      </c>
      <c r="AU403" s="37">
        <f>HYPERLINK("https://www1.hkexnews.hk/listedco/listconews/sehk/2025/1219/2025121901141.pdf","allotment")</f>
        <v/>
      </c>
      <c r="AV403" s="26" t="n"/>
      <c r="AW403" s="26" t="inlineStr">
        <is>
          <t>greenshoe: end-of-stabilisation notice not located · A/H: no A-share listing</t>
        </is>
      </c>
    </row>
    <row r="404">
      <c r="A404" s="25" t="inlineStr">
        <is>
          <t>2396</t>
        </is>
      </c>
      <c r="B404" s="26" t="inlineStr">
        <is>
          <t>B&amp;K CORP-B</t>
        </is>
      </c>
      <c r="C404" s="26" t="inlineStr">
        <is>
          <t>青城新藥－Ｂ</t>
        </is>
      </c>
      <c r="D404" s="26" t="inlineStr">
        <is>
          <t>Healthcare</t>
        </is>
      </c>
      <c r="E404" s="26" t="inlineStr">
        <is>
          <t>Biotech pre-revenue (18A)</t>
        </is>
      </c>
      <c r="F404" s="26" t="inlineStr">
        <is>
          <t>18A</t>
        </is>
      </c>
      <c r="G404" s="27" t="n">
        <v>46013</v>
      </c>
      <c r="H404" s="28" t="n">
        <v>674.2</v>
      </c>
      <c r="I404" s="26" t="inlineStr">
        <is>
          <t>gross (price x shares)</t>
        </is>
      </c>
      <c r="J404" s="29" t="n"/>
      <c r="K404" s="29" t="n">
        <v>51</v>
      </c>
      <c r="L404" s="29" t="n">
        <v>38.2</v>
      </c>
      <c r="M404" s="26" t="inlineStr">
        <is>
          <t>N</t>
        </is>
      </c>
      <c r="N404" s="30" t="n">
        <v>74.90000000000001</v>
      </c>
      <c r="O404" s="28" t="n">
        <v>4494.5</v>
      </c>
      <c r="P404" s="26" t="inlineStr">
        <is>
          <t>derived:price x shares upon listing</t>
        </is>
      </c>
      <c r="Q404" s="31" t="n">
        <v>791.95</v>
      </c>
      <c r="R404" s="32" t="n">
        <v>6.05</v>
      </c>
      <c r="S404" s="33" t="n">
        <v>0</v>
      </c>
      <c r="T404" s="26" t="n"/>
      <c r="U404" s="30" t="n">
        <v>15</v>
      </c>
      <c r="V404" s="26" t="inlineStr">
        <is>
          <t>lapsed (no over-allocation)</t>
        </is>
      </c>
      <c r="W404" s="34" t="n">
        <v>-29.32</v>
      </c>
      <c r="X404" s="34" t="n">
        <v>-57.67</v>
      </c>
      <c r="Y404" s="34" t="n">
        <v>-71.95999999999999</v>
      </c>
      <c r="Z404" s="34" t="n">
        <v>-81.02</v>
      </c>
      <c r="AA404" s="34" t="n">
        <v>-60.33</v>
      </c>
      <c r="AB404" s="34" t="n">
        <v>-73.8</v>
      </c>
      <c r="AC404" s="34" t="n">
        <v>1.84</v>
      </c>
      <c r="AD404" s="26" t="inlineStr">
        <is>
          <t>China Biotech ETF (HS biotech proxy)</t>
        </is>
      </c>
      <c r="AE404" s="34" t="n">
        <v>-87.34</v>
      </c>
      <c r="AF404" s="28" t="n">
        <v>0.3</v>
      </c>
      <c r="AG404" s="28" t="n">
        <v>-180.5</v>
      </c>
      <c r="AH404" s="26" t="inlineStr">
        <is>
          <t>N</t>
        </is>
      </c>
      <c r="AI404" s="38">
        <f>IF('BBG Verify'!O404="","not filed — run on terminal",'BBG Verify'!O404)</f>
        <v/>
      </c>
      <c r="AJ404" s="35" t="n">
        <v>14981.7</v>
      </c>
      <c r="AK404" s="26" t="inlineStr">
        <is>
          <t>N</t>
        </is>
      </c>
      <c r="AL404" s="36">
        <f>IF('BBG Verify'!K404="","not filed — run on terminal",'BBG Verify'!K404)</f>
        <v/>
      </c>
      <c r="AM404" s="26" t="inlineStr">
        <is>
          <t>N/A</t>
        </is>
      </c>
      <c r="AN404" s="26" t="inlineStr">
        <is>
          <t>N/A</t>
        </is>
      </c>
      <c r="AO404" s="26" t="inlineStr">
        <is>
          <t>N/A</t>
        </is>
      </c>
      <c r="AP404" s="26" t="inlineStr">
        <is>
          <t>Huatai Financial Holdings (Hong Kong) Limited; Central, Hong Kong CITIC Securities (Hong Kong) Limited</t>
        </is>
      </c>
      <c r="AQ404" s="26" t="inlineStr">
        <is>
          <t>華泰金融控股(香港)有限公司; 中信證券(香港)有限公司</t>
        </is>
      </c>
      <c r="AR404" s="26" t="inlineStr">
        <is>
          <t>Huatai Financial Holdings (Hong Kong) Limited; Central, Hong Kong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AS404" s="26" t="inlineStr">
        <is>
          <t>中州國際證券有限公司; 中國銀河國際證券(香港)有限公司; 中信里昂證券有限公司; 民銀證券有限公司; 招銀國際融資有限公司; 招商證券(香港)有限公司; 富強證券有限公司; 富途證券國際（香港）有限公司; 國聯證券國際資本市場有限公司; 華泰金融控股(香港)有限公司; 華福國際證券有限公司; 利弗莫爾證券有限公司; 浦銀國際融資有限公司; 盈寶證券國際（香港）有限公司; 尊嘉證券國際有限公司</t>
        </is>
      </c>
      <c r="AT404" s="37">
        <f>HYPERLINK("https://www1.hkexnews.hk/listedco/listconews/sehk/2025/1212/2025121200081.pdf","prospectus")</f>
        <v/>
      </c>
      <c r="AU404" s="37">
        <f>HYPERLINK("https://www1.hkexnews.hk/listedco/listconews/sehk/2025/1219/2025121901577.pdf","allotment")</f>
        <v/>
      </c>
      <c r="AV404" s="37">
        <f>HYPERLINK("https://www1.hkexnews.hk/listedco/listconews/sehk/2026/0118/2026011800013.pdf","stabilisation")</f>
        <v/>
      </c>
      <c r="AW404" s="26" t="inlineStr">
        <is>
          <t>P/E: n/m — loss-making at IPO (use P/S) · A/H: no A-share listing</t>
        </is>
      </c>
    </row>
    <row r="405">
      <c r="A405" s="25" t="inlineStr">
        <is>
          <t>2581</t>
        </is>
      </c>
      <c r="B405" s="26" t="inlineStr">
        <is>
          <t>BENQ HOLDING</t>
        </is>
      </c>
      <c r="C405" s="26" t="inlineStr">
        <is>
          <t>明基醫院</t>
        </is>
      </c>
      <c r="D405" s="26" t="inlineStr">
        <is>
          <t>Tech/AI</t>
        </is>
      </c>
      <c r="E405" s="26" t="inlineStr">
        <is>
          <t>Smart hardware / consumer electronics</t>
        </is>
      </c>
      <c r="F405" s="26" t="inlineStr">
        <is>
          <t>Standard</t>
        </is>
      </c>
      <c r="G405" s="27" t="n">
        <v>46013</v>
      </c>
      <c r="H405" s="28" t="n">
        <v>625.8</v>
      </c>
      <c r="I405" s="26" t="inlineStr">
        <is>
          <t>gross (stated)</t>
        </is>
      </c>
      <c r="J405" s="29" t="n">
        <v>9.34</v>
      </c>
      <c r="K405" s="29" t="n">
        <v>11.68</v>
      </c>
      <c r="L405" s="29" t="n">
        <v>9.34</v>
      </c>
      <c r="M405" s="26" t="inlineStr">
        <is>
          <t>N</t>
        </is>
      </c>
      <c r="N405" s="30" t="n">
        <v>80</v>
      </c>
      <c r="O405" s="28" t="n">
        <v>2913.6</v>
      </c>
      <c r="P405" s="26" t="inlineStr">
        <is>
          <t>derived:price x shares upon listing</t>
        </is>
      </c>
      <c r="Q405" s="31" t="n">
        <v>6.28</v>
      </c>
      <c r="R405" s="32" t="n">
        <v>1.28</v>
      </c>
      <c r="S405" s="33" t="n">
        <v>49.63</v>
      </c>
      <c r="T405" s="26" t="inlineStr">
        <is>
          <t>Heron Neutron Medical; Cowealth (China); Suzhou Zhanxingtou; Listing Top</t>
        </is>
      </c>
      <c r="U405" s="30" t="n"/>
      <c r="V405" s="26" t="n"/>
      <c r="W405" s="34" t="n">
        <v>-49.46</v>
      </c>
      <c r="X405" s="34" t="n">
        <v>-56.1</v>
      </c>
      <c r="Y405" s="34" t="n">
        <v>-56.21</v>
      </c>
      <c r="Z405" s="34" t="n">
        <v>-63.06</v>
      </c>
      <c r="AA405" s="34" t="n">
        <v>-13.36</v>
      </c>
      <c r="AB405" s="34" t="n">
        <v>-61.99</v>
      </c>
      <c r="AC405" s="34" t="n">
        <v>5.78</v>
      </c>
      <c r="AD405" s="26" t="inlineStr">
        <is>
          <t>HSTECH (Hang Seng TECH ETF)</t>
        </is>
      </c>
      <c r="AE405" s="34" t="n">
        <v>-70.13</v>
      </c>
      <c r="AF405" s="28" t="n">
        <v>2924.9</v>
      </c>
      <c r="AG405" s="28" t="n">
        <v>119.8</v>
      </c>
      <c r="AH405" s="26" t="inlineStr">
        <is>
          <t>Y</t>
        </is>
      </c>
      <c r="AI405" s="35" t="n">
        <v>24.3</v>
      </c>
      <c r="AJ405" s="35" t="n">
        <v>1</v>
      </c>
      <c r="AK405" s="26" t="inlineStr">
        <is>
          <t>N</t>
        </is>
      </c>
      <c r="AL405" s="36">
        <f>IF('BBG Verify'!K405="","not filed — run on terminal",'BBG Verify'!K405)</f>
        <v/>
      </c>
      <c r="AM405" s="26" t="inlineStr">
        <is>
          <t>N/A</t>
        </is>
      </c>
      <c r="AN405" s="26" t="inlineStr">
        <is>
          <t>N/A</t>
        </is>
      </c>
      <c r="AO405" s="26" t="inlineStr">
        <is>
          <t>N/A</t>
        </is>
      </c>
      <c r="AP405" s="26" t="n"/>
      <c r="AQ405" s="26" t="inlineStr">
        <is>
          <t>中國國際金融香港證券有限公司; 花旗環球金融亞洲有限公司</t>
        </is>
      </c>
      <c r="AR405" s="26" t="inlineStr">
        <is>
          <t>China International Capital Corporation Hong Kong Securities Limited; Citigroup Global Markets Asia Limited; CTBC Bank Co., Ltd; Managers China International Capital Corporation Hong Kong Securities Limited; Citigroup Global Markets Limited; Canary Wharf London E14 5LB United Kingdom CTBC Bank Co., Ltd; Futu Securities International (Hong Kong) Limited; Livermore Holdings Limited; TradeGo Markets Limited; DIRECTORS AND PARTIES INVOLVED IN THE GLOBAL OFFERING –1 1 4– TradeGo Markets Limited; UOB Kay Hian (Hong Kong) Limited</t>
        </is>
      </c>
      <c r="AS405" s="26" t="inlineStr">
        <is>
          <t>花旗環球金融亞洲有限公司; 中國國際金融香港證券有限公司; 中國信託商業銀行股份有限公司; 富途證券國際（香港）有限公司; 利弗莫爾證券有限公司; TradeGo Markets Limited; 大華繼顯(香港)有限公司</t>
        </is>
      </c>
      <c r="AT405" s="37">
        <f>HYPERLINK("https://www1.hkexnews.hk/listedco/listconews/sehk/2025/1212/2025121200057.pdf","prospectus")</f>
        <v/>
      </c>
      <c r="AU405" s="37">
        <f>HYPERLINK("https://www1.hkexnews.hk/listedco/listconews/sehk/2025/1219/2025121901603.pdf","allotment")</f>
        <v/>
      </c>
      <c r="AV405" s="26" t="n"/>
      <c r="AW405" s="26" t="inlineStr">
        <is>
          <t>greenshoe: no over-allotment option in the offer structure · A/H: no A-share listing · sponsor: English name not in the filing text; AAStocks 保薦人 shown</t>
        </is>
      </c>
    </row>
    <row r="406">
      <c r="A406" s="25" t="inlineStr">
        <is>
          <t>2691</t>
        </is>
      </c>
      <c r="B406" s="26" t="inlineStr">
        <is>
          <t>NANHUA FUTURES</t>
        </is>
      </c>
      <c r="C406" s="26" t="inlineStr">
        <is>
          <t>南華期貨股份</t>
        </is>
      </c>
      <c r="D406" s="26" t="inlineStr">
        <is>
          <t>Financials</t>
        </is>
      </c>
      <c r="E406" s="26" t="inlineStr">
        <is>
          <t>Brokers / asset management</t>
        </is>
      </c>
      <c r="F406" s="26" t="inlineStr">
        <is>
          <t>Standard</t>
        </is>
      </c>
      <c r="G406" s="27" t="n">
        <v>46013</v>
      </c>
      <c r="H406" s="28" t="n">
        <v>1291.91</v>
      </c>
      <c r="I406" s="26" t="inlineStr">
        <is>
          <t>gross (stated)</t>
        </is>
      </c>
      <c r="J406" s="29" t="n"/>
      <c r="K406" s="29" t="n">
        <v>16</v>
      </c>
      <c r="L406" s="29" t="n">
        <v>12</v>
      </c>
      <c r="M406" s="26" t="inlineStr">
        <is>
          <t>N</t>
        </is>
      </c>
      <c r="N406" s="30" t="n">
        <v>75</v>
      </c>
      <c r="O406" s="28" t="n">
        <v>13989.1</v>
      </c>
      <c r="P406" s="26" t="inlineStr">
        <is>
          <t>prospectus:stated market capitalisation</t>
        </is>
      </c>
      <c r="Q406" s="31" t="n">
        <v>1.91</v>
      </c>
      <c r="R406" s="32" t="n">
        <v>0.99</v>
      </c>
      <c r="S406" s="33" t="n">
        <v>0</v>
      </c>
      <c r="T406" s="26" t="n"/>
      <c r="U406" s="30" t="n">
        <v>5</v>
      </c>
      <c r="V406" s="26" t="inlineStr">
        <is>
          <t>lapsed (no over-allocation)</t>
        </is>
      </c>
      <c r="W406" s="34" t="n">
        <v>-24.17</v>
      </c>
      <c r="X406" s="34" t="n">
        <v>-18.33</v>
      </c>
      <c r="Y406" s="34" t="n">
        <v>-12.75</v>
      </c>
      <c r="Z406" s="34" t="n">
        <v>-9.5</v>
      </c>
      <c r="AA406" s="34" t="n">
        <v>15.06</v>
      </c>
      <c r="AB406" s="34" t="n">
        <v>-16.12</v>
      </c>
      <c r="AC406" s="34" t="n">
        <v>3.37</v>
      </c>
      <c r="AD406" s="26" t="inlineStr">
        <is>
          <t>Hang Seng Finance sub-index</t>
        </is>
      </c>
      <c r="AE406" s="34" t="n">
        <v>-45.04</v>
      </c>
      <c r="AF406" s="28" t="n">
        <v>2.2</v>
      </c>
      <c r="AG406" s="28" t="n">
        <v>503.8</v>
      </c>
      <c r="AH406" s="26" t="inlineStr">
        <is>
          <t>Y</t>
        </is>
      </c>
      <c r="AI406" s="35" t="n">
        <v>27.8</v>
      </c>
      <c r="AJ406" s="35" t="n">
        <v>6358.7</v>
      </c>
      <c r="AK406" s="26" t="inlineStr">
        <is>
          <t>Y</t>
        </is>
      </c>
      <c r="AL406" s="26" t="inlineStr">
        <is>
          <t>603093.SS</t>
        </is>
      </c>
      <c r="AM406" s="34" t="n">
        <v>-43.61</v>
      </c>
      <c r="AN406" s="29" t="n">
        <v>21.2816</v>
      </c>
      <c r="AO406" s="42" t="n">
        <v>-0.5396</v>
      </c>
      <c r="AP406" s="26" t="inlineStr">
        <is>
          <t>CITIC Securities (Hong Kong) Limited</t>
        </is>
      </c>
      <c r="AQ406" s="26" t="inlineStr">
        <is>
          <t>中信證券(香港)有限公司</t>
        </is>
      </c>
      <c r="AR406" s="26"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AS406" s="26" t="inlineStr">
        <is>
          <t>裕承資產管理有限公司; 農銀國際證券有限公司; 中航資信環球資產管理有限公司; 中銀國際亞洲有限公司; 財通國際證券有限公司; 中國光大證券(香港)有限公司; 中信里昂證券有限公司; 招銀國際融資有限公司; 富強證券有限公司; 橫華國際證券有限公司; 華通證券國際有限公司; 黃河證券有限公司; 浙商國際金融控股有限公司</t>
        </is>
      </c>
      <c r="AT406" s="37">
        <f>HYPERLINK("https://www1.hkexnews.hk/listedco/listconews/sehk/2025/1212/2025121200021.pdf","prospectus")</f>
        <v/>
      </c>
      <c r="AU406" s="37">
        <f>HYPERLINK("https://www1.hkexnews.hk/listedco/listconews/sehk/2025/1219/2025121902017.pdf","allotment")</f>
        <v/>
      </c>
      <c r="AV406" s="37">
        <f>HYPERLINK("https://www1.hkexnews.hk/listedco/listconews/sehk/2026/0116/2026011600262.pdf","stabilisation")</f>
        <v/>
      </c>
      <c r="AW406" s="26" t="inlineStr">
        <is>
          <t>A/H: Dec 2025 H listing (futures broker)</t>
        </is>
      </c>
    </row>
    <row r="407">
      <c r="A407" s="25" t="inlineStr">
        <is>
          <t>2635</t>
        </is>
      </c>
      <c r="B407" s="26" t="inlineStr">
        <is>
          <t>NUOBIKAN</t>
        </is>
      </c>
      <c r="C407" s="26" t="inlineStr">
        <is>
          <t>諾比侃</t>
        </is>
      </c>
      <c r="D407" s="26" t="inlineStr">
        <is>
          <t>Tech/AI</t>
        </is>
      </c>
      <c r="E407" s="26" t="inlineStr">
        <is>
          <t>SaaS / enterprise software</t>
        </is>
      </c>
      <c r="F407" s="26" t="inlineStr">
        <is>
          <t>Standard</t>
        </is>
      </c>
      <c r="G407" s="27" t="n">
        <v>46014</v>
      </c>
      <c r="H407" s="28" t="n">
        <v>302.93</v>
      </c>
      <c r="I407" s="26" t="inlineStr">
        <is>
          <t>gross (stated)</t>
        </is>
      </c>
      <c r="J407" s="29" t="n"/>
      <c r="K407" s="29" t="n">
        <v>106</v>
      </c>
      <c r="L407" s="29" t="n">
        <v>80</v>
      </c>
      <c r="M407" s="26" t="inlineStr">
        <is>
          <t>N</t>
        </is>
      </c>
      <c r="N407" s="30" t="n">
        <v>75.5</v>
      </c>
      <c r="O407" s="28" t="n">
        <v>3029.3</v>
      </c>
      <c r="P407" s="26" t="inlineStr">
        <is>
          <t>derived:price x shares upon listing</t>
        </is>
      </c>
      <c r="Q407" s="31" t="n">
        <v>188.74</v>
      </c>
      <c r="R407" s="32" t="n">
        <v>2.08</v>
      </c>
      <c r="S407" s="33" t="n">
        <v>0</v>
      </c>
      <c r="T407" s="26" t="n"/>
      <c r="U407" s="30" t="n">
        <v>19.6</v>
      </c>
      <c r="V407" s="26" t="inlineStr">
        <is>
          <t>lapsed (no over-allocation)</t>
        </is>
      </c>
      <c r="W407" s="34" t="n">
        <v>363.75</v>
      </c>
      <c r="X407" s="34" t="n">
        <v>331.75</v>
      </c>
      <c r="Y407" s="34" t="n">
        <v>388.5</v>
      </c>
      <c r="Z407" s="34" t="n">
        <v>-39.5</v>
      </c>
      <c r="AA407" s="34" t="n">
        <v>5.34</v>
      </c>
      <c r="AB407" s="34" t="n">
        <v>384.99</v>
      </c>
      <c r="AC407" s="34" t="n">
        <v>3.51</v>
      </c>
      <c r="AD407" s="26" t="inlineStr">
        <is>
          <t>HSTECH (Hang Seng TECH ETF)</t>
        </is>
      </c>
      <c r="AE407" s="34" t="n">
        <v>-86</v>
      </c>
      <c r="AF407" s="28" t="n">
        <v>442.9</v>
      </c>
      <c r="AG407" s="28" t="n">
        <v>126.9</v>
      </c>
      <c r="AH407" s="26" t="inlineStr">
        <is>
          <t>Y</t>
        </is>
      </c>
      <c r="AI407" s="35" t="n">
        <v>23.9</v>
      </c>
      <c r="AJ407" s="35" t="n">
        <v>6.8</v>
      </c>
      <c r="AK407" s="26" t="inlineStr">
        <is>
          <t>N</t>
        </is>
      </c>
      <c r="AL407" s="36">
        <f>IF('BBG Verify'!K407="","not filed — run on terminal",'BBG Verify'!K407)</f>
        <v/>
      </c>
      <c r="AM407" s="26" t="inlineStr">
        <is>
          <t>N/A</t>
        </is>
      </c>
      <c r="AN407" s="26" t="inlineStr">
        <is>
          <t>N/A</t>
        </is>
      </c>
      <c r="AO407" s="26" t="inlineStr">
        <is>
          <t>N/A</t>
        </is>
      </c>
      <c r="AP407" s="26" t="n"/>
      <c r="AQ407" s="26" t="inlineStr">
        <is>
          <t>中國國際金融香港證券有限公司</t>
        </is>
      </c>
      <c r="AR407" s="26" t="inlineStr">
        <is>
          <t>中國國際金融香港證券有限公司; 利弗莫爾證券有限公司; 百惠證券有限公司</t>
        </is>
      </c>
      <c r="AS407" s="26" t="inlineStr">
        <is>
          <t>中國國際金融香港證券有限公司; 利弗莫爾證券有限公司; 百惠證券有限公司</t>
        </is>
      </c>
      <c r="AT407" s="37">
        <f>HYPERLINK("https://www1.hkexnews.hk/listedco/listconews/sehk/2025/1215/2025121500019.pdf","prospectus")</f>
        <v/>
      </c>
      <c r="AU407" s="37">
        <f>HYPERLINK("https://www1.hkexnews.hk/listedco/listconews/sehk/2025/1222/2025122201578.pdf","allotment")</f>
        <v/>
      </c>
      <c r="AV407" s="37">
        <f>HYPERLINK("https://www1.hkexnews.hk/listedco/listconews/sehk/2026/0119/2026011900805.pdf","stabilisation")</f>
        <v/>
      </c>
      <c r="AW407" s="26" t="inlineStr">
        <is>
          <t>A/H: no A-share listing · sponsor: English name not in the filing text; AAStocks 保薦人 shown</t>
        </is>
      </c>
    </row>
    <row r="408">
      <c r="A408" s="25" t="inlineStr">
        <is>
          <t>2661</t>
        </is>
      </c>
      <c r="B408" s="26" t="inlineStr">
        <is>
          <t>QINGSONG HEALTH</t>
        </is>
      </c>
      <c r="C408" s="26" t="inlineStr">
        <is>
          <t>輕鬆健康</t>
        </is>
      </c>
      <c r="D408" s="26" t="inlineStr">
        <is>
          <t>Financials</t>
        </is>
      </c>
      <c r="E408" s="26" t="inlineStr">
        <is>
          <t>Insurance</t>
        </is>
      </c>
      <c r="F408" s="26" t="inlineStr">
        <is>
          <t>Standard</t>
        </is>
      </c>
      <c r="G408" s="27" t="n">
        <v>46014</v>
      </c>
      <c r="H408" s="28" t="n">
        <v>601.9299999999999</v>
      </c>
      <c r="I408" s="26" t="inlineStr">
        <is>
          <t>gross (stated)</t>
        </is>
      </c>
      <c r="J408" s="29" t="n"/>
      <c r="K408" s="29" t="n">
        <v>22.68</v>
      </c>
      <c r="L408" s="29" t="n">
        <v>22.68</v>
      </c>
      <c r="M408" s="26" t="inlineStr">
        <is>
          <t>Y</t>
        </is>
      </c>
      <c r="N408" s="30" t="n">
        <v>100</v>
      </c>
      <c r="O408" s="28" t="n">
        <v>4680.6</v>
      </c>
      <c r="P408" s="26" t="inlineStr">
        <is>
          <t>derived:price x shares upon listing</t>
        </is>
      </c>
      <c r="Q408" s="31" t="n">
        <v>1421.47</v>
      </c>
      <c r="R408" s="32" t="n">
        <v>2.9</v>
      </c>
      <c r="S408" s="33" t="n">
        <v>2.33</v>
      </c>
      <c r="T408" s="26" t="inlineStr">
        <is>
          <t>Aoqin Heming; Discretionary basis</t>
        </is>
      </c>
      <c r="U408" s="30" t="n">
        <v>13.61</v>
      </c>
      <c r="V408" s="26" t="inlineStr">
        <is>
          <t>lapsed (no over-allocation)</t>
        </is>
      </c>
      <c r="W408" s="34" t="n">
        <v>158.82</v>
      </c>
      <c r="X408" s="34" t="n">
        <v>229.37</v>
      </c>
      <c r="Y408" s="34" t="n">
        <v>338.71</v>
      </c>
      <c r="Z408" s="34" t="n">
        <v>592.6799999999999</v>
      </c>
      <c r="AA408" s="34" t="n">
        <v>69.5</v>
      </c>
      <c r="AB408" s="34" t="n">
        <v>335.11</v>
      </c>
      <c r="AC408" s="34" t="n">
        <v>3.6</v>
      </c>
      <c r="AD408" s="26" t="inlineStr">
        <is>
          <t>Hang Seng Finance sub-index</t>
        </is>
      </c>
      <c r="AE408" s="34" t="n">
        <v>-76.72</v>
      </c>
      <c r="AF408" s="28" t="n">
        <v>1039.5</v>
      </c>
      <c r="AG408" s="28" t="n">
        <v>11.4</v>
      </c>
      <c r="AH408" s="26" t="inlineStr">
        <is>
          <t>Y</t>
        </is>
      </c>
      <c r="AI408" s="35" t="n">
        <v>410.6</v>
      </c>
      <c r="AJ408" s="35" t="n">
        <v>4.5</v>
      </c>
      <c r="AK408" s="26" t="inlineStr">
        <is>
          <t>N</t>
        </is>
      </c>
      <c r="AL408" s="36">
        <f>IF('BBG Verify'!K408="","not filed — run on terminal",'BBG Verify'!K408)</f>
        <v/>
      </c>
      <c r="AM408" s="26" t="inlineStr">
        <is>
          <t>N/A</t>
        </is>
      </c>
      <c r="AN408" s="26" t="inlineStr">
        <is>
          <t>N/A</t>
        </is>
      </c>
      <c r="AO408" s="26" t="inlineStr">
        <is>
          <t>N/A</t>
        </is>
      </c>
      <c r="AP408" s="26" t="inlineStr">
        <is>
          <t>China International Capital Corporation Hong Kong Securities Limited; China Merchants Securities (HK) Co., Limited</t>
        </is>
      </c>
      <c r="AQ408" s="26" t="inlineStr">
        <is>
          <t>中國國際金融香港證券有限公司; 招商證券(香港)有限公司</t>
        </is>
      </c>
      <c r="AR408" s="26" t="inlineStr">
        <is>
          <t>China International Capital Corporation Hong Kong Securities Limited; China Merchants Securities (HK) Co., Limited; Futu Securities International (Hong Kong) Limited; SPDB International Capital Limited</t>
        </is>
      </c>
      <c r="AS408" s="26" t="inlineStr">
        <is>
          <t>中國國際金融香港證券有限公司; 招商證券(香港)有限公司; 富途證券國際（香港）有限公司; 浦銀國際融資有限公司</t>
        </is>
      </c>
      <c r="AT408" s="37">
        <f>HYPERLINK("https://www1.hkexnews.hk/listedco/listconews/sehk/2025/1215/2025121500031.pdf","prospectus")</f>
        <v/>
      </c>
      <c r="AU408" s="37">
        <f>HYPERLINK("https://www1.hkexnews.hk/listedco/listconews/sehk/2025/1222/2025122201716.pdf","allotment")</f>
        <v/>
      </c>
      <c r="AV408" s="37">
        <f>HYPERLINK("https://www1.hkexnews.hk/listedco/listconews/sehk/2026/0118/2026011800009.pdf","stabilisation")</f>
        <v/>
      </c>
      <c r="AW408" s="26" t="inlineStr">
        <is>
          <t>A/H: no A-share listing</t>
        </is>
      </c>
    </row>
    <row r="409">
      <c r="A409" s="25" t="inlineStr">
        <is>
          <t>3378</t>
        </is>
      </c>
      <c r="B409" s="26" t="inlineStr">
        <is>
          <t>HANXBIO-B</t>
        </is>
      </c>
      <c r="C409" s="26" t="inlineStr">
        <is>
          <t>翰思艾泰－Ｂ</t>
        </is>
      </c>
      <c r="D409" s="26" t="inlineStr">
        <is>
          <t>Healthcare</t>
        </is>
      </c>
      <c r="E409" s="26" t="inlineStr">
        <is>
          <t>Biotech pre-revenue (18A)</t>
        </is>
      </c>
      <c r="F409" s="26" t="inlineStr">
        <is>
          <t>18A</t>
        </is>
      </c>
      <c r="G409" s="27" t="n">
        <v>46014</v>
      </c>
      <c r="H409" s="28" t="n">
        <v>586.3</v>
      </c>
      <c r="I409" s="26" t="inlineStr">
        <is>
          <t>gross (stated)</t>
        </is>
      </c>
      <c r="J409" s="29" t="n"/>
      <c r="K409" s="29" t="n">
        <v>32</v>
      </c>
      <c r="L409" s="29" t="n">
        <v>32</v>
      </c>
      <c r="M409" s="26" t="inlineStr">
        <is>
          <t>Y</t>
        </is>
      </c>
      <c r="N409" s="30" t="n">
        <v>100</v>
      </c>
      <c r="O409" s="28" t="n">
        <v>4359</v>
      </c>
      <c r="P409" s="26" t="inlineStr">
        <is>
          <t>derived:price x shares upon listing</t>
        </is>
      </c>
      <c r="Q409" s="31" t="n">
        <v>3074.09</v>
      </c>
      <c r="R409" s="32" t="n">
        <v>5.78</v>
      </c>
      <c r="S409" s="33" t="n"/>
      <c r="T409" s="26" t="inlineStr">
        <is>
          <t>Sage Partners Master Fund; Main Source Capital Limited; YStem Holding Limited; Awaken Thunder Capital Limited; Betta Pharmaceuticals Co., Ltd; Yangtze Investment (HK) Limited; Lapam Capital HK Co., Limited Note; Xiao Jieyu; Zou Zhiyong; Liao Tong; Listing Top</t>
        </is>
      </c>
      <c r="U409" s="30" t="n"/>
      <c r="V409" s="26" t="n"/>
      <c r="W409" s="34" t="n">
        <v>-46.25</v>
      </c>
      <c r="X409" s="34" t="n">
        <v>-46.69</v>
      </c>
      <c r="Y409" s="34" t="n">
        <v>-46.97</v>
      </c>
      <c r="Z409" s="34" t="n">
        <v>-3.5</v>
      </c>
      <c r="AA409" s="34" t="n">
        <v>-1.34</v>
      </c>
      <c r="AB409" s="34" t="n">
        <v>-48.39</v>
      </c>
      <c r="AC409" s="34" t="n">
        <v>1.42</v>
      </c>
      <c r="AD409" s="26" t="inlineStr">
        <is>
          <t>China Biotech ETF (HS biotech proxy)</t>
        </is>
      </c>
      <c r="AE409" s="34" t="n">
        <v>-8.31</v>
      </c>
      <c r="AF409" s="28" t="n"/>
      <c r="AG409" s="28" t="n">
        <v>-127.4</v>
      </c>
      <c r="AH409" s="26" t="inlineStr">
        <is>
          <t>N</t>
        </is>
      </c>
      <c r="AI409" s="38">
        <f>IF('BBG Verify'!O409="","not filed — run on terminal",'BBG Verify'!O409)</f>
        <v/>
      </c>
      <c r="AJ409" s="35" t="n"/>
      <c r="AK409" s="26" t="inlineStr">
        <is>
          <t>N</t>
        </is>
      </c>
      <c r="AL409" s="36">
        <f>IF('BBG Verify'!K409="","not filed — run on terminal",'BBG Verify'!K409)</f>
        <v/>
      </c>
      <c r="AM409" s="26" t="inlineStr">
        <is>
          <t>N/A</t>
        </is>
      </c>
      <c r="AN409" s="26" t="inlineStr">
        <is>
          <t>N/A</t>
        </is>
      </c>
      <c r="AO409" s="26" t="inlineStr">
        <is>
          <t>N/A</t>
        </is>
      </c>
      <c r="AP409" s="26" t="n"/>
      <c r="AQ409" s="26" t="inlineStr">
        <is>
          <t>工銀國際融資有限公司</t>
        </is>
      </c>
      <c r="AR409" s="26" t="inlineStr">
        <is>
          <t>農銀國際證券有限公司; Beta International Securities Limited; 建銀國際金融有限公司; 招商證券(香港)有限公司; 中信建投(國際)融資有限公司; 海通國際證券有限公司</t>
        </is>
      </c>
      <c r="AS409" s="26" t="inlineStr">
        <is>
          <t>農銀國際證券有限公司; Beta International Securities Limited; 建銀國際金融有限公司; 招商證券(香港)有限公司; 中信建投(國際)融資有限公司; 海通國際證券有限公司; 工銀國際證券有限公司; 利弗莫爾證券有限公司; 浦銀國際融資有限公司; 山證國際證券有限公司; 老虎證券（香港）環球有限公司; 天風國際證券與期貨有限公司</t>
        </is>
      </c>
      <c r="AT409" s="37">
        <f>HYPERLINK("https://www1.hkexnews.hk/listedco/listconews/sehk/2025/1215/2025121500027.pdf","prospectus")</f>
        <v/>
      </c>
      <c r="AU409" s="37">
        <f>HYPERLINK("https://www1.hkexnews.hk/listedco/listconews/sehk/2025/1222/2025122201726.pdf","allotment")</f>
        <v/>
      </c>
      <c r="AV409" s="26" t="n"/>
      <c r="AW409" s="26" t="inlineStr">
        <is>
          <t>P/E: n/m — loss-making at IPO (use P/S) · greenshoe: no over-allotment option in the offer structure · price range: fixed-price offering (no indicative range) · A/H: no A-share listing · sponsor: English name not in the filing text; AAStocks 保薦人 shown</t>
        </is>
      </c>
    </row>
    <row r="410">
      <c r="A410" s="25" t="inlineStr">
        <is>
          <t>3317</t>
        </is>
      </c>
      <c r="B410" s="26" t="inlineStr">
        <is>
          <t>XUNCE</t>
        </is>
      </c>
      <c r="C410" s="26" t="inlineStr">
        <is>
          <t>迅策</t>
        </is>
      </c>
      <c r="D410" s="26" t="inlineStr">
        <is>
          <t>Tech/AI</t>
        </is>
      </c>
      <c r="E410" s="26" t="inlineStr">
        <is>
          <t>SaaS / enterprise software</t>
        </is>
      </c>
      <c r="F410" s="26" t="inlineStr">
        <is>
          <t>Standard</t>
        </is>
      </c>
      <c r="G410" s="27" t="n">
        <v>46021</v>
      </c>
      <c r="H410" s="28" t="n">
        <v>1080</v>
      </c>
      <c r="I410" s="26" t="inlineStr">
        <is>
          <t>gross (stated)</t>
        </is>
      </c>
      <c r="J410" s="29" t="n">
        <v>48</v>
      </c>
      <c r="K410" s="29" t="n">
        <v>55</v>
      </c>
      <c r="L410" s="29" t="n">
        <v>48</v>
      </c>
      <c r="M410" s="26" t="inlineStr">
        <is>
          <t>N</t>
        </is>
      </c>
      <c r="N410" s="30" t="n">
        <v>87.3</v>
      </c>
      <c r="O410" s="28" t="n">
        <v>17460.7</v>
      </c>
      <c r="P410" s="26" t="inlineStr">
        <is>
          <t>aastocks:上市市值 at the struck price</t>
        </is>
      </c>
      <c r="Q410" s="31" t="n">
        <v>7.24</v>
      </c>
      <c r="R410" s="32" t="n">
        <v>3.1</v>
      </c>
      <c r="S410" s="33" t="n">
        <v>28.5</v>
      </c>
      <c r="T410" s="26" t="inlineStr">
        <is>
          <t>Mr. Wang Wei; Ms. Pan Honglan; Relationship SinoMedia; Relationship WSH</t>
        </is>
      </c>
      <c r="U410" s="30" t="n">
        <v>15</v>
      </c>
      <c r="V410" s="26" t="inlineStr">
        <is>
          <t>partial</t>
        </is>
      </c>
      <c r="W410" s="34" t="n">
        <v>1.04</v>
      </c>
      <c r="X410" s="34" t="n">
        <v>1.54</v>
      </c>
      <c r="Y410" s="34" t="n">
        <v>23.75</v>
      </c>
      <c r="Z410" s="34" t="n">
        <v>313.54</v>
      </c>
      <c r="AA410" s="34" t="n">
        <v>22.48</v>
      </c>
      <c r="AB410" s="34" t="n">
        <v>17.42</v>
      </c>
      <c r="AC410" s="34" t="n">
        <v>6.33</v>
      </c>
      <c r="AD410" s="26" t="inlineStr">
        <is>
          <t>HSTECH (Hang Seng TECH ETF)</t>
        </is>
      </c>
      <c r="AE410" s="34" t="n">
        <v>177.5</v>
      </c>
      <c r="AF410" s="28" t="n">
        <v>695.2</v>
      </c>
      <c r="AG410" s="28" t="n">
        <v>-107.6</v>
      </c>
      <c r="AH410" s="26" t="inlineStr">
        <is>
          <t>N</t>
        </is>
      </c>
      <c r="AI410" s="38">
        <f>IF('BBG Verify'!O410="","not filed — run on terminal",'BBG Verify'!O410)</f>
        <v/>
      </c>
      <c r="AJ410" s="35" t="n">
        <v>25.1</v>
      </c>
      <c r="AK410" s="26" t="inlineStr">
        <is>
          <t>N</t>
        </is>
      </c>
      <c r="AL410" s="36">
        <f>IF('BBG Verify'!K410="","not filed — run on terminal",'BBG Verify'!K410)</f>
        <v/>
      </c>
      <c r="AM410" s="26" t="inlineStr">
        <is>
          <t>N/A</t>
        </is>
      </c>
      <c r="AN410" s="26" t="inlineStr">
        <is>
          <t>N/A</t>
        </is>
      </c>
      <c r="AO410" s="26" t="inlineStr">
        <is>
          <t>N/A</t>
        </is>
      </c>
      <c r="AP410" s="26" t="inlineStr">
        <is>
          <t>Guotai Junan Capital Limited</t>
        </is>
      </c>
      <c r="AQ410" s="26" t="inlineStr">
        <is>
          <t>國泰君安融資有限公司</t>
        </is>
      </c>
      <c r="AR410" s="26" t="inlineStr">
        <is>
          <t>Guotai Junan Securities (Hong Kong) Limited; Deutsche Bank AG, Hong Kong Branch; Futu Securities International (Hong Kong) Limited; No. 95 Queensway Admiralty, Hong Kong Hong Tai Securities Limited; Orient Securities (Hong Kong) Limited; North Beta International Securities Limited; Central, Hong Kong ICBC International Securities Limited; CCB International Capital Limited; China Galaxy International Securities (Hong Kong) Co., Limited; Central, Hong Kong TradeGo Markets Limited; Central, Hong Kong China Merchants Securities (HK) Co., Limited; Central, Hong Kong ABCI Capital Limited</t>
        </is>
      </c>
      <c r="AS410" s="26" t="inlineStr">
        <is>
          <t>農銀國際證券有限公司; 交銀國際證券有限公司; 建銀國際金融有限公司; 中國銀河國際證券(香港)有限公司; 招商證券(香港)有限公司; 德意志銀行香港分行; 富途證券國際（香港）有限公司; 國泰君安證券(香港)有限公司; 洪泰證券有限公司; 工銀國際證券有限公司; 北拓國際證券有限公司; 東方證券(香港)有限公司; 老虎證券（香港）環球有限公司; TradeGo Markets Limited</t>
        </is>
      </c>
      <c r="AT410" s="37">
        <f>HYPERLINK("https://www1.hkexnews.hk/listedco/listconews/sehk/2025/1218/2025121800027.pdf","prospectus")</f>
        <v/>
      </c>
      <c r="AU410" s="37">
        <f>HYPERLINK("https://www1.hkexnews.hk/listedco/listconews/sehk/2025/1229/2025122902057.pdf","allotment")</f>
        <v/>
      </c>
      <c r="AV410" s="37">
        <f>HYPERLINK("https://www1.hkexnews.hk/listedco/listconews/sehk/2026/0123/2026012300001.pdf","stabilisation")</f>
        <v/>
      </c>
      <c r="AW410" s="26" t="inlineStr">
        <is>
          <t>P/E: n/m — loss-making at IPO (use P/S) · A/H: no A-share listing · market cap: estimate from deal size / offer % of enlarged capital disagreed with the published listing cap — published figure adopted</t>
        </is>
      </c>
    </row>
    <row r="411">
      <c r="A411" s="25" t="inlineStr">
        <is>
          <t>2657</t>
        </is>
      </c>
      <c r="B411" s="26" t="inlineStr">
        <is>
          <t>FOREST CABIN</t>
        </is>
      </c>
      <c r="C411" s="26" t="inlineStr">
        <is>
          <t>林清軒</t>
        </is>
      </c>
      <c r="D411" s="26" t="inlineStr">
        <is>
          <t>Consumer</t>
        </is>
      </c>
      <c r="E411" s="26" t="inlineStr">
        <is>
          <t>Beauty / personal care</t>
        </is>
      </c>
      <c r="F411" s="26" t="inlineStr">
        <is>
          <t>Standard</t>
        </is>
      </c>
      <c r="G411" s="27" t="n">
        <v>46021</v>
      </c>
      <c r="H411" s="28" t="n">
        <v>1086.2</v>
      </c>
      <c r="I411" s="26" t="inlineStr">
        <is>
          <t>gross (stated)</t>
        </is>
      </c>
      <c r="J411" s="29" t="n"/>
      <c r="K411" s="29" t="n">
        <v>77.77</v>
      </c>
      <c r="L411" s="29" t="n">
        <v>77.77</v>
      </c>
      <c r="M411" s="26" t="inlineStr">
        <is>
          <t>Y</t>
        </is>
      </c>
      <c r="N411" s="30" t="n">
        <v>100</v>
      </c>
      <c r="O411" s="28" t="n">
        <v>10861.7</v>
      </c>
      <c r="P411" s="26" t="inlineStr">
        <is>
          <t>prospectus:stated market capitalisation</t>
        </is>
      </c>
      <c r="Q411" s="31" t="n">
        <v>1235.81</v>
      </c>
      <c r="R411" s="32" t="n">
        <v>19.79</v>
      </c>
      <c r="S411" s="33" t="n">
        <v>87.3</v>
      </c>
      <c r="T411" s="26" t="inlineStr">
        <is>
          <t>Loyal Valley Capital; SynerSuccess Capital Ltd; Mega Prime Development Limited; Tulip Fund, L.P; Dajia Life Insurance Co., Ltd; Mr. Sun Laichun Note; FIL Investment; Mega Prime; Duckling Fund; SS Capital; Dajia Life; Yield Royal Investment; Mr. Sun Fuchun –; Youngor Fashion –; Toutoushidao –</t>
        </is>
      </c>
      <c r="U411" s="30" t="n">
        <v>11.33</v>
      </c>
      <c r="V411" s="26" t="n"/>
      <c r="W411" s="34" t="n">
        <v>9.300000000000001</v>
      </c>
      <c r="X411" s="34" t="n">
        <v>6.72</v>
      </c>
      <c r="Y411" s="34" t="n">
        <v>3.64</v>
      </c>
      <c r="Z411" s="34" t="n">
        <v>-18.28</v>
      </c>
      <c r="AA411" s="34" t="n">
        <v>-5.18</v>
      </c>
      <c r="AB411" s="34" t="n">
        <v>-4.82</v>
      </c>
      <c r="AC411" s="34" t="n">
        <v>8.460000000000001</v>
      </c>
      <c r="AD411" s="26" t="inlineStr">
        <is>
          <t>Hang Seng Commerce &amp; Industry sub-index</t>
        </is>
      </c>
      <c r="AE411" s="34" t="n">
        <v>-33.65</v>
      </c>
      <c r="AF411" s="28" t="n">
        <v>1330.6</v>
      </c>
      <c r="AG411" s="28" t="n">
        <v>-0.1</v>
      </c>
      <c r="AH411" s="26" t="inlineStr">
        <is>
          <t>N</t>
        </is>
      </c>
      <c r="AI411" s="38">
        <f>IF('BBG Verify'!O411="","not filed — run on terminal",'BBG Verify'!O411)</f>
        <v/>
      </c>
      <c r="AJ411" s="35" t="n">
        <v>8.199999999999999</v>
      </c>
      <c r="AK411" s="26" t="inlineStr">
        <is>
          <t>N</t>
        </is>
      </c>
      <c r="AL411" s="36">
        <f>IF('BBG Verify'!K411="","not filed — run on terminal",'BBG Verify'!K411)</f>
        <v/>
      </c>
      <c r="AM411" s="26" t="inlineStr">
        <is>
          <t>N/A</t>
        </is>
      </c>
      <c r="AN411" s="26" t="inlineStr">
        <is>
          <t>N/A</t>
        </is>
      </c>
      <c r="AO411" s="26" t="inlineStr">
        <is>
          <t>N/A</t>
        </is>
      </c>
      <c r="AP411" s="26" t="inlineStr">
        <is>
          <t>CITIC Securities (Hong Kong) Limited; Huatai Financial Holdings (Hong Kong) Limited</t>
        </is>
      </c>
      <c r="AQ411" s="26" t="inlineStr">
        <is>
          <t>華泰金融控股(香港)有限公司; 中信證券(香港)有限公司</t>
        </is>
      </c>
      <c r="AR411" s="26" t="inlineStr">
        <is>
          <t>Managers and Capital Market Intermediaries CLSA Limited; Huatai Financial Holdings (Hong Kong) Limited; Futu Securities International (Hong Kong) Limited; Tiger Brokers (HK) Global Limited</t>
        </is>
      </c>
      <c r="AS411" s="26" t="inlineStr">
        <is>
          <t>中信里昂證券有限公司; 富途證券國際（香港）有限公司; 華泰金融控股(香港)有限公司; 老虎證券（香港）環球有限公司</t>
        </is>
      </c>
      <c r="AT411" s="37">
        <f>HYPERLINK("https://www1.hkexnews.hk/listedco/listconews/sehk/2025/1218/2025121800221.pdf","prospectus")</f>
        <v/>
      </c>
      <c r="AU411" s="37">
        <f>HYPERLINK("https://www1.hkexnews.hk/listedco/listconews/sehk/2025/1229/2025122902127.pdf","allotment")</f>
        <v/>
      </c>
      <c r="AV411" s="26" t="n"/>
      <c r="AW411" s="26" t="inlineStr">
        <is>
          <t>P/E: n/m — loss-making at IPO (use P/S) · greenshoe: end-of-stabilisation notice not located · A/H: no A-share listing</t>
        </is>
      </c>
    </row>
    <row r="412">
      <c r="A412" s="25" t="inlineStr">
        <is>
          <t>2671</t>
        </is>
      </c>
      <c r="B412" s="26" t="inlineStr">
        <is>
          <t>USAS BUILDING</t>
        </is>
      </c>
      <c r="C412" s="26" t="inlineStr">
        <is>
          <t>美聯股份</t>
        </is>
      </c>
      <c r="D412" s="26" t="inlineStr">
        <is>
          <t>Industrials</t>
        </is>
      </c>
      <c r="E412" s="26" t="inlineStr">
        <is>
          <t>Construction / engineering</t>
        </is>
      </c>
      <c r="F412" s="26" t="inlineStr">
        <is>
          <t>Standard</t>
        </is>
      </c>
      <c r="G412" s="27" t="n">
        <v>46021</v>
      </c>
      <c r="H412" s="28" t="n">
        <v>174.7</v>
      </c>
      <c r="I412" s="26" t="inlineStr">
        <is>
          <t>gross (price x shares)</t>
        </is>
      </c>
      <c r="J412" s="29" t="n">
        <v>7.1</v>
      </c>
      <c r="K412" s="29" t="n">
        <v>9.16</v>
      </c>
      <c r="L412" s="29" t="n">
        <v>7.1</v>
      </c>
      <c r="M412" s="26" t="inlineStr">
        <is>
          <t>N</t>
        </is>
      </c>
      <c r="N412" s="30" t="n">
        <v>77.5</v>
      </c>
      <c r="O412" s="28" t="n">
        <v>855.9</v>
      </c>
      <c r="P412" s="26" t="inlineStr">
        <is>
          <t>derived:price x shares upon listing</t>
        </is>
      </c>
      <c r="Q412" s="31" t="n">
        <v>146.25</v>
      </c>
      <c r="R412" s="32" t="n">
        <v>1.48</v>
      </c>
      <c r="S412" s="33" t="n">
        <v>22.9</v>
      </c>
      <c r="T412" s="26" t="inlineStr">
        <is>
          <t>Colorful Cloud; Tiny Jade; Mr. Wu Xing Hua; Logic Selective</t>
        </is>
      </c>
      <c r="U412" s="30" t="n">
        <v>14.4</v>
      </c>
      <c r="V412" s="26" t="n"/>
      <c r="W412" s="34" t="n">
        <v>7.61</v>
      </c>
      <c r="X412" s="34" t="n">
        <v>4.23</v>
      </c>
      <c r="Y412" s="34" t="n">
        <v>-29.58</v>
      </c>
      <c r="Z412" s="34" t="n">
        <v>-42.25</v>
      </c>
      <c r="AA412" s="34" t="n">
        <v>-34.56</v>
      </c>
      <c r="AB412" s="34" t="n">
        <v>-38.04</v>
      </c>
      <c r="AC412" s="34" t="n">
        <v>8.460000000000001</v>
      </c>
      <c r="AD412" s="26" t="inlineStr">
        <is>
          <t>Hang Seng Commerce &amp; Industry sub-index</t>
        </is>
      </c>
      <c r="AE412" s="34" t="n">
        <v>-21.13</v>
      </c>
      <c r="AF412" s="28" t="n">
        <v>2.2</v>
      </c>
      <c r="AG412" s="28" t="n">
        <v>77.90000000000001</v>
      </c>
      <c r="AH412" s="26" t="inlineStr">
        <is>
          <t>Y</t>
        </is>
      </c>
      <c r="AI412" s="35" t="n">
        <v>11</v>
      </c>
      <c r="AJ412" s="35" t="n">
        <v>389</v>
      </c>
      <c r="AK412" s="26" t="inlineStr">
        <is>
          <t>N</t>
        </is>
      </c>
      <c r="AL412" s="36">
        <f>IF('BBG Verify'!K412="","not filed — run on terminal",'BBG Verify'!K412)</f>
        <v/>
      </c>
      <c r="AM412" s="26" t="inlineStr">
        <is>
          <t>N/A</t>
        </is>
      </c>
      <c r="AN412" s="26" t="inlineStr">
        <is>
          <t>N/A</t>
        </is>
      </c>
      <c r="AO412" s="26" t="inlineStr">
        <is>
          <t>N/A</t>
        </is>
      </c>
      <c r="AP412" s="26" t="inlineStr">
        <is>
          <t>Shenwan Hongyuan Capital (H.K.) Limited</t>
        </is>
      </c>
      <c r="AQ412" s="26" t="inlineStr">
        <is>
          <t>申萬宏源融資（香港）有限公司</t>
        </is>
      </c>
      <c r="AR412" s="26" t="inlineStr">
        <is>
          <t>Shenwan Hongyuan Securities (H.K.) Limited; ABCI Capital Limited; DIRECTORS AND PARTIES INVOLVED IN THE GLOBAL OFFERING –8 6– BOCI Asia Limited; Patrons Securities Limited; SPDB International Capital Limited; TradeGo Markets Limited</t>
        </is>
      </c>
      <c r="AS412" s="26" t="inlineStr">
        <is>
          <t>農銀國際證券有限公司; 中銀國際亞洲有限公司; 百惠證券有限公司; 申萬宏源證券（香港）有限公司; 浦銀國際融資有限公司; TradeGo Markets Limited</t>
        </is>
      </c>
      <c r="AT412" s="37">
        <f>HYPERLINK("https://www1.hkexnews.hk/listedco/listconews/sehk/2025/1218/2025121800035.pdf","prospectus")</f>
        <v/>
      </c>
      <c r="AU412" s="37">
        <f>HYPERLINK("https://www1.hkexnews.hk/listedco/listconews/sehk/2025/1229/2025122902215.pdf","allotment")</f>
        <v/>
      </c>
      <c r="AV412" s="26" t="n"/>
      <c r="AW412" s="26" t="inlineStr">
        <is>
          <t>greenshoe: end-of-stabilisation notice not located · A/H: no A-share listing</t>
        </is>
      </c>
    </row>
    <row r="413">
      <c r="A413" s="25" t="inlineStr">
        <is>
          <t>3696</t>
        </is>
      </c>
      <c r="B413" s="26" t="inlineStr">
        <is>
          <t>INSILICO</t>
        </is>
      </c>
      <c r="C413" s="26" t="inlineStr">
        <is>
          <t>英矽智能</t>
        </is>
      </c>
      <c r="D413" s="26" t="inlineStr">
        <is>
          <t>Tech/AI</t>
        </is>
      </c>
      <c r="E413" s="26" t="inlineStr">
        <is>
          <t>AI application / agent software</t>
        </is>
      </c>
      <c r="F413" s="26" t="inlineStr">
        <is>
          <t>Standard</t>
        </is>
      </c>
      <c r="G413" s="27" t="n">
        <v>46021</v>
      </c>
      <c r="H413" s="28" t="n">
        <v>2277.3</v>
      </c>
      <c r="I413" s="26" t="inlineStr">
        <is>
          <t>gross (stated)</t>
        </is>
      </c>
      <c r="J413" s="29" t="n"/>
      <c r="K413" s="29" t="n">
        <v>24.05</v>
      </c>
      <c r="L413" s="29" t="n">
        <v>24.05</v>
      </c>
      <c r="M413" s="26" t="inlineStr">
        <is>
          <t>Y</t>
        </is>
      </c>
      <c r="N413" s="30" t="n">
        <v>100</v>
      </c>
      <c r="O413" s="28" t="n">
        <v>13406</v>
      </c>
      <c r="P413" s="26" t="inlineStr">
        <is>
          <t>prospectus:stated market capitalisation</t>
        </is>
      </c>
      <c r="Q413" s="31" t="n">
        <v>1427.37</v>
      </c>
      <c r="R413" s="32" t="n">
        <v>26.27</v>
      </c>
      <c r="S413" s="33" t="n">
        <v>39.29</v>
      </c>
      <c r="T413" s="26" t="inlineStr">
        <is>
          <t>Tencent; Oaktree; Schroders; China AMC; E Fund Management; Fullgoal; Fullgoal Fund; Harvest; Taikang Life; Infini; Taibai Investments; UBS AM Singapore</t>
        </is>
      </c>
      <c r="U413" s="30" t="n">
        <v>15</v>
      </c>
      <c r="V413" s="26" t="inlineStr">
        <is>
          <t>full</t>
        </is>
      </c>
      <c r="W413" s="34" t="n">
        <v>24.66</v>
      </c>
      <c r="X413" s="34" t="n">
        <v>68.40000000000001</v>
      </c>
      <c r="Y413" s="34" t="n">
        <v>172.35</v>
      </c>
      <c r="Z413" s="34" t="n">
        <v>138.05</v>
      </c>
      <c r="AA413" s="34" t="n">
        <v>118.47</v>
      </c>
      <c r="AB413" s="34" t="n">
        <v>166.02</v>
      </c>
      <c r="AC413" s="34" t="n">
        <v>6.33</v>
      </c>
      <c r="AD413" s="26" t="inlineStr">
        <is>
          <t>HSTECH (Hang Seng TECH ETF)</t>
        </is>
      </c>
      <c r="AE413" s="34" t="n">
        <v>72.47</v>
      </c>
      <c r="AF413" s="28" t="n">
        <v>669.5</v>
      </c>
      <c r="AG413" s="28" t="n">
        <v>-133.3</v>
      </c>
      <c r="AH413" s="26" t="inlineStr">
        <is>
          <t>N</t>
        </is>
      </c>
      <c r="AI413" s="38">
        <f>IF('BBG Verify'!O413="","not filed — run on terminal",'BBG Verify'!O413)</f>
        <v/>
      </c>
      <c r="AJ413" s="35" t="n">
        <v>20</v>
      </c>
      <c r="AK413" s="26" t="inlineStr">
        <is>
          <t>N</t>
        </is>
      </c>
      <c r="AL413" s="36">
        <f>IF('BBG Verify'!K413="","not filed — run on terminal",'BBG Verify'!K413)</f>
        <v/>
      </c>
      <c r="AM413" s="26" t="inlineStr">
        <is>
          <t>N/A</t>
        </is>
      </c>
      <c r="AN413" s="26" t="inlineStr">
        <is>
          <t>N/A</t>
        </is>
      </c>
      <c r="AO413" s="26" t="inlineStr">
        <is>
          <t>N/A</t>
        </is>
      </c>
      <c r="AP413" s="26" t="inlineStr">
        <is>
          <t>Morgan Stanley Asia Limited; China International Capital Corporation Hong Kong Securities Limited; GF Capital (Hong Kong) Limited</t>
        </is>
      </c>
      <c r="AQ413" s="26" t="inlineStr">
        <is>
          <t>中國國際金融香港證券有限公司; 摩根士丹利亞洲有限公司; 廣發融資（香港）有限公司</t>
        </is>
      </c>
      <c r="AR413" s="26" t="inlineStr">
        <is>
          <t>Morgan Stanley Asia Limited; GF Securities (Hong Kong) Brokerage Limited; BNP Paribas Securities (Asia) Limited; Sinolink Securities (Hong Kong) Company Limited; BOCI Asia Limited</t>
        </is>
      </c>
      <c r="AS413" s="26" t="inlineStr">
        <is>
          <t>法國巴黎證券（亞洲）有限公司; 中銀國際亞洲有限公司; 中國國際金融香港證券有限公司; 廣發證券（香港）經紀有限公司; 摩根士丹利亞洲有限公司; 國金證券（香港）有限公司</t>
        </is>
      </c>
      <c r="AT413" s="37">
        <f>HYPERLINK("https://www1.hkexnews.hk/listedco/listconews/sehk/2025/1218/2025121800031.pdf","prospectus")</f>
        <v/>
      </c>
      <c r="AU413" s="37">
        <f>HYPERLINK("https://www1.hkexnews.hk/listedco/listconews/sehk/2025/1229/2025122902395.pdf","allotment")</f>
        <v/>
      </c>
      <c r="AV413" s="37">
        <f>HYPERLINK("https://www1.hkexnews.hk/listedco/listconews/sehk/2026/0122/2026012201223.pdf","stabilisation")</f>
        <v/>
      </c>
      <c r="AW413" s="26" t="inlineStr">
        <is>
          <t>P/E: n/m — loss-making at IPO (use P/S) · A/H: no A-share listing</t>
        </is>
      </c>
    </row>
    <row r="414">
      <c r="A414" s="25" t="inlineStr">
        <is>
          <t>6651</t>
        </is>
      </c>
      <c r="B414" s="26" t="inlineStr">
        <is>
          <t>51WORLD</t>
        </is>
      </c>
      <c r="C414" s="26" t="inlineStr">
        <is>
          <t>五一視界</t>
        </is>
      </c>
      <c r="D414" s="26" t="inlineStr">
        <is>
          <t>Tech/AI</t>
        </is>
      </c>
      <c r="E414" s="26" t="inlineStr">
        <is>
          <t>SaaS / enterprise software</t>
        </is>
      </c>
      <c r="F414" s="26" t="inlineStr">
        <is>
          <t>Standard</t>
        </is>
      </c>
      <c r="G414" s="27" t="n">
        <v>46021</v>
      </c>
      <c r="H414" s="28" t="n">
        <v>731.3</v>
      </c>
      <c r="I414" s="26" t="inlineStr">
        <is>
          <t>gross (stated)</t>
        </is>
      </c>
      <c r="J414" s="29" t="n"/>
      <c r="K414" s="29" t="n">
        <v>30.5</v>
      </c>
      <c r="L414" s="29" t="n">
        <v>30.5</v>
      </c>
      <c r="M414" s="26" t="inlineStr">
        <is>
          <t>Y</t>
        </is>
      </c>
      <c r="N414" s="30" t="n">
        <v>100</v>
      </c>
      <c r="O414" s="28" t="n">
        <v>12393.9</v>
      </c>
      <c r="P414" s="26" t="inlineStr">
        <is>
          <t>derived:price x shares upon listing</t>
        </is>
      </c>
      <c r="Q414" s="31" t="n">
        <v>256.01</v>
      </c>
      <c r="R414" s="32" t="n">
        <v>2.6</v>
      </c>
      <c r="S414" s="33" t="n">
        <v>5</v>
      </c>
      <c r="T414" s="26" t="inlineStr">
        <is>
          <t>Mr. Li Yi</t>
        </is>
      </c>
      <c r="U414" s="30" t="n">
        <v>16.3</v>
      </c>
      <c r="V414" s="26" t="inlineStr">
        <is>
          <t>lapsed (no over-allocation)</t>
        </is>
      </c>
      <c r="W414" s="34" t="n">
        <v>29.9</v>
      </c>
      <c r="X414" s="34" t="n">
        <v>51.48</v>
      </c>
      <c r="Y414" s="34" t="n">
        <v>212.46</v>
      </c>
      <c r="Z414" s="34" t="n">
        <v>18.82</v>
      </c>
      <c r="AA414" s="34" t="n">
        <v>140.54</v>
      </c>
      <c r="AB414" s="34" t="n">
        <v>206.13</v>
      </c>
      <c r="AC414" s="34" t="n">
        <v>6.33</v>
      </c>
      <c r="AD414" s="26" t="inlineStr">
        <is>
          <t>HSTECH (Hang Seng TECH ETF)</t>
        </is>
      </c>
      <c r="AE414" s="34" t="n">
        <v>113.77</v>
      </c>
      <c r="AF414" s="28" t="n">
        <v>316.1</v>
      </c>
      <c r="AG414" s="28" t="n">
        <v>-86.90000000000001</v>
      </c>
      <c r="AH414" s="26" t="inlineStr">
        <is>
          <t>N</t>
        </is>
      </c>
      <c r="AI414" s="38">
        <f>IF('BBG Verify'!O414="","not filed — run on terminal",'BBG Verify'!O414)</f>
        <v/>
      </c>
      <c r="AJ414" s="35" t="n">
        <v>39.2</v>
      </c>
      <c r="AK414" s="26" t="inlineStr">
        <is>
          <t>N</t>
        </is>
      </c>
      <c r="AL414" s="36">
        <f>IF('BBG Verify'!K414="","not filed — run on terminal",'BBG Verify'!K414)</f>
        <v/>
      </c>
      <c r="AM414" s="26" t="inlineStr">
        <is>
          <t>N/A</t>
        </is>
      </c>
      <c r="AN414" s="26" t="inlineStr">
        <is>
          <t>N/A</t>
        </is>
      </c>
      <c r="AO414" s="26" t="inlineStr">
        <is>
          <t>N/A</t>
        </is>
      </c>
      <c r="AP414" s="26" t="inlineStr">
        <is>
          <t>and Sponsor-OCs China International Capital Corporation Hong Kong Securities Limited; Huatai Financial Holdings (Hong Kong) Limited</t>
        </is>
      </c>
      <c r="AQ414" s="26" t="inlineStr">
        <is>
          <t>中國國際金融香港證券有限公司; 華泰金融控股(香港)有限公司</t>
        </is>
      </c>
      <c r="AR414" s="26" t="inlineStr">
        <is>
          <t>China International Capital Corporation Hong Kong Securities Limited; Central, Hong Kong CMB International Capital Limited; Central, Hong Kong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AS414" s="26" t="inlineStr">
        <is>
          <t>農銀國際證券有限公司; 中銀國際亞洲有限公司; 建銀國際金融有限公司; 中國國際金融香港證券有限公司; 民銀證券有限公司; 招銀國際融資有限公司; 中信建投(國際)融資有限公司; 富途證券國際（香港）有限公司; 華泰金融控股(香港)有限公司; 工銀國際證券有限公司; 浦銀國際融資有限公司; 華盛資本証券有限公司</t>
        </is>
      </c>
      <c r="AT414" s="37">
        <f>HYPERLINK("https://www1.hkexnews.hk/listedco/listconews/sehk/2025/1218/2025121800029.pdf","prospectus")</f>
        <v/>
      </c>
      <c r="AU414" s="37">
        <f>HYPERLINK("https://www1.hkexnews.hk/listedco/listconews/sehk/2025/1229/2025122902393.pdf","allotment")</f>
        <v/>
      </c>
      <c r="AV414" s="37">
        <f>HYPERLINK("https://www1.hkexnews.hk/listedco/listconews/sehk/2026/0122/2026012200344.pdf","stabilisation")</f>
        <v/>
      </c>
      <c r="AW414" s="26" t="inlineStr">
        <is>
          <t>P/E: n/m — loss-making at IPO (use P/S) · A/H: no A-share listing</t>
        </is>
      </c>
    </row>
    <row r="415">
      <c r="A415" s="25" t="inlineStr">
        <is>
          <t>6600</t>
        </is>
      </c>
      <c r="B415" s="26" t="inlineStr">
        <is>
          <t>ONEROBOTICS</t>
        </is>
      </c>
      <c r="C415" s="26" t="inlineStr">
        <is>
          <t>臥安機器人</t>
        </is>
      </c>
      <c r="D415" s="26" t="inlineStr">
        <is>
          <t>Tech/AI</t>
        </is>
      </c>
      <c r="E415" s="26" t="inlineStr">
        <is>
          <t>Robotics &amp; autonomous driving</t>
        </is>
      </c>
      <c r="F415" s="26" t="inlineStr">
        <is>
          <t>Standard</t>
        </is>
      </c>
      <c r="G415" s="27" t="n">
        <v>46021</v>
      </c>
      <c r="H415" s="28" t="n">
        <v>1640.01</v>
      </c>
      <c r="I415" s="26" t="inlineStr">
        <is>
          <t>gross (stated)</t>
        </is>
      </c>
      <c r="J415" s="29" t="n"/>
      <c r="K415" s="29" t="n">
        <v>73.8</v>
      </c>
      <c r="L415" s="29" t="n">
        <v>73.8</v>
      </c>
      <c r="M415" s="26" t="inlineStr">
        <is>
          <t>Y</t>
        </is>
      </c>
      <c r="N415" s="30" t="n">
        <v>100</v>
      </c>
      <c r="O415" s="28" t="n">
        <v>16400</v>
      </c>
      <c r="P415" s="26" t="inlineStr">
        <is>
          <t>derived:price x shares upon listing</t>
        </is>
      </c>
      <c r="Q415" s="31" t="n">
        <v>254.5</v>
      </c>
      <c r="R415" s="32" t="n">
        <v>8.9</v>
      </c>
      <c r="S415" s="33" t="n"/>
      <c r="T415" s="26" t="inlineStr">
        <is>
          <t>HHLR Advisors, Ltd; Infini Global Master Fund; Hunter Ventures Limited; Sage Partners Master Fund; Huatai Capital Investment Limited; Li Zhichen/ 李志晨; Pan Yang/ 潘陽; Brizan Ventures V LP; HACF, L.P</t>
        </is>
      </c>
      <c r="U415" s="30" t="n">
        <v>15</v>
      </c>
      <c r="V415" s="26" t="n"/>
      <c r="W415" s="34" t="n">
        <v>0.07000000000000001</v>
      </c>
      <c r="X415" s="34" t="n">
        <v>40.24</v>
      </c>
      <c r="Y415" s="34" t="n">
        <v>129.27</v>
      </c>
      <c r="Z415" s="34" t="n">
        <v>33.4</v>
      </c>
      <c r="AA415" s="34" t="n">
        <v>129.11</v>
      </c>
      <c r="AB415" s="34" t="n">
        <v>122.94</v>
      </c>
      <c r="AC415" s="34" t="n">
        <v>6.33</v>
      </c>
      <c r="AD415" s="26" t="inlineStr">
        <is>
          <t>HSTECH (Hang Seng TECH ETF)</t>
        </is>
      </c>
      <c r="AE415" s="34" t="n">
        <v>-13.08</v>
      </c>
      <c r="AF415" s="28" t="n">
        <v>990.6</v>
      </c>
      <c r="AG415" s="28" t="n">
        <v>-27.1</v>
      </c>
      <c r="AH415" s="26" t="inlineStr">
        <is>
          <t>N</t>
        </is>
      </c>
      <c r="AI415" s="38">
        <f>IF('BBG Verify'!O415="","not filed — run on terminal",'BBG Verify'!O415)</f>
        <v/>
      </c>
      <c r="AJ415" s="35" t="n">
        <v>16.6</v>
      </c>
      <c r="AK415" s="26" t="inlineStr">
        <is>
          <t>N</t>
        </is>
      </c>
      <c r="AL415" s="36">
        <f>IF('BBG Verify'!K415="","not filed — run on terminal",'BBG Verify'!K415)</f>
        <v/>
      </c>
      <c r="AM415" s="26" t="inlineStr">
        <is>
          <t>N/A</t>
        </is>
      </c>
      <c r="AN415" s="26" t="inlineStr">
        <is>
          <t>N/A</t>
        </is>
      </c>
      <c r="AO415" s="26" t="inlineStr">
        <is>
          <t>N/A</t>
        </is>
      </c>
      <c r="AP415" s="26" t="n"/>
      <c r="AQ415" s="26" t="inlineStr">
        <is>
          <t>華泰金融控股(香港)有限公司; 國泰君安融資有限公司</t>
        </is>
      </c>
      <c r="AR415" s="26" t="inlineStr">
        <is>
          <t>中銀國際亞洲有限公司; 中國銀河國際證券(香港)有限公司; 富途證券國際（香港）有限公司; 國泰君安證券(香港)有限公司; 華泰金融控股(香港)有限公司</t>
        </is>
      </c>
      <c r="AS415" s="26" t="inlineStr">
        <is>
          <t>中銀國際亞洲有限公司; 中國銀河國際證券(香港)有限公司; 富途證券國際（香港）有限公司; 國泰君安證券(香港)有限公司; 華泰金融控股(香港)有限公司</t>
        </is>
      </c>
      <c r="AT415" s="37">
        <f>HYPERLINK("https://www1.hkexnews.hk/listedco/listconews/sehk/2025/1218/2025121800167.pdf","prospectus")</f>
        <v/>
      </c>
      <c r="AU415" s="37">
        <f>HYPERLINK("https://www1.hkexnews.hk/listedco/listconews/sehk/2025/1229/2025122902399.pdf","allotment")</f>
        <v/>
      </c>
      <c r="AV415" s="26" t="n"/>
      <c r="AW415" s="26" t="inlineStr">
        <is>
          <t>P/E: n/m — loss-making at IPO (use P/S) · greenshoe: end-of-stabilisation notice not located · price range: fixed-price offering (no indicative range) · A/H: no A-share listing · sponsor: English name not in the filing text; AAStocks 保薦人 shown</t>
        </is>
      </c>
    </row>
    <row r="416">
      <c r="A416" s="25" t="inlineStr">
        <is>
          <t>6082</t>
        </is>
      </c>
      <c r="B416" s="26" t="inlineStr">
        <is>
          <t>BIREN TECH</t>
        </is>
      </c>
      <c r="C416" s="26" t="inlineStr">
        <is>
          <t>壁仞科技</t>
        </is>
      </c>
      <c r="D416" s="26" t="inlineStr">
        <is>
          <t>Tech/AI</t>
        </is>
      </c>
      <c r="E416" s="26" t="inlineStr">
        <is>
          <t>AI chips &amp; semis</t>
        </is>
      </c>
      <c r="F416" s="26" t="inlineStr">
        <is>
          <t>Standard</t>
        </is>
      </c>
      <c r="G416" s="27" t="n">
        <v>46024</v>
      </c>
      <c r="H416" s="28" t="n">
        <v>5583</v>
      </c>
      <c r="I416" s="26" t="inlineStr">
        <is>
          <t>gross (stated)</t>
        </is>
      </c>
      <c r="J416" s="29" t="n">
        <v>17</v>
      </c>
      <c r="K416" s="29" t="n">
        <v>19.6</v>
      </c>
      <c r="L416" s="29" t="n">
        <v>19.6</v>
      </c>
      <c r="M416" s="26" t="inlineStr">
        <is>
          <t>Y</t>
        </is>
      </c>
      <c r="N416" s="30" t="n">
        <v>100</v>
      </c>
      <c r="O416" s="28" t="n">
        <v>40103</v>
      </c>
      <c r="P416" s="26" t="inlineStr">
        <is>
          <t>prospectus:stated market capitalisation</t>
        </is>
      </c>
      <c r="Q416" s="31" t="n">
        <v>2347.53</v>
      </c>
      <c r="R416" s="39">
        <f>IF('BBG Verify'!E416="","not filed — run on terminal",'BBG Verify'!E416)</f>
        <v/>
      </c>
      <c r="S416" s="33" t="n">
        <v>51.93</v>
      </c>
      <c r="T416" s="26" t="inlineStr">
        <is>
          <t>Qiming Venture Partners; Aspex Master Fund; Hao Great China Focus Fund; Master Fund, L.P; 有限公司)</t>
        </is>
      </c>
      <c r="U416" s="30" t="n">
        <v>15</v>
      </c>
      <c r="V416" s="26" t="inlineStr">
        <is>
          <t>full</t>
        </is>
      </c>
      <c r="W416" s="34" t="n">
        <v>75.81999999999999</v>
      </c>
      <c r="X416" s="34" t="n">
        <v>73.78</v>
      </c>
      <c r="Y416" s="34" t="n">
        <v>67.34999999999999</v>
      </c>
      <c r="Z416" s="34" t="n">
        <v>75.31</v>
      </c>
      <c r="AA416" s="34" t="n">
        <v>-4.82</v>
      </c>
      <c r="AB416" s="34" t="n">
        <v>67.16</v>
      </c>
      <c r="AC416" s="34" t="n">
        <v>0.19</v>
      </c>
      <c r="AD416" s="26" t="inlineStr">
        <is>
          <t>HSTECH (Hang Seng TECH ETF)</t>
        </is>
      </c>
      <c r="AE416" s="34" t="n">
        <v>91.63</v>
      </c>
      <c r="AF416" s="28" t="n">
        <v>370.5</v>
      </c>
      <c r="AG416" s="28" t="n">
        <v>-1691.9</v>
      </c>
      <c r="AH416" s="26" t="inlineStr">
        <is>
          <t>N</t>
        </is>
      </c>
      <c r="AI416" s="38">
        <f>IF('BBG Verify'!O416="","not filed — run on terminal",'BBG Verify'!O416)</f>
        <v/>
      </c>
      <c r="AJ416" s="35" t="n">
        <v>108.2</v>
      </c>
      <c r="AK416" s="26" t="inlineStr">
        <is>
          <t>N</t>
        </is>
      </c>
      <c r="AL416" s="36">
        <f>IF('BBG Verify'!K416="","not filed — run on terminal",'BBG Verify'!K416)</f>
        <v/>
      </c>
      <c r="AM416" s="26" t="inlineStr">
        <is>
          <t>N/A</t>
        </is>
      </c>
      <c r="AN416" s="26" t="inlineStr">
        <is>
          <t>N/A</t>
        </is>
      </c>
      <c r="AO416" s="26" t="inlineStr">
        <is>
          <t>N/A</t>
        </is>
      </c>
      <c r="AP416" s="26" t="inlineStr">
        <is>
          <t>China International Capital Corporation Hong Kong Securities Limited; Ping An of China Capital (Hong Kong) Company Limited; BOCI Asia Limited; Hong Kong Securities Limited; Ping An Securities (Hong Kong) Company Limited</t>
        </is>
      </c>
      <c r="AQ416" s="26" t="inlineStr">
        <is>
          <t>中國國際金融香港證券有限公司; 中國平安資本（香港）有限公司; 中銀國際亞洲有限公司</t>
        </is>
      </c>
      <c r="AR416" s="26" t="inlineStr">
        <is>
          <t>China International Capital Corporation Hong Kong Securities Limited; Ping An Securities (Hong Kong) Company Limited; BOCI Asia Limited; Central, Hong Kong CLSA Limited; Orient Securities (Hong Kong) Limited; Futu Securities International (Hong Kong) Limited; Managers China International Capital Corporation Hong Kong Securities Limited; SPDB International Capital Limited</t>
        </is>
      </c>
      <c r="AS416" s="26" t="inlineStr">
        <is>
          <t>中銀國際亞洲有限公司; 中國國際金融香港證券有限公司; 中信里昂證券有限公司; 富途證券國際（香港）有限公司; 東方證券(香港)有限公司; 平安證券（香港）有限公司; 浦銀國際融資有限公司</t>
        </is>
      </c>
      <c r="AT416" s="37">
        <f>HYPERLINK("https://www1.hkexnews.hk/listedco/listconews/sehk/2025/1222/2025122200019.pdf","prospectus")</f>
        <v/>
      </c>
      <c r="AU416" s="37">
        <f>HYPERLINK("https://www1.hkexnews.hk/listedco/listconews/sehk/2025/1231/2025123102783.pdf","allotment")</f>
        <v/>
      </c>
      <c r="AV416" s="37">
        <f>HYPERLINK("https://www1.hkexnews.hk/listedco/listconews/sehk/2026/0128/2026012800772.pdf","stabilisation")</f>
        <v/>
      </c>
      <c r="AW416" s="26" t="inlineStr">
        <is>
          <t>intl sub: subscription level not stated in the filing · P/E: n/m — loss-making at IPO (use P/S) · A/H: no A line; closest listed proxy {'code': '688256.SS', 'name': 'Cambricon Technologies', 'rationale': "The A-share domestic AI-compute (GPGPU/accelerator) pure-play — closest proxy for Biren's training-GPU story."}</t>
        </is>
      </c>
    </row>
    <row r="417">
      <c r="A417" s="25" t="inlineStr">
        <is>
          <t>2513</t>
        </is>
      </c>
      <c r="B417" s="26" t="inlineStr">
        <is>
          <t>KNOWLEDGE ATLAS</t>
        </is>
      </c>
      <c r="C417" s="26" t="inlineStr">
        <is>
          <t>智譜</t>
        </is>
      </c>
      <c r="D417" s="26" t="inlineStr">
        <is>
          <t>Tech/AI</t>
        </is>
      </c>
      <c r="E417" s="26" t="inlineStr">
        <is>
          <t>LLM / foundation model</t>
        </is>
      </c>
      <c r="F417" s="26" t="inlineStr">
        <is>
          <t>Standard</t>
        </is>
      </c>
      <c r="G417" s="27" t="n">
        <v>46030</v>
      </c>
      <c r="H417" s="28" t="n">
        <v>4348.1</v>
      </c>
      <c r="I417" s="26" t="inlineStr">
        <is>
          <t>gross (stated)</t>
        </is>
      </c>
      <c r="J417" s="29" t="n"/>
      <c r="K417" s="29" t="n">
        <v>116.2</v>
      </c>
      <c r="L417" s="29" t="n">
        <v>116.2</v>
      </c>
      <c r="M417" s="26" t="inlineStr">
        <is>
          <t>Y</t>
        </is>
      </c>
      <c r="N417" s="30" t="n">
        <v>100</v>
      </c>
      <c r="O417" s="28" t="n">
        <v>45058</v>
      </c>
      <c r="P417" s="26" t="inlineStr">
        <is>
          <t>derived:deal size / offer % of enlarged capital</t>
        </is>
      </c>
      <c r="Q417" s="31" t="n">
        <v>1159.46</v>
      </c>
      <c r="R417" s="32" t="n">
        <v>15.28</v>
      </c>
      <c r="S417" s="33" t="n">
        <v>68.63</v>
      </c>
      <c r="T417" s="26" t="inlineStr">
        <is>
          <t>Taikang Life; GF Fund</t>
        </is>
      </c>
      <c r="U417" s="30" t="n">
        <v>15</v>
      </c>
      <c r="V417" s="26" t="inlineStr">
        <is>
          <t>full</t>
        </is>
      </c>
      <c r="W417" s="34" t="n">
        <v>13.17</v>
      </c>
      <c r="X417" s="34" t="n">
        <v>107.4</v>
      </c>
      <c r="Y417" s="34" t="n">
        <v>74.87</v>
      </c>
      <c r="Z417" s="34" t="n">
        <v>646.13</v>
      </c>
      <c r="AA417" s="34" t="n">
        <v>54.52</v>
      </c>
      <c r="AB417" s="34" t="n">
        <v>81.89</v>
      </c>
      <c r="AC417" s="34" t="n">
        <v>-7.02</v>
      </c>
      <c r="AD417" s="26" t="inlineStr">
        <is>
          <t>HSTECH (Hang Seng TECH ETF)</t>
        </is>
      </c>
      <c r="AE417" s="34" t="n">
        <v>797.59</v>
      </c>
      <c r="AF417" s="28" t="n">
        <v>343.7</v>
      </c>
      <c r="AG417" s="28" t="n">
        <v>-2110.3</v>
      </c>
      <c r="AH417" s="26" t="inlineStr">
        <is>
          <t>N</t>
        </is>
      </c>
      <c r="AI417" s="38">
        <f>IF('BBG Verify'!O417="","not filed — run on terminal",'BBG Verify'!O417)</f>
        <v/>
      </c>
      <c r="AJ417" s="35" t="n">
        <v>131.1</v>
      </c>
      <c r="AK417" s="26" t="inlineStr">
        <is>
          <t>N</t>
        </is>
      </c>
      <c r="AL417" s="36">
        <f>IF('BBG Verify'!K417="","not filed — run on terminal",'BBG Verify'!K417)</f>
        <v/>
      </c>
      <c r="AM417" s="26" t="inlineStr">
        <is>
          <t>N/A</t>
        </is>
      </c>
      <c r="AN417" s="26" t="inlineStr">
        <is>
          <t>N/A</t>
        </is>
      </c>
      <c r="AO417" s="26" t="inlineStr">
        <is>
          <t>N/A</t>
        </is>
      </c>
      <c r="AP417" s="26" t="inlineStr">
        <is>
          <t>CICC</t>
        </is>
      </c>
      <c r="AQ417" s="26" t="inlineStr">
        <is>
          <t>中國國際金融香港證券有限公司</t>
        </is>
      </c>
      <c r="AR417" s="26" t="inlineStr">
        <is>
          <t>Hong Kong Securities Limited; Central, Hong Kong 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AS417" s="26" t="inlineStr">
        <is>
          <t>交銀國際證券有限公司; 中國國際金融香港證券有限公司; 招銀國際融資有限公司; 招商證券(香港)有限公司; 富途證券國際（香港）有限公司; 國泰君安證券(香港)有限公司; 華泰金融控股(香港)有限公司; 富明證券有限公司; 浦銀國際融資有限公司; 老虎證券（香港）環球有限公司; 大華繼顯(香港)有限公司; 浙商國際金融控股有限公司</t>
        </is>
      </c>
      <c r="AT417" s="37">
        <f>HYPERLINK("https://www1.hkexnews.hk/listedco/listconews/sehk/2025/1230/2025123000017.pdf","prospectus")</f>
        <v/>
      </c>
      <c r="AU417" s="37">
        <f>HYPERLINK("https://www1.hkexnews.hk/listedco/listconews/sehk/2026/0107/2026010701798.pdf","allotment")</f>
        <v/>
      </c>
      <c r="AV417" s="37">
        <f>HYPERLINK("https://www1.hkexnews.hk/listedco/listconews/sehk/2026/0204/2026020402110.pdf","stabilisation")</f>
        <v/>
      </c>
      <c r="AW417" s="26" t="inlineStr">
        <is>
          <t>P/E: n/m — loss-making at IPO (use P/S) · price range: fixed-price offering (no indicative range) · A/H: no A-share listing</t>
        </is>
      </c>
    </row>
    <row r="418">
      <c r="A418" s="25" t="inlineStr">
        <is>
          <t>9903</t>
        </is>
      </c>
      <c r="B418" s="26" t="inlineStr">
        <is>
          <t>ILUVATAR COREX</t>
        </is>
      </c>
      <c r="C418" s="26" t="inlineStr">
        <is>
          <t>天數智芯</t>
        </is>
      </c>
      <c r="D418" s="26" t="inlineStr">
        <is>
          <t>Tech/AI</t>
        </is>
      </c>
      <c r="E418" s="26" t="inlineStr">
        <is>
          <t>AI chips &amp; semis</t>
        </is>
      </c>
      <c r="F418" s="26" t="inlineStr">
        <is>
          <t>Standard</t>
        </is>
      </c>
      <c r="G418" s="27" t="n">
        <v>46030</v>
      </c>
      <c r="H418" s="28" t="n">
        <v>3677.4</v>
      </c>
      <c r="I418" s="26" t="inlineStr">
        <is>
          <t>gross (stated)</t>
        </is>
      </c>
      <c r="J418" s="29" t="n"/>
      <c r="K418" s="29" t="n">
        <v>144.6</v>
      </c>
      <c r="L418" s="29" t="n">
        <v>144.6</v>
      </c>
      <c r="M418" s="26" t="inlineStr">
        <is>
          <t>Y</t>
        </is>
      </c>
      <c r="N418" s="30" t="n">
        <v>100</v>
      </c>
      <c r="O418" s="28" t="n">
        <v>36774.3</v>
      </c>
      <c r="P418" s="26" t="inlineStr">
        <is>
          <t>derived:price x shares upon listing</t>
        </is>
      </c>
      <c r="Q418" s="31" t="n">
        <v>414.24</v>
      </c>
      <c r="R418" s="32" t="n">
        <v>10.68</v>
      </c>
      <c r="S418" s="33" t="n">
        <v>43.02</v>
      </c>
      <c r="T418" s="26" t="inlineStr">
        <is>
          <t>Wind Sabre Fund SPC; Alphahill Capital Limited; CMB International Capital Limited; XN Mountain International Limited; Wind Sabre Opportunities Fund; Huatai Capital; Engine International Technology Co., Limited; Duckling Fund, L.P; DeepRoot Alpha Ltd; Limited China Orient Enhanced Income Fund; China Orient Multi-Strategy Master Fund; CFIG Holdings Limited; York House Investment Limited; XN Mountain International; Limited Wind Sabre Fund SPC</t>
        </is>
      </c>
      <c r="U418" s="30" t="n"/>
      <c r="V418" s="26" t="n"/>
      <c r="W418" s="34" t="n">
        <v>8.44</v>
      </c>
      <c r="X418" s="34" t="n">
        <v>21.72</v>
      </c>
      <c r="Y418" s="34" t="n">
        <v>14.25</v>
      </c>
      <c r="Z418" s="34" t="n">
        <v>156.57</v>
      </c>
      <c r="AA418" s="34" t="n">
        <v>5.36</v>
      </c>
      <c r="AB418" s="34" t="n">
        <v>21.27</v>
      </c>
      <c r="AC418" s="34" t="n">
        <v>-7.02</v>
      </c>
      <c r="AD418" s="26" t="inlineStr">
        <is>
          <t>HSTECH (Hang Seng TECH ETF)</t>
        </is>
      </c>
      <c r="AE418" s="34" t="n">
        <v>193.91</v>
      </c>
      <c r="AF418" s="28" t="n">
        <v>593.5</v>
      </c>
      <c r="AG418" s="28" t="n">
        <v>-1104</v>
      </c>
      <c r="AH418" s="26" t="inlineStr">
        <is>
          <t>N</t>
        </is>
      </c>
      <c r="AI418" s="38">
        <f>IF('BBG Verify'!O418="","not filed — run on terminal",'BBG Verify'!O418)</f>
        <v/>
      </c>
      <c r="AJ418" s="35" t="n">
        <v>62</v>
      </c>
      <c r="AK418" s="26" t="inlineStr">
        <is>
          <t>N</t>
        </is>
      </c>
      <c r="AL418" s="36">
        <f>IF('BBG Verify'!K418="","not filed — run on terminal",'BBG Verify'!K418)</f>
        <v/>
      </c>
      <c r="AM418" s="26" t="inlineStr">
        <is>
          <t>N/A</t>
        </is>
      </c>
      <c r="AN418" s="26" t="inlineStr">
        <is>
          <t>N/A</t>
        </is>
      </c>
      <c r="AO418" s="26" t="inlineStr">
        <is>
          <t>N/A</t>
        </is>
      </c>
      <c r="AP418" s="26" t="inlineStr">
        <is>
          <t>Huatai Financial Holdings (Hong Kong) Limited</t>
        </is>
      </c>
      <c r="AQ418" s="26" t="inlineStr">
        <is>
          <t>華泰金融控股(香港)有限公司</t>
        </is>
      </c>
      <c r="AR418" s="26" t="inlineStr">
        <is>
          <t>Huatai Financial Holdings (Hong Kong) Limited; CMB International Capital Limited; Zhongtai International Securities Limited; Guosen Securities (HK) Brokerage Company, Limited; Bowlea Securities Limited; Carnegie Hill Capital Partners Limited; DIRECTORS AND PARTIES INVOLVED IN THE GLOBAL OFFERING –8 3– Star River Securities Limited</t>
        </is>
      </c>
      <c r="AS418" s="26" t="inlineStr">
        <is>
          <t>保利證券有限公司; 衡山證券資產管理有限公司; 招銀國際融資有限公司; 國信證券（香港）經紀有限公司; 華泰金融控股(香港)有限公司; 星河證券有限公司; 中泰國際證券有限公司</t>
        </is>
      </c>
      <c r="AT418" s="37">
        <f>HYPERLINK("https://www1.hkexnews.hk/listedco/listconews/sehk/2025/1230/2025123000019.pdf","prospectus")</f>
        <v/>
      </c>
      <c r="AU418" s="37">
        <f>HYPERLINK("https://www1.hkexnews.hk/listedco/listconews/sehk/2026/0107/2026010701802.pdf","allotment")</f>
        <v/>
      </c>
      <c r="AV418" s="26" t="n"/>
      <c r="AW418" s="26" t="inlineStr">
        <is>
          <t>P/E: n/m — loss-making at IPO (use P/S) · greenshoe: no over-allotment option in the offer structure · A/H: no A line; closest listed proxy {'code': '688256.SS', 'name': 'Cambricon Technologies', 'rationale': 'Same domestic AI-accelerator substitution theme; Cambricon is the only liquid A pure-play.'}</t>
        </is>
      </c>
    </row>
    <row r="419">
      <c r="A419" s="25" t="inlineStr">
        <is>
          <t>2675</t>
        </is>
      </c>
      <c r="B419" s="26" t="inlineStr">
        <is>
          <t>EDGE MEDICAL-B</t>
        </is>
      </c>
      <c r="C419" s="26" t="inlineStr">
        <is>
          <t>精鋒醫療－Ｂ</t>
        </is>
      </c>
      <c r="D419" s="26" t="inlineStr">
        <is>
          <t>Healthcare</t>
        </is>
      </c>
      <c r="E419" s="26" t="inlineStr">
        <is>
          <t>Medical devices</t>
        </is>
      </c>
      <c r="F419" s="26" t="inlineStr">
        <is>
          <t>18A</t>
        </is>
      </c>
      <c r="G419" s="27" t="n">
        <v>46030</v>
      </c>
      <c r="H419" s="28" t="n">
        <v>1198.7</v>
      </c>
      <c r="I419" s="26" t="inlineStr">
        <is>
          <t>gross (stated)</t>
        </is>
      </c>
      <c r="J419" s="29" t="n"/>
      <c r="K419" s="29" t="n">
        <v>43.24</v>
      </c>
      <c r="L419" s="29" t="n">
        <v>43.24</v>
      </c>
      <c r="M419" s="26" t="inlineStr">
        <is>
          <t>Y</t>
        </is>
      </c>
      <c r="N419" s="30" t="n">
        <v>100</v>
      </c>
      <c r="O419" s="28" t="n">
        <v>16765.1</v>
      </c>
      <c r="P419" s="26" t="inlineStr">
        <is>
          <t>derived:price x shares upon listing</t>
        </is>
      </c>
      <c r="Q419" s="31" t="n">
        <v>1091.94</v>
      </c>
      <c r="R419" s="32" t="n">
        <v>25.18</v>
      </c>
      <c r="S419" s="33" t="n">
        <v>48.68</v>
      </c>
      <c r="T419" s="26" t="inlineStr">
        <is>
          <t>Abu Dhabi Investment Authority; Ltd. Note; OrbiMed Genesis Master Fund, L.P. Note; Huang River Investment Limited; LYFE Capital Fund IV (Dragon), L.P. Note; Poly Platinum Enterprises Limited Note; Mega Prime Development Limited Note; China Asset Management (Hong Kong) Limited Note; China Alpha Fund Management (HK) Ltd; Tekful Limited; Integrated Core Strategies (Asia) Pte. Ltd; Sage Partners Master Fund Note; Panjing Harbourview Investment Fund; Infini Global Master Fund; OrbiMed Genesis</t>
        </is>
      </c>
      <c r="U419" s="30" t="n">
        <v>15</v>
      </c>
      <c r="V419" s="26" t="inlineStr">
        <is>
          <t>full</t>
        </is>
      </c>
      <c r="W419" s="34" t="n">
        <v>30.9</v>
      </c>
      <c r="X419" s="34" t="n">
        <v>55.53</v>
      </c>
      <c r="Y419" s="34" t="n">
        <v>37.72</v>
      </c>
      <c r="Z419" s="34" t="n">
        <v>24.88</v>
      </c>
      <c r="AA419" s="34" t="n">
        <v>5.21</v>
      </c>
      <c r="AB419" s="34" t="n">
        <v>44.87</v>
      </c>
      <c r="AC419" s="34" t="n">
        <v>-7.15</v>
      </c>
      <c r="AD419" s="26" t="inlineStr">
        <is>
          <t>China Biotech ETF (HS biotech proxy)</t>
        </is>
      </c>
      <c r="AE419" s="34" t="n">
        <v>-14.43</v>
      </c>
      <c r="AF419" s="28" t="n">
        <v>33.3</v>
      </c>
      <c r="AG419" s="28" t="n">
        <v>-145.8</v>
      </c>
      <c r="AH419" s="26" t="inlineStr">
        <is>
          <t>N</t>
        </is>
      </c>
      <c r="AI419" s="38">
        <f>IF('BBG Verify'!O419="","not filed — run on terminal",'BBG Verify'!O419)</f>
        <v/>
      </c>
      <c r="AJ419" s="35" t="n">
        <v>503.5</v>
      </c>
      <c r="AK419" s="26" t="inlineStr">
        <is>
          <t>N</t>
        </is>
      </c>
      <c r="AL419" s="36">
        <f>IF('BBG Verify'!K419="","not filed — run on terminal",'BBG Verify'!K419)</f>
        <v/>
      </c>
      <c r="AM419" s="26" t="inlineStr">
        <is>
          <t>N/A</t>
        </is>
      </c>
      <c r="AN419" s="26" t="inlineStr">
        <is>
          <t>N/A</t>
        </is>
      </c>
      <c r="AO419" s="26" t="inlineStr">
        <is>
          <t>N/A</t>
        </is>
      </c>
      <c r="AP419" s="26" t="inlineStr">
        <is>
          <t>Morgan Stanley Asia Limited; GF Capital (Hong Kong) Limited</t>
        </is>
      </c>
      <c r="AQ419" s="26" t="inlineStr">
        <is>
          <t>摩根士丹利亞洲有限公司; 廣發融資（香港）有限公司</t>
        </is>
      </c>
      <c r="AR419" s="26" t="inlineStr">
        <is>
          <t>中國國際金融香港證券有限公司; 中信里昂證券有限公司; 民銀證券有限公司; 廣發證券（香港）經紀有限公司; 摩根士丹利亞洲有限公司</t>
        </is>
      </c>
      <c r="AS419" s="26" t="inlineStr">
        <is>
          <t>中國國際金融香港證券有限公司; 中信里昂證券有限公司; 民銀證券有限公司; 廣發證券（香港）經紀有限公司; 摩根士丹利亞洲有限公司</t>
        </is>
      </c>
      <c r="AT419" s="37">
        <f>HYPERLINK("https://www1.hkexnews.hk/listedco/listconews/sehk/2025/1230/2025123000029.pdf","prospectus")</f>
        <v/>
      </c>
      <c r="AU419" s="37">
        <f>HYPERLINK("https://www1.hkexnews.hk/listedco/listconews/sehk/2026/0107/2026010701900.pdf","allotment")</f>
        <v/>
      </c>
      <c r="AV419" s="37">
        <f>HYPERLINK("https://www1.hkexnews.hk/listedco/listconews/sehk/2026/0204/2026020402144.pdf","stabilisation")</f>
        <v/>
      </c>
      <c r="AW419" s="26" t="inlineStr">
        <is>
          <t>P/E: n/m — loss-making at IPO (use P/S) · A/H: no A-share listing</t>
        </is>
      </c>
    </row>
    <row r="420">
      <c r="A420" s="25" t="inlineStr">
        <is>
          <t>0100</t>
        </is>
      </c>
      <c r="B420" s="26" t="inlineStr">
        <is>
          <t>MINIMAX-WP</t>
        </is>
      </c>
      <c r="C420" s="26" t="inlineStr">
        <is>
          <t>MINIMAX-W</t>
        </is>
      </c>
      <c r="D420" s="26" t="inlineStr">
        <is>
          <t>Tech/AI</t>
        </is>
      </c>
      <c r="E420" s="26" t="inlineStr">
        <is>
          <t>LLM / foundation model</t>
        </is>
      </c>
      <c r="F420" s="26" t="inlineStr">
        <is>
          <t>WVR + 18C</t>
        </is>
      </c>
      <c r="G420" s="27" t="n">
        <v>46031</v>
      </c>
      <c r="H420" s="28" t="n">
        <v>4817.6</v>
      </c>
      <c r="I420" s="26" t="inlineStr">
        <is>
          <t>gross (stated)</t>
        </is>
      </c>
      <c r="J420" s="29" t="n"/>
      <c r="K420" s="29" t="n">
        <v>165</v>
      </c>
      <c r="L420" s="29" t="n">
        <v>165</v>
      </c>
      <c r="M420" s="26" t="inlineStr">
        <is>
          <t>Y</t>
        </is>
      </c>
      <c r="N420" s="30" t="n">
        <v>100</v>
      </c>
      <c r="O420" s="28" t="n">
        <v>49554.4</v>
      </c>
      <c r="P420" s="26" t="inlineStr">
        <is>
          <t>aastocks:上市市值 at the struck price</t>
        </is>
      </c>
      <c r="Q420" s="31" t="n">
        <v>1837.17</v>
      </c>
      <c r="R420" s="39">
        <f>IF('BBG Verify'!E420="","not filed — run on terminal",'BBG Verify'!E420)</f>
        <v/>
      </c>
      <c r="S420" s="33" t="n">
        <v>56.53</v>
      </c>
      <c r="T420" s="26" t="inlineStr">
        <is>
          <t>Authority; Aspex Master Fund; Abstract Enigma Limited; Universal (HK)); Martis Fund, L.P; MPC VII Pte. Ltd; (Perseverance; Alisoft China</t>
        </is>
      </c>
      <c r="U420" s="30" t="n">
        <v>15</v>
      </c>
      <c r="V420" s="26" t="n"/>
      <c r="W420" s="34" t="n">
        <v>109.09</v>
      </c>
      <c r="X420" s="34" t="n">
        <v>165.45</v>
      </c>
      <c r="Y420" s="34" t="n">
        <v>212.12</v>
      </c>
      <c r="Z420" s="34" t="n">
        <v>445.76</v>
      </c>
      <c r="AA420" s="34" t="n">
        <v>49.28</v>
      </c>
      <c r="AB420" s="34" t="n">
        <v>216.71</v>
      </c>
      <c r="AC420" s="34" t="n">
        <v>-4.59</v>
      </c>
      <c r="AD420" s="26" t="inlineStr">
        <is>
          <t>HSTECH (Hang Seng TECH ETF)</t>
        </is>
      </c>
      <c r="AE420" s="34" t="n">
        <v>93.20999999999999</v>
      </c>
      <c r="AF420" s="28" t="n">
        <v>616.5</v>
      </c>
      <c r="AG420" s="28" t="n">
        <v>-14598.6</v>
      </c>
      <c r="AH420" s="26" t="inlineStr">
        <is>
          <t>N</t>
        </is>
      </c>
      <c r="AI420" s="38">
        <f>IF('BBG Verify'!O420="","not filed — run on terminal",'BBG Verify'!O420)</f>
        <v/>
      </c>
      <c r="AJ420" s="35" t="n">
        <v>80.40000000000001</v>
      </c>
      <c r="AK420" s="26" t="inlineStr">
        <is>
          <t>N</t>
        </is>
      </c>
      <c r="AL420" s="36">
        <f>IF('BBG Verify'!K420="","not filed — run on terminal",'BBG Verify'!K420)</f>
        <v/>
      </c>
      <c r="AM420" s="26" t="inlineStr">
        <is>
          <t>N/A</t>
        </is>
      </c>
      <c r="AN420" s="26" t="inlineStr">
        <is>
          <t>N/A</t>
        </is>
      </c>
      <c r="AO420" s="26" t="inlineStr">
        <is>
          <t>N/A</t>
        </is>
      </c>
      <c r="AP420" s="26" t="inlineStr">
        <is>
          <t>CICC; UBS</t>
        </is>
      </c>
      <c r="AQ420" s="26" t="inlineStr">
        <is>
          <t>中國國際金融香港證券有限公司; 瑞銀證券香港有限公司</t>
        </is>
      </c>
      <c r="AR420" s="26" t="inlineStr">
        <is>
          <t>中國國際金融香港證券有限公司; 富途證券國際（香港）有限公司; 高盛(亞洲)有限責任公司; 摩根士丹利亞洲有限公司; 老虎證券（香港）環球有限公司; UBS AG 香港分行</t>
        </is>
      </c>
      <c r="AS420" s="26" t="inlineStr">
        <is>
          <t>中國國際金融香港證券有限公司; 富途證券國際（香港）有限公司; 高盛(亞洲)有限責任公司; 摩根士丹利亞洲有限公司; 老虎證券（香港）環球有限公司; UBS AG 香港分行</t>
        </is>
      </c>
      <c r="AT420" s="37">
        <f>HYPERLINK("https://www1.hkexnews.hk/listedco/listconews/sehk/2025/1231/2025123100025.pdf","prospectus")</f>
        <v/>
      </c>
      <c r="AU420" s="37">
        <f>HYPERLINK("https://www1.hkexnews.hk/listedco/listconews/sehk/2026/0108/2026010801342.pdf","allotment")</f>
        <v/>
      </c>
      <c r="AV420" s="26" t="n"/>
      <c r="AW420" s="26" t="inlineStr">
        <is>
          <t>intl sub: subscription level not stated in the filing · P/E: n/m — loss-making at IPO (use P/S) · greenshoe: end-of-stabilisation notice not located · price range: fixed-price offering (no indicative range) · A/H: no A line; closest listed proxy {'code': '300418.SZ', 'name': 'Kunlun Tech', 'rationale': 'Owns the in-house Skywork/Tiangong LLM family — the nearest A-share to a pure LLM-developer exposure.'}</t>
        </is>
      </c>
    </row>
    <row r="421">
      <c r="A421" s="25" t="inlineStr">
        <is>
          <t>6938</t>
        </is>
      </c>
      <c r="B421" s="26" t="inlineStr">
        <is>
          <t>RIBOLIFE-B</t>
        </is>
      </c>
      <c r="C421" s="26" t="inlineStr">
        <is>
          <t>瑞博生物－Ｂ</t>
        </is>
      </c>
      <c r="D421" s="26" t="inlineStr">
        <is>
          <t>Healthcare</t>
        </is>
      </c>
      <c r="E421" s="26" t="inlineStr">
        <is>
          <t>Biotech pre-revenue (18A)</t>
        </is>
      </c>
      <c r="F421" s="26" t="inlineStr">
        <is>
          <t>18A</t>
        </is>
      </c>
      <c r="G421" s="27" t="n">
        <v>46031</v>
      </c>
      <c r="H421" s="28" t="n">
        <v>1832.45</v>
      </c>
      <c r="I421" s="26" t="inlineStr">
        <is>
          <t>gross (stated)</t>
        </is>
      </c>
      <c r="J421" s="29" t="n"/>
      <c r="K421" s="29" t="n">
        <v>57.97</v>
      </c>
      <c r="L421" s="29" t="n">
        <v>57.97</v>
      </c>
      <c r="M421" s="26" t="inlineStr">
        <is>
          <t>Y</t>
        </is>
      </c>
      <c r="N421" s="30" t="n">
        <v>100</v>
      </c>
      <c r="O421" s="28" t="n">
        <v>9373.200000000001</v>
      </c>
      <c r="P421" s="26" t="inlineStr">
        <is>
          <t>prospectus:stated market capitalisation</t>
        </is>
      </c>
      <c r="Q421" s="31" t="n">
        <v>101.06</v>
      </c>
      <c r="R421" s="32" t="n">
        <v>16.7</v>
      </c>
      <c r="S421" s="33" t="n">
        <v>42.5</v>
      </c>
      <c r="T421" s="26"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U421" s="30" t="n">
        <v>15</v>
      </c>
      <c r="V421" s="26" t="inlineStr">
        <is>
          <t>full</t>
        </is>
      </c>
      <c r="W421" s="34" t="n">
        <v>41.62</v>
      </c>
      <c r="X421" s="34" t="n">
        <v>30.76</v>
      </c>
      <c r="Y421" s="34" t="n">
        <v>18.25</v>
      </c>
      <c r="Z421" s="34" t="n">
        <v>14.63</v>
      </c>
      <c r="AA421" s="34" t="n">
        <v>-16.5</v>
      </c>
      <c r="AB421" s="34" t="n">
        <v>23.78</v>
      </c>
      <c r="AC421" s="34" t="n">
        <v>-5.53</v>
      </c>
      <c r="AD421" s="26" t="inlineStr">
        <is>
          <t>China Biotech ETF (HS biotech proxy)</t>
        </is>
      </c>
      <c r="AE421" s="34" t="n">
        <v>-10.56</v>
      </c>
      <c r="AF421" s="28" t="n">
        <v>72.90000000000001</v>
      </c>
      <c r="AG421" s="28" t="n">
        <v>-155.7</v>
      </c>
      <c r="AH421" s="26" t="inlineStr">
        <is>
          <t>N</t>
        </is>
      </c>
      <c r="AI421" s="38">
        <f>IF('BBG Verify'!O421="","not filed — run on terminal",'BBG Verify'!O421)</f>
        <v/>
      </c>
      <c r="AJ421" s="35" t="n">
        <v>128.6</v>
      </c>
      <c r="AK421" s="26" t="inlineStr">
        <is>
          <t>N</t>
        </is>
      </c>
      <c r="AL421" s="36">
        <f>IF('BBG Verify'!K421="","not filed — run on terminal",'BBG Verify'!K421)</f>
        <v/>
      </c>
      <c r="AM421" s="26" t="inlineStr">
        <is>
          <t>N/A</t>
        </is>
      </c>
      <c r="AN421" s="26" t="inlineStr">
        <is>
          <t>N/A</t>
        </is>
      </c>
      <c r="AO421" s="26" t="inlineStr">
        <is>
          <t>N/A</t>
        </is>
      </c>
      <c r="AP421" s="26" t="inlineStr">
        <is>
          <t>Citigroup Global Markets Asia Limited</t>
        </is>
      </c>
      <c r="AQ421" s="26" t="inlineStr">
        <is>
          <t>中國國際金融香港證券有限公司; 花旗環球金融亞洲有限公司</t>
        </is>
      </c>
      <c r="AR421" s="26"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AS421" s="26" t="inlineStr">
        <is>
          <t>農銀國際證券有限公司; 中銀國際亞洲有限公司; 花旗環球金融亞洲有限公司; 中國國際金融香港證券有限公司; 富途證券國際（香港）有限公司; 工銀國際證券有限公司; 麥格理資本股份有限公司; 國投證券（香港）有限公司</t>
        </is>
      </c>
      <c r="AT421" s="37">
        <f>HYPERLINK("https://www1.hkexnews.hk/listedco/listconews/sehk/2025/1231/2025123100037.pdf","prospectus")</f>
        <v/>
      </c>
      <c r="AU421" s="37">
        <f>HYPERLINK("https://www1.hkexnews.hk/listedco/listconews/sehk/2026/0108/2026010801352.pdf","allotment")</f>
        <v/>
      </c>
      <c r="AV421" s="37">
        <f>HYPERLINK("https://www1.hkexnews.hk/listedco/listconews/sehk/2026/0205/2026020502414.pdf","stabilisation")</f>
        <v/>
      </c>
      <c r="AW421" s="26" t="inlineStr">
        <is>
          <t>P/E: n/m — loss-making at IPO (use P/S) · A/H: no A-share listing</t>
        </is>
      </c>
    </row>
    <row r="422">
      <c r="A422" s="25" t="inlineStr">
        <is>
          <t>3636</t>
        </is>
      </c>
      <c r="B422" s="26" t="inlineStr">
        <is>
          <t>JINXUN RESOURCE</t>
        </is>
      </c>
      <c r="C422" s="26" t="inlineStr">
        <is>
          <t>金潯資源</t>
        </is>
      </c>
      <c r="D422" s="26" t="inlineStr">
        <is>
          <t>Materials/Energy</t>
        </is>
      </c>
      <c r="E422" s="26" t="inlineStr">
        <is>
          <t>Mining / metals</t>
        </is>
      </c>
      <c r="F422" s="26" t="inlineStr">
        <is>
          <t>Standard</t>
        </is>
      </c>
      <c r="G422" s="27" t="n">
        <v>46031</v>
      </c>
      <c r="H422" s="28" t="n">
        <v>1102.97</v>
      </c>
      <c r="I422" s="26" t="inlineStr">
        <is>
          <t>gross (stated)</t>
        </is>
      </c>
      <c r="J422" s="29" t="n"/>
      <c r="K422" s="29" t="n">
        <v>30</v>
      </c>
      <c r="L422" s="29" t="n">
        <v>30</v>
      </c>
      <c r="M422" s="26" t="inlineStr">
        <is>
          <t>Y</t>
        </is>
      </c>
      <c r="N422" s="30" t="n">
        <v>100</v>
      </c>
      <c r="O422" s="41">
        <f>IF('BBG Verify'!M422="","not filed — run on terminal",'BBG Verify'!M422)</f>
        <v/>
      </c>
      <c r="P422" s="26" t="n"/>
      <c r="Q422" s="31" t="n">
        <v>143.46</v>
      </c>
      <c r="R422" s="32" t="n">
        <v>12.78</v>
      </c>
      <c r="S422" s="33" t="n">
        <v>42.5</v>
      </c>
      <c r="T422" s="26" t="inlineStr">
        <is>
          <t>Glencore International AG; Stoneylake Global Alpha Fund; NR 1 SP; Zhengxin Group Investment Limited; China Asset Management (Hong Kong) Limited; New Asia Ferrell Asset Management Limited; Bridge Zone Group Limited</t>
        </is>
      </c>
      <c r="U422" s="30" t="n">
        <v>15</v>
      </c>
      <c r="V422" s="26" t="n"/>
      <c r="W422" s="34" t="n">
        <v>26</v>
      </c>
      <c r="X422" s="34" t="n">
        <v>31.27</v>
      </c>
      <c r="Y422" s="34" t="n">
        <v>25.53</v>
      </c>
      <c r="Z422" s="34" t="n">
        <v>-12.67</v>
      </c>
      <c r="AA422" s="34" t="n">
        <v>-0.37</v>
      </c>
      <c r="AB422" s="34" t="n">
        <v>19.9</v>
      </c>
      <c r="AC422" s="34" t="n">
        <v>5.63</v>
      </c>
      <c r="AD422" s="26" t="inlineStr">
        <is>
          <t>Hang Seng Utilities sub-index</t>
        </is>
      </c>
      <c r="AE422" s="34" t="n">
        <v>-40.07</v>
      </c>
      <c r="AF422" s="28" t="n">
        <v>2498.2</v>
      </c>
      <c r="AG422" s="28" t="n">
        <v>361.7</v>
      </c>
      <c r="AH422" s="26" t="inlineStr">
        <is>
          <t>Y</t>
        </is>
      </c>
      <c r="AI422" s="38">
        <f>IF('BBG Verify'!O422="","not filed — run on terminal",'BBG Verify'!O422)</f>
        <v/>
      </c>
      <c r="AJ422" s="35" t="n"/>
      <c r="AK422" s="26" t="inlineStr">
        <is>
          <t>N</t>
        </is>
      </c>
      <c r="AL422" s="36">
        <f>IF('BBG Verify'!K422="","not filed — run on terminal",'BBG Verify'!K422)</f>
        <v/>
      </c>
      <c r="AM422" s="26" t="inlineStr">
        <is>
          <t>N/A</t>
        </is>
      </c>
      <c r="AN422" s="26" t="inlineStr">
        <is>
          <t>N/A</t>
        </is>
      </c>
      <c r="AO422" s="26" t="inlineStr">
        <is>
          <t>N/A</t>
        </is>
      </c>
      <c r="AP422" s="26" t="n"/>
      <c r="AQ422" s="26" t="inlineStr">
        <is>
          <t>華泰金融控股(香港)有限公司</t>
        </is>
      </c>
      <c r="AR422" s="26" t="inlineStr">
        <is>
          <t>農銀國際證券有限公司; 中銀國際亞洲有限公司; 中信里昂證券有限公司; 富途證券國際（香港）有限公司; 華泰金融控股(香港)有限公司; 老虎證券（香港）環球有限公司</t>
        </is>
      </c>
      <c r="AS422" s="26" t="inlineStr">
        <is>
          <t>農銀國際證券有限公司; 中銀國際亞洲有限公司; 中信里昂證券有限公司; 富途證券國際（香港）有限公司; 華泰金融控股(香港)有限公司; 老虎證券（香港）環球有限公司; 天風國際證券與期貨有限公司; 大華繼顯(香港)有限公司</t>
        </is>
      </c>
      <c r="AT422" s="37">
        <f>HYPERLINK("https://www1.hkexnews.hk/listedco/listconews/sehk/2025/1231/2025123100041.pdf","prospectus")</f>
        <v/>
      </c>
      <c r="AU422" s="37">
        <f>HYPERLINK("https://www1.hkexnews.hk/listedco/listconews/sehk/2026/0108/2026010801368.pdf","allotment")</f>
        <v/>
      </c>
      <c r="AV422" s="26" t="n"/>
      <c r="AW422" s="26" t="inlineStr">
        <is>
          <t>P/E: market cap not derivable (no share count disclosed) · greenshoe: end-of-stabilisation notice not located · price range: fixed-price offering (no indicative range) · A/H: no A-share listing · sponsor: English name not in the filing text; AAStocks 保薦人 shown</t>
        </is>
      </c>
    </row>
    <row r="423">
      <c r="A423" s="25" t="inlineStr">
        <is>
          <t>0501</t>
        </is>
      </c>
      <c r="B423" s="26" t="inlineStr">
        <is>
          <t>OMNIVISION</t>
        </is>
      </c>
      <c r="C423" s="26" t="inlineStr">
        <is>
          <t>豪威集團</t>
        </is>
      </c>
      <c r="D423" s="26" t="inlineStr">
        <is>
          <t>Tech/AI</t>
        </is>
      </c>
      <c r="E423" s="26" t="inlineStr">
        <is>
          <t>AI chips &amp; semis</t>
        </is>
      </c>
      <c r="F423" s="26" t="inlineStr">
        <is>
          <t>Standard</t>
        </is>
      </c>
      <c r="G423" s="27" t="n">
        <v>46034</v>
      </c>
      <c r="H423" s="28" t="n">
        <v>4799.8</v>
      </c>
      <c r="I423" s="26" t="inlineStr">
        <is>
          <t>gross (stated)</t>
        </is>
      </c>
      <c r="J423" s="29" t="n"/>
      <c r="K423" s="29" t="n">
        <v>104.8</v>
      </c>
      <c r="L423" s="29" t="n">
        <v>104.8</v>
      </c>
      <c r="M423" s="26" t="inlineStr">
        <is>
          <t>Y</t>
        </is>
      </c>
      <c r="N423" s="30" t="n">
        <v>100</v>
      </c>
      <c r="O423" s="41">
        <f>IF('BBG Verify'!M423="","not filed — run on terminal",'BBG Verify'!M423)</f>
        <v/>
      </c>
      <c r="P423" s="26" t="n"/>
      <c r="Q423" s="31" t="n">
        <v>9.279999999999999</v>
      </c>
      <c r="R423" s="32" t="n">
        <v>9.73</v>
      </c>
      <c r="S423" s="33" t="n">
        <v>45.3</v>
      </c>
      <c r="T423" s="44" t="inlineStr">
        <is>
          <t>Wildlife; UBS AM Singapore; Formosa Opportunity Limited; Ghisallo Fund Master Ltd; Dajia Life Insurance Co., Ltd; Listing Top</t>
        </is>
      </c>
      <c r="U423" s="30" t="n"/>
      <c r="V423" s="26" t="n"/>
      <c r="W423" s="34" t="n">
        <v>16.22</v>
      </c>
      <c r="X423" s="34" t="n">
        <v>11.16</v>
      </c>
      <c r="Y423" s="34" t="n">
        <v>-0.1</v>
      </c>
      <c r="Z423" s="34" t="n">
        <v>-25.05</v>
      </c>
      <c r="AA423" s="34" t="n">
        <v>-14.04</v>
      </c>
      <c r="AB423" s="34" t="n">
        <v>4.21</v>
      </c>
      <c r="AC423" s="34" t="n">
        <v>-4.31</v>
      </c>
      <c r="AD423" s="26" t="inlineStr">
        <is>
          <t>HSTECH (Hang Seng TECH ETF)</t>
        </is>
      </c>
      <c r="AE423" s="34" t="n">
        <v>-25.33</v>
      </c>
      <c r="AF423" s="28" t="n">
        <v>31740.3</v>
      </c>
      <c r="AG423" s="28" t="n">
        <v>4450</v>
      </c>
      <c r="AH423" s="26" t="inlineStr">
        <is>
          <t>Y</t>
        </is>
      </c>
      <c r="AI423" s="38">
        <f>IF('BBG Verify'!O423="","not filed — run on terminal",'BBG Verify'!O423)</f>
        <v/>
      </c>
      <c r="AJ423" s="35" t="n"/>
      <c r="AK423" s="26" t="inlineStr">
        <is>
          <t>Y</t>
        </is>
      </c>
      <c r="AL423" s="26" t="inlineStr">
        <is>
          <t>603501.SS</t>
        </is>
      </c>
      <c r="AM423" s="34" t="n">
        <v>-28.57</v>
      </c>
      <c r="AN423" s="29" t="n">
        <v>146.7186</v>
      </c>
      <c r="AO423" s="42" t="n">
        <v>-0.2679</v>
      </c>
      <c r="AP423" s="26" t="inlineStr">
        <is>
          <t>UBS; CICC; Ping An of China Capital (Hong Kong); GF Capital (Hong Kong)</t>
        </is>
      </c>
      <c r="AQ423" s="26" t="inlineStr">
        <is>
          <t>中國國際金融香港證券有限公司; 瑞銀證券香港有限公司; 廣發融資（香港）有限公司; 中國平安資本（香港）有限公司</t>
        </is>
      </c>
      <c r="AR423" s="26" t="inlineStr">
        <is>
          <t>中國國際金融香港證券有限公司; 中信里昂證券有限公司; 廣發證券（香港）經紀有限公司; 海通國際證券有限公司; 平安證券（香港）有限公司; 淘金者證券（香港）有限公司</t>
        </is>
      </c>
      <c r="AS423" s="26" t="inlineStr">
        <is>
          <t>中國國際金融香港證券有限公司; 中信里昂證券有限公司; 廣發證券（香港）經紀有限公司; 海通國際證券有限公司; 平安證券（香港）有限公司; 淘金者證券（香港）有限公司; UBS AG 香港分行</t>
        </is>
      </c>
      <c r="AT423" s="37">
        <f>HYPERLINK("https://www1.hkexnews.hk/listedco/listconews/sehk/2025/1231/2025123100089.pdf","prospectus")</f>
        <v/>
      </c>
      <c r="AU423" s="37">
        <f>HYPERLINK("https://www1.hkexnews.hk/listedco/listconews/sehk/2026/0109/2026010901581.pdf","allotment")</f>
        <v/>
      </c>
      <c r="AV423" s="26" t="n"/>
      <c r="AW423" s="26" t="inlineStr">
        <is>
          <t>P/E: market cap not derivable (no share count disclosed) · greenshoe: no over-allotment option in the offer structure · price range: fixed-price offering (no indicative range) · A/H: Jan 2026, US$616m offering; rose on debut</t>
        </is>
      </c>
    </row>
    <row r="424">
      <c r="A424" s="25" t="inlineStr">
        <is>
          <t>1641</t>
        </is>
      </c>
      <c r="B424" s="26" t="inlineStr">
        <is>
          <t>HX COLDCHAIN</t>
        </is>
      </c>
      <c r="C424" s="26" t="inlineStr">
        <is>
          <t>紅星冷鏈</t>
        </is>
      </c>
      <c r="D424" s="26" t="inlineStr">
        <is>
          <t>Industrials</t>
        </is>
      </c>
      <c r="E424" s="26" t="inlineStr">
        <is>
          <t>Logistics</t>
        </is>
      </c>
      <c r="F424" s="26" t="inlineStr">
        <is>
          <t>Standard</t>
        </is>
      </c>
      <c r="G424" s="27" t="n">
        <v>46035</v>
      </c>
      <c r="H424" s="28" t="n">
        <v>285.2</v>
      </c>
      <c r="I424" s="26" t="inlineStr">
        <is>
          <t>gross (stated)</t>
        </is>
      </c>
      <c r="J424" s="29" t="n"/>
      <c r="K424" s="29" t="n">
        <v>12.26</v>
      </c>
      <c r="L424" s="29" t="n">
        <v>12.26</v>
      </c>
      <c r="M424" s="26" t="inlineStr">
        <is>
          <t>Y</t>
        </is>
      </c>
      <c r="N424" s="30" t="n">
        <v>100</v>
      </c>
      <c r="O424" s="28" t="n">
        <v>1204.7</v>
      </c>
      <c r="P424" s="26" t="inlineStr">
        <is>
          <t>derived:price x shares upon listing</t>
        </is>
      </c>
      <c r="Q424" s="31" t="n">
        <v>2309.25</v>
      </c>
      <c r="R424" s="32" t="n">
        <v>1.65</v>
      </c>
      <c r="S424" s="33" t="n">
        <v>7.66</v>
      </c>
      <c r="T424" s="26" t="inlineStr">
        <is>
          <t>FUHUIDA HK; Huang Fusheng (黃福生); Cheng Yan (成燕); Luo Tiexing (羅鐵興); Li Changxiao (李昌孝); Kong Yu (孔昱); Zou Songqiu (鄒松球); Li Zhenbin (李振斌); Li Zhenwu (李振武); Li Dengyun (李登雲); Zhang Ying (張穎); Listing Top</t>
        </is>
      </c>
      <c r="U424" s="30" t="n">
        <v>15</v>
      </c>
      <c r="V424" s="26" t="n"/>
      <c r="W424" s="34" t="n">
        <v>0.33</v>
      </c>
      <c r="X424" s="34" t="n">
        <v>-18.76</v>
      </c>
      <c r="Y424" s="34" t="n">
        <v>-30.51</v>
      </c>
      <c r="Z424" s="34" t="n">
        <v>-42.09</v>
      </c>
      <c r="AA424" s="34" t="n">
        <v>-30.74</v>
      </c>
      <c r="AB424" s="34" t="n">
        <v>-30.22</v>
      </c>
      <c r="AC424" s="34" t="n">
        <v>-0.29</v>
      </c>
      <c r="AD424" s="26" t="inlineStr">
        <is>
          <t>Hang Seng Commerce &amp; Industry sub-index</t>
        </is>
      </c>
      <c r="AE424" s="34" t="n">
        <v>-66.06999999999999</v>
      </c>
      <c r="AF424" s="28" t="n">
        <v>256.9</v>
      </c>
      <c r="AG424" s="28" t="n">
        <v>91.2</v>
      </c>
      <c r="AH424" s="26" t="inlineStr">
        <is>
          <t>Y</t>
        </is>
      </c>
      <c r="AI424" s="35" t="n">
        <v>13.2</v>
      </c>
      <c r="AJ424" s="35" t="n">
        <v>4.7</v>
      </c>
      <c r="AK424" s="26" t="inlineStr">
        <is>
          <t>N</t>
        </is>
      </c>
      <c r="AL424" s="36">
        <f>IF('BBG Verify'!K424="","not filed — run on terminal",'BBG Verify'!K424)</f>
        <v/>
      </c>
      <c r="AM424" s="26" t="inlineStr">
        <is>
          <t>N/A</t>
        </is>
      </c>
      <c r="AN424" s="26" t="inlineStr">
        <is>
          <t>N/A</t>
        </is>
      </c>
      <c r="AO424" s="26" t="inlineStr">
        <is>
          <t>N/A</t>
        </is>
      </c>
      <c r="AP424" s="26" t="inlineStr">
        <is>
          <t>CCB International Capital Limited; ABCI Capital Limited</t>
        </is>
      </c>
      <c r="AQ424" s="26" t="inlineStr">
        <is>
          <t>建銀國際金融有限公司; 農銀國際融資有限公司</t>
        </is>
      </c>
      <c r="AR424" s="26" t="inlineStr">
        <is>
          <t>CCB International Capital Limited; ABCI Capital Limited; A VICT Global Asset Management Limited; BOCOM International Securities Limited; CEB International Capital Corporation Limited; Sheung Wan, Hong Kong CMBC Securities Company Limited; Central, Hong Kong Guosen Securities (HK) Brokerage Company, Limited; Huafu International Securities Limited; Sheung Wan, Hong Kong MoneyMore Securities Limited; Orient Securities (Hong Kong) Limited; Ruibang Securities Limited; Wanchai, Hong Kong Shanxi Securities International Limited</t>
        </is>
      </c>
      <c r="AS424" s="26" t="inlineStr">
        <is>
          <t>農銀國際證券有限公司; 中航資信環球資產管理有限公司; 交銀國際證券有限公司; 建銀國際金融有限公司; 光銀國際資本有限公司; 興證國際融資有限公司; 民銀證券有限公司; 國信證券（香港）經紀有限公司; 華福國際證券有限公司; 萬利證券有限公司; 東方證券(香港)有限公司; 瑞邦證券有限公司; 山證國際融資有限公司; 浦銀國際融資有限公司; 友信證券有限公司; 越秀證券有限公司; 中泰國際證券有限公司</t>
        </is>
      </c>
      <c r="AT424" s="37">
        <f>HYPERLINK("https://www1.hkexnews.hk/listedco/listconews/sehk/2025/1231/2025123100085.pdf","prospectus")</f>
        <v/>
      </c>
      <c r="AU424" s="37">
        <f>HYPERLINK("https://www1.hkexnews.hk/listedco/listconews/sehk/2026/0112/2026011201301.pdf","allotment")</f>
        <v/>
      </c>
      <c r="AV424" s="26" t="n"/>
      <c r="AW424" s="26" t="inlineStr">
        <is>
          <t>greenshoe: end-of-stabilisation notice not located · A/H: no A-share listing</t>
        </is>
      </c>
    </row>
    <row r="425">
      <c r="A425" s="25" t="inlineStr">
        <is>
          <t>3986</t>
        </is>
      </c>
      <c r="B425" s="26" t="inlineStr">
        <is>
          <t>GIGADEVICE</t>
        </is>
      </c>
      <c r="C425" s="26" t="inlineStr">
        <is>
          <t>兆易創新</t>
        </is>
      </c>
      <c r="D425" s="26" t="inlineStr">
        <is>
          <t>Tech/AI</t>
        </is>
      </c>
      <c r="E425" s="26" t="inlineStr">
        <is>
          <t>AI chips &amp; semis</t>
        </is>
      </c>
      <c r="F425" s="26" t="inlineStr">
        <is>
          <t>Standard</t>
        </is>
      </c>
      <c r="G425" s="27" t="n">
        <v>46035</v>
      </c>
      <c r="H425" s="28" t="n">
        <v>4684.4</v>
      </c>
      <c r="I425" s="26" t="inlineStr">
        <is>
          <t>gross (stated)</t>
        </is>
      </c>
      <c r="J425" s="29" t="n"/>
      <c r="K425" s="29" t="n">
        <v>162</v>
      </c>
      <c r="L425" s="29" t="n">
        <v>162</v>
      </c>
      <c r="M425" s="26" t="inlineStr">
        <is>
          <t>Y</t>
        </is>
      </c>
      <c r="N425" s="30" t="n">
        <v>100</v>
      </c>
      <c r="O425" s="28" t="n">
        <v>113578.6</v>
      </c>
      <c r="P425" s="26" t="inlineStr">
        <is>
          <t>aastocks:上市市值 at the struck price</t>
        </is>
      </c>
      <c r="Q425" s="31" t="n">
        <v>542.22</v>
      </c>
      <c r="R425" s="32" t="n">
        <v>18.52</v>
      </c>
      <c r="S425" s="33" t="n">
        <v>49.8</v>
      </c>
      <c r="T425" s="44" t="inlineStr">
        <is>
          <t>New Alternative Limited; New Golden Future Limited; Metazone Link (HK) Limited; Sky Royal Trading Limited; DAMSIMF; Taikang Life; STRONG MEDIA LIMITED; CloudAlpha Capital; LI Dongsheng</t>
        </is>
      </c>
      <c r="U425" s="30" t="n">
        <v>15</v>
      </c>
      <c r="V425" s="26" t="inlineStr">
        <is>
          <t>full</t>
        </is>
      </c>
      <c r="W425" s="34" t="n">
        <v>37.53</v>
      </c>
      <c r="X425" s="34" t="n">
        <v>88.89</v>
      </c>
      <c r="Y425" s="34" t="n">
        <v>82.72</v>
      </c>
      <c r="Z425" s="34" t="n">
        <v>161.11</v>
      </c>
      <c r="AA425" s="34" t="n">
        <v>32.86</v>
      </c>
      <c r="AB425" s="34" t="n">
        <v>88.98999999999999</v>
      </c>
      <c r="AC425" s="34" t="n">
        <v>-6.27</v>
      </c>
      <c r="AD425" s="26" t="inlineStr">
        <is>
          <t>HSTECH (Hang Seng TECH ETF)</t>
        </is>
      </c>
      <c r="AE425" s="34" t="n">
        <v>219.44</v>
      </c>
      <c r="AF425" s="28" t="n">
        <v>8091.6</v>
      </c>
      <c r="AG425" s="28" t="n">
        <v>1211</v>
      </c>
      <c r="AH425" s="26" t="inlineStr">
        <is>
          <t>Y</t>
        </is>
      </c>
      <c r="AI425" s="35" t="n">
        <v>93.8</v>
      </c>
      <c r="AJ425" s="35" t="n">
        <v>14</v>
      </c>
      <c r="AK425" s="26" t="inlineStr">
        <is>
          <t>Y</t>
        </is>
      </c>
      <c r="AL425" s="26" t="inlineStr">
        <is>
          <t>603986.SS</t>
        </is>
      </c>
      <c r="AM425" s="34" t="n">
        <v>-44.61</v>
      </c>
      <c r="AN425" s="29" t="n">
        <v>292.4683</v>
      </c>
      <c r="AO425" s="42" t="n">
        <v>0.0518</v>
      </c>
      <c r="AP425" s="26" t="inlineStr">
        <is>
          <t>China International Capital Corporation Hong Kong Securities Limited; Huatai Financial Holdings (Hong Kong) Limited</t>
        </is>
      </c>
      <c r="AQ425" s="26" t="inlineStr">
        <is>
          <t>中國國際金融香港證券有限公司; 華泰金融控股(香港)有限公司</t>
        </is>
      </c>
      <c r="AR425" s="26" t="inlineStr">
        <is>
          <t>中國國際金融香港證券有限公司; 華泰金融控股(香港)有限公司</t>
        </is>
      </c>
      <c r="AS425" s="26" t="inlineStr">
        <is>
          <t>中國國際金融香港證券有限公司; 華泰金融控股(香港)有限公司</t>
        </is>
      </c>
      <c r="AT425" s="37">
        <f>HYPERLINK("https://www1.hkexnews.hk/listedco/listconews/sehk/2025/1231/2025123100035.pdf","prospectus")</f>
        <v/>
      </c>
      <c r="AU425" s="37">
        <f>HYPERLINK("https://www1.hkexnews.hk/listedco/listconews/sehk/2026/0112/2026011201539.pdf","allotment")</f>
        <v/>
      </c>
      <c r="AV425" s="37">
        <f>HYPERLINK("https://www1.hkexnews.hk/listedco/listconews/sehk/2026/0208/2026020800007.pdf","stabilisation")</f>
        <v/>
      </c>
      <c r="AW425" s="26" t="inlineStr">
        <is>
          <t>A/H: Jan 2026, ~US$600m at top of range; closed +37.5% on debut · market cap: estimate from stated market capitalisation disagreed with the published listing cap — published figure adopted</t>
        </is>
      </c>
    </row>
    <row r="426">
      <c r="A426" s="25" t="inlineStr">
        <is>
          <t>9611</t>
        </is>
      </c>
      <c r="B426" s="26" t="inlineStr">
        <is>
          <t>LONGCHEER</t>
        </is>
      </c>
      <c r="C426" s="26" t="inlineStr">
        <is>
          <t>龍旗科技</t>
        </is>
      </c>
      <c r="D426" s="26" t="inlineStr">
        <is>
          <t>Tech/AI</t>
        </is>
      </c>
      <c r="E426" s="26" t="inlineStr">
        <is>
          <t>Smart hardware / consumer electronics</t>
        </is>
      </c>
      <c r="F426" s="26" t="inlineStr">
        <is>
          <t>Standard</t>
        </is>
      </c>
      <c r="G426" s="27" t="n">
        <v>46044</v>
      </c>
      <c r="H426" s="28" t="n">
        <v>1620</v>
      </c>
      <c r="I426" s="26" t="inlineStr">
        <is>
          <t>gross (stated)</t>
        </is>
      </c>
      <c r="J426" s="29" t="n"/>
      <c r="K426" s="29" t="n">
        <v>31</v>
      </c>
      <c r="L426" s="29" t="n">
        <v>31</v>
      </c>
      <c r="M426" s="26" t="inlineStr">
        <is>
          <t>Y</t>
        </is>
      </c>
      <c r="N426" s="30" t="n">
        <v>100</v>
      </c>
      <c r="O426" s="28" t="n">
        <v>25813.8</v>
      </c>
      <c r="P426" s="26" t="inlineStr">
        <is>
          <t>prospectus:stated market capitalisation</t>
        </is>
      </c>
      <c r="Q426" s="31" t="n">
        <v>1149.76</v>
      </c>
      <c r="R426" s="45" t="n">
        <v>0.64</v>
      </c>
      <c r="S426" s="33" t="n">
        <v>27.17</v>
      </c>
      <c r="T426" s="26"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U426" s="30" t="n">
        <v>15</v>
      </c>
      <c r="V426" s="26" t="inlineStr">
        <is>
          <t>lapsed</t>
        </is>
      </c>
      <c r="W426" s="34" t="n">
        <v>3.55</v>
      </c>
      <c r="X426" s="34" t="n">
        <v>-1.61</v>
      </c>
      <c r="Y426" s="34" t="n">
        <v>-3.68</v>
      </c>
      <c r="Z426" s="34" t="n">
        <v>-29.1</v>
      </c>
      <c r="AA426" s="34" t="n">
        <v>-6.98</v>
      </c>
      <c r="AB426" s="34" t="n">
        <v>4.86</v>
      </c>
      <c r="AC426" s="34" t="n">
        <v>-8.539999999999999</v>
      </c>
      <c r="AD426" s="26" t="inlineStr">
        <is>
          <t>HSTECH (Hang Seng TECH ETF)</t>
        </is>
      </c>
      <c r="AE426" s="34" t="n">
        <v>-27.1</v>
      </c>
      <c r="AF426" s="28" t="n">
        <v>51020.7</v>
      </c>
      <c r="AG426" s="28" t="n">
        <v>542.7</v>
      </c>
      <c r="AH426" s="26" t="inlineStr">
        <is>
          <t>Y</t>
        </is>
      </c>
      <c r="AI426" s="35" t="n">
        <v>47.6</v>
      </c>
      <c r="AJ426" s="35" t="n">
        <v>0.5</v>
      </c>
      <c r="AK426" s="26" t="inlineStr">
        <is>
          <t>Y</t>
        </is>
      </c>
      <c r="AL426" s="26" t="inlineStr">
        <is>
          <t>603341.SS</t>
        </is>
      </c>
      <c r="AM426" s="34" t="n">
        <v>-43.06</v>
      </c>
      <c r="AN426" s="29" t="n">
        <v>54.4441</v>
      </c>
      <c r="AO426" s="42" t="n">
        <v>-0.5021</v>
      </c>
      <c r="AP426" s="26" t="inlineStr">
        <is>
          <t>Citigroup Global Markets Asia Limited; Haitong International Capital Limited; Guotai Junan Capital Limited</t>
        </is>
      </c>
      <c r="AQ426" s="26" t="inlineStr">
        <is>
          <t>海通國際資本有限公司; 國泰君安融資有限公司; 花旗環球金融亞洲有限公司</t>
        </is>
      </c>
      <c r="AR426" s="26"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AS426" s="26" t="inlineStr">
        <is>
          <t>農銀國際證券有限公司; 花旗環球金融亞洲有限公司; 富途證券國際（香港）有限公司; 國泰君安證券(香港)有限公司; 華泰金融控股(香港)有限公司; 海通國際證券有限公司; 開盤證券有限公司; 老虎證券（香港）環球有限公司</t>
        </is>
      </c>
      <c r="AT426" s="37">
        <f>HYPERLINK("https://www1.hkexnews.hk/listedco/listconews/sehk/2026/0114/2026011400011.pdf","prospectus")</f>
        <v/>
      </c>
      <c r="AU426" s="37">
        <f>HYPERLINK("https://www1.hkexnews.hk/listedco/listconews/sehk/2026/0121/2026012101145.pdf","allotment")</f>
        <v/>
      </c>
      <c r="AV426" s="37">
        <f>HYPERLINK("https://www1.hkexnews.hk/listedco/listconews/sehk/2026/0223/2026022300424.pdf","stabilisation")</f>
        <v/>
      </c>
      <c r="AW426" s="26" t="inlineStr">
        <is>
          <t>intl sub: 0.64x is implausible for a deal struck at the cap with the public tranche 1,150x subscribed — likely a percentage read as a multiple; check CP037 · A/H: Jan 2026 H listing (smart-device ODM)</t>
        </is>
      </c>
    </row>
    <row r="427">
      <c r="A427" s="25" t="inlineStr">
        <is>
          <t>1768</t>
        </is>
      </c>
      <c r="B427" s="26" t="inlineStr">
        <is>
          <t>BUSYMING</t>
        </is>
      </c>
      <c r="C427" s="26" t="inlineStr">
        <is>
          <t>鳴鳴很忙</t>
        </is>
      </c>
      <c r="D427" s="26" t="inlineStr">
        <is>
          <t>Other</t>
        </is>
      </c>
      <c r="E427" s="26" t="inlineStr">
        <is>
          <t>Other / unclassified</t>
        </is>
      </c>
      <c r="F427" s="26" t="inlineStr">
        <is>
          <t>Standard</t>
        </is>
      </c>
      <c r="G427" s="27" t="n">
        <v>46050</v>
      </c>
      <c r="H427" s="28" t="n">
        <v>3670</v>
      </c>
      <c r="I427" s="26" t="inlineStr">
        <is>
          <t>gross (stated)</t>
        </is>
      </c>
      <c r="J427" s="29" t="n"/>
      <c r="K427" s="29" t="n">
        <v>236.6</v>
      </c>
      <c r="L427" s="29" t="n">
        <v>236.6</v>
      </c>
      <c r="M427" s="26" t="inlineStr">
        <is>
          <t>Y</t>
        </is>
      </c>
      <c r="N427" s="30" t="n">
        <v>100</v>
      </c>
      <c r="O427" s="28" t="n">
        <v>50989.9</v>
      </c>
      <c r="P427" s="26" t="inlineStr">
        <is>
          <t>derived:price x shares upon listing</t>
        </is>
      </c>
      <c r="Q427" s="31" t="n">
        <v>1899.49</v>
      </c>
      <c r="R427" s="32" t="n">
        <v>44.44</v>
      </c>
      <c r="S427" s="33" t="n">
        <v>45.6</v>
      </c>
      <c r="T427" s="44" t="inlineStr">
        <is>
          <t>Mr. Zhao; Changsha Xunmang; Changsha Jianmang; Changsha Lingmang; Changsha Zhongmang; Shanghai Bird Nest; Yichun Yikouniao; HongShan Hanchen; Gaorong LKZN; Discounter Seed; HongShan Yaheng; BA HM; Shanghai Yihai; Xiamen Black Ant</t>
        </is>
      </c>
      <c r="U427" s="30" t="n">
        <v>15</v>
      </c>
      <c r="V427" s="26" t="n"/>
      <c r="W427" s="34" t="n">
        <v>69.06</v>
      </c>
      <c r="X427" s="34" t="n">
        <v>68.81</v>
      </c>
      <c r="Y427" s="34" t="n">
        <v>65.17</v>
      </c>
      <c r="Z427" s="34" t="n">
        <v>84.11</v>
      </c>
      <c r="AA427" s="34" t="n">
        <v>-2.3</v>
      </c>
      <c r="AB427" s="34" t="n">
        <v>70.18000000000001</v>
      </c>
      <c r="AC427" s="34" t="n">
        <v>-5.01</v>
      </c>
      <c r="AD427" s="26" t="inlineStr">
        <is>
          <t>Hang Seng Index</t>
        </is>
      </c>
      <c r="AE427" s="34" t="n">
        <v>69.73999999999999</v>
      </c>
      <c r="AF427" s="28" t="n">
        <v>72787.39999999999</v>
      </c>
      <c r="AG427" s="28" t="n">
        <v>2562.1</v>
      </c>
      <c r="AH427" s="26" t="inlineStr">
        <is>
          <t>Y</t>
        </is>
      </c>
      <c r="AI427" s="35" t="n">
        <v>19.9</v>
      </c>
      <c r="AJ427" s="35" t="n">
        <v>0.7</v>
      </c>
      <c r="AK427" s="26" t="inlineStr">
        <is>
          <t>N</t>
        </is>
      </c>
      <c r="AL427" s="36">
        <f>IF('BBG Verify'!K427="","not filed — run on terminal",'BBG Verify'!K427)</f>
        <v/>
      </c>
      <c r="AM427" s="26" t="inlineStr">
        <is>
          <t>N/A</t>
        </is>
      </c>
      <c r="AN427" s="26" t="inlineStr">
        <is>
          <t>N/A</t>
        </is>
      </c>
      <c r="AO427" s="26" t="inlineStr">
        <is>
          <t>N/A</t>
        </is>
      </c>
      <c r="AP427" s="26" t="inlineStr">
        <is>
          <t>Goldman Sachs; Huatai Financial Holdings (Hong Kong)</t>
        </is>
      </c>
      <c r="AQ427" s="26" t="inlineStr">
        <is>
          <t>高盛(亞洲)有限責任公司; 華泰金融控股(香港)有限公司</t>
        </is>
      </c>
      <c r="AR427" s="26" t="inlineStr">
        <is>
          <t>德意志銀行香港分行; 富途證券國際（香港）有限公司; 高盛(亞洲)有限責任公司; 華泰金融控股(香港)有限公司; 海通國際證券有限公司; 浦銀國際融資有限公司</t>
        </is>
      </c>
      <c r="AS427" s="26" t="inlineStr">
        <is>
          <t>德意志銀行香港分行; 富途證券國際（香港）有限公司; 高盛(亞洲)有限責任公司; 華泰金融控股(香港)有限公司; 海通國際證券有限公司; 浦銀國際融資有限公司</t>
        </is>
      </c>
      <c r="AT427" s="37">
        <f>HYPERLINK("https://www1.hkexnews.hk/listedco/listconews/sehk/2026/0120/2026012000025.pdf","prospectus")</f>
        <v/>
      </c>
      <c r="AU427" s="37">
        <f>HYPERLINK("https://www1.hkexnews.hk/listedco/listconews/sehk/2026/0127/2026012701713.pdf","allotment")</f>
        <v/>
      </c>
      <c r="AV427" s="26" t="n"/>
      <c r="AW427" s="26" t="inlineStr">
        <is>
          <t>greenshoe: end-of-stabilisation notice not located · price range: fixed-price offering (no indicative range) · A/H: no A-share listing</t>
        </is>
      </c>
    </row>
    <row r="428">
      <c r="A428" s="25" t="inlineStr">
        <is>
          <t>9980</t>
        </is>
      </c>
      <c r="B428" s="26" t="inlineStr">
        <is>
          <t>EASTROC</t>
        </is>
      </c>
      <c r="C428" s="26" t="inlineStr">
        <is>
          <t>東鵬飲料</t>
        </is>
      </c>
      <c r="D428" s="26" t="inlineStr">
        <is>
          <t>Consumer</t>
        </is>
      </c>
      <c r="E428" s="26" t="inlineStr">
        <is>
          <t>Beverages / packaged food</t>
        </is>
      </c>
      <c r="F428" s="26" t="inlineStr">
        <is>
          <t>Standard</t>
        </is>
      </c>
      <c r="G428" s="27" t="n">
        <v>46056</v>
      </c>
      <c r="H428" s="28" t="n">
        <v>10140.7</v>
      </c>
      <c r="I428" s="26" t="inlineStr">
        <is>
          <t>gross (stated)</t>
        </is>
      </c>
      <c r="J428" s="29" t="n"/>
      <c r="K428" s="29" t="n">
        <v>248</v>
      </c>
      <c r="L428" s="29" t="n">
        <v>248</v>
      </c>
      <c r="M428" s="26" t="inlineStr">
        <is>
          <t>Y</t>
        </is>
      </c>
      <c r="N428" s="30" t="n">
        <v>100</v>
      </c>
      <c r="O428" s="28" t="n">
        <v>122324.5</v>
      </c>
      <c r="P428" s="26" t="inlineStr">
        <is>
          <t>derived:deal size / offer % of enlarged capital</t>
        </is>
      </c>
      <c r="Q428" s="31" t="n">
        <v>57.46</v>
      </c>
      <c r="R428" s="45" t="n">
        <v>0.9987</v>
      </c>
      <c r="S428" s="33" t="n">
        <v>49.2</v>
      </c>
      <c r="T428" s="26"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U428" s="30" t="n">
        <v>7.29</v>
      </c>
      <c r="V428" s="26" t="inlineStr">
        <is>
          <t>partial</t>
        </is>
      </c>
      <c r="W428" s="34" t="n">
        <v>1.53</v>
      </c>
      <c r="X428" s="34" t="n">
        <v>0.8100000000000001</v>
      </c>
      <c r="Y428" s="34" t="n">
        <v>-13.87</v>
      </c>
      <c r="Z428" s="34" t="n">
        <v>-32.66</v>
      </c>
      <c r="AA428" s="34" t="n">
        <v>-15.17</v>
      </c>
      <c r="AB428" s="34" t="n">
        <v>-7.17</v>
      </c>
      <c r="AC428" s="34" t="n">
        <v>-6.7</v>
      </c>
      <c r="AD428" s="26" t="inlineStr">
        <is>
          <t>Hang Seng Commerce &amp; Industry sub-index</t>
        </is>
      </c>
      <c r="AE428" s="34" t="n">
        <v>-53.79</v>
      </c>
      <c r="AF428" s="28" t="n">
        <v>17413.4</v>
      </c>
      <c r="AG428" s="28" t="n">
        <v>3659.1</v>
      </c>
      <c r="AH428" s="26" t="inlineStr">
        <is>
          <t>Y</t>
        </is>
      </c>
      <c r="AI428" s="35" t="n">
        <v>33.4</v>
      </c>
      <c r="AJ428" s="35" t="n">
        <v>7</v>
      </c>
      <c r="AK428" s="26" t="inlineStr">
        <is>
          <t>Y</t>
        </is>
      </c>
      <c r="AL428" s="26" t="inlineStr">
        <is>
          <t>605499.SS</t>
        </is>
      </c>
      <c r="AM428" s="34" t="n">
        <v>-14.12</v>
      </c>
      <c r="AN428" s="29" t="n">
        <v>288.7582</v>
      </c>
      <c r="AO428" s="42" t="n">
        <v>-0.1807</v>
      </c>
      <c r="AP428" s="26" t="inlineStr">
        <is>
          <t>Huatai Financial Holdings (Hong Kong) Limited; Morgan Stanley Asia Limited; UBS Securities Hong Kong Limited</t>
        </is>
      </c>
      <c r="AQ428" s="26" t="inlineStr">
        <is>
          <t>摩根士丹利亞洲有限公司; 瑞銀證券香港有限公司; 華泰金融控股(香港)有限公司</t>
        </is>
      </c>
      <c r="AR428" s="26" t="inlineStr">
        <is>
          <t>Joint Lead Managers Huatai Financial Holdings (Hong Kong) Limited; Morgan Stanley Asia Limited; UBS AG Hong Kong Branch</t>
        </is>
      </c>
      <c r="AS428" s="26" t="inlineStr">
        <is>
          <t>華泰金融控股(香港)有限公司; 摩根士丹利亞洲有限公司; UBS AG 香港分行</t>
        </is>
      </c>
      <c r="AT428" s="37">
        <f>HYPERLINK("https://www1.hkexnews.hk/listedco/listconews/sehk/2026/0126/2026012600003.pdf","prospectus")</f>
        <v/>
      </c>
      <c r="AU428" s="37">
        <f>HYPERLINK("https://www1.hkexnews.hk/listedco/listconews/sehk/2026/0202/2026020203212.pdf","allotment")</f>
        <v/>
      </c>
      <c r="AV428" s="37">
        <f>HYPERLINK("https://www1.hkexnews.hk/listedco/listconews/sehk/2026/0301/2026030100013.pdf","stabilisation")</f>
        <v/>
      </c>
      <c r="AW428" s="26" t="inlineStr">
        <is>
          <t>intl sub: 0.9987x is implausible for a deal struck at the cap with the public tranche 57x subscribed — likely a percentage read as a multiple; check CP037 · A/H: Feb 2026, ~HK$10.1bn at HK$248/sh — largest HK IPO of early 2026</t>
        </is>
      </c>
    </row>
    <row r="429">
      <c r="A429" s="25" t="inlineStr">
        <is>
          <t>2768</t>
        </is>
      </c>
      <c r="B429" s="26" t="inlineStr">
        <is>
          <t>GON TECHNOLOGY</t>
        </is>
      </c>
      <c r="C429" s="26" t="inlineStr">
        <is>
          <t>國恩科技</t>
        </is>
      </c>
      <c r="D429" s="26" t="inlineStr">
        <is>
          <t>Tech/AI</t>
        </is>
      </c>
      <c r="E429" s="26" t="inlineStr">
        <is>
          <t>Smart hardware / consumer electronics</t>
        </is>
      </c>
      <c r="F429" s="26" t="inlineStr">
        <is>
          <t>Standard</t>
        </is>
      </c>
      <c r="G429" s="27" t="n">
        <v>46057</v>
      </c>
      <c r="H429" s="28" t="n">
        <v>1080</v>
      </c>
      <c r="I429" s="26" t="inlineStr">
        <is>
          <t>gross (stated)</t>
        </is>
      </c>
      <c r="J429" s="29" t="n"/>
      <c r="K429" s="29" t="n">
        <v>36</v>
      </c>
      <c r="L429" s="29" t="n">
        <v>36</v>
      </c>
      <c r="M429" s="26" t="inlineStr">
        <is>
          <t>Y</t>
        </is>
      </c>
      <c r="N429" s="30" t="n">
        <v>100</v>
      </c>
      <c r="O429" s="28" t="n">
        <v>10845</v>
      </c>
      <c r="P429" s="26" t="inlineStr">
        <is>
          <t>derived:price x shares upon listing</t>
        </is>
      </c>
      <c r="Q429" s="31" t="n">
        <v>2251.85</v>
      </c>
      <c r="R429" s="32" t="n">
        <v>10.03</v>
      </c>
      <c r="S429" s="33" t="n"/>
      <c r="T429" s="26" t="inlineStr">
        <is>
          <t>Nice First Investments Limited; Zhou Wanyuan; GF Global Capital Limited; CMBI (Singapore) Pte. Limited; Fullgoal HK Note; E Fund Management Co., Ltd; SLD International Enterprises Limited; Cheng A International Co., Limited; First Seafront Fund Series SPC; Luminous Horizon</t>
        </is>
      </c>
      <c r="U429" s="30" t="n"/>
      <c r="V429" s="26" t="n"/>
      <c r="W429" s="34" t="n">
        <v>11.56</v>
      </c>
      <c r="X429" s="34" t="n">
        <v>27.22</v>
      </c>
      <c r="Y429" s="34" t="n">
        <v>33.22</v>
      </c>
      <c r="Z429" s="34" t="n">
        <v>43.75</v>
      </c>
      <c r="AA429" s="34" t="n">
        <v>19.42</v>
      </c>
      <c r="AB429" s="34" t="n">
        <v>40.68</v>
      </c>
      <c r="AC429" s="34" t="n">
        <v>-7.46</v>
      </c>
      <c r="AD429" s="26" t="inlineStr">
        <is>
          <t>HSTECH (Hang Seng TECH ETF)</t>
        </is>
      </c>
      <c r="AE429" s="34" t="n">
        <v>16.11</v>
      </c>
      <c r="AF429" s="28" t="n">
        <v>23376.4</v>
      </c>
      <c r="AG429" s="28" t="n">
        <v>937.2</v>
      </c>
      <c r="AH429" s="26" t="inlineStr">
        <is>
          <t>Y</t>
        </is>
      </c>
      <c r="AI429" s="35" t="n">
        <v>11.6</v>
      </c>
      <c r="AJ429" s="35" t="n">
        <v>0.5</v>
      </c>
      <c r="AK429" s="26" t="inlineStr">
        <is>
          <t>Y</t>
        </is>
      </c>
      <c r="AL429" s="26" t="inlineStr">
        <is>
          <t>002768.SZ</t>
        </is>
      </c>
      <c r="AM429" s="34" t="n">
        <v>-42.56</v>
      </c>
      <c r="AN429" s="29" t="n">
        <v>62.6783</v>
      </c>
      <c r="AO429" s="42" t="n">
        <v>-0.443</v>
      </c>
      <c r="AP429" s="26" t="n"/>
      <c r="AQ429" s="26" t="inlineStr">
        <is>
          <t>招商證券(香港)有限公司</t>
        </is>
      </c>
      <c r="AR429" s="26" t="inlineStr">
        <is>
          <t>中國國際金融香港證券有限公司; 中信里昂證券有限公司; 招銀國際融資有限公司; 招商證券(香港)有限公司; 利弗莫爾證券有限公司; 老虎證券（香港）環球有限公司</t>
        </is>
      </c>
      <c r="AS429" s="26" t="inlineStr">
        <is>
          <t>中國國際金融香港證券有限公司; 中信里昂證券有限公司; 招銀國際融資有限公司; 招商證券(香港)有限公司; 利弗莫爾證券有限公司; 老虎證券（香港）環球有限公司</t>
        </is>
      </c>
      <c r="AT429" s="37">
        <f>HYPERLINK("https://www1.hkexnews.hk/listedco/listconews/sehk/2026/0127/2026012700009.pdf","prospectus")</f>
        <v/>
      </c>
      <c r="AU429" s="37">
        <f>HYPERLINK("https://www1.hkexnews.hk/listedco/listconews/sehk/2026/0203/2026020302602.pdf","allotment")</f>
        <v/>
      </c>
      <c r="AV429" s="26" t="n"/>
      <c r="AW429" s="26" t="inlineStr">
        <is>
          <t>greenshoe: no over-allotment option in the offer structure · price range: fixed-price offering (no indicative range) · A/H: Feb 2026 H listing (polymer materials) · sponsor: English name not in the filing text; AAStocks 保薦人 shown</t>
        </is>
      </c>
    </row>
    <row r="430">
      <c r="A430" s="25" t="inlineStr">
        <is>
          <t>2677</t>
        </is>
      </c>
      <c r="B430" s="26" t="inlineStr">
        <is>
          <t>DISTINCT HEALTH</t>
        </is>
      </c>
      <c r="C430" s="26" t="inlineStr">
        <is>
          <t>卓正醫療</t>
        </is>
      </c>
      <c r="D430" s="26" t="inlineStr">
        <is>
          <t>Healthcare</t>
        </is>
      </c>
      <c r="E430" s="26" t="inlineStr">
        <is>
          <t>Digital health</t>
        </is>
      </c>
      <c r="F430" s="26" t="inlineStr">
        <is>
          <t>Standard</t>
        </is>
      </c>
      <c r="G430" s="27" t="n">
        <v>46059</v>
      </c>
      <c r="H430" s="28" t="n">
        <v>284.53</v>
      </c>
      <c r="I430" s="26" t="inlineStr">
        <is>
          <t>gross (stated)</t>
        </is>
      </c>
      <c r="J430" s="29" t="n">
        <v>57.7</v>
      </c>
      <c r="K430" s="29" t="n">
        <v>66.59999999999999</v>
      </c>
      <c r="L430" s="29" t="n">
        <v>59.9</v>
      </c>
      <c r="M430" s="26" t="inlineStr">
        <is>
          <t>N</t>
        </is>
      </c>
      <c r="N430" s="30" t="n">
        <v>89.90000000000001</v>
      </c>
      <c r="O430" s="28" t="n">
        <v>3856.6</v>
      </c>
      <c r="P430" s="26" t="inlineStr">
        <is>
          <t>derived:price x shares upon listing</t>
        </is>
      </c>
      <c r="Q430" s="31" t="n">
        <v>2730.73</v>
      </c>
      <c r="R430" s="32" t="n">
        <v>5.79</v>
      </c>
      <c r="S430" s="33" t="n">
        <v>29</v>
      </c>
      <c r="T430" s="26" t="inlineStr">
        <is>
          <t>Health Vision Hong Kong Limited; KingMed Diagnostics (Hong Kong) Limited (ਹᏨ᜕ (ಥ)ʮ̡; Mininglamp Technology; Galaxy Dynasty Limited</t>
        </is>
      </c>
      <c r="U430" s="30" t="n">
        <v>15</v>
      </c>
      <c r="V430" s="26" t="inlineStr">
        <is>
          <t>partial</t>
        </is>
      </c>
      <c r="W430" s="34" t="n">
        <v>13.36</v>
      </c>
      <c r="X430" s="34" t="n">
        <v>-3.17</v>
      </c>
      <c r="Y430" s="34" t="n">
        <v>9.1</v>
      </c>
      <c r="Z430" s="34" t="n">
        <v>-54.49</v>
      </c>
      <c r="AA430" s="34" t="n">
        <v>-3.76</v>
      </c>
      <c r="AB430" s="34" t="n">
        <v>14.97</v>
      </c>
      <c r="AC430" s="34" t="n">
        <v>-5.87</v>
      </c>
      <c r="AD430" s="26" t="inlineStr">
        <is>
          <t>China Biotech ETF (HS biotech proxy)</t>
        </is>
      </c>
      <c r="AE430" s="34" t="n">
        <v>-57.43</v>
      </c>
      <c r="AF430" s="28" t="n">
        <v>1054.4</v>
      </c>
      <c r="AG430" s="28" t="n">
        <v>88.2</v>
      </c>
      <c r="AH430" s="26" t="inlineStr">
        <is>
          <t>Y</t>
        </is>
      </c>
      <c r="AI430" s="35" t="n">
        <v>43.7</v>
      </c>
      <c r="AJ430" s="35" t="n">
        <v>3.7</v>
      </c>
      <c r="AK430" s="26" t="inlineStr">
        <is>
          <t>N</t>
        </is>
      </c>
      <c r="AL430" s="36">
        <f>IF('BBG Verify'!K430="","not filed — run on terminal",'BBG Verify'!K430)</f>
        <v/>
      </c>
      <c r="AM430" s="26" t="inlineStr">
        <is>
          <t>N/A</t>
        </is>
      </c>
      <c r="AN430" s="26" t="inlineStr">
        <is>
          <t>N/A</t>
        </is>
      </c>
      <c r="AO430" s="26" t="inlineStr">
        <is>
          <t>N/A</t>
        </is>
      </c>
      <c r="AP430" s="26" t="inlineStr">
        <is>
          <t>Haitong International Capital Limited; SPDB International Capital Limited; -Overall Coordinators Haitong International Securities Company Limited</t>
        </is>
      </c>
      <c r="AQ430" s="26" t="inlineStr">
        <is>
          <t>海通國際資本有限公司; 浦銀國際融資有限公司</t>
        </is>
      </c>
      <c r="AR430" s="26" t="inlineStr">
        <is>
          <t>Haitong International Securities Company Limited; SPDB International Capital Limited; CMB International Capital Limited; China Galaxy International Securities (Hong Kong) Co., Limited; CCB International Capital Limited; Central, Hong Kong ICBC International Securities Limited; China Renaissance Securities (Hong Kong) Limited; Futu Securities International (Hong Kong) Limited; Zhongtai International Securities Limited; XCap Partners Limited; Funde Securities Limited; Tiger Brokers (HK) Global Limited</t>
        </is>
      </c>
      <c r="AS430" s="26" t="inlineStr">
        <is>
          <t>建銀國際金融有限公司; 中國銀河國際證券(香港)有限公司; 招銀國際融資有限公司; 華興資本證券(香港)有限公司; 富德證券有限公司; 富途證券國際（香港）有限公司; 海通國際證券有限公司; 工銀國際證券有限公司; 浦銀國際融資有限公司; 老虎證券（香港）環球有限公司; 睿本國際有限公司; 中泰國際證券有限公司</t>
        </is>
      </c>
      <c r="AT430" s="37">
        <f>HYPERLINK("https://www1.hkexnews.hk/listedco/listconews/sehk/2026/0129/2026012900021.pdf","prospectus")</f>
        <v/>
      </c>
      <c r="AU430" s="37">
        <f>HYPERLINK("https://www1.hkexnews.hk/listedco/listconews/sehk/2026/0205/2026020501800.pdf","allotment")</f>
        <v/>
      </c>
      <c r="AV430" s="37">
        <f>HYPERLINK("https://www1.hkexnews.hk/listedco/listconews/sehk/2026/0305/2026030502008.pdf","stabilisation")</f>
        <v/>
      </c>
      <c r="AW430" s="26" t="inlineStr">
        <is>
          <t>A/H: no A-share listing</t>
        </is>
      </c>
    </row>
    <row r="431">
      <c r="A431" s="25" t="inlineStr">
        <is>
          <t>3200</t>
        </is>
      </c>
      <c r="B431" s="26" t="inlineStr">
        <is>
          <t>HANS CNC</t>
        </is>
      </c>
      <c r="C431" s="26" t="inlineStr">
        <is>
          <t>大族數控</t>
        </is>
      </c>
      <c r="D431" s="26" t="inlineStr">
        <is>
          <t>Industrials</t>
        </is>
      </c>
      <c r="E431" s="26" t="inlineStr">
        <is>
          <t>Capital goods / machinery</t>
        </is>
      </c>
      <c r="F431" s="26" t="inlineStr">
        <is>
          <t>Standard</t>
        </is>
      </c>
      <c r="G431" s="27" t="n">
        <v>46059</v>
      </c>
      <c r="H431" s="28" t="n">
        <v>4833.3</v>
      </c>
      <c r="I431" s="26" t="inlineStr">
        <is>
          <t>gross (stated)</t>
        </is>
      </c>
      <c r="J431" s="29" t="n"/>
      <c r="K431" s="29" t="n">
        <v>95.8</v>
      </c>
      <c r="L431" s="29" t="n">
        <v>95.8</v>
      </c>
      <c r="M431" s="26" t="inlineStr">
        <is>
          <t>Y</t>
        </is>
      </c>
      <c r="N431" s="30" t="n">
        <v>100</v>
      </c>
      <c r="O431" s="28" t="n">
        <v>40277.5</v>
      </c>
      <c r="P431" s="26" t="inlineStr">
        <is>
          <t>derived:deal size / offer % of enlarged capital</t>
        </is>
      </c>
      <c r="Q431" s="31" t="n">
        <v>446.39</v>
      </c>
      <c r="R431" s="32" t="n">
        <v>21.07</v>
      </c>
      <c r="S431" s="33" t="n">
        <v>50</v>
      </c>
      <c r="T431" s="44" t="inlineStr">
        <is>
          <t>GIC Private Limited; Management (Hong Kong) Limited; HHLR Advisors, Ltd; Morgan Stanley &amp; Co. International plc; Fullgoal; Limited Note; Co., Ltd. Note; Opportunities Fund SP; Hillhouse Investment Management Limited</t>
        </is>
      </c>
      <c r="U431" s="30" t="n">
        <v>15</v>
      </c>
      <c r="V431" s="26" t="inlineStr">
        <is>
          <t>full</t>
        </is>
      </c>
      <c r="W431" s="34" t="n">
        <v>14.82</v>
      </c>
      <c r="X431" s="34" t="n">
        <v>17.54</v>
      </c>
      <c r="Y431" s="34" t="n">
        <v>21.92</v>
      </c>
      <c r="Z431" s="34" t="n">
        <v>69.42</v>
      </c>
      <c r="AA431" s="34" t="n">
        <v>6.18</v>
      </c>
      <c r="AB431" s="34" t="n">
        <v>26.5</v>
      </c>
      <c r="AC431" s="34" t="n">
        <v>-4.58</v>
      </c>
      <c r="AD431" s="26" t="inlineStr">
        <is>
          <t>Hang Seng Commerce &amp; Industry sub-index</t>
        </is>
      </c>
      <c r="AE431" s="34" t="n">
        <v>19.31</v>
      </c>
      <c r="AF431" s="28" t="n">
        <v>3677.4</v>
      </c>
      <c r="AG431" s="28" t="n">
        <v>329.5</v>
      </c>
      <c r="AH431" s="26" t="inlineStr">
        <is>
          <t>Y</t>
        </is>
      </c>
      <c r="AI431" s="35" t="n">
        <v>122.2</v>
      </c>
      <c r="AJ431" s="35" t="n">
        <v>11</v>
      </c>
      <c r="AK431" s="26" t="inlineStr">
        <is>
          <t>Y</t>
        </is>
      </c>
      <c r="AL431" s="26" t="inlineStr">
        <is>
          <t>301200.SZ</t>
        </is>
      </c>
      <c r="AM431" s="34" t="n">
        <v>-45.67</v>
      </c>
      <c r="AN431" s="29" t="n">
        <v>176.3149</v>
      </c>
      <c r="AO431" s="42" t="n">
        <v>-0.6753</v>
      </c>
      <c r="AP431" s="26" t="inlineStr">
        <is>
          <t>China International Capital Corporation Hong Kong Securities Limited</t>
        </is>
      </c>
      <c r="AQ431" s="26" t="inlineStr">
        <is>
          <t>中國國際金融香港證券有限公司</t>
        </is>
      </c>
      <c r="AR431" s="26" t="inlineStr">
        <is>
          <t>China International Capital Corporation Hong Kong Securities Limited; Deutsche Bank AG, Hong Kong Branch; Sinolink Securities (Hong Kong) Company Limited; SDIC Securities (Hong Kong) Limited; DIRECTORS AND PARTIES INVOLVED IN THE GLOBAL OFFERING – 104 – ABCI Capital Limited</t>
        </is>
      </c>
      <c r="AS431" s="26" t="inlineStr">
        <is>
          <t>農銀國際證券有限公司; 中國國際金融香港證券有限公司; 德意志銀行香港分行; 國投證券（香港）有限公司; 國金證券（香港）有限公司</t>
        </is>
      </c>
      <c r="AT431" s="37">
        <f>HYPERLINK("https://www1.hkexnews.hk/listedco/listconews/sehk/2026/0129/2026012900019.pdf","prospectus")</f>
        <v/>
      </c>
      <c r="AU431" s="37">
        <f>HYPERLINK("https://www1.hkexnews.hk/listedco/listconews/sehk/2026/0205/2026020502290.pdf","allotment")</f>
        <v/>
      </c>
      <c r="AV431" s="37">
        <f>HYPERLINK("https://www1.hkexnews.hk/listedco/listconews/sehk/2026/0305/2026030501746.pdf","stabilisation")</f>
        <v/>
      </c>
      <c r="AW431" s="26" t="inlineStr">
        <is>
          <t>A/H: Feb 2026 H listing (PCB drilling equipment)</t>
        </is>
      </c>
    </row>
    <row r="432">
      <c r="A432" s="25" t="inlineStr">
        <is>
          <t>2714</t>
        </is>
      </c>
      <c r="B432" s="26" t="inlineStr">
        <is>
          <t>MUYUAN</t>
        </is>
      </c>
      <c r="C432" s="26" t="inlineStr">
        <is>
          <t>牧原股份</t>
        </is>
      </c>
      <c r="D432" s="26" t="inlineStr">
        <is>
          <t>Consumer</t>
        </is>
      </c>
      <c r="E432" s="26" t="inlineStr">
        <is>
          <t>Beverages / packaged food</t>
        </is>
      </c>
      <c r="F432" s="26" t="inlineStr">
        <is>
          <t>Standard</t>
        </is>
      </c>
      <c r="G432" s="27" t="n">
        <v>46059</v>
      </c>
      <c r="H432" s="28" t="n">
        <v>10684.1</v>
      </c>
      <c r="I432" s="26" t="inlineStr">
        <is>
          <t>gross (stated)</t>
        </is>
      </c>
      <c r="J432" s="29" t="n"/>
      <c r="K432" s="29" t="n">
        <v>39</v>
      </c>
      <c r="L432" s="29" t="n">
        <v>39</v>
      </c>
      <c r="M432" s="26" t="inlineStr">
        <is>
          <t>Y</t>
        </is>
      </c>
      <c r="N432" s="30" t="n">
        <v>100</v>
      </c>
      <c r="O432" s="28" t="n">
        <v>286002</v>
      </c>
      <c r="P432" s="26" t="inlineStr">
        <is>
          <t>prospectus:stated market capitalisation</t>
        </is>
      </c>
      <c r="Q432" s="31" t="n">
        <v>5.88</v>
      </c>
      <c r="R432" s="32" t="n">
        <v>8.619999999999999</v>
      </c>
      <c r="S432" s="33" t="n">
        <v>50</v>
      </c>
      <c r="T432" s="26" t="inlineStr">
        <is>
          <t>Sinochem; FIL Investment; Shareholder RBC GAM; Shareholders Subtotal; Ping An Asset; Shareholders Dajia Life; UBS AM Singapore; Shareholder Lu Deyan; Millennium ICSA Subtotal; HTCI</t>
        </is>
      </c>
      <c r="U432" s="30" t="n">
        <v>15</v>
      </c>
      <c r="V432" s="26" t="inlineStr">
        <is>
          <t>partial</t>
        </is>
      </c>
      <c r="W432" s="34" t="n">
        <v>3.9</v>
      </c>
      <c r="X432" s="34" t="n">
        <v>0.51</v>
      </c>
      <c r="Y432" s="34" t="n">
        <v>19.69</v>
      </c>
      <c r="Z432" s="34" t="n">
        <v>0.67</v>
      </c>
      <c r="AA432" s="34" t="n">
        <v>15.2</v>
      </c>
      <c r="AB432" s="34" t="n">
        <v>24.27</v>
      </c>
      <c r="AC432" s="34" t="n">
        <v>-4.58</v>
      </c>
      <c r="AD432" s="26" t="inlineStr">
        <is>
          <t>Hang Seng Commerce &amp; Industry sub-index</t>
        </is>
      </c>
      <c r="AE432" s="34" t="n">
        <v>-10.67</v>
      </c>
      <c r="AF432" s="28" t="n">
        <v>158559.5</v>
      </c>
      <c r="AG432" s="28" t="n">
        <v>16992.9</v>
      </c>
      <c r="AH432" s="26" t="inlineStr">
        <is>
          <t>Y</t>
        </is>
      </c>
      <c r="AI432" s="35" t="n">
        <v>16.8</v>
      </c>
      <c r="AJ432" s="35" t="n">
        <v>1.8</v>
      </c>
      <c r="AK432" s="26" t="inlineStr">
        <is>
          <t>Y</t>
        </is>
      </c>
      <c r="AL432" s="26" t="inlineStr">
        <is>
          <t>002714.SZ</t>
        </is>
      </c>
      <c r="AM432" s="34" t="n">
        <v>-25.87</v>
      </c>
      <c r="AN432" s="29" t="n">
        <v>52.613</v>
      </c>
      <c r="AO432" s="42" t="n">
        <v>-0.2564</v>
      </c>
      <c r="AP432" s="26" t="inlineStr">
        <is>
          <t>Morgan Stanley Asia Limited; CITIC Securities (Hong Kong) Limited; Goldman Sachs (Asia) L.L.C</t>
        </is>
      </c>
      <c r="AQ432" s="26" t="inlineStr">
        <is>
          <t>摩根士丹利亞洲有限公司; 高盛(亞洲)有限責任公司; 中信證券(香港)有限公司</t>
        </is>
      </c>
      <c r="AR432" s="26" t="inlineStr">
        <is>
          <t>Morgan Stanley Asia Limited; CLSA Limited; DIRECTORS AND PARTIES INVOLVED IN THE GLOBAL OFFERING –9 8– Goldman Sachs (Asia) L.L.C; China International Capital Corporation Hong Kong Securities Limited; Merrill Lynch (Asia Pacific) Limited; CMB International Capital Limited; China Merchants Securities (HK) Co., Limited; ABCI Capital Limited; BOCI Asia Limited; CCB International Capital Limited; Goldman Sachs (Asia) L.L.C; BOCOM International Securities Limited</t>
        </is>
      </c>
      <c r="AS432" s="26" t="inlineStr">
        <is>
          <t>農銀國際證券有限公司; 中銀國際亞洲有限公司; 交銀國際證券有限公司; 建銀國際金融有限公司; 中國光大證券(香港)有限公司; 中國銀河國際證券(香港)有限公司; 長江證券經紀（香港）有限公司; 中國國際金融香港證券有限公司; 中信里昂證券有限公司; 招銀國際金融有限公司; 招商證券(香港)有限公司; 富途證券國際（香港）有限公司; 高盛(亞洲)有限責任公司; 美林(亞太)有限公司; 摩根士丹利亞洲有限公司</t>
        </is>
      </c>
      <c r="AT432" s="37">
        <f>HYPERLINK("https://www1.hkexnews.hk/listedco/listconews/sehk/2026/0129/2026012900023.pdf","prospectus")</f>
        <v/>
      </c>
      <c r="AU432" s="37">
        <f>HYPERLINK("https://www1.hkexnews.hk/listedco/listconews/sehk/2026/0205/2026020502402.pdf","allotment")</f>
        <v/>
      </c>
      <c r="AV432" s="37">
        <f>HYPERLINK("https://www1.hkexnews.hk/listedco/listconews/sehk/2026/0305/2026030501974.pdf","stabilisation")</f>
        <v/>
      </c>
      <c r="AW432" s="26" t="inlineStr">
        <is>
          <t>A/H: Feb 2026, net proceeds up to HK$12.0bn w/ greenshoe; subdued debut</t>
        </is>
      </c>
    </row>
    <row r="433">
      <c r="A433" s="25" t="inlineStr">
        <is>
          <t>6809</t>
        </is>
      </c>
      <c r="B433" s="26" t="inlineStr">
        <is>
          <t>MONTAGE TECH</t>
        </is>
      </c>
      <c r="C433" s="26" t="inlineStr">
        <is>
          <t>瀾起科技</t>
        </is>
      </c>
      <c r="D433" s="26" t="inlineStr">
        <is>
          <t>Tech/AI</t>
        </is>
      </c>
      <c r="E433" s="26" t="inlineStr">
        <is>
          <t>AI chips &amp; semis</t>
        </is>
      </c>
      <c r="F433" s="26" t="inlineStr">
        <is>
          <t>Standard</t>
        </is>
      </c>
      <c r="G433" s="27" t="n">
        <v>46062</v>
      </c>
      <c r="H433" s="28" t="n">
        <v>7043</v>
      </c>
      <c r="I433" s="26" t="inlineStr">
        <is>
          <t>gross (stated)</t>
        </is>
      </c>
      <c r="J433" s="29" t="n"/>
      <c r="K433" s="29" t="n">
        <v>106.89</v>
      </c>
      <c r="L433" s="29" t="n">
        <v>106.89</v>
      </c>
      <c r="M433" s="26" t="inlineStr">
        <is>
          <t>Y</t>
        </is>
      </c>
      <c r="N433" s="30" t="n">
        <v>100</v>
      </c>
      <c r="O433" s="28" t="n">
        <v>113600.4</v>
      </c>
      <c r="P433" s="26" t="inlineStr">
        <is>
          <t>derived:deal size / offer % of enlarged capital</t>
        </is>
      </c>
      <c r="Q433" s="31" t="n">
        <v>707.3</v>
      </c>
      <c r="R433" s="32" t="n">
        <v>37.67</v>
      </c>
      <c r="S433" s="33" t="n">
        <v>49.8</v>
      </c>
      <c r="T433" s="44" t="inlineStr">
        <is>
          <t>Aspex Master Fund; Hel Ved Master Fund; Qube Master Fund Ltd; Alisoft China; Shareholder UBS AM; Shareholder Barings; Shareholder Mirae Asset; Mirae Asset AGIC; Relationship Aspex; Janchor Partners Limited; CICC Financial Trading Limited</t>
        </is>
      </c>
      <c r="U433" s="30" t="n">
        <v>15</v>
      </c>
      <c r="V433" s="26" t="inlineStr">
        <is>
          <t>full</t>
        </is>
      </c>
      <c r="W433" s="34" t="n">
        <v>63.72</v>
      </c>
      <c r="X433" s="34" t="n">
        <v>97.40000000000001</v>
      </c>
      <c r="Y433" s="34" t="n">
        <v>64.19</v>
      </c>
      <c r="Z433" s="34" t="n">
        <v>312.39</v>
      </c>
      <c r="AA433" s="34" t="n">
        <v>0.29</v>
      </c>
      <c r="AB433" s="34" t="n">
        <v>71.06999999999999</v>
      </c>
      <c r="AC433" s="34" t="n">
        <v>-6.88</v>
      </c>
      <c r="AD433" s="26" t="inlineStr">
        <is>
          <t>HSTECH (Hang Seng TECH ETF)</t>
        </is>
      </c>
      <c r="AE433" s="34" t="n">
        <v>172.06</v>
      </c>
      <c r="AF433" s="28" t="n">
        <v>4002.8</v>
      </c>
      <c r="AG433" s="28" t="n">
        <v>1474.8</v>
      </c>
      <c r="AH433" s="26" t="inlineStr">
        <is>
          <t>Y</t>
        </is>
      </c>
      <c r="AI433" s="35" t="n">
        <v>77</v>
      </c>
      <c r="AJ433" s="35" t="n">
        <v>28.4</v>
      </c>
      <c r="AK433" s="26" t="inlineStr">
        <is>
          <t>Y</t>
        </is>
      </c>
      <c r="AL433" s="26" t="inlineStr">
        <is>
          <t>688008.SS</t>
        </is>
      </c>
      <c r="AM433" s="34" t="n">
        <v>-41.96</v>
      </c>
      <c r="AN433" s="29" t="n">
        <v>184.1562</v>
      </c>
      <c r="AO433" s="42" t="n">
        <v>0.1508</v>
      </c>
      <c r="AP433" s="26" t="inlineStr">
        <is>
          <t>China International Capital Corporation Hong Kong Securities Limited; Morgan Stanley Asia Limited; UBS Securities Hong Kong Limited</t>
        </is>
      </c>
      <c r="AQ433" s="26" t="inlineStr">
        <is>
          <t>中國國際金融香港證券有限公司; 摩根士丹利亞洲有限公司; 瑞銀證券香港有限公司</t>
        </is>
      </c>
      <c r="AR433" s="26" t="inlineStr">
        <is>
          <t>China International Capital Corporation Hong Kong Securities Limited; Morgan Stanley Asia Limited; UBS AG Hong Kong Branch; Hong Kong Securities Limited</t>
        </is>
      </c>
      <c r="AS433" s="26" t="inlineStr">
        <is>
          <t>中國國際金融香港證券有限公司; 中信里昂證券有限公司; 高盛(亞洲)有限責任公司; 摩根士丹利亞洲有限公司; UBS AG 香港分行</t>
        </is>
      </c>
      <c r="AT433" s="37">
        <f>HYPERLINK("https://www1.hkexnews.hk/listedco/listconews/sehk/2026/0130/2026013000007.pdf","prospectus")</f>
        <v/>
      </c>
      <c r="AU433" s="37">
        <f>HYPERLINK("https://www1.hkexnews.hk/listedco/listconews/sehk/2026/0206/2026020601350.pdf","allotment")</f>
        <v/>
      </c>
      <c r="AV433" s="37">
        <f>HYPERLINK("https://www1.hkexnews.hk/listedco/listconews/sehk/2026/0306/2026030600629.pdf","stabilisation")</f>
        <v/>
      </c>
      <c r="AW433" s="26" t="inlineStr">
        <is>
          <t>A/H: Feb 2026 H listing (memory interface chips)</t>
        </is>
      </c>
    </row>
    <row r="434">
      <c r="A434" s="25" t="inlineStr">
        <is>
          <t>2720</t>
        </is>
      </c>
      <c r="B434" s="26" t="inlineStr">
        <is>
          <t>RIDGE OUTDOOR</t>
        </is>
      </c>
      <c r="C434" s="26" t="inlineStr">
        <is>
          <t>樂欣戶外</t>
        </is>
      </c>
      <c r="D434" s="26" t="inlineStr">
        <is>
          <t>Consumer</t>
        </is>
      </c>
      <c r="E434" s="26" t="inlineStr">
        <is>
          <t>Retail / distribution</t>
        </is>
      </c>
      <c r="F434" s="26" t="inlineStr">
        <is>
          <t>Standard</t>
        </is>
      </c>
      <c r="G434" s="27" t="n">
        <v>46063</v>
      </c>
      <c r="H434" s="28" t="n">
        <v>345.5</v>
      </c>
      <c r="I434" s="26" t="inlineStr">
        <is>
          <t>gross (stated)</t>
        </is>
      </c>
      <c r="J434" s="29" t="n"/>
      <c r="K434" s="29" t="n">
        <v>12.25</v>
      </c>
      <c r="L434" s="29" t="n">
        <v>12.25</v>
      </c>
      <c r="M434" s="26" t="inlineStr">
        <is>
          <t>Y</t>
        </is>
      </c>
      <c r="N434" s="30" t="n">
        <v>100</v>
      </c>
      <c r="O434" s="28" t="n">
        <v>1570.5</v>
      </c>
      <c r="P434" s="26" t="inlineStr">
        <is>
          <t>derived:price x shares upon listing</t>
        </is>
      </c>
      <c r="Q434" s="31" t="n">
        <v>3654.23</v>
      </c>
      <c r="R434" s="32" t="n">
        <v>2.94</v>
      </c>
      <c r="S434" s="33" t="n">
        <v>37.62</v>
      </c>
      <c r="T434" s="26" t="inlineStr">
        <is>
          <t>Mr. Yang; GreatCast Note; Taihong; Outrider Partnership Note; Orbit VC; Huangshan Dejun; Listing Top</t>
        </is>
      </c>
      <c r="U434" s="30" t="n"/>
      <c r="V434" s="26" t="n"/>
      <c r="W434" s="34" t="n">
        <v>102.29</v>
      </c>
      <c r="X434" s="34" t="n">
        <v>124.49</v>
      </c>
      <c r="Y434" s="34" t="n">
        <v>112.24</v>
      </c>
      <c r="Z434" s="34" t="n">
        <v>100.82</v>
      </c>
      <c r="AA434" s="34" t="n">
        <v>4.92</v>
      </c>
      <c r="AB434" s="34" t="n">
        <v>116.15</v>
      </c>
      <c r="AC434" s="34" t="n">
        <v>-3.91</v>
      </c>
      <c r="AD434" s="26" t="inlineStr">
        <is>
          <t>Hang Seng Commerce &amp; Industry sub-index</t>
        </is>
      </c>
      <c r="AE434" s="34" t="n">
        <v>83.67</v>
      </c>
      <c r="AF434" s="28" t="n">
        <v>630.8</v>
      </c>
      <c r="AG434" s="28" t="n">
        <v>65.3</v>
      </c>
      <c r="AH434" s="26" t="inlineStr">
        <is>
          <t>Y</t>
        </is>
      </c>
      <c r="AI434" s="35" t="n">
        <v>24.1</v>
      </c>
      <c r="AJ434" s="35" t="n">
        <v>2.5</v>
      </c>
      <c r="AK434" s="26" t="inlineStr">
        <is>
          <t>N</t>
        </is>
      </c>
      <c r="AL434" s="36">
        <f>IF('BBG Verify'!K434="","not filed — run on terminal",'BBG Verify'!K434)</f>
        <v/>
      </c>
      <c r="AM434" s="26" t="inlineStr">
        <is>
          <t>N/A</t>
        </is>
      </c>
      <c r="AN434" s="26" t="inlineStr">
        <is>
          <t>N/A</t>
        </is>
      </c>
      <c r="AO434" s="26" t="inlineStr">
        <is>
          <t>N/A</t>
        </is>
      </c>
      <c r="AP434" s="26" t="inlineStr">
        <is>
          <t>China International Capital Corporation Hong Kong Securities Limited</t>
        </is>
      </c>
      <c r="AQ434" s="26" t="inlineStr">
        <is>
          <t>中國國際金融香港證券有限公司</t>
        </is>
      </c>
      <c r="AR434" s="26" t="inlineStr">
        <is>
          <t>Managers China International Capital Corporation Hong Kong Securities Limited; Futu Securities International (Hong Kong) Limited; Fuze Securities (International) Limited; China International Capital Corporation Hong Kong Securities Limited</t>
        </is>
      </c>
      <c r="AS434" s="26" t="inlineStr">
        <is>
          <t>中國國際金融香港證券有限公司; 富途證券國際（香港）有限公司; 富澤證券（國際）有限公司</t>
        </is>
      </c>
      <c r="AT434" s="37">
        <f>HYPERLINK("https://www1.hkexnews.hk/listedco/listconews/sehk/2026/0130/2026013002014.pdf","prospectus")</f>
        <v/>
      </c>
      <c r="AU434" s="37">
        <f>HYPERLINK("https://www1.hkexnews.hk/listedco/listconews/sehk/2026/0209/2026020901096.pdf","allotment")</f>
        <v/>
      </c>
      <c r="AV434" s="26" t="n"/>
      <c r="AW434" s="26" t="inlineStr">
        <is>
          <t>greenshoe: no over-allotment option in the offer structure · A/H: no A-share listing</t>
        </is>
      </c>
    </row>
    <row r="435">
      <c r="A435" s="25" t="inlineStr">
        <is>
          <t>0600</t>
        </is>
      </c>
      <c r="B435" s="26" t="inlineStr">
        <is>
          <t>AXERA</t>
        </is>
      </c>
      <c r="C435" s="26" t="inlineStr">
        <is>
          <t>愛芯元智</t>
        </is>
      </c>
      <c r="D435" s="26" t="inlineStr">
        <is>
          <t>Tech/AI</t>
        </is>
      </c>
      <c r="E435" s="26" t="inlineStr">
        <is>
          <t>AI chips &amp; semis</t>
        </is>
      </c>
      <c r="F435" s="26" t="inlineStr">
        <is>
          <t>Standard</t>
        </is>
      </c>
      <c r="G435" s="27" t="n">
        <v>46063</v>
      </c>
      <c r="H435" s="28" t="n">
        <v>2958.6</v>
      </c>
      <c r="I435" s="26" t="inlineStr">
        <is>
          <t>gross (stated)</t>
        </is>
      </c>
      <c r="J435" s="29" t="n"/>
      <c r="K435" s="29" t="n">
        <v>28.2</v>
      </c>
      <c r="L435" s="29" t="n">
        <v>28.2</v>
      </c>
      <c r="M435" s="26" t="inlineStr">
        <is>
          <t>Y</t>
        </is>
      </c>
      <c r="N435" s="30" t="n">
        <v>100</v>
      </c>
      <c r="O435" s="41">
        <f>IF('BBG Verify'!M435="","not filed — run on terminal",'BBG Verify'!M435)</f>
        <v/>
      </c>
      <c r="P435" s="26" t="n"/>
      <c r="Q435" s="31" t="n">
        <v>104.82</v>
      </c>
      <c r="R435" s="32" t="n">
        <v>6.8</v>
      </c>
      <c r="S435" s="33" t="n">
        <v>48.76</v>
      </c>
      <c r="T435" s="26" t="inlineStr">
        <is>
          <t>NGS Super Pty Limited; Factorial Master Fund Note; Hel Ved Master Fund Note; Alphahill Capital Limited Note; Jupiter Global Master Fund Ltd. Note; NonaVerse (Hong Kong) Limited Note; Jinyi Capital Multi-Strategy Fund SPC Ltd; OmniVision HK Note; Xin Ma Apparel International Limited; Desay SV Automotive Singapore Pte. Ltd; Factorial Master Fund; Hel Ved Master Fund; Valliance Asset Management Limited; Alphahill Capital Limited; Jupiter Global Master Fund Ltd</t>
        </is>
      </c>
      <c r="U435" s="30" t="n"/>
      <c r="V435" s="26" t="n"/>
      <c r="W435" s="34" t="n">
        <v>0</v>
      </c>
      <c r="X435" s="34" t="n">
        <v>20.21</v>
      </c>
      <c r="Y435" s="34" t="n">
        <v>-11.21</v>
      </c>
      <c r="Z435" s="34" t="n">
        <v>-28.01</v>
      </c>
      <c r="AA435" s="34" t="n">
        <v>-11.21</v>
      </c>
      <c r="AB435" s="34" t="n">
        <v>-5.51</v>
      </c>
      <c r="AC435" s="34" t="n">
        <v>-5.7</v>
      </c>
      <c r="AD435" s="26" t="inlineStr">
        <is>
          <t>HSTECH (Hang Seng TECH ETF)</t>
        </is>
      </c>
      <c r="AE435" s="34" t="n">
        <v>-47.91</v>
      </c>
      <c r="AF435" s="28" t="n">
        <v>617.9</v>
      </c>
      <c r="AG435" s="28" t="n">
        <v>-249.7</v>
      </c>
      <c r="AH435" s="26" t="inlineStr">
        <is>
          <t>N</t>
        </is>
      </c>
      <c r="AI435" s="38">
        <f>IF('BBG Verify'!O435="","not filed — run on terminal",'BBG Verify'!O435)</f>
        <v/>
      </c>
      <c r="AJ435" s="35" t="n"/>
      <c r="AK435" s="26" t="inlineStr">
        <is>
          <t>N</t>
        </is>
      </c>
      <c r="AL435" s="36">
        <f>IF('BBG Verify'!K435="","not filed — run on terminal",'BBG Verify'!K435)</f>
        <v/>
      </c>
      <c r="AM435" s="26" t="inlineStr">
        <is>
          <t>N/A</t>
        </is>
      </c>
      <c r="AN435" s="26" t="inlineStr">
        <is>
          <t>N/A</t>
        </is>
      </c>
      <c r="AO435" s="26" t="inlineStr">
        <is>
          <t>N/A</t>
        </is>
      </c>
      <c r="AP435" s="26" t="n"/>
      <c r="AQ435" s="26" t="inlineStr">
        <is>
          <t>中國國際金融香港證券有限公司; 交銀國際（亞洲）有限公司; 國泰君安融資有限公司</t>
        </is>
      </c>
      <c r="AR435" s="26" t="inlineStr">
        <is>
          <t>交銀國際證券有限公司; 中國國際金融香港證券有限公司; 國泰君安證券(香港)有限公司</t>
        </is>
      </c>
      <c r="AS435" s="26" t="inlineStr">
        <is>
          <t>交銀國際證券有限公司; 中國國際金融香港證券有限公司; 國泰君安證券(香港)有限公司</t>
        </is>
      </c>
      <c r="AT435" s="37">
        <f>HYPERLINK("https://www1.hkexnews.hk/listedco/listconews/sehk/2026/0130/2026013000009.pdf","prospectus")</f>
        <v/>
      </c>
      <c r="AU435" s="37">
        <f>HYPERLINK("https://www1.hkexnews.hk/listedco/listconews/sehk/2026/0209/2026020901278.pdf","allotment")</f>
        <v/>
      </c>
      <c r="AV435" s="26" t="n"/>
      <c r="AW435" s="26" t="inlineStr">
        <is>
          <t>P/E: n/m — loss-making at IPO (use P/S) · greenshoe: no over-allotment option in the offer structure · price range: fixed-price offering (no indicative range) · A/H: no A line; closest listed proxy {'code': '603893.SS', 'name': 'Rockchip Electronics', 'rationale': "A-share edge-AI SoC designer — nearest listed comp to Axera's smart-vision/edge inference chips."} · sponsor: English name not in the filing text; AAStocks 保薦人 shown</t>
        </is>
      </c>
    </row>
    <row r="436">
      <c r="A436" s="25" t="inlineStr">
        <is>
          <t>0470</t>
        </is>
      </c>
      <c r="B436" s="26" t="inlineStr">
        <is>
          <t>WUXI LEAD</t>
        </is>
      </c>
      <c r="C436" s="26" t="inlineStr">
        <is>
          <t>先導智能</t>
        </is>
      </c>
      <c r="D436" s="26" t="inlineStr">
        <is>
          <t>Industrials</t>
        </is>
      </c>
      <c r="E436" s="26" t="inlineStr">
        <is>
          <t>Capital goods / machinery</t>
        </is>
      </c>
      <c r="F436" s="26" t="inlineStr">
        <is>
          <t>Standard</t>
        </is>
      </c>
      <c r="G436" s="27" t="n">
        <v>46064</v>
      </c>
      <c r="H436" s="28" t="n">
        <v>4930.8</v>
      </c>
      <c r="I436" s="26" t="inlineStr">
        <is>
          <t>gross (stated)</t>
        </is>
      </c>
      <c r="J436" s="29" t="n"/>
      <c r="K436" s="29" t="n">
        <v>45.8</v>
      </c>
      <c r="L436" s="29" t="n">
        <v>45.8</v>
      </c>
      <c r="M436" s="26" t="inlineStr">
        <is>
          <t>Y</t>
        </is>
      </c>
      <c r="N436" s="30" t="n">
        <v>100</v>
      </c>
      <c r="O436" s="28" t="n">
        <v>76661</v>
      </c>
      <c r="P436" s="26" t="inlineStr">
        <is>
          <t>derived:price x shares upon listing</t>
        </is>
      </c>
      <c r="Q436" s="31" t="n">
        <v>79.54000000000001</v>
      </c>
      <c r="R436" s="39">
        <f>IF('BBG Verify'!E436="","not filed — run on terminal",'BBG Verify'!E436)</f>
        <v/>
      </c>
      <c r="S436" s="33" t="n">
        <v>43.5</v>
      </c>
      <c r="T436" s="26" t="inlineStr">
        <is>
          <t>Pinpoint; Offshore SP3; Ovata Capital; Millennium ICSA; Oaktree; MY Asian</t>
        </is>
      </c>
      <c r="U436" s="30" t="n">
        <v>15</v>
      </c>
      <c r="V436" s="26" t="inlineStr">
        <is>
          <t>partial</t>
        </is>
      </c>
      <c r="W436" s="34" t="n">
        <v>0</v>
      </c>
      <c r="X436" s="34" t="n">
        <v>0.61</v>
      </c>
      <c r="Y436" s="34" t="n">
        <v>-9.039999999999999</v>
      </c>
      <c r="Z436" s="34" t="n">
        <v>15.5</v>
      </c>
      <c r="AA436" s="34" t="n">
        <v>-9.039999999999999</v>
      </c>
      <c r="AB436" s="34" t="n">
        <v>-4.23</v>
      </c>
      <c r="AC436" s="34" t="n">
        <v>-4.81</v>
      </c>
      <c r="AD436" s="26" t="inlineStr">
        <is>
          <t>Hang Seng Commerce &amp; Industry sub-index</t>
        </is>
      </c>
      <c r="AE436" s="34" t="n">
        <v>-29.3</v>
      </c>
      <c r="AF436" s="28" t="n">
        <v>13</v>
      </c>
      <c r="AG436" s="28" t="n">
        <v>1720.2</v>
      </c>
      <c r="AH436" s="26" t="inlineStr">
        <is>
          <t>Y</t>
        </is>
      </c>
      <c r="AI436" s="35" t="n">
        <v>44.6</v>
      </c>
      <c r="AJ436" s="35" t="n">
        <v>5897</v>
      </c>
      <c r="AK436" s="26" t="inlineStr">
        <is>
          <t>Y</t>
        </is>
      </c>
      <c r="AL436" s="26" t="inlineStr">
        <is>
          <t>300450.SZ</t>
        </is>
      </c>
      <c r="AM436" s="34" t="n">
        <v>-29.49</v>
      </c>
      <c r="AN436" s="29" t="n">
        <v>64.9515</v>
      </c>
      <c r="AO436" s="42" t="n">
        <v>-0.2128</v>
      </c>
      <c r="AP436" s="26" t="inlineStr">
        <is>
          <t>CITIC Securities (Hong Kong) Limited; J.P. Morgan Securities (Far East) Limited</t>
        </is>
      </c>
      <c r="AQ436" s="26" t="inlineStr">
        <is>
          <t>J.P. Morgan Securities (Far East) Limited; 中信證券(香港)有限公司</t>
        </is>
      </c>
      <c r="AR436" s="26" t="inlineStr">
        <is>
          <t>Managers and Capital Market Intermediaries CMB International Capital Limited; ICBC International Securities Limited; SPDB International Capital Limited</t>
        </is>
      </c>
      <c r="AS436" s="26" t="inlineStr">
        <is>
          <t>農銀國際證券有限公司; 中銀國際亞洲有限公司; 中信里昂證券有限公司; 招銀國際融資有限公司; 華泰金融控股(香港)有限公司; 工銀國際證券有限公司; J.P. Morgan Securities (Asia Pacific) Limited; 浦銀國際融資有限公司</t>
        </is>
      </c>
      <c r="AT436" s="37">
        <f>HYPERLINK("https://www1.hkexnews.hk/listedco/listconews/sehk/2026/0203/2026020300009.pdf","prospectus")</f>
        <v/>
      </c>
      <c r="AU436" s="37">
        <f>HYPERLINK("https://www1.hkexnews.hk/listedco/listconews/sehk/2026/0210/2026021001338.pdf","allotment")</f>
        <v/>
      </c>
      <c r="AV436" s="37">
        <f>HYPERLINK("https://www1.hkexnews.hk/listedco/listconews/sehk/2026/0308/2026030800191.pdf","stabilisation")</f>
        <v/>
      </c>
      <c r="AW436" s="26" t="inlineStr">
        <is>
          <t>intl sub: subscription level not stated in the filing · A/H: Feb 2026 H listing (battery-making equipment)</t>
        </is>
      </c>
    </row>
    <row r="437">
      <c r="A437" s="25" t="inlineStr">
        <is>
          <t>2706</t>
        </is>
      </c>
      <c r="B437" s="26" t="inlineStr">
        <is>
          <t>HAIZHI TECH GP</t>
        </is>
      </c>
      <c r="C437" s="26" t="inlineStr">
        <is>
          <t>海致科技集團</t>
        </is>
      </c>
      <c r="D437" s="26" t="inlineStr">
        <is>
          <t>Tech/AI</t>
        </is>
      </c>
      <c r="E437" s="26" t="inlineStr">
        <is>
          <t>AI application / agent software</t>
        </is>
      </c>
      <c r="F437" s="26" t="inlineStr">
        <is>
          <t>Standard</t>
        </is>
      </c>
      <c r="G437" s="27" t="n">
        <v>46066</v>
      </c>
      <c r="H437" s="28" t="n">
        <v>758.5</v>
      </c>
      <c r="I437" s="26" t="inlineStr">
        <is>
          <t>gross (stated)</t>
        </is>
      </c>
      <c r="J437" s="29" t="n">
        <v>25.6</v>
      </c>
      <c r="K437" s="29" t="n">
        <v>28</v>
      </c>
      <c r="L437" s="29" t="n">
        <v>27.06</v>
      </c>
      <c r="M437" s="26" t="inlineStr">
        <is>
          <t>N</t>
        </is>
      </c>
      <c r="N437" s="30" t="n">
        <v>96.59999999999999</v>
      </c>
      <c r="O437" s="28" t="n">
        <v>10835.7</v>
      </c>
      <c r="P437" s="26" t="inlineStr">
        <is>
          <t>derived:price x shares upon listing</t>
        </is>
      </c>
      <c r="Q437" s="31" t="n">
        <v>5065.06</v>
      </c>
      <c r="R437" s="32" t="n">
        <v>8.390000000000001</v>
      </c>
      <c r="S437" s="33" t="n">
        <v>93</v>
      </c>
      <c r="T437" s="26"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U437" s="30" t="n"/>
      <c r="V437" s="26" t="n"/>
      <c r="W437" s="34" t="n">
        <v>242.2</v>
      </c>
      <c r="X437" s="34" t="n">
        <v>298.74</v>
      </c>
      <c r="Y437" s="34" t="n">
        <v>204.69</v>
      </c>
      <c r="Z437" s="34" t="n">
        <v>132.45</v>
      </c>
      <c r="AA437" s="34" t="n">
        <v>-10.96</v>
      </c>
      <c r="AB437" s="34" t="n">
        <v>212.53</v>
      </c>
      <c r="AC437" s="34" t="n">
        <v>-7.84</v>
      </c>
      <c r="AD437" s="26" t="inlineStr">
        <is>
          <t>HSTECH (Hang Seng TECH ETF)</t>
        </is>
      </c>
      <c r="AE437" s="34" t="n">
        <v>47.6</v>
      </c>
      <c r="AF437" s="28" t="n">
        <v>553.4</v>
      </c>
      <c r="AG437" s="28" t="n">
        <v>-103.1</v>
      </c>
      <c r="AH437" s="26" t="inlineStr">
        <is>
          <t>N</t>
        </is>
      </c>
      <c r="AI437" s="38">
        <f>IF('BBG Verify'!O437="","not filed — run on terminal",'BBG Verify'!O437)</f>
        <v/>
      </c>
      <c r="AJ437" s="35" t="n">
        <v>19.6</v>
      </c>
      <c r="AK437" s="26" t="inlineStr">
        <is>
          <t>N</t>
        </is>
      </c>
      <c r="AL437" s="36">
        <f>IF('BBG Verify'!K437="","not filed — run on terminal",'BBG Verify'!K437)</f>
        <v/>
      </c>
      <c r="AM437" s="26" t="inlineStr">
        <is>
          <t>N/A</t>
        </is>
      </c>
      <c r="AN437" s="26" t="inlineStr">
        <is>
          <t>N/A</t>
        </is>
      </c>
      <c r="AO437" s="26" t="inlineStr">
        <is>
          <t>N/A</t>
        </is>
      </c>
      <c r="AP437" s="26" t="inlineStr">
        <is>
          <t>CMB International Capital Limited; BOCI Asia Limited; Shenwan Hongyuan Capital (H.K.) Limited</t>
        </is>
      </c>
      <c r="AQ437" s="26" t="inlineStr">
        <is>
          <t>招銀國際融資有限公司; 中銀國際亞洲有限公司; 申萬宏源融資（香港）有限公司</t>
        </is>
      </c>
      <c r="AR437" s="26" t="inlineStr">
        <is>
          <t>Joint Lead Managers CMB International Capital Limited; BOCI Asia Limited; Shenwan Hongyuan Securities (H.K.) Limited; Futu Securities International (Hong Kong) Limited; No. 95 Queensway Admiralty, Hong Kong Tiger Brokers (HK) Global Limited; ABCI Capital Limited; Central, Hong Kong Funde Securities Limited; Admiralty, Hong Kong Huafu International Securities Limited; Central, Hong Kong Livermore Holdings Limited; TradeGo Markets Limited; Central, Hong Kong Eddid Securities and Futures Limited</t>
        </is>
      </c>
      <c r="AS437" s="26" t="inlineStr">
        <is>
          <t>農銀國際證券有限公司; 中銀國際亞洲有限公司; 招銀國際融資有限公司; 艾德證券期貨有限公司; 富德證券有限公司; 富途證券國際（香港）有限公司; 華福國際證券有限公司; 利弗莫爾證券有限公司; 申萬宏源證券（香港）有限公司; 老虎證券（香港）環球有限公司; TradeGo Markets Limited</t>
        </is>
      </c>
      <c r="AT437" s="37">
        <f>HYPERLINK("https://www1.hkexnews.hk/listedco/listconews/sehk/2026/0205/2026020500037.pdf","prospectus")</f>
        <v/>
      </c>
      <c r="AU437" s="37">
        <f>HYPERLINK("https://www1.hkexnews.hk/listedco/listconews/sehk/2026/0212/2026021201324.pdf","allotment")</f>
        <v/>
      </c>
      <c r="AV437" s="26" t="n"/>
      <c r="AW437" s="26" t="inlineStr">
        <is>
          <t>P/E: n/m — loss-making at IPO (use P/S) · greenshoe: no over-allotment option in the offer structure · A/H: no A-share listing</t>
        </is>
      </c>
    </row>
    <row r="438">
      <c r="A438" s="25" t="inlineStr">
        <is>
          <t>9981</t>
        </is>
      </c>
      <c r="B438" s="26" t="inlineStr">
        <is>
          <t>WOER</t>
        </is>
      </c>
      <c r="C438" s="26" t="inlineStr">
        <is>
          <t>沃爾核材</t>
        </is>
      </c>
      <c r="D438" s="26" t="inlineStr">
        <is>
          <t>Materials/Energy</t>
        </is>
      </c>
      <c r="E438" s="26" t="inlineStr">
        <is>
          <t>Chemicals</t>
        </is>
      </c>
      <c r="F438" s="26" t="inlineStr">
        <is>
          <t>Standard</t>
        </is>
      </c>
      <c r="G438" s="27" t="n">
        <v>46066</v>
      </c>
      <c r="H438" s="28" t="n">
        <v>2812.4</v>
      </c>
      <c r="I438" s="26" t="inlineStr">
        <is>
          <t>gross (stated)</t>
        </is>
      </c>
      <c r="J438" s="29" t="n"/>
      <c r="K438" s="29" t="n">
        <v>20.09</v>
      </c>
      <c r="L438" s="29" t="n">
        <v>20.09</v>
      </c>
      <c r="M438" s="26" t="inlineStr">
        <is>
          <t>Y</t>
        </is>
      </c>
      <c r="N438" s="30" t="n">
        <v>100</v>
      </c>
      <c r="O438" s="28" t="n">
        <v>28123.7</v>
      </c>
      <c r="P438" s="26" t="inlineStr">
        <is>
          <t>derived:price x shares upon listing</t>
        </is>
      </c>
      <c r="Q438" s="31" t="n">
        <v>569.58</v>
      </c>
      <c r="R438" s="32" t="n">
        <v>8.19</v>
      </c>
      <c r="S438" s="33" t="n">
        <v>34.45</v>
      </c>
      <c r="T438" s="26" t="inlineStr">
        <is>
          <t>HHLR Advisors, Ltd; RIME Capital Limited; SCV Alpha LP; Factorial Master Fund; Shen Zhen New World; HHLRA; Jump Trading; Huizhou Huilian; BEST CHEER; RIME; Doo Financial HK Limited; Offering Relationship Guohui; Qianhai Starlight; Factorial</t>
        </is>
      </c>
      <c r="U438" s="30" t="n"/>
      <c r="V438" s="26" t="n"/>
      <c r="W438" s="34" t="n">
        <v>2.94</v>
      </c>
      <c r="X438" s="34" t="n">
        <v>3.04</v>
      </c>
      <c r="Y438" s="34" t="n">
        <v>1.05</v>
      </c>
      <c r="Z438" s="34" t="n">
        <v>-28.07</v>
      </c>
      <c r="AA438" s="34" t="n">
        <v>-1.84</v>
      </c>
      <c r="AB438" s="34" t="n">
        <v>2.59</v>
      </c>
      <c r="AC438" s="34" t="n">
        <v>-1.54</v>
      </c>
      <c r="AD438" s="26" t="inlineStr">
        <is>
          <t>Hang Seng Utilities sub-index</t>
        </is>
      </c>
      <c r="AE438" s="34" t="n">
        <v>-47.09</v>
      </c>
      <c r="AF438" s="28" t="n">
        <v>7612.1</v>
      </c>
      <c r="AG438" s="28" t="n">
        <v>1012.6</v>
      </c>
      <c r="AH438" s="26" t="inlineStr">
        <is>
          <t>Y</t>
        </is>
      </c>
      <c r="AI438" s="35" t="n">
        <v>27.8</v>
      </c>
      <c r="AJ438" s="35" t="n">
        <v>3.7</v>
      </c>
      <c r="AK438" s="26" t="inlineStr">
        <is>
          <t>Y</t>
        </is>
      </c>
      <c r="AL438" s="26" t="inlineStr">
        <is>
          <t>002130.SZ</t>
        </is>
      </c>
      <c r="AM438" s="34" t="n">
        <v>-36.95</v>
      </c>
      <c r="AN438" s="29" t="n">
        <v>31.8623</v>
      </c>
      <c r="AO438" s="42" t="n">
        <v>-0.4662</v>
      </c>
      <c r="AP438" s="26" t="inlineStr">
        <is>
          <t>China Merchants Securities (HK) Co., Limited</t>
        </is>
      </c>
      <c r="AQ438" s="26" t="inlineStr">
        <is>
          <t>中信建投(國際)融資有限公司; 招商證券(香港)有限公司</t>
        </is>
      </c>
      <c r="AR438" s="26" t="inlineStr">
        <is>
          <t>Managers China Securities (International) Corporate Finance Company Limited; China Merchants Securities (HK) Co., Limited; Central, Hong Kong Shanxi Securities International Limited; Managers DBS Asia Capital Limited; Futu Securities International (Hong Kong) Limited; No. 95 Queensway Admiralty, Hong Kong Tiger Brokers (HK) Global Limited; China Securities (International) Corporate Finance Company Limited; Admiralty, Hong Kong DBS Asia Capital Limited</t>
        </is>
      </c>
      <c r="AS438" s="26" t="inlineStr">
        <is>
          <t>招商證券(香港)有限公司; 中信建投(國際)融資有限公司; 星展亞洲融資有限公司; 富途證券國際（香港）有限公司; 山證國際證券有限公司; 老虎證券（香港）環球有限公司</t>
        </is>
      </c>
      <c r="AT438" s="37">
        <f>HYPERLINK("https://www1.hkexnews.hk/listedco/listconews/sehk/2026/0205/2026020500092.htm","prospectus")</f>
        <v/>
      </c>
      <c r="AU438" s="37">
        <f>HYPERLINK("https://www1.hkexnews.hk/listedco/listconews/sehk/2026/0212/2026021201492.pdf","allotment")</f>
        <v/>
      </c>
      <c r="AV438" s="26" t="n"/>
      <c r="AW438" s="26" t="inlineStr">
        <is>
          <t>greenshoe: no over-allotment option in the offer structure · A/H: Feb 2026 H listing</t>
        </is>
      </c>
    </row>
    <row r="439">
      <c r="A439" s="25" t="inlineStr">
        <is>
          <t>2715</t>
        </is>
      </c>
      <c r="B439" s="26" t="inlineStr">
        <is>
          <t>ESTUN</t>
        </is>
      </c>
      <c r="C439" s="26" t="inlineStr">
        <is>
          <t>埃斯頓</t>
        </is>
      </c>
      <c r="D439" s="26" t="inlineStr">
        <is>
          <t>Tech/AI</t>
        </is>
      </c>
      <c r="E439" s="26" t="inlineStr">
        <is>
          <t>Robotics &amp; autonomous driving</t>
        </is>
      </c>
      <c r="F439" s="26" t="inlineStr">
        <is>
          <t>Standard</t>
        </is>
      </c>
      <c r="G439" s="27" t="n">
        <v>46090</v>
      </c>
      <c r="H439" s="28" t="n">
        <v>1486.54</v>
      </c>
      <c r="I439" s="26" t="inlineStr">
        <is>
          <t>gross (stated)</t>
        </is>
      </c>
      <c r="J439" s="29" t="n"/>
      <c r="K439" s="29" t="n">
        <v>17</v>
      </c>
      <c r="L439" s="29" t="n">
        <v>15.36</v>
      </c>
      <c r="M439" s="26" t="inlineStr">
        <is>
          <t>N</t>
        </is>
      </c>
      <c r="N439" s="30" t="n">
        <v>90.40000000000001</v>
      </c>
      <c r="O439" s="28" t="n">
        <v>14865.4</v>
      </c>
      <c r="P439" s="26" t="inlineStr">
        <is>
          <t>derived:price x shares upon listing</t>
        </is>
      </c>
      <c r="Q439" s="31" t="n">
        <v>19.67</v>
      </c>
      <c r="R439" s="32" t="n">
        <v>3.34</v>
      </c>
      <c r="S439" s="33" t="n">
        <v>35.1</v>
      </c>
      <c r="T439" s="26" t="inlineStr">
        <is>
          <t>至源控股有限公司; Dreamee (Hong Kong) Open-ended Fund Company; Haitian Huayuan (Singapore) Pte. Ltd; Harvest Oriental SP; 亨通光電國際有限公司; 裕祥控股集團有限公司; 前海合眾投資控股有限公司</t>
        </is>
      </c>
      <c r="U439" s="30" t="n">
        <v>5.1</v>
      </c>
      <c r="V439" s="26" t="inlineStr">
        <is>
          <t>lapsed</t>
        </is>
      </c>
      <c r="W439" s="34" t="n">
        <v>-16.02</v>
      </c>
      <c r="X439" s="34" t="n">
        <v>-16.41</v>
      </c>
      <c r="Y439" s="34" t="n">
        <v>-16.73</v>
      </c>
      <c r="Z439" s="34" t="n">
        <v>8.27</v>
      </c>
      <c r="AA439" s="34" t="n">
        <v>-0.85</v>
      </c>
      <c r="AB439" s="34" t="n">
        <v>-15.12</v>
      </c>
      <c r="AC439" s="34" t="n">
        <v>-1.61</v>
      </c>
      <c r="AD439" s="26" t="inlineStr">
        <is>
          <t>HSTECH (Hang Seng TECH ETF)</t>
        </is>
      </c>
      <c r="AE439" s="34" t="n">
        <v>34.77</v>
      </c>
      <c r="AF439" s="28" t="n">
        <v>4409.6</v>
      </c>
      <c r="AG439" s="28" t="n">
        <v>-664.6</v>
      </c>
      <c r="AH439" s="26" t="inlineStr">
        <is>
          <t>N</t>
        </is>
      </c>
      <c r="AI439" s="38">
        <f>IF('BBG Verify'!O439="","not filed — run on terminal",'BBG Verify'!O439)</f>
        <v/>
      </c>
      <c r="AJ439" s="35" t="n">
        <v>3.4</v>
      </c>
      <c r="AK439" s="26" t="inlineStr">
        <is>
          <t>Y</t>
        </is>
      </c>
      <c r="AL439" s="26" t="inlineStr">
        <is>
          <t>002747.SZ</t>
        </is>
      </c>
      <c r="AM439" s="34" t="n">
        <v>-39.04</v>
      </c>
      <c r="AN439" s="29" t="n">
        <v>25.1964</v>
      </c>
      <c r="AO439" s="42" t="n">
        <v>-0.5494</v>
      </c>
      <c r="AP439" s="26" t="inlineStr">
        <is>
          <t>and Sponsor-Overall Coordinator Huatai Financial Holdings (Hong Kong) Limited</t>
        </is>
      </c>
      <c r="AQ439" s="26" t="inlineStr">
        <is>
          <t>華泰金融控股(香港)有限公司</t>
        </is>
      </c>
      <c r="AR439" s="26"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AS439" s="26" t="inlineStr">
        <is>
          <t>農銀國際證券有限公司; 中銀國際亞洲有限公司; 交銀國際證券有限公司; 招銀國際融資有限公司; 富途證券國際（香港）有限公司; 廣發證券（香港）經紀有限公司; 華泰金融控股(香港)有限公司; 華安證券（香港）經紀有限公司; 工銀國際證券有限公司; 利弗莫爾證券有限公司; TradeGo Markets Limited</t>
        </is>
      </c>
      <c r="AT439" s="37">
        <f>HYPERLINK("https://www1.hkexnews.hk/listedco/listconews/sehk/2026/0227/2026022700017.pdf","prospectus")</f>
        <v/>
      </c>
      <c r="AU439" s="37">
        <f>HYPERLINK("https://www1.hkexnews.hk/listedco/listconews/sehk/2026/0306/2026030601391.pdf","allotment")</f>
        <v/>
      </c>
      <c r="AV439" s="37">
        <f>HYPERLINK("https://www1.hkexnews.hk/listedco/listconews/sehk/2026/0407/2026040700049.pdf","stabilisation")</f>
        <v/>
      </c>
      <c r="AW439" s="26" t="inlineStr">
        <is>
          <t>P/E: n/m — loss-making at IPO (use P/S) · A/H: Mar 2026 H listing (industrial robots)</t>
        </is>
      </c>
    </row>
    <row r="440">
      <c r="A440" s="25" t="inlineStr">
        <is>
          <t>2649</t>
        </is>
      </c>
      <c r="B440" s="26" t="inlineStr">
        <is>
          <t>ALSCO POOLING</t>
        </is>
      </c>
      <c r="C440" s="26" t="inlineStr">
        <is>
          <t>優樂賽共享</t>
        </is>
      </c>
      <c r="D440" s="26" t="inlineStr">
        <is>
          <t>Industrials</t>
        </is>
      </c>
      <c r="E440" s="26" t="inlineStr">
        <is>
          <t>Logistics</t>
        </is>
      </c>
      <c r="F440" s="26" t="inlineStr">
        <is>
          <t>Standard</t>
        </is>
      </c>
      <c r="G440" s="27" t="n">
        <v>46090</v>
      </c>
      <c r="H440" s="28" t="n">
        <v>223.7</v>
      </c>
      <c r="I440" s="26" t="inlineStr">
        <is>
          <t>gross (stated)</t>
        </is>
      </c>
      <c r="J440" s="29" t="n"/>
      <c r="K440" s="29" t="n">
        <v>11</v>
      </c>
      <c r="L440" s="29" t="n">
        <v>11</v>
      </c>
      <c r="M440" s="26" t="inlineStr">
        <is>
          <t>Y</t>
        </is>
      </c>
      <c r="N440" s="30" t="n">
        <v>100</v>
      </c>
      <c r="O440" s="28" t="n">
        <v>993.7</v>
      </c>
      <c r="P440" s="26" t="inlineStr">
        <is>
          <t>derived:price x shares upon listing</t>
        </is>
      </c>
      <c r="Q440" s="31" t="n">
        <v>5297.23</v>
      </c>
      <c r="R440" s="32" t="n">
        <v>4.2</v>
      </c>
      <c r="S440" s="33" t="n">
        <v>0</v>
      </c>
      <c r="T440" s="26" t="n"/>
      <c r="U440" s="30" t="n">
        <v>15</v>
      </c>
      <c r="V440" s="26" t="n"/>
      <c r="W440" s="34" t="n">
        <v>-43.64</v>
      </c>
      <c r="X440" s="34" t="n">
        <v>-53.09</v>
      </c>
      <c r="Y440" s="34" t="n">
        <v>-64.55</v>
      </c>
      <c r="Z440" s="34" t="n">
        <v>-64.55</v>
      </c>
      <c r="AA440" s="34" t="n">
        <v>-37.1</v>
      </c>
      <c r="AB440" s="34" t="n">
        <v>-63.77</v>
      </c>
      <c r="AC440" s="34" t="n">
        <v>-0.78</v>
      </c>
      <c r="AD440" s="26" t="inlineStr">
        <is>
          <t>Hang Seng Commerce &amp; Industry sub-index</t>
        </is>
      </c>
      <c r="AE440" s="34" t="n">
        <v>-64.55</v>
      </c>
      <c r="AF440" s="28" t="n">
        <v>921.4</v>
      </c>
      <c r="AG440" s="28" t="n">
        <v>55.8</v>
      </c>
      <c r="AH440" s="26" t="inlineStr">
        <is>
          <t>Y</t>
        </is>
      </c>
      <c r="AI440" s="35" t="n">
        <v>17.8</v>
      </c>
      <c r="AJ440" s="35" t="n">
        <v>1.1</v>
      </c>
      <c r="AK440" s="26" t="inlineStr">
        <is>
          <t>N</t>
        </is>
      </c>
      <c r="AL440" s="36">
        <f>IF('BBG Verify'!K440="","not filed — run on terminal",'BBG Verify'!K440)</f>
        <v/>
      </c>
      <c r="AM440" s="26" t="inlineStr">
        <is>
          <t>N/A</t>
        </is>
      </c>
      <c r="AN440" s="26" t="inlineStr">
        <is>
          <t>N/A</t>
        </is>
      </c>
      <c r="AO440" s="26" t="inlineStr">
        <is>
          <t>N/A</t>
        </is>
      </c>
      <c r="AP440" s="26" t="inlineStr">
        <is>
          <t>China Securities (International) Corporate Finance Company Limited</t>
        </is>
      </c>
      <c r="AQ440" s="26" t="inlineStr">
        <is>
          <t>中信建投(國際)融資有限公司</t>
        </is>
      </c>
      <c r="AR440" s="26" t="inlineStr">
        <is>
          <t>Manager and Capital Market Intermediary DBS Asia Capital Limited; Financial Adviser to our Company DBS Asia Capital Limited; ABCI Capital Limited; CMB International Capital Limited; Futu Securities International (Hong Kong) Limited; Livermore Holdings Limited; SPDB International Capital Limited; TFI Securities and Futures Limited; TradeGo Markets Limited</t>
        </is>
      </c>
      <c r="AS440" s="26" t="inlineStr">
        <is>
          <t>農銀國際證券有限公司; 招銀國際融資有限公司; 中信建投(國際)融資有限公司; 華升證券（國際）有限公司; 星展亞洲融資有限公司; 富途證券國際（香港）有限公司; 利弗莫爾證券有限公司; 浦銀國際融資有限公司; 天風國際證券與期貨有限公司; TradeGo Markets Limited</t>
        </is>
      </c>
      <c r="AT440" s="37">
        <f>HYPERLINK("https://www1.hkexnews.hk/listedco/listconews/sehk/2026/0227/2026022700013.pdf","prospectus")</f>
        <v/>
      </c>
      <c r="AU440" s="37">
        <f>HYPERLINK("https://www1.hkexnews.hk/listedco/listconews/sehk/2026/0306/2026030601405.pdf","allotment")</f>
        <v/>
      </c>
      <c r="AV440" s="26" t="n"/>
      <c r="AW440" s="26" t="inlineStr">
        <is>
          <t>greenshoe: end-of-stabilisation notice not located · price range: fixed-price offering (no indicative range) · A/H: no A-share listing</t>
        </is>
      </c>
    </row>
    <row r="441">
      <c r="A441" s="25" t="inlineStr">
        <is>
          <t>2692</t>
        </is>
      </c>
      <c r="B441" s="26" t="inlineStr">
        <is>
          <t>ZHAOWEI</t>
        </is>
      </c>
      <c r="C441" s="26" t="inlineStr">
        <is>
          <t>兆威機電</t>
        </is>
      </c>
      <c r="D441" s="26" t="inlineStr">
        <is>
          <t>Industrials</t>
        </is>
      </c>
      <c r="E441" s="26" t="inlineStr">
        <is>
          <t>Capital goods / machinery</t>
        </is>
      </c>
      <c r="F441" s="26" t="inlineStr">
        <is>
          <t>Standard</t>
        </is>
      </c>
      <c r="G441" s="27" t="n">
        <v>46090</v>
      </c>
      <c r="H441" s="28" t="n">
        <v>1906.62</v>
      </c>
      <c r="I441" s="26" t="inlineStr">
        <is>
          <t>gross (stated)</t>
        </is>
      </c>
      <c r="J441" s="29" t="n"/>
      <c r="K441" s="29" t="n">
        <v>73.68000000000001</v>
      </c>
      <c r="L441" s="29" t="n">
        <v>71.28</v>
      </c>
      <c r="M441" s="26" t="inlineStr">
        <is>
          <t>N</t>
        </is>
      </c>
      <c r="N441" s="30" t="n">
        <v>96.7</v>
      </c>
      <c r="O441" s="28" t="n">
        <v>19066.2</v>
      </c>
      <c r="P441" s="26" t="inlineStr">
        <is>
          <t>derived:price x shares upon listing</t>
        </is>
      </c>
      <c r="Q441" s="31" t="n">
        <v>1536.8</v>
      </c>
      <c r="R441" s="32" t="n">
        <v>1536.76</v>
      </c>
      <c r="S441" s="33" t="n">
        <v>34.17</v>
      </c>
      <c r="T441" s="26" t="inlineStr">
        <is>
          <t>存然資本有限公司; 聯域集團有限公司; CMBC INTERNATIONAL INVESTMENT (HK) LIMITED; Da Cheng International Asset Management Company Limited; Factorial Master Fund; 廣發基金管理有限公司; 恒邦及中國銀河國際投資有限公司; HHLR Advisors, Ltd; Jump Trading Pacific Pte. Ltd; 萬源資本有限公司; Mirae Asset Securities (HK) Limited; 何茂靈先生; 羅傑先生; Oakwise Growth Fund SPC – Global Select Opportunities Fund SP; Perseverance Asset Management International (Singapore) Pte. Ltd; RIME Capital Limited; 蘇州太湖金谷建設發展有限公司; 拓斯達環球集團有限公司; 雙城資本及建投（海外）投資有限公司; VVC Technology Fund Ltd; W Investment Company Limited</t>
        </is>
      </c>
      <c r="U441" s="30" t="n"/>
      <c r="V441" s="26" t="n"/>
      <c r="W441" s="34" t="n">
        <v>2.41</v>
      </c>
      <c r="X441" s="34" t="n">
        <v>11.39</v>
      </c>
      <c r="Y441" s="34" t="n">
        <v>-7.48</v>
      </c>
      <c r="Z441" s="34" t="n">
        <v>-13.09</v>
      </c>
      <c r="AA441" s="34" t="n">
        <v>-9.66</v>
      </c>
      <c r="AB441" s="34" t="n">
        <v>-6.7</v>
      </c>
      <c r="AC441" s="34" t="n">
        <v>-0.78</v>
      </c>
      <c r="AD441" s="26" t="inlineStr">
        <is>
          <t>Hang Seng Commerce &amp; Industry sub-index</t>
        </is>
      </c>
      <c r="AE441" s="34" t="n">
        <v>-33.42</v>
      </c>
      <c r="AF441" s="28" t="n">
        <v>1677.1</v>
      </c>
      <c r="AG441" s="28" t="n">
        <v>248</v>
      </c>
      <c r="AH441" s="26" t="inlineStr">
        <is>
          <t>Y</t>
        </is>
      </c>
      <c r="AI441" s="35" t="n">
        <v>76.90000000000001</v>
      </c>
      <c r="AJ441" s="35" t="n">
        <v>11.4</v>
      </c>
      <c r="AK441" s="26" t="inlineStr">
        <is>
          <t>Y</t>
        </is>
      </c>
      <c r="AL441" s="26" t="inlineStr">
        <is>
          <t>003021.SZ</t>
        </is>
      </c>
      <c r="AM441" s="34" t="n">
        <v>-46.58</v>
      </c>
      <c r="AN441" s="29" t="n">
        <v>133.4288</v>
      </c>
      <c r="AO441" s="42" t="n">
        <v>-0.508</v>
      </c>
      <c r="AP441" s="26" t="inlineStr">
        <is>
          <t>China Merchants Securities (HK) Co., Limited; Deutsche Securities Asia Limited</t>
        </is>
      </c>
      <c r="AQ441" s="26" t="inlineStr">
        <is>
          <t>德意志證券亞洲有限公司; 招商證券(香港)有限公司</t>
        </is>
      </c>
      <c r="AR441" s="26" t="inlineStr">
        <is>
          <t>China Merchants Securities (HK) Co., Limited; Deutsche Bank AG, Hong Kong Branch; CLSA Limited; DIRECTORS AND PARTIES INVOLVED IN THE GLOBAL OFFERING –7 9– CLSA Limited; ABCI Capital Limited; BOCOM International Securities Limited; Futu Securities International (Hong Kong) Limited; Y ellow River Securities Limited</t>
        </is>
      </c>
      <c r="AS441" s="26" t="inlineStr">
        <is>
          <t>農銀國際融資有限公司; 農銀國際證券有限公司; 交銀國際證券有限公司; 中信里昂證券有限公司; 招商證券(香港)有限公司; 德意志銀行香港分行; 富途證券國際（香港）有限公司; 一盈證券有限公司; 開盤證券有限公司; 黃河證券有限公司</t>
        </is>
      </c>
      <c r="AT441" s="37">
        <f>HYPERLINK("https://www1.hkexnews.hk/listedco/listconews/sehk/2026/0227/2026022700015.pdf","prospectus")</f>
        <v/>
      </c>
      <c r="AU441" s="37">
        <f>HYPERLINK("https://www1.hkexnews.hk/listedco/listconews/sehk/2026/0306/2026030601575.pdf","allotment")</f>
        <v/>
      </c>
      <c r="AV441" s="26" t="n"/>
      <c r="AW441" s="26" t="inlineStr">
        <is>
          <t>greenshoe: no over-allotment option in the offer structure · A/H: Mar 2026 H listing (micro drive systems/dexterous hands)</t>
        </is>
      </c>
    </row>
    <row r="442">
      <c r="A442" s="25" t="inlineStr">
        <is>
          <t>3268</t>
        </is>
      </c>
      <c r="B442" s="26" t="inlineStr">
        <is>
          <t>MEIG</t>
        </is>
      </c>
      <c r="C442" s="26" t="inlineStr">
        <is>
          <t>美格智能</t>
        </is>
      </c>
      <c r="D442" s="26" t="inlineStr">
        <is>
          <t>Tech/AI</t>
        </is>
      </c>
      <c r="E442" s="26" t="inlineStr">
        <is>
          <t>Smart hardware / consumer electronics</t>
        </is>
      </c>
      <c r="F442" s="26" t="inlineStr">
        <is>
          <t>Standard</t>
        </is>
      </c>
      <c r="G442" s="27" t="n">
        <v>46091</v>
      </c>
      <c r="H442" s="28" t="n">
        <v>1161.6</v>
      </c>
      <c r="I442" s="26" t="inlineStr">
        <is>
          <t>gross (stated)</t>
        </is>
      </c>
      <c r="J442" s="29" t="n"/>
      <c r="K442" s="29" t="n">
        <v>28.86</v>
      </c>
      <c r="L442" s="29" t="n">
        <v>28.86</v>
      </c>
      <c r="M442" s="26" t="inlineStr">
        <is>
          <t>Y</t>
        </is>
      </c>
      <c r="N442" s="30" t="n">
        <v>100</v>
      </c>
      <c r="O442" s="28" t="n">
        <v>8715.9</v>
      </c>
      <c r="P442" s="26" t="inlineStr">
        <is>
          <t>derived:price x shares upon listing</t>
        </is>
      </c>
      <c r="Q442" s="31" t="n">
        <v>174.12</v>
      </c>
      <c r="R442" s="32" t="n">
        <v>4.5</v>
      </c>
      <c r="S442" s="33" t="n">
        <v>42.1</v>
      </c>
      <c r="T442" s="26" t="inlineStr">
        <is>
          <t>寶月湖深產投共贏企業管理有限公司; 中興有限公司; Jinyi Capital Multi-Strategy Fund SPC Ltd; 名幸電子香港有限公司; 周增昌先生; 開盤財富管理有限公司; 銳明電子有限公司</t>
        </is>
      </c>
      <c r="U442" s="30" t="n"/>
      <c r="V442" s="26" t="n"/>
      <c r="W442" s="34" t="n">
        <v>1.52</v>
      </c>
      <c r="X442" s="34" t="n">
        <v>-10.05</v>
      </c>
      <c r="Y442" s="34" t="n">
        <v>-20.03</v>
      </c>
      <c r="Z442" s="34" t="n">
        <v>-29.11</v>
      </c>
      <c r="AA442" s="34" t="n">
        <v>-21.23</v>
      </c>
      <c r="AB442" s="34" t="n">
        <v>-18</v>
      </c>
      <c r="AC442" s="34" t="n">
        <v>-2.03</v>
      </c>
      <c r="AD442" s="26" t="inlineStr">
        <is>
          <t>HSTECH (Hang Seng TECH ETF)</t>
        </is>
      </c>
      <c r="AE442" s="34" t="n">
        <v>-34.51</v>
      </c>
      <c r="AF442" s="28" t="n">
        <v>3235.5</v>
      </c>
      <c r="AG442" s="28" t="n">
        <v>147.8</v>
      </c>
      <c r="AH442" s="26" t="inlineStr">
        <is>
          <t>Y</t>
        </is>
      </c>
      <c r="AI442" s="35" t="n">
        <v>59</v>
      </c>
      <c r="AJ442" s="35" t="n">
        <v>2.7</v>
      </c>
      <c r="AK442" s="26" t="inlineStr">
        <is>
          <t>Y</t>
        </is>
      </c>
      <c r="AL442" s="26" t="inlineStr">
        <is>
          <t>002881.SZ</t>
        </is>
      </c>
      <c r="AM442" s="34" t="n">
        <v>-48.03</v>
      </c>
      <c r="AN442" s="29" t="n">
        <v>55.5283</v>
      </c>
      <c r="AO442" s="42" t="n">
        <v>-0.6074000000000001</v>
      </c>
      <c r="AP442" s="26" t="inlineStr">
        <is>
          <t>China International Capital Corporation Hong Kong Securities Limited</t>
        </is>
      </c>
      <c r="AQ442" s="26" t="inlineStr">
        <is>
          <t>中國國際金融香港證券有限公司</t>
        </is>
      </c>
      <c r="AR442" s="26" t="inlineStr">
        <is>
          <t>China International Capital Corporation Hong Kong Securities Limited; BNP Paribas Securities (Asia) Limited; Futu Securities International (Hong Kong) Limited; Tiger Brokers (HK) Global Limited; Open Securities Limited</t>
        </is>
      </c>
      <c r="AS442" s="26" t="inlineStr">
        <is>
          <t>法國巴黎證券（亞洲）有限公司; 中國國際金融香港證券有限公司; 興證國際融資有限公司; 富途證券國際（香港）有限公司; 開盤證券有限公司; 老虎證券（香港）環球有限公司</t>
        </is>
      </c>
      <c r="AT442" s="37">
        <f>HYPERLINK("https://www1.hkexnews.hk/listedco/listconews/sehk/2026/0227/2026022700019.pdf","prospectus")</f>
        <v/>
      </c>
      <c r="AU442" s="37">
        <f>HYPERLINK("https://www1.hkexnews.hk/listedco/listconews/sehk/2026/0309/2026030901426.pdf","allotment")</f>
        <v/>
      </c>
      <c r="AV442" s="26" t="n"/>
      <c r="AW442" s="26" t="inlineStr">
        <is>
          <t>greenshoe: no over-allotment option in the offer structure · A/H: Mar 2026 H listing (IoT modules)</t>
        </is>
      </c>
    </row>
    <row r="443">
      <c r="A443" s="25" t="inlineStr">
        <is>
          <t>1989</t>
        </is>
      </c>
      <c r="B443" s="26" t="inlineStr">
        <is>
          <t>DELTON</t>
        </is>
      </c>
      <c r="C443" s="26" t="inlineStr">
        <is>
          <t>廣合科技</t>
        </is>
      </c>
      <c r="D443" s="26" t="inlineStr">
        <is>
          <t>Tech/AI</t>
        </is>
      </c>
      <c r="E443" s="26" t="inlineStr">
        <is>
          <t>Smart hardware / consumer electronics</t>
        </is>
      </c>
      <c r="F443" s="26" t="inlineStr">
        <is>
          <t>Standard</t>
        </is>
      </c>
      <c r="G443" s="27" t="n">
        <v>46101</v>
      </c>
      <c r="H443" s="28" t="n">
        <v>3306.48</v>
      </c>
      <c r="I443" s="26" t="inlineStr">
        <is>
          <t>gross (stated)</t>
        </is>
      </c>
      <c r="J443" s="29" t="n"/>
      <c r="K443" s="29" t="n">
        <v>71.88</v>
      </c>
      <c r="L443" s="29" t="n">
        <v>71.88</v>
      </c>
      <c r="M443" s="26" t="inlineStr">
        <is>
          <t>Y</t>
        </is>
      </c>
      <c r="N443" s="30" t="n">
        <v>100</v>
      </c>
      <c r="O443" s="28" t="n">
        <v>33959.5</v>
      </c>
      <c r="P443" s="26" t="inlineStr">
        <is>
          <t>derived:price x shares upon listing</t>
        </is>
      </c>
      <c r="Q443" s="31" t="n">
        <v>1070.72</v>
      </c>
      <c r="R443" s="32" t="n">
        <v>14.64</v>
      </c>
      <c r="S443" s="33" t="n">
        <v>44.94</v>
      </c>
      <c r="T443" s="26" t="inlineStr">
        <is>
          <t>霸菱資產管理（亞洲）有限公司; CPE Greater China Enterprises Growth Fund及CPE Growth Fund; 大家人壽保險股份有限公司; Eastspring Investments (Singapore) Limited; 大灣區共同家園投資有限公司; 景林資產管理香港有限公司; 國泰君安證券投資（香港）有限公司及北京源峰私募基金管理合夥企業; 工銀理財有限責任公司; MY Asian Opportunities Master Fund, L.P; 上海景林資產管理有限公司及中信證券國際資本管理有限公司; UBS Asset Management (Singapore) Ltd; 惠理基金管理香港有限公司及惠理基金管理公司</t>
        </is>
      </c>
      <c r="U443" s="30" t="n"/>
      <c r="V443" s="26" t="n"/>
      <c r="W443" s="34" t="n">
        <v>33.56</v>
      </c>
      <c r="X443" s="34" t="n">
        <v>35.99</v>
      </c>
      <c r="Y443" s="34" t="n">
        <v>111.32</v>
      </c>
      <c r="Z443" s="34" t="n">
        <v>163.63</v>
      </c>
      <c r="AA443" s="34" t="n">
        <v>58.22</v>
      </c>
      <c r="AB443" s="34" t="n">
        <v>113.82</v>
      </c>
      <c r="AC443" s="34" t="n">
        <v>-2.5</v>
      </c>
      <c r="AD443" s="26" t="inlineStr">
        <is>
          <t>HSTECH (Hang Seng TECH ETF)</t>
        </is>
      </c>
      <c r="AE443" s="34" t="n">
        <v>90.87</v>
      </c>
      <c r="AF443" s="28" t="n">
        <v>6033.9</v>
      </c>
      <c r="AG443" s="28" t="n">
        <v>1117.4</v>
      </c>
      <c r="AH443" s="26" t="inlineStr">
        <is>
          <t>Y</t>
        </is>
      </c>
      <c r="AI443" s="35" t="n">
        <v>30.4</v>
      </c>
      <c r="AJ443" s="35" t="n">
        <v>5.6</v>
      </c>
      <c r="AK443" s="26" t="inlineStr">
        <is>
          <t>Y</t>
        </is>
      </c>
      <c r="AL443" s="26" t="inlineStr">
        <is>
          <t>001389.SZ</t>
        </is>
      </c>
      <c r="AM443" s="34" t="n">
        <v>-45.52</v>
      </c>
      <c r="AN443" s="29" t="n">
        <v>131.9413</v>
      </c>
      <c r="AO443" s="42" t="n">
        <v>-0.2901</v>
      </c>
      <c r="AP443" s="26" t="n"/>
      <c r="AQ443" s="26" t="inlineStr">
        <is>
          <t>中信證券(香港)有限公司</t>
        </is>
      </c>
      <c r="AR443" s="26" t="inlineStr">
        <is>
          <t>中信里昂證券有限公司; 廣發證券（香港）經紀有限公司; 國聯證券國際資本市場有限公司; 華泰金融控股(香港)有限公司; 香港上海匯豐銀行有限公司</t>
        </is>
      </c>
      <c r="AS443" s="26" t="inlineStr">
        <is>
          <t>中信里昂證券有限公司; 廣發證券（香港）經紀有限公司; 國聯證券國際資本市場有限公司; 華泰金融控股(香港)有限公司; 香港上海匯豐銀行有限公司</t>
        </is>
      </c>
      <c r="AT443" s="37">
        <f>HYPERLINK("https://www1.hkexnews.hk/listedco/listconews/sehk/2026/0312/2026031200003.pdf","prospectus")</f>
        <v/>
      </c>
      <c r="AU443" s="37">
        <f>HYPERLINK("https://www1.hkexnews.hk/listedco/listconews/sehk/2026/0319/2026031901556.pdf","allotment")</f>
        <v/>
      </c>
      <c r="AV443" s="26" t="n"/>
      <c r="AW443" s="26" t="inlineStr">
        <is>
          <t>greenshoe: no over-allotment option in the offer structure · A/H: Mar 2026 H listing (PCB) · sponsor: English name not in the filing text; AAStocks 保薦人 shown</t>
        </is>
      </c>
    </row>
    <row r="444">
      <c r="A444" s="25" t="inlineStr">
        <is>
          <t>2701</t>
        </is>
      </c>
      <c r="B444" s="26" t="inlineStr">
        <is>
          <t>NSING TECH</t>
        </is>
      </c>
      <c r="C444" s="26" t="inlineStr">
        <is>
          <t>國民技術</t>
        </is>
      </c>
      <c r="D444" s="26" t="inlineStr">
        <is>
          <t>Tech/AI</t>
        </is>
      </c>
      <c r="E444" s="26" t="inlineStr">
        <is>
          <t>AI chips &amp; semis</t>
        </is>
      </c>
      <c r="F444" s="26" t="inlineStr">
        <is>
          <t>Standard</t>
        </is>
      </c>
      <c r="G444" s="27" t="n">
        <v>46104</v>
      </c>
      <c r="H444" s="28" t="n">
        <v>1026</v>
      </c>
      <c r="I444" s="26" t="inlineStr">
        <is>
          <t>gross (stated)</t>
        </is>
      </c>
      <c r="J444" s="29" t="n"/>
      <c r="K444" s="29" t="n">
        <v>10.8</v>
      </c>
      <c r="L444" s="29" t="n">
        <v>10.8</v>
      </c>
      <c r="M444" s="26" t="inlineStr">
        <is>
          <t>Y</t>
        </is>
      </c>
      <c r="N444" s="30" t="n">
        <v>100</v>
      </c>
      <c r="O444" s="28" t="n">
        <v>7323.8</v>
      </c>
      <c r="P444" s="26" t="inlineStr">
        <is>
          <t>derived:price x shares upon listing</t>
        </is>
      </c>
      <c r="Q444" s="31" t="n">
        <v>131.83</v>
      </c>
      <c r="R444" s="32" t="n">
        <v>2.51</v>
      </c>
      <c r="S444" s="33" t="n">
        <v>13.6</v>
      </c>
      <c r="T444" s="26" t="inlineStr">
        <is>
          <t>國華人壽保險股份有限公司; Harvest Oriental II SP; 安江波先生; 戴婉琴女士; 欣旺達財資（香港）有限公司</t>
        </is>
      </c>
      <c r="U444" s="30" t="n"/>
      <c r="V444" s="26" t="n"/>
      <c r="W444" s="34" t="n">
        <v>4.17</v>
      </c>
      <c r="X444" s="34" t="n">
        <v>21.11</v>
      </c>
      <c r="Y444" s="34" t="n">
        <v>14.54</v>
      </c>
      <c r="Z444" s="34" t="n">
        <v>17.78</v>
      </c>
      <c r="AA444" s="34" t="n">
        <v>9.949999999999999</v>
      </c>
      <c r="AB444" s="34" t="n">
        <v>13.91</v>
      </c>
      <c r="AC444" s="34" t="n">
        <v>0.63</v>
      </c>
      <c r="AD444" s="26" t="inlineStr">
        <is>
          <t>HSTECH (Hang Seng TECH ETF)</t>
        </is>
      </c>
      <c r="AE444" s="34" t="n">
        <v>-12.73</v>
      </c>
      <c r="AF444" s="28" t="n">
        <v>1284.3</v>
      </c>
      <c r="AG444" s="28" t="n">
        <v>-281.3</v>
      </c>
      <c r="AH444" s="26" t="inlineStr">
        <is>
          <t>N</t>
        </is>
      </c>
      <c r="AI444" s="38">
        <f>IF('BBG Verify'!O444="","not filed — run on terminal",'BBG Verify'!O444)</f>
        <v/>
      </c>
      <c r="AJ444" s="35" t="n">
        <v>5.7</v>
      </c>
      <c r="AK444" s="26" t="inlineStr">
        <is>
          <t>Y</t>
        </is>
      </c>
      <c r="AL444" s="26" t="inlineStr">
        <is>
          <t>300077.SZ</t>
        </is>
      </c>
      <c r="AM444" s="34" t="n">
        <v>-56.33</v>
      </c>
      <c r="AN444" s="29" t="n">
        <v>24.7297</v>
      </c>
      <c r="AO444" s="42" t="n">
        <v>-0.5963000000000001</v>
      </c>
      <c r="AP444" s="26" t="inlineStr">
        <is>
          <t>CITIC Securities (Hong Kong) Limited</t>
        </is>
      </c>
      <c r="AQ444" s="26" t="inlineStr">
        <is>
          <t>中信證券(香港)有限公司</t>
        </is>
      </c>
      <c r="AR444" s="26" t="inlineStr">
        <is>
          <t>CLSA Limited; BOCOM International Securities Limited; SPDB International Capital Limited; Jinluo Securities Limited</t>
        </is>
      </c>
      <c r="AS444" s="26" t="inlineStr">
        <is>
          <t>交銀國際證券有限公司; 中信里昂證券有限公司; 富途證券國際（香港）有限公司; 金洛證券有限公司; 浦銀國際融資有限公司</t>
        </is>
      </c>
      <c r="AT444" s="37">
        <f>HYPERLINK("https://www1.hkexnews.hk/listedco/listconews/sehk/2026/0313/2026031300049.pdf","prospectus")</f>
        <v/>
      </c>
      <c r="AU444" s="37">
        <f>HYPERLINK("https://www1.hkexnews.hk/listedco/listconews/sehk/2026/0320/2026032001594.pdf","allotment")</f>
        <v/>
      </c>
      <c r="AV444" s="26" t="n"/>
      <c r="AW444" s="26" t="inlineStr">
        <is>
          <t>P/E: n/m — loss-making at IPO (use P/S) · greenshoe: no over-allotment option in the offer structure · A/H: Mar 2026 H listing (security/MCU chips)</t>
        </is>
      </c>
    </row>
    <row r="445">
      <c r="A445" s="25" t="inlineStr">
        <is>
          <t>3355</t>
        </is>
      </c>
      <c r="B445" s="26" t="inlineStr">
        <is>
          <t>FS.COM</t>
        </is>
      </c>
      <c r="C445" s="26" t="inlineStr">
        <is>
          <t>飛速創新</t>
        </is>
      </c>
      <c r="D445" s="26" t="inlineStr">
        <is>
          <t>Tech/AI</t>
        </is>
      </c>
      <c r="E445" s="26" t="inlineStr">
        <is>
          <t>Smart hardware / consumer electronics</t>
        </is>
      </c>
      <c r="F445" s="26" t="inlineStr">
        <is>
          <t>Standard</t>
        </is>
      </c>
      <c r="G445" s="27" t="n">
        <v>46104</v>
      </c>
      <c r="H445" s="28" t="n">
        <v>1664</v>
      </c>
      <c r="I445" s="26" t="inlineStr">
        <is>
          <t>gross (price x shares)</t>
        </is>
      </c>
      <c r="J445" s="29" t="n"/>
      <c r="K445" s="29" t="n">
        <v>41.6</v>
      </c>
      <c r="L445" s="29" t="n">
        <v>41.6</v>
      </c>
      <c r="M445" s="26" t="inlineStr">
        <is>
          <t>Y</t>
        </is>
      </c>
      <c r="N445" s="30" t="n">
        <v>100</v>
      </c>
      <c r="O445" s="28" t="n">
        <v>16640</v>
      </c>
      <c r="P445" s="26" t="inlineStr">
        <is>
          <t>derived:price x shares upon listing</t>
        </is>
      </c>
      <c r="Q445" s="31" t="n">
        <v>1579.71</v>
      </c>
      <c r="R445" s="32" t="n">
        <v>10.92</v>
      </c>
      <c r="S445" s="33" t="n"/>
      <c r="T445" s="26" t="inlineStr">
        <is>
          <t>Aether Wave Fund L.P; Caitong Funds SPC – Strategic Equity Fund III SP; CICC Financial Trading Limited及深圳市凱豐投資管理有限公司; CICC Financial Trading Limited及上海聚鳴投資管理有限公司; 前瞻資本穩健成長有限合夥基金; 廣發基金管理有限公司; Great Holding Development Limited; Hao Great China Focus Fund; SCGC資本控股有限公司; Wider Huge Group Limited; WT Asset Management Limited</t>
        </is>
      </c>
      <c r="U445" s="30" t="n">
        <v>15</v>
      </c>
      <c r="V445" s="26" t="n"/>
      <c r="W445" s="34" t="n">
        <v>13.46</v>
      </c>
      <c r="X445" s="34" t="n">
        <v>3.94</v>
      </c>
      <c r="Y445" s="34" t="n">
        <v>7.5</v>
      </c>
      <c r="Z445" s="34" t="n">
        <v>-13.99</v>
      </c>
      <c r="AA445" s="34" t="n">
        <v>-5.25</v>
      </c>
      <c r="AB445" s="34" t="n">
        <v>6.87</v>
      </c>
      <c r="AC445" s="34" t="n">
        <v>0.63</v>
      </c>
      <c r="AD445" s="26" t="inlineStr">
        <is>
          <t>HSTECH (Hang Seng TECH ETF)</t>
        </is>
      </c>
      <c r="AE445" s="34" t="n">
        <v>-4.09</v>
      </c>
      <c r="AF445" s="28" t="n">
        <v>3262.2</v>
      </c>
      <c r="AG445" s="28" t="n">
        <v>661.6</v>
      </c>
      <c r="AH445" s="26" t="inlineStr">
        <is>
          <t>Y</t>
        </is>
      </c>
      <c r="AI445" s="35" t="n">
        <v>25.2</v>
      </c>
      <c r="AJ445" s="35" t="n">
        <v>5.1</v>
      </c>
      <c r="AK445" s="26" t="inlineStr">
        <is>
          <t>N</t>
        </is>
      </c>
      <c r="AL445" s="36">
        <f>IF('BBG Verify'!K445="","not filed — run on terminal",'BBG Verify'!K445)</f>
        <v/>
      </c>
      <c r="AM445" s="26" t="inlineStr">
        <is>
          <t>N/A</t>
        </is>
      </c>
      <c r="AN445" s="26" t="inlineStr">
        <is>
          <t>N/A</t>
        </is>
      </c>
      <c r="AO445" s="26" t="inlineStr">
        <is>
          <t>N/A</t>
        </is>
      </c>
      <c r="AP445" s="26" t="n"/>
      <c r="AQ445" s="26" t="inlineStr">
        <is>
          <t>中國國際金融香港證券有限公司; 中信建投(國際)融資有限公司; 招商證券(香港)有限公司</t>
        </is>
      </c>
      <c r="AR445" s="26" t="inlineStr">
        <is>
          <t>中銀國際亞洲有限公司; 中國國際金融香港證券有限公司; 招商證券(香港)有限公司; 中信建投(國際)融資有限公司; 富途證券國際（香港）有限公司; 老虎證券（香港）環球有限公司</t>
        </is>
      </c>
      <c r="AS445" s="26" t="inlineStr">
        <is>
          <t>中銀國際亞洲有限公司; 中國國際金融香港證券有限公司; 招商證券(香港)有限公司; 中信建投(國際)融資有限公司; 富途證券國際（香港）有限公司; 老虎證券（香港）環球有限公司</t>
        </is>
      </c>
      <c r="AT445" s="37">
        <f>HYPERLINK("https://www1.hkexnews.hk/listedco/listconews/sehk/2026/0313/2026031300015.pdf","prospectus")</f>
        <v/>
      </c>
      <c r="AU445" s="37">
        <f>HYPERLINK("https://www1.hkexnews.hk/listedco/listconews/sehk/2026/0320/2026032001750.pdf","allotment")</f>
        <v/>
      </c>
      <c r="AV445" s="26" t="n"/>
      <c r="AW445" s="26" t="inlineStr">
        <is>
          <t>greenshoe: end-of-stabilisation notice not located · A/H: no A-share listing · sponsor: English name not in the filing text; AAStocks 保薦人 shown</t>
        </is>
      </c>
    </row>
    <row r="446">
      <c r="A446" s="25" t="inlineStr">
        <is>
          <t>2729</t>
        </is>
      </c>
      <c r="B446" s="26" t="inlineStr">
        <is>
          <t>GALAXIS TECH</t>
        </is>
      </c>
      <c r="C446" s="26" t="inlineStr">
        <is>
          <t>凱樂士科技</t>
        </is>
      </c>
      <c r="D446" s="26" t="inlineStr">
        <is>
          <t>Tech/AI</t>
        </is>
      </c>
      <c r="E446" s="26" t="inlineStr">
        <is>
          <t>Robotics &amp; autonomous driving</t>
        </is>
      </c>
      <c r="F446" s="26" t="inlineStr">
        <is>
          <t>Standard</t>
        </is>
      </c>
      <c r="G446" s="27" t="n">
        <v>46105</v>
      </c>
      <c r="H446" s="28" t="n">
        <v>613</v>
      </c>
      <c r="I446" s="26" t="inlineStr">
        <is>
          <t>gross (stated)</t>
        </is>
      </c>
      <c r="J446" s="29" t="n"/>
      <c r="K446" s="29" t="n">
        <v>20.4</v>
      </c>
      <c r="L446" s="29" t="n">
        <v>16.66</v>
      </c>
      <c r="M446" s="26" t="inlineStr">
        <is>
          <t>N</t>
        </is>
      </c>
      <c r="N446" s="30" t="n">
        <v>81.7</v>
      </c>
      <c r="O446" s="28" t="n">
        <v>7128.5</v>
      </c>
      <c r="P446" s="26" t="inlineStr">
        <is>
          <t>derived:price x shares upon listing</t>
        </is>
      </c>
      <c r="Q446" s="31" t="n">
        <v>2153.26</v>
      </c>
      <c r="R446" s="32" t="n">
        <v>3.37</v>
      </c>
      <c r="S446" s="33" t="n">
        <v>0</v>
      </c>
      <c r="T446" s="26" t="n"/>
      <c r="U446" s="30" t="n">
        <v>8.800000000000001</v>
      </c>
      <c r="V446" s="26" t="inlineStr">
        <is>
          <t>lapsed (no over-allocation)</t>
        </is>
      </c>
      <c r="W446" s="34" t="n">
        <v>84.27</v>
      </c>
      <c r="X446" s="34" t="n">
        <v>80.19</v>
      </c>
      <c r="Y446" s="34" t="n">
        <v>126.29</v>
      </c>
      <c r="Z446" s="34" t="n">
        <v>79.34999999999999</v>
      </c>
      <c r="AA446" s="34" t="n">
        <v>22.8</v>
      </c>
      <c r="AB446" s="34" t="n">
        <v>121.43</v>
      </c>
      <c r="AC446" s="34" t="n">
        <v>4.86</v>
      </c>
      <c r="AD446" s="26" t="inlineStr">
        <is>
          <t>HSTECH (Hang Seng TECH ETF)</t>
        </is>
      </c>
      <c r="AE446" s="34" t="n">
        <v>129.89</v>
      </c>
      <c r="AF446" s="28" t="n">
        <v>793.6</v>
      </c>
      <c r="AG446" s="28" t="n">
        <v>-195.9</v>
      </c>
      <c r="AH446" s="26" t="inlineStr">
        <is>
          <t>N</t>
        </is>
      </c>
      <c r="AI446" s="38">
        <f>IF('BBG Verify'!O446="","not filed — run on terminal",'BBG Verify'!O446)</f>
        <v/>
      </c>
      <c r="AJ446" s="35" t="n">
        <v>9</v>
      </c>
      <c r="AK446" s="26" t="inlineStr">
        <is>
          <t>N</t>
        </is>
      </c>
      <c r="AL446" s="36">
        <f>IF('BBG Verify'!K446="","not filed — run on terminal",'BBG Verify'!K446)</f>
        <v/>
      </c>
      <c r="AM446" s="26" t="inlineStr">
        <is>
          <t>N/A</t>
        </is>
      </c>
      <c r="AN446" s="26" t="inlineStr">
        <is>
          <t>N/A</t>
        </is>
      </c>
      <c r="AO446" s="26" t="inlineStr">
        <is>
          <t>N/A</t>
        </is>
      </c>
      <c r="AP446" s="26" t="inlineStr">
        <is>
          <t>Guotai Junan Capital Limited; CITIC Securities (Hong Kong) Limited</t>
        </is>
      </c>
      <c r="AQ446" s="26" t="inlineStr">
        <is>
          <t>中信證券(香港)有限公司; 國泰君安融資有限公司</t>
        </is>
      </c>
      <c r="AR446" s="26" t="inlineStr">
        <is>
          <t>Managers and Capital Market Intermediaries ICBC International Securities Limited; Managers and Capital Market Intermediaries CCB International Capital Limited; Yunfeng Securities Limited; Livermore Holdings Limited; SPDB International Capital Limited; Shenwan Hongyuan Securities (H.K.) Limited; Yuen Meta (International) Securities Limited; Harmonia Capital Limited</t>
        </is>
      </c>
      <c r="AS446" s="26" t="inlineStr">
        <is>
          <t>農銀國際證券有限公司; 建銀國際金融有限公司; 中信里昂證券有限公司; 招銀國際融資有限公司; 國泰君安證券(香港)有限公司; 仁和資本有限公司; 工銀國際證券有限公司; 利弗莫爾證券有限公司; 申萬宏源證券（香港）有限公司; 浦銀國際融資有限公司; 雲鋒證券有限公司; 元宇宙（國際）證券有限公司; 黃河證券有限公司</t>
        </is>
      </c>
      <c r="AT446" s="37">
        <f>HYPERLINK("https://www1.hkexnews.hk/listedco/listconews/sehk/2026/0316/2026031600013.pdf","prospectus")</f>
        <v/>
      </c>
      <c r="AU446" s="37">
        <f>HYPERLINK("https://www1.hkexnews.hk/listedco/listconews/sehk/2026/0323/2026032301408.pdf","allotment")</f>
        <v/>
      </c>
      <c r="AV446" s="37">
        <f>HYPERLINK("https://www1.hkexnews.hk/listedco/listconews/sehk/2026/0420/2026042000237.pdf","stabilisation")</f>
        <v/>
      </c>
      <c r="AW446" s="26" t="inlineStr">
        <is>
          <t>P/E: n/m — loss-making at IPO (use P/S) · A/H: no A-share listing</t>
        </is>
      </c>
    </row>
    <row r="447">
      <c r="A447" s="25" t="inlineStr">
        <is>
          <t>2632</t>
        </is>
      </c>
      <c r="B447" s="26" t="inlineStr">
        <is>
          <t>NEW VISION CO</t>
        </is>
      </c>
      <c r="C447" s="26" t="inlineStr">
        <is>
          <t>澤景股份</t>
        </is>
      </c>
      <c r="D447" s="26" t="inlineStr">
        <is>
          <t>Consumer</t>
        </is>
      </c>
      <c r="E447" s="26" t="inlineStr">
        <is>
          <t>Auto parts / supply chain</t>
        </is>
      </c>
      <c r="F447" s="26" t="inlineStr">
        <is>
          <t>Standard</t>
        </is>
      </c>
      <c r="G447" s="27" t="n">
        <v>46105</v>
      </c>
      <c r="H447" s="28" t="n">
        <v>717.21</v>
      </c>
      <c r="I447" s="26" t="inlineStr">
        <is>
          <t>gross (stated)</t>
        </is>
      </c>
      <c r="J447" s="29" t="n"/>
      <c r="K447" s="29" t="n">
        <v>48</v>
      </c>
      <c r="L447" s="29" t="n">
        <v>44.2</v>
      </c>
      <c r="M447" s="26" t="inlineStr">
        <is>
          <t>N</t>
        </is>
      </c>
      <c r="N447" s="30" t="n">
        <v>92.09999999999999</v>
      </c>
      <c r="O447" s="28" t="n">
        <v>5454.1</v>
      </c>
      <c r="P447" s="26" t="inlineStr">
        <is>
          <t>derived:price x shares upon listing</t>
        </is>
      </c>
      <c r="Q447" s="31" t="n">
        <v>68.89</v>
      </c>
      <c r="R447" s="32" t="n">
        <v>1.34</v>
      </c>
      <c r="S447" s="33" t="n">
        <v>16.13</v>
      </c>
      <c r="T447" s="26" t="inlineStr">
        <is>
          <t>香港高精尖產業(北京)發展投資有限公司); 盈科壹號（香港）有限公司</t>
        </is>
      </c>
      <c r="U447" s="30" t="n"/>
      <c r="V447" s="26" t="n"/>
      <c r="W447" s="34" t="n">
        <v>-36.92</v>
      </c>
      <c r="X447" s="34" t="n">
        <v>1.81</v>
      </c>
      <c r="Y447" s="34" t="n">
        <v>94.12</v>
      </c>
      <c r="Z447" s="34" t="n">
        <v>149.1</v>
      </c>
      <c r="AA447" s="34" t="n">
        <v>207.74</v>
      </c>
      <c r="AB447" s="34" t="n">
        <v>90.3</v>
      </c>
      <c r="AC447" s="34" t="n">
        <v>3.82</v>
      </c>
      <c r="AD447" s="26" t="inlineStr">
        <is>
          <t>Hang Seng Commerce &amp; Industry sub-index</t>
        </is>
      </c>
      <c r="AE447" s="34" t="n">
        <v>106.11</v>
      </c>
      <c r="AF447" s="28" t="n">
        <v>635.4</v>
      </c>
      <c r="AG447" s="28" t="n">
        <v>-151.6</v>
      </c>
      <c r="AH447" s="26" t="inlineStr">
        <is>
          <t>N</t>
        </is>
      </c>
      <c r="AI447" s="38">
        <f>IF('BBG Verify'!O447="","not filed — run on terminal",'BBG Verify'!O447)</f>
        <v/>
      </c>
      <c r="AJ447" s="35" t="n">
        <v>8.6</v>
      </c>
      <c r="AK447" s="26" t="inlineStr">
        <is>
          <t>N</t>
        </is>
      </c>
      <c r="AL447" s="36">
        <f>IF('BBG Verify'!K447="","not filed — run on terminal",'BBG Verify'!K447)</f>
        <v/>
      </c>
      <c r="AM447" s="26" t="inlineStr">
        <is>
          <t>N/A</t>
        </is>
      </c>
      <c r="AN447" s="26" t="inlineStr">
        <is>
          <t>N/A</t>
        </is>
      </c>
      <c r="AO447" s="26" t="inlineStr">
        <is>
          <t>N/A</t>
        </is>
      </c>
      <c r="AP447" s="26" t="inlineStr">
        <is>
          <t>Haitong International Capital Limited; Central, Hong Kong CITIC Securities (Hong Kong) Limited</t>
        </is>
      </c>
      <c r="AQ447" s="26" t="inlineStr">
        <is>
          <t>海通國際資本有限公司; 中信證券(香港)有限公司</t>
        </is>
      </c>
      <c r="AR447" s="26" t="inlineStr">
        <is>
          <t>Manager and Capital Market Intermediary BOCI Asia Limited; Patrons Securities Limited</t>
        </is>
      </c>
      <c r="AS447" s="26" t="inlineStr">
        <is>
          <t>中銀國際亞洲有限公司; 中信里昂證券有限公司; 富途證券國際（香港）有限公司; 海通國際證券有限公司; 百惠證券有限公司</t>
        </is>
      </c>
      <c r="AT447" s="37">
        <f>HYPERLINK("https://www1.hkexnews.hk/listedco/listconews/sehk/2026/0316/2026031600011.pdf","prospectus")</f>
        <v/>
      </c>
      <c r="AU447" s="37">
        <f>HYPERLINK("https://www1.hkexnews.hk/listedco/listconews/sehk/2026/0323/2026032301630.pdf","allotment")</f>
        <v/>
      </c>
      <c r="AV447" s="26" t="n"/>
      <c r="AW447" s="26" t="inlineStr">
        <is>
          <t>P/E: n/m — loss-making at IPO (use P/S) · greenshoe: no over-allotment option in the offer structure · A/H: no A-share listing</t>
        </is>
      </c>
    </row>
    <row r="448">
      <c r="A448" s="25" t="inlineStr">
        <is>
          <t>2726</t>
        </is>
      </c>
      <c r="B448" s="26" t="inlineStr">
        <is>
          <t>EPIWORLD</t>
        </is>
      </c>
      <c r="C448" s="26" t="inlineStr">
        <is>
          <t>瀚天天成</t>
        </is>
      </c>
      <c r="D448" s="26" t="inlineStr">
        <is>
          <t>Tech/AI</t>
        </is>
      </c>
      <c r="E448" s="26" t="inlineStr">
        <is>
          <t>AI chips &amp; semis</t>
        </is>
      </c>
      <c r="F448" s="26" t="inlineStr">
        <is>
          <t>Standard</t>
        </is>
      </c>
      <c r="G448" s="27" t="n">
        <v>46111</v>
      </c>
      <c r="H448" s="28" t="n">
        <v>1640</v>
      </c>
      <c r="I448" s="26" t="inlineStr">
        <is>
          <t>gross (stated)</t>
        </is>
      </c>
      <c r="J448" s="29" t="n"/>
      <c r="K448" s="29" t="n">
        <v>76.26000000000001</v>
      </c>
      <c r="L448" s="29" t="n">
        <v>76.26000000000001</v>
      </c>
      <c r="M448" s="26" t="inlineStr">
        <is>
          <t>Y</t>
        </is>
      </c>
      <c r="N448" s="30" t="n">
        <v>100</v>
      </c>
      <c r="O448" s="28" t="n">
        <v>32455.1</v>
      </c>
      <c r="P448" s="26" t="inlineStr">
        <is>
          <t>derived:price x shares upon listing</t>
        </is>
      </c>
      <c r="Q448" s="31" t="n">
        <v>50.66</v>
      </c>
      <c r="R448" s="32" t="n">
        <v>1.95</v>
      </c>
      <c r="S448" s="33" t="n">
        <v>47.1</v>
      </c>
      <c r="T448" s="26" t="inlineStr">
        <is>
          <t>廈門先進智造產業投資有限公司</t>
        </is>
      </c>
      <c r="U448" s="30" t="n"/>
      <c r="V448" s="26" t="n"/>
      <c r="W448" s="34" t="n">
        <v>35.06</v>
      </c>
      <c r="X448" s="34" t="n">
        <v>51.19</v>
      </c>
      <c r="Y448" s="34" t="n">
        <v>40.44</v>
      </c>
      <c r="Z448" s="34" t="n">
        <v>31.26</v>
      </c>
      <c r="AA448" s="34" t="n">
        <v>3.98</v>
      </c>
      <c r="AB448" s="34" t="n">
        <v>36.29</v>
      </c>
      <c r="AC448" s="34" t="n">
        <v>4.15</v>
      </c>
      <c r="AD448" s="26" t="inlineStr">
        <is>
          <t>HSTECH (Hang Seng TECH ETF)</t>
        </is>
      </c>
      <c r="AE448" s="34" t="n">
        <v>43.59</v>
      </c>
      <c r="AF448" s="28" t="n">
        <v>1071.7</v>
      </c>
      <c r="AG448" s="28" t="n">
        <v>181.6</v>
      </c>
      <c r="AH448" s="26" t="inlineStr">
        <is>
          <t>Y</t>
        </is>
      </c>
      <c r="AI448" s="35" t="n">
        <v>178.7</v>
      </c>
      <c r="AJ448" s="35" t="n">
        <v>30.3</v>
      </c>
      <c r="AK448" s="26" t="inlineStr">
        <is>
          <t>N</t>
        </is>
      </c>
      <c r="AL448" s="36">
        <f>IF('BBG Verify'!K448="","not filed — run on terminal",'BBG Verify'!K448)</f>
        <v/>
      </c>
      <c r="AM448" s="26" t="inlineStr">
        <is>
          <t>N/A</t>
        </is>
      </c>
      <c r="AN448" s="26" t="inlineStr">
        <is>
          <t>N/A</t>
        </is>
      </c>
      <c r="AO448" s="26" t="inlineStr">
        <is>
          <t>N/A</t>
        </is>
      </c>
      <c r="AP448" s="26" t="n"/>
      <c r="AQ448" s="26" t="inlineStr">
        <is>
          <t>中國國際金融香港證券有限公司</t>
        </is>
      </c>
      <c r="AR448" s="26" t="inlineStr">
        <is>
          <t>Capital Market Intermediary ABCI Capital Limited; Managers and Capital Market Intermediaries Daokou Securities Limited; China Industrial Securities International Capital Limited; Fuze Securities (International) Limited; Kingston Securities Limited; Yuen Meta (International) Securities Limited</t>
        </is>
      </c>
      <c r="AS448" s="26" t="inlineStr">
        <is>
          <t>農銀國際證券有限公司; 建銀國際金融有限公司; 中國國際金融香港證券有限公司; 興證國際融資有限公司; 華升證券（國際）有限公司; 道口證券有限公司; 富途證券國際（香港）有限公司; 富澤證券（國際）有限公司; 工銀國際證券有限公司; 金利豐證券有限公司; 東方證券(香港)有限公司; 元宇宙（國際）證券有限公司</t>
        </is>
      </c>
      <c r="AT448" s="37">
        <f>HYPERLINK("https://www1.hkexnews.hk/listedco/listconews/sehk/2026/0320/2026032000029.pdf","prospectus")</f>
        <v/>
      </c>
      <c r="AU448" s="37">
        <f>HYPERLINK("https://www1.hkexnews.hk/listedco/listconews/sehk/2026/0327/2026032702128.pdf","allotment")</f>
        <v/>
      </c>
      <c r="AV448" s="26" t="n"/>
      <c r="AW448" s="26" t="inlineStr">
        <is>
          <t>greenshoe: no over-allotment option in the offer structure · A/H: no A-share listing · sponsor: English name not in the filing text; AAStocks 保薦人 shown</t>
        </is>
      </c>
    </row>
    <row r="449">
      <c r="A449" s="25" t="inlineStr">
        <is>
          <t>2526</t>
        </is>
      </c>
      <c r="B449" s="26" t="inlineStr">
        <is>
          <t>DIAGENS-B</t>
        </is>
      </c>
      <c r="C449" s="26" t="inlineStr">
        <is>
          <t>德適－Ｂ</t>
        </is>
      </c>
      <c r="D449" s="26" t="inlineStr">
        <is>
          <t>Healthcare</t>
        </is>
      </c>
      <c r="E449" s="26" t="inlineStr">
        <is>
          <t>Medical devices</t>
        </is>
      </c>
      <c r="F449" s="26" t="inlineStr">
        <is>
          <t>18A</t>
        </is>
      </c>
      <c r="G449" s="27" t="n">
        <v>46111</v>
      </c>
      <c r="H449" s="28" t="n">
        <v>791.9</v>
      </c>
      <c r="I449" s="26" t="inlineStr">
        <is>
          <t>gross (stated)</t>
        </is>
      </c>
      <c r="J449" s="29" t="n"/>
      <c r="K449" s="29" t="n">
        <v>112.5</v>
      </c>
      <c r="L449" s="29" t="n">
        <v>99</v>
      </c>
      <c r="M449" s="26" t="inlineStr">
        <is>
          <t>N</t>
        </is>
      </c>
      <c r="N449" s="30" t="n">
        <v>88</v>
      </c>
      <c r="O449" s="28" t="n">
        <v>8799</v>
      </c>
      <c r="P449" s="26" t="inlineStr">
        <is>
          <t>derived:price x shares upon listing</t>
        </is>
      </c>
      <c r="Q449" s="31" t="n">
        <v>1073.37</v>
      </c>
      <c r="R449" s="32" t="n">
        <v>3.45</v>
      </c>
      <c r="S449" s="33" t="n">
        <v>0</v>
      </c>
      <c r="T449" s="26" t="n"/>
      <c r="U449" s="30" t="n"/>
      <c r="V449" s="26" t="n"/>
      <c r="W449" s="34" t="n">
        <v>111.72</v>
      </c>
      <c r="X449" s="34" t="n">
        <v>202.02</v>
      </c>
      <c r="Y449" s="34" t="n">
        <v>234.34</v>
      </c>
      <c r="Z449" s="34" t="n">
        <v>303.03</v>
      </c>
      <c r="AA449" s="34" t="n">
        <v>57.92</v>
      </c>
      <c r="AB449" s="34" t="n">
        <v>230.63</v>
      </c>
      <c r="AC449" s="34" t="n">
        <v>3.71</v>
      </c>
      <c r="AD449" s="26" t="inlineStr">
        <is>
          <t>China Biotech ETF (HS biotech proxy)</t>
        </is>
      </c>
      <c r="AE449" s="34" t="n">
        <v>268.89</v>
      </c>
      <c r="AF449" s="28" t="n">
        <v>180.9</v>
      </c>
      <c r="AG449" s="28" t="n">
        <v>-61.7</v>
      </c>
      <c r="AH449" s="26" t="inlineStr">
        <is>
          <t>N</t>
        </is>
      </c>
      <c r="AI449" s="38">
        <f>IF('BBG Verify'!O449="","not filed — run on terminal",'BBG Verify'!O449)</f>
        <v/>
      </c>
      <c r="AJ449" s="35" t="n">
        <v>48.6</v>
      </c>
      <c r="AK449" s="26" t="inlineStr">
        <is>
          <t>N</t>
        </is>
      </c>
      <c r="AL449" s="36">
        <f>IF('BBG Verify'!K449="","not filed — run on terminal",'BBG Verify'!K449)</f>
        <v/>
      </c>
      <c r="AM449" s="26" t="inlineStr">
        <is>
          <t>N/A</t>
        </is>
      </c>
      <c r="AN449" s="26" t="inlineStr">
        <is>
          <t>N/A</t>
        </is>
      </c>
      <c r="AO449" s="26" t="inlineStr">
        <is>
          <t>N/A</t>
        </is>
      </c>
      <c r="AP449" s="26" t="inlineStr">
        <is>
          <t>and Sponsor-overall Coordinator Huatai Financial Holdings (Hong Kong) Limited</t>
        </is>
      </c>
      <c r="AQ449" s="26" t="inlineStr">
        <is>
          <t>華泰金融控股(香港)有限公司</t>
        </is>
      </c>
      <c r="AR449" s="26" t="inlineStr">
        <is>
          <t>Huatai Financial Holdings (Hong Kong) Limited; Futu Securities International (Hong Kong) Limited; ABCI Capital Limited; Central, Hong Kong BOCI Asia Limited; Central, Hong Kong CCB International Capital Limited; Central, Hong Kong China Galaxy International Securities (Hong Kong) Co., Limited; Sheung Wan, Hong Kong Huafu International Securities Limited; Sheung Wan, Hong Kong Y ellow River Securities Limited; Admiralty, Hong Kong Yuen Meta (International) Securities Limited; Wanchai, Hong Kong Yunfeng Securities Limited; Wanchai, Hong Kong Zheshang International Financial Holdings Co., Ltd</t>
        </is>
      </c>
      <c r="AS449" s="26" t="inlineStr">
        <is>
          <t>農銀國際證券有限公司; 中銀國際亞洲有限公司; 建銀國際金融有限公司; 中國銀河國際證券(香港)有限公司; 富途證券國際（香港）有限公司; 華泰金融控股(香港)有限公司; 華福國際證券有限公司; 雲鋒證券有限公司; 元宇宙（國際）證券有限公司; 黃河證券有限公司; 浙商國際金融控股有限公司</t>
        </is>
      </c>
      <c r="AT449" s="37">
        <f>HYPERLINK("https://www1.hkexnews.hk/listedco/listconews/sehk/2026/0320/2026032000025.pdf","prospectus")</f>
        <v/>
      </c>
      <c r="AU449" s="37">
        <f>HYPERLINK("https://www1.hkexnews.hk/listedco/listconews/sehk/2026/0327/2026032702330.pdf","allotment")</f>
        <v/>
      </c>
      <c r="AV449" s="26" t="n"/>
      <c r="AW449" s="26" t="inlineStr">
        <is>
          <t>P/E: n/m — loss-making at IPO (use P/S) · greenshoe: no over-allotment option in the offer structure · A/H: no A-share listing</t>
        </is>
      </c>
    </row>
    <row r="450">
      <c r="A450" s="25" t="inlineStr">
        <is>
          <t>6636</t>
        </is>
      </c>
      <c r="B450" s="26" t="inlineStr">
        <is>
          <t>EXTREME VISION</t>
        </is>
      </c>
      <c r="C450" s="26" t="inlineStr">
        <is>
          <t>極視角</t>
        </is>
      </c>
      <c r="D450" s="26" t="inlineStr">
        <is>
          <t>Tech/AI</t>
        </is>
      </c>
      <c r="E450" s="26" t="inlineStr">
        <is>
          <t>AI application / agent software</t>
        </is>
      </c>
      <c r="F450" s="26" t="inlineStr">
        <is>
          <t>Standard</t>
        </is>
      </c>
      <c r="G450" s="27" t="n">
        <v>46111</v>
      </c>
      <c r="H450" s="28" t="n">
        <v>499.2</v>
      </c>
      <c r="I450" s="26" t="inlineStr">
        <is>
          <t>gross (stated)</t>
        </is>
      </c>
      <c r="J450" s="29" t="n"/>
      <c r="K450" s="29" t="n">
        <v>40</v>
      </c>
      <c r="L450" s="29" t="n">
        <v>40</v>
      </c>
      <c r="M450" s="26" t="inlineStr">
        <is>
          <t>Y</t>
        </is>
      </c>
      <c r="N450" s="30" t="n">
        <v>100</v>
      </c>
      <c r="O450" s="28" t="n">
        <v>4516.6</v>
      </c>
      <c r="P450" s="26" t="inlineStr">
        <is>
          <t>derived:price x shares upon listing</t>
        </is>
      </c>
      <c r="Q450" s="31" t="n">
        <v>4591.37</v>
      </c>
      <c r="R450" s="32" t="n">
        <v>3.41</v>
      </c>
      <c r="S450" s="33" t="n">
        <v>9.460000000000001</v>
      </c>
      <c r="T450" s="26" t="inlineStr">
        <is>
          <t>George Kent International Pte. Ltd; 政金(香港)國際有限公司</t>
        </is>
      </c>
      <c r="U450" s="30" t="n"/>
      <c r="V450" s="26" t="n"/>
      <c r="W450" s="34" t="n">
        <v>150</v>
      </c>
      <c r="X450" s="34" t="n">
        <v>164</v>
      </c>
      <c r="Y450" s="34" t="n">
        <v>151.25</v>
      </c>
      <c r="Z450" s="34" t="n">
        <v>112.5</v>
      </c>
      <c r="AA450" s="34" t="n">
        <v>0.5</v>
      </c>
      <c r="AB450" s="34" t="n">
        <v>147.1</v>
      </c>
      <c r="AC450" s="34" t="n">
        <v>4.15</v>
      </c>
      <c r="AD450" s="26" t="inlineStr">
        <is>
          <t>HSTECH (Hang Seng TECH ETF)</t>
        </is>
      </c>
      <c r="AE450" s="34" t="n">
        <v>145.87</v>
      </c>
      <c r="AF450" s="28" t="n">
        <v>283</v>
      </c>
      <c r="AG450" s="28" t="n">
        <v>0.1</v>
      </c>
      <c r="AH450" s="26" t="inlineStr">
        <is>
          <t>Y</t>
        </is>
      </c>
      <c r="AI450" s="35" t="n">
        <v>45166</v>
      </c>
      <c r="AJ450" s="35" t="n">
        <v>16</v>
      </c>
      <c r="AK450" s="26" t="inlineStr">
        <is>
          <t>N</t>
        </is>
      </c>
      <c r="AL450" s="36">
        <f>IF('BBG Verify'!K450="","not filed — run on terminal",'BBG Verify'!K450)</f>
        <v/>
      </c>
      <c r="AM450" s="26" t="inlineStr">
        <is>
          <t>N/A</t>
        </is>
      </c>
      <c r="AN450" s="26" t="inlineStr">
        <is>
          <t>N/A</t>
        </is>
      </c>
      <c r="AO450" s="26" t="inlineStr">
        <is>
          <t>N/A</t>
        </is>
      </c>
      <c r="AP450" s="26" t="inlineStr">
        <is>
          <t>CITIC Securities (Hong Kong) Limited</t>
        </is>
      </c>
      <c r="AQ450" s="26" t="inlineStr">
        <is>
          <t>中信證券(香港)有限公司</t>
        </is>
      </c>
      <c r="AR450" s="26" t="inlineStr">
        <is>
          <t>Manager and Capital Market Intermediary CLSA Limited; CMB International Capital Limited; DIRECTORS AND PARTIES INVOLVED IN THE GLOBAL OFFERING –5 8– ABCI Capital Limited; SDIC Securities (Hong Kong) Limited; Guosen Securities (HK) Brokerage Company, Limited; Livermore Holdings Limited; China Sunrise Securities (International) Limited</t>
        </is>
      </c>
      <c r="AS450" s="26" t="inlineStr">
        <is>
          <t>農銀國際證券有限公司; 中信里昂證券有限公司; 招銀國際融資有限公司; 華升證券（國際）有限公司; 國信證券（香港）經紀有限公司; 利弗莫爾證券有限公司; 國投證券（香港）有限公司</t>
        </is>
      </c>
      <c r="AT450" s="37">
        <f>HYPERLINK("https://www1.hkexnews.hk/listedco/listconews/sehk/2026/0320/2026032000097.pdf","prospectus")</f>
        <v/>
      </c>
      <c r="AU450" s="37">
        <f>HYPERLINK("https://www1.hkexnews.hk/listedco/listconews/sehk/2026/0327/2026032703232.pdf","allotment")</f>
        <v/>
      </c>
      <c r="AV450" s="26" t="n"/>
      <c r="AW450" s="26" t="inlineStr">
        <is>
          <t>greenshoe: no over-allotment option in the offer structure · A/H: no A-share listing</t>
        </is>
      </c>
    </row>
    <row r="451">
      <c r="A451" s="25" t="inlineStr">
        <is>
          <t>1021</t>
        </is>
      </c>
      <c r="B451" s="26" t="inlineStr">
        <is>
          <t>HUAYAN ROBOTICS</t>
        </is>
      </c>
      <c r="C451" s="26" t="inlineStr">
        <is>
          <t>華沿機器人</t>
        </is>
      </c>
      <c r="D451" s="26" t="inlineStr">
        <is>
          <t>Tech/AI</t>
        </is>
      </c>
      <c r="E451" s="26" t="inlineStr">
        <is>
          <t>Robotics &amp; autonomous driving</t>
        </is>
      </c>
      <c r="F451" s="26" t="inlineStr">
        <is>
          <t>Standard</t>
        </is>
      </c>
      <c r="G451" s="27" t="n">
        <v>46111</v>
      </c>
      <c r="H451" s="28" t="n">
        <v>1579.34</v>
      </c>
      <c r="I451" s="26" t="inlineStr">
        <is>
          <t>gross (stated)</t>
        </is>
      </c>
      <c r="J451" s="29" t="n"/>
      <c r="K451" s="29" t="n">
        <v>17</v>
      </c>
      <c r="L451" s="29" t="n">
        <v>17</v>
      </c>
      <c r="M451" s="26" t="inlineStr">
        <is>
          <t>Y</t>
        </is>
      </c>
      <c r="N451" s="30" t="n">
        <v>100</v>
      </c>
      <c r="O451" s="41">
        <f>IF('BBG Verify'!M451="","not filed — run on terminal",'BBG Verify'!M451)</f>
        <v/>
      </c>
      <c r="P451" s="26" t="n"/>
      <c r="Q451" s="31" t="n">
        <v>5059.4</v>
      </c>
      <c r="R451" s="39">
        <f>IF('BBG Verify'!E451="","not filed — run on terminal",'BBG Verify'!E451)</f>
        <v/>
      </c>
      <c r="S451" s="33" t="n"/>
      <c r="T451" s="26" t="inlineStr">
        <is>
          <t>Eternal Summer Consulting Company Ltd; 廣發基金管理有限公司）及廣發國際資產管理有限公司; HHLR Advisors, Ltd; 華泰資本投資有限公司及華泰證券股份有限公司; Morgan Stanley &amp; Co. International plc; 全順(香港)發展有限公司; 晟信集團有限公司; Shrewd Pioneer Limited; VVC Technology Fund Ltd</t>
        </is>
      </c>
      <c r="U451" s="30" t="n">
        <v>15</v>
      </c>
      <c r="V451" s="26" t="n"/>
      <c r="W451" s="34" t="n">
        <v>8.24</v>
      </c>
      <c r="X451" s="34" t="n">
        <v>5.41</v>
      </c>
      <c r="Y451" s="34" t="n">
        <v>16.24</v>
      </c>
      <c r="Z451" s="34" t="n">
        <v>-9.119999999999999</v>
      </c>
      <c r="AA451" s="34" t="n">
        <v>7.39</v>
      </c>
      <c r="AB451" s="34" t="n">
        <v>12.09</v>
      </c>
      <c r="AC451" s="34" t="n">
        <v>4.15</v>
      </c>
      <c r="AD451" s="26" t="inlineStr">
        <is>
          <t>HSTECH (Hang Seng TECH ETF)</t>
        </is>
      </c>
      <c r="AE451" s="34" t="n">
        <v>-40.94</v>
      </c>
      <c r="AF451" s="28" t="n">
        <v>425.6</v>
      </c>
      <c r="AG451" s="28" t="n">
        <v>-32.9</v>
      </c>
      <c r="AH451" s="26" t="inlineStr">
        <is>
          <t>N</t>
        </is>
      </c>
      <c r="AI451" s="38">
        <f>IF('BBG Verify'!O451="","not filed — run on terminal",'BBG Verify'!O451)</f>
        <v/>
      </c>
      <c r="AJ451" s="35" t="n"/>
      <c r="AK451" s="26" t="inlineStr">
        <is>
          <t>N</t>
        </is>
      </c>
      <c r="AL451" s="36">
        <f>IF('BBG Verify'!K451="","not filed — run on terminal",'BBG Verify'!K451)</f>
        <v/>
      </c>
      <c r="AM451" s="26" t="inlineStr">
        <is>
          <t>N/A</t>
        </is>
      </c>
      <c r="AN451" s="26" t="inlineStr">
        <is>
          <t>N/A</t>
        </is>
      </c>
      <c r="AO451" s="26" t="inlineStr">
        <is>
          <t>N/A</t>
        </is>
      </c>
      <c r="AP451" s="26" t="n"/>
      <c r="AQ451" s="26" t="inlineStr">
        <is>
          <t>中國國際金融香港證券有限公司; 德意志證券亞洲有限公司</t>
        </is>
      </c>
      <c r="AR451" s="26" t="inlineStr">
        <is>
          <t>中國國際金融香港證券有限公司; 德意志銀行香港分行; 富途證券國際（香港）有限公司; 浙商國際金融控股有限公司</t>
        </is>
      </c>
      <c r="AS451" s="26" t="inlineStr">
        <is>
          <t>中國國際金融香港證券有限公司; 德意志銀行香港分行; 富途證券國際（香港）有限公司; 浙商國際金融控股有限公司</t>
        </is>
      </c>
      <c r="AT451" s="37">
        <f>HYPERLINK("https://www1.hkexnews.hk/listedco/listconews/sehk/2026/0320/2026032000035.pdf","prospectus")</f>
        <v/>
      </c>
      <c r="AU451" s="37">
        <f>HYPERLINK("https://www1.hkexnews.hk/listedco/listconews/sehk/2026/0327/2026032703804.pdf","allotment")</f>
        <v/>
      </c>
      <c r="AV451" s="26" t="n"/>
      <c r="AW451" s="26" t="inlineStr">
        <is>
          <t>intl sub: subscription level not stated in the filing · P/E: n/m — loss-making at IPO (use P/S) · greenshoe: end-of-stabilisation notice not located · price range: fixed-price offering (no indicative range) · A/H: no A-share listing · sponsor: English name not in the filing text; AAStocks 保薦人 shown</t>
        </is>
      </c>
    </row>
    <row r="452">
      <c r="A452" s="25" t="inlineStr">
        <is>
          <t>0664</t>
        </is>
      </c>
      <c r="B452" s="26" t="inlineStr">
        <is>
          <t>TONGSHIFU</t>
        </is>
      </c>
      <c r="C452" s="26" t="inlineStr">
        <is>
          <t>銅師傅</t>
        </is>
      </c>
      <c r="D452" s="26" t="inlineStr">
        <is>
          <t>Consumer</t>
        </is>
      </c>
      <c r="E452" s="26" t="inlineStr">
        <is>
          <t>Beverages / packaged food</t>
        </is>
      </c>
      <c r="F452" s="26" t="inlineStr">
        <is>
          <t>Standard</t>
        </is>
      </c>
      <c r="G452" s="27" t="n">
        <v>46112</v>
      </c>
      <c r="H452" s="28" t="n">
        <v>444.41</v>
      </c>
      <c r="I452" s="26" t="inlineStr">
        <is>
          <t>gross (stated)</t>
        </is>
      </c>
      <c r="J452" s="29" t="n"/>
      <c r="K452" s="29" t="n">
        <v>68</v>
      </c>
      <c r="L452" s="29" t="n">
        <v>60</v>
      </c>
      <c r="M452" s="26" t="inlineStr">
        <is>
          <t>N</t>
        </is>
      </c>
      <c r="N452" s="30" t="n">
        <v>88.2</v>
      </c>
      <c r="O452" s="28" t="n">
        <v>3864.4</v>
      </c>
      <c r="P452" s="26" t="inlineStr">
        <is>
          <t>derived:price x shares upon listing</t>
        </is>
      </c>
      <c r="Q452" s="31" t="n">
        <v>59.55</v>
      </c>
      <c r="R452" s="32" t="n">
        <v>1.56</v>
      </c>
      <c r="S452" s="40" t="n">
        <v>50.3</v>
      </c>
      <c r="T452" s="26" t="inlineStr">
        <is>
          <t>建投國際（香港）有限公司</t>
        </is>
      </c>
      <c r="U452" s="30" t="n">
        <v>6.75</v>
      </c>
      <c r="V452" s="26" t="inlineStr">
        <is>
          <t>lapsed</t>
        </is>
      </c>
      <c r="W452" s="34" t="n">
        <v>-49.17</v>
      </c>
      <c r="X452" s="34" t="n">
        <v>-53.17</v>
      </c>
      <c r="Y452" s="34" t="n">
        <v>-62.27</v>
      </c>
      <c r="Z452" s="34" t="n">
        <v>-74.81999999999999</v>
      </c>
      <c r="AA452" s="34" t="n">
        <v>-25.77</v>
      </c>
      <c r="AB452" s="34" t="n">
        <v>-65.63</v>
      </c>
      <c r="AC452" s="34" t="n">
        <v>3.36</v>
      </c>
      <c r="AD452" s="26" t="inlineStr">
        <is>
          <t>Hang Seng Commerce &amp; Industry sub-index</t>
        </is>
      </c>
      <c r="AE452" s="34" t="n">
        <v>-76.75</v>
      </c>
      <c r="AF452" s="28" t="n">
        <v>679.1</v>
      </c>
      <c r="AG452" s="28" t="n">
        <v>86.90000000000001</v>
      </c>
      <c r="AH452" s="26" t="inlineStr">
        <is>
          <t>Y</t>
        </is>
      </c>
      <c r="AI452" s="35" t="n">
        <v>44.5</v>
      </c>
      <c r="AJ452" s="35" t="n">
        <v>5.7</v>
      </c>
      <c r="AK452" s="26" t="inlineStr">
        <is>
          <t>N</t>
        </is>
      </c>
      <c r="AL452" s="36">
        <f>IF('BBG Verify'!K452="","not filed — run on terminal",'BBG Verify'!K452)</f>
        <v/>
      </c>
      <c r="AM452" s="26" t="inlineStr">
        <is>
          <t>N/A</t>
        </is>
      </c>
      <c r="AN452" s="26" t="inlineStr">
        <is>
          <t>N/A</t>
        </is>
      </c>
      <c r="AO452" s="26" t="inlineStr">
        <is>
          <t>N/A</t>
        </is>
      </c>
      <c r="AP452" s="26" t="inlineStr">
        <is>
          <t>CMB International Capital Limited; -Overall Coordinator CMB International Capital Limited</t>
        </is>
      </c>
      <c r="AQ452" s="26" t="inlineStr">
        <is>
          <t>招銀國際融資有限公司</t>
        </is>
      </c>
      <c r="AR452" s="26" t="inlineStr">
        <is>
          <t>CMB International Capital Limited; Central, Hong Kong CLSA Limited; ABCI Capital Limited; China Everbright Securities (HK) Limited; Futu Securities International (Hong Kong) Limited; Patrons Securities Limited</t>
        </is>
      </c>
      <c r="AS452" s="26" t="inlineStr">
        <is>
          <t>農銀國際證券有限公司; 中國光大證券(香港)有限公司; 中信里昂證券有限公司; 招銀國際融資有限公司; 富途證券國際（香港）有限公司; 利弗莫爾證券有限公司; 百惠證券有限公司</t>
        </is>
      </c>
      <c r="AT452" s="37">
        <f>HYPERLINK("https://www1.hkexnews.hk/listedco/listconews/sehk/2026/0323/2026032300037.pdf","prospectus")</f>
        <v/>
      </c>
      <c r="AU452" s="37">
        <f>HYPERLINK("https://www1.hkexnews.hk/listedco/listconews/sehk/2026/0330/2026033003120.pdf","allotment")</f>
        <v/>
      </c>
      <c r="AV452" s="37">
        <f>HYPERLINK("https://www1.hkexnews.hk/listedco/listconews/sehk/2026/0430/2026043004704.pdf","stabilisation")</f>
        <v/>
      </c>
      <c r="AW452" s="26" t="inlineStr">
        <is>
          <t>A/H: no A-share listing · cornerstone: AAStocks institutional total HK$30m = 7% of deal vs 50% parsed</t>
        </is>
      </c>
    </row>
    <row r="453">
      <c r="A453" s="25" t="inlineStr">
        <is>
          <t>3625</t>
        </is>
      </c>
      <c r="B453" s="26" t="inlineStr">
        <is>
          <t>FOURSEMI</t>
        </is>
      </c>
      <c r="C453" s="26" t="inlineStr">
        <is>
          <t>傅里葉</t>
        </is>
      </c>
      <c r="D453" s="26" t="inlineStr">
        <is>
          <t>Tech/AI</t>
        </is>
      </c>
      <c r="E453" s="26" t="inlineStr">
        <is>
          <t>AI chips &amp; semis</t>
        </is>
      </c>
      <c r="F453" s="26" t="inlineStr">
        <is>
          <t>Standard</t>
        </is>
      </c>
      <c r="G453" s="27" t="n">
        <v>46112</v>
      </c>
      <c r="H453" s="28" t="n">
        <v>480</v>
      </c>
      <c r="I453" s="26" t="inlineStr">
        <is>
          <t>gross (stated)</t>
        </is>
      </c>
      <c r="J453" s="29" t="n"/>
      <c r="K453" s="29" t="n">
        <v>50</v>
      </c>
      <c r="L453" s="29" t="n">
        <v>40</v>
      </c>
      <c r="M453" s="26" t="inlineStr">
        <is>
          <t>N</t>
        </is>
      </c>
      <c r="N453" s="30" t="n">
        <v>80</v>
      </c>
      <c r="O453" s="28" t="n">
        <v>4480</v>
      </c>
      <c r="P453" s="26" t="inlineStr">
        <is>
          <t>derived:price x shares upon listing</t>
        </is>
      </c>
      <c r="Q453" s="31" t="n">
        <v>3118.43</v>
      </c>
      <c r="R453" s="32" t="n">
        <v>2.93</v>
      </c>
      <c r="S453" s="33" t="n">
        <v>0</v>
      </c>
      <c r="T453" s="26" t="n"/>
      <c r="U453" s="30" t="n">
        <v>5.72</v>
      </c>
      <c r="V453" s="26" t="n"/>
      <c r="W453" s="34" t="n">
        <v>100</v>
      </c>
      <c r="X453" s="34" t="n">
        <v>226.25</v>
      </c>
      <c r="Y453" s="34" t="n">
        <v>244.75</v>
      </c>
      <c r="Z453" s="34" t="n">
        <v>125</v>
      </c>
      <c r="AA453" s="34" t="n">
        <v>72.37</v>
      </c>
      <c r="AB453" s="34" t="n">
        <v>239.78</v>
      </c>
      <c r="AC453" s="34" t="n">
        <v>4.97</v>
      </c>
      <c r="AD453" s="26" t="inlineStr">
        <is>
          <t>HSTECH (Hang Seng TECH ETF)</t>
        </is>
      </c>
      <c r="AE453" s="34" t="n">
        <v>149.88</v>
      </c>
      <c r="AF453" s="28" t="n">
        <v>2.2</v>
      </c>
      <c r="AG453" s="28" t="n">
        <v>-62.5</v>
      </c>
      <c r="AH453" s="26" t="inlineStr">
        <is>
          <t>N</t>
        </is>
      </c>
      <c r="AI453" s="38">
        <f>IF('BBG Verify'!O453="","not filed — run on terminal",'BBG Verify'!O453)</f>
        <v/>
      </c>
      <c r="AJ453" s="35" t="n">
        <v>2036.4</v>
      </c>
      <c r="AK453" s="26" t="inlineStr">
        <is>
          <t>N</t>
        </is>
      </c>
      <c r="AL453" s="36">
        <f>IF('BBG Verify'!K453="","not filed — run on terminal",'BBG Verify'!K453)</f>
        <v/>
      </c>
      <c r="AM453" s="26" t="inlineStr">
        <is>
          <t>N/A</t>
        </is>
      </c>
      <c r="AN453" s="26" t="inlineStr">
        <is>
          <t>N/A</t>
        </is>
      </c>
      <c r="AO453" s="26" t="inlineStr">
        <is>
          <t>N/A</t>
        </is>
      </c>
      <c r="AP453" s="26" t="inlineStr">
        <is>
          <t>Guotai Junan Capital Limited; Orient Capital (Hong Kong) Limited</t>
        </is>
      </c>
      <c r="AQ453" s="26" t="inlineStr">
        <is>
          <t>國泰君安融資有限公司; 東方融資(香港)有限公司</t>
        </is>
      </c>
      <c r="AR453" s="26" t="inlineStr">
        <is>
          <t>Guotai Junan Securities (Hong Kong) Limited; Orient Securities (Hong Kong) Limited; Central, Hong Kong CCB International Capital Limited; ABCI Capital Limited; Futu Securities International (Hong Kong) Limited; Y ellow River Securities Limited; Admiralty, Hong Kong Shenwan Hongyuan Securities (H.K.) Limited; Livermore Holdings Limited; Huafu International Securities Limited; Wanchai, Hong Kong Zheshang International Financial Holdings Co., Limited</t>
        </is>
      </c>
      <c r="AS453" s="26" t="inlineStr">
        <is>
          <t>農銀國際證券有限公司; 建銀國際金融有限公司; 富途證券國際（香港）有限公司; 國泰君安證券(香港)有限公司; 華福國際證券有限公司; 利弗莫爾證券有限公司; 東方證券(香港)有限公司; 申萬宏源證券（香港）有限公司; 元宇宙（國際）證券有限公司; 黃河證券有限公司; 浙商國際金融控股有限公司</t>
        </is>
      </c>
      <c r="AT453" s="37">
        <f>HYPERLINK("https://www1.hkexnews.hk/listedco/listconews/sehk/2026/0323/2026032300023.pdf","prospectus")</f>
        <v/>
      </c>
      <c r="AU453" s="37">
        <f>HYPERLINK("https://www1.hkexnews.hk/listedco/listconews/sehk/2026/0330/2026033003564.pdf","allotment")</f>
        <v/>
      </c>
      <c r="AV453" s="26" t="n"/>
      <c r="AW453" s="26" t="inlineStr">
        <is>
          <t>P/E: n/m — loss-making at IPO (use P/S) · greenshoe: end-of-stabilisation notice not located · A/H: no A-share listing</t>
        </is>
      </c>
    </row>
    <row r="454">
      <c r="A454" s="25" t="inlineStr">
        <is>
          <t>6656</t>
        </is>
      </c>
      <c r="B454" s="26" t="inlineStr">
        <is>
          <t>SIGENERGY</t>
        </is>
      </c>
      <c r="C454" s="26" t="inlineStr">
        <is>
          <t>思格新能</t>
        </is>
      </c>
      <c r="D454" s="26" t="inlineStr">
        <is>
          <t>Industrials</t>
        </is>
      </c>
      <c r="E454" s="26" t="inlineStr">
        <is>
          <t>Batteries / energy storage</t>
        </is>
      </c>
      <c r="F454" s="26" t="inlineStr">
        <is>
          <t>Standard</t>
        </is>
      </c>
      <c r="G454" s="27" t="n">
        <v>46128</v>
      </c>
      <c r="H454" s="28" t="n">
        <v>4400.7</v>
      </c>
      <c r="I454" s="26" t="inlineStr">
        <is>
          <t>gross (stated)</t>
        </is>
      </c>
      <c r="J454" s="29" t="n"/>
      <c r="K454" s="29" t="n">
        <v>324.2</v>
      </c>
      <c r="L454" s="29" t="n">
        <v>324.2</v>
      </c>
      <c r="M454" s="26" t="inlineStr">
        <is>
          <t>Y</t>
        </is>
      </c>
      <c r="N454" s="30" t="n">
        <v>100</v>
      </c>
      <c r="O454" s="28" t="n">
        <v>80011.60000000001</v>
      </c>
      <c r="P454" s="26" t="inlineStr">
        <is>
          <t>derived:price x shares upon listing</t>
        </is>
      </c>
      <c r="Q454" s="31" t="n">
        <v>1102.05</v>
      </c>
      <c r="R454" s="32" t="n">
        <v>31.2</v>
      </c>
      <c r="S454" s="33" t="n">
        <v>49.8</v>
      </c>
      <c r="T454" s="26" t="inlineStr">
        <is>
          <t>3W Fund Management Limited; Aranda Investments Pte. Ltd; AXA Investment Managers UK Limited; Baring Asset Management (Asia) Limited; 正大機器人有限公司; CPE Energy Investment Limited; 中國太保投資管理(香港)有限公司; 富國資產管理（香港）有限公司; 富國基金管理有限公司; 高盛資產管理（香港）有限公司; 景林資產管理香港有限公司; HHLR Advisors, Ltd; Hillhouse Investment Management, Ltd; Huadeng Technology Space Ventures Ltd; 工銀理財有限責任公司; Lazurite Hime L.P; Perseverance Asset Management International (Singapore) Pte. Ltd; Scene Cloud Global Limited; 上海陸家嘴（集團）有限公司; Tropical Terrain Limited; UBS Asset Management (Singapore) Ltd</t>
        </is>
      </c>
      <c r="U454" s="30" t="n">
        <v>15</v>
      </c>
      <c r="V454" s="26" t="inlineStr">
        <is>
          <t>full</t>
        </is>
      </c>
      <c r="W454" s="34" t="n">
        <v>103.42</v>
      </c>
      <c r="X454" s="34" t="n">
        <v>73.66</v>
      </c>
      <c r="Y454" s="34" t="n">
        <v>64.40000000000001</v>
      </c>
      <c r="Z454" s="34" t="n">
        <v>-14.68</v>
      </c>
      <c r="AA454" s="34" t="n">
        <v>-19.18</v>
      </c>
      <c r="AB454" s="34" t="n">
        <v>66.81</v>
      </c>
      <c r="AC454" s="34" t="n">
        <v>-2.41</v>
      </c>
      <c r="AD454" s="26" t="inlineStr">
        <is>
          <t>Hang Seng Commerce &amp; Industry sub-index</t>
        </is>
      </c>
      <c r="AE454" s="34" t="n">
        <v>1.23</v>
      </c>
      <c r="AF454" s="28" t="n">
        <v>9900.6</v>
      </c>
      <c r="AG454" s="28" t="n">
        <v>92.2</v>
      </c>
      <c r="AH454" s="26" t="inlineStr">
        <is>
          <t>Y</t>
        </is>
      </c>
      <c r="AI454" s="35" t="n">
        <v>867.8</v>
      </c>
      <c r="AJ454" s="35" t="n">
        <v>8.1</v>
      </c>
      <c r="AK454" s="26" t="inlineStr">
        <is>
          <t>N</t>
        </is>
      </c>
      <c r="AL454" s="36">
        <f>IF('BBG Verify'!K454="","not filed — run on terminal",'BBG Verify'!K454)</f>
        <v/>
      </c>
      <c r="AM454" s="26" t="inlineStr">
        <is>
          <t>N/A</t>
        </is>
      </c>
      <c r="AN454" s="26" t="inlineStr">
        <is>
          <t>N/A</t>
        </is>
      </c>
      <c r="AO454" s="26" t="inlineStr">
        <is>
          <t>N/A</t>
        </is>
      </c>
      <c r="AP454" s="26" t="inlineStr">
        <is>
          <t>CITIC Securities (Hong Kong) Limited; BNP Paribas Securities (Asia) Limited</t>
        </is>
      </c>
      <c r="AQ454" s="26" t="inlineStr">
        <is>
          <t>中信證券(香港)有限公司; 法國巴黎證券（亞洲）有限公司</t>
        </is>
      </c>
      <c r="AR454" s="26" t="inlineStr">
        <is>
          <t>CLSA Limited; BNP Paribas Securities (Asia) Limited; China International Capital Corporation Hong Kong Securities Limited</t>
        </is>
      </c>
      <c r="AS454" s="26" t="inlineStr">
        <is>
          <t>法國巴黎證券（亞洲）有限公司; 中國國際金融香港證券有限公司; 中信里昂證券有限公司</t>
        </is>
      </c>
      <c r="AT454" s="37">
        <f>HYPERLINK("https://www1.hkexnews.hk/listedco/listconews/sehk/2026/0408/2026040800017.pdf","prospectus")</f>
        <v/>
      </c>
      <c r="AU454" s="37">
        <f>HYPERLINK("https://www1.hkexnews.hk/listedco/listconews/sehk/2026/0415/2026041501574.pdf","allotment")</f>
        <v/>
      </c>
      <c r="AV454" s="37">
        <f>HYPERLINK("https://www1.hkexnews.hk/listedco/listconews/sehk/2026/0513/2026051301292.pdf","stabilisation")</f>
        <v/>
      </c>
      <c r="AW454" s="26" t="inlineStr">
        <is>
          <t>A/H: no A-share listing</t>
        </is>
      </c>
    </row>
    <row r="455">
      <c r="A455" s="25" t="inlineStr">
        <is>
          <t>0068</t>
        </is>
      </c>
      <c r="B455" s="26" t="inlineStr">
        <is>
          <t>MANYCORE TECH</t>
        </is>
      </c>
      <c r="C455" s="26" t="inlineStr">
        <is>
          <t>MANYCORE TECH</t>
        </is>
      </c>
      <c r="D455" s="26" t="inlineStr">
        <is>
          <t>Tech/AI</t>
        </is>
      </c>
      <c r="E455" s="26" t="inlineStr">
        <is>
          <t>SaaS / enterprise software</t>
        </is>
      </c>
      <c r="F455" s="26" t="inlineStr">
        <is>
          <t>Standard</t>
        </is>
      </c>
      <c r="G455" s="27" t="n">
        <v>46129</v>
      </c>
      <c r="H455" s="28" t="n">
        <v>1223.9</v>
      </c>
      <c r="I455" s="26" t="inlineStr">
        <is>
          <t>gross (stated)</t>
        </is>
      </c>
      <c r="J455" s="29" t="n"/>
      <c r="K455" s="29" t="n">
        <v>7.62</v>
      </c>
      <c r="L455" s="29" t="n">
        <v>7.62</v>
      </c>
      <c r="M455" s="26" t="inlineStr">
        <is>
          <t>Y</t>
        </is>
      </c>
      <c r="N455" s="30" t="n">
        <v>100</v>
      </c>
      <c r="O455" s="28" t="n">
        <v>12376.9</v>
      </c>
      <c r="P455" s="26" t="inlineStr">
        <is>
          <t>aastocks:上市市值 at the struck price</t>
        </is>
      </c>
      <c r="Q455" s="31" t="n">
        <v>1590.56</v>
      </c>
      <c r="R455" s="32" t="n">
        <v>14.46</v>
      </c>
      <c r="S455" s="33" t="n">
        <v>37.14</v>
      </c>
      <c r="T455" s="26" t="inlineStr">
        <is>
          <t>華營建築集團控股有限公司; 廣發基金管理有限公司及廣發國際資產管理有限公司; 國惠（香港）控股有限公司; Hesai Hong Kong Limited; Mirae Asset Securities Co., Ltd; Redwood Elite Limited; 霧.資本有限公司; 陽光人壽保險股份有限公司; 泰康人壽保險有限責任公司</t>
        </is>
      </c>
      <c r="U455" s="30" t="n">
        <v>15</v>
      </c>
      <c r="V455" s="26" t="n"/>
      <c r="W455" s="34" t="n">
        <v>144.09</v>
      </c>
      <c r="X455" s="34" t="n">
        <v>273.75</v>
      </c>
      <c r="Y455" s="34" t="n">
        <v>142.91</v>
      </c>
      <c r="Z455" s="34" t="n">
        <v>16.54</v>
      </c>
      <c r="AA455" s="34" t="n">
        <v>-0.48</v>
      </c>
      <c r="AB455" s="34" t="n">
        <v>147.6</v>
      </c>
      <c r="AC455" s="34" t="n">
        <v>-4.69</v>
      </c>
      <c r="AD455" s="26" t="inlineStr">
        <is>
          <t>HSTECH (Hang Seng TECH ETF)</t>
        </is>
      </c>
      <c r="AE455" s="34" t="n">
        <v>17.45</v>
      </c>
      <c r="AF455" s="28" t="n">
        <v>902</v>
      </c>
      <c r="AG455" s="28" t="n">
        <v>-470.7</v>
      </c>
      <c r="AH455" s="26" t="inlineStr">
        <is>
          <t>N</t>
        </is>
      </c>
      <c r="AI455" s="38">
        <f>IF('BBG Verify'!O455="","not filed — run on terminal",'BBG Verify'!O455)</f>
        <v/>
      </c>
      <c r="AJ455" s="35" t="n">
        <v>13.7</v>
      </c>
      <c r="AK455" s="26" t="inlineStr">
        <is>
          <t>N</t>
        </is>
      </c>
      <c r="AL455" s="36">
        <f>IF('BBG Verify'!K455="","not filed — run on terminal",'BBG Verify'!K455)</f>
        <v/>
      </c>
      <c r="AM455" s="26" t="inlineStr">
        <is>
          <t>N/A</t>
        </is>
      </c>
      <c r="AN455" s="26" t="inlineStr">
        <is>
          <t>N/A</t>
        </is>
      </c>
      <c r="AO455" s="26" t="inlineStr">
        <is>
          <t>N/A</t>
        </is>
      </c>
      <c r="AP455" s="26" t="n"/>
      <c r="AQ455" s="26" t="inlineStr">
        <is>
          <t>建銀國際金融有限公司; J.P. Morgan Securities (Far East) Limited</t>
        </is>
      </c>
      <c r="AR455" s="26" t="inlineStr">
        <is>
          <t>農銀國際證券有限公司; 中銀國際亞洲有限公司; 建銀國際金融有限公司; 富途證券國際（香港）有限公司; J.P. Morgan Securities (Asia Pacific) Limited; 老虎證券（香港）環球有限公司</t>
        </is>
      </c>
      <c r="AS455" s="26" t="inlineStr">
        <is>
          <t>農銀國際證券有限公司; 中銀國際亞洲有限公司; 建銀國際金融有限公司; 富途證券國際（香港）有限公司; J.P. Morgan Securities (Asia Pacific) Limited; 老虎證券（香港）環球有限公司</t>
        </is>
      </c>
      <c r="AT455" s="37">
        <f>HYPERLINK("https://www1.hkexnews.hk/listedco/listconews/sehk/2026/0409/2026040900025.pdf","prospectus")</f>
        <v/>
      </c>
      <c r="AU455" s="37">
        <f>HYPERLINK("https://www1.hkexnews.hk/listedco/listconews/sehk/2026/0416/2026041601684.pdf","allotment")</f>
        <v/>
      </c>
      <c r="AV455" s="26" t="n"/>
      <c r="AW455" s="26" t="inlineStr">
        <is>
          <t>P/E: n/m — loss-making at IPO (use P/S) · greenshoe: end-of-stabilisation notice not located · price range: fixed-price offering (no indicative range) · A/H: no A-share listing · sponsor: English name not in the filing text; AAStocks 保薦人 shown</t>
        </is>
      </c>
    </row>
    <row r="456">
      <c r="A456" s="25" t="inlineStr">
        <is>
          <t>3277</t>
        </is>
      </c>
      <c r="B456" s="26" t="inlineStr">
        <is>
          <t>GPIXEL</t>
        </is>
      </c>
      <c r="C456" s="26" t="inlineStr">
        <is>
          <t>長光辰芯</t>
        </is>
      </c>
      <c r="D456" s="26" t="inlineStr">
        <is>
          <t>Tech/AI</t>
        </is>
      </c>
      <c r="E456" s="26" t="inlineStr">
        <is>
          <t>AI chips &amp; semis</t>
        </is>
      </c>
      <c r="F456" s="26" t="inlineStr">
        <is>
          <t>Standard</t>
        </is>
      </c>
      <c r="G456" s="27" t="n">
        <v>46129</v>
      </c>
      <c r="H456" s="28" t="n">
        <v>2603.9</v>
      </c>
      <c r="I456" s="26" t="inlineStr">
        <is>
          <t>gross (stated)</t>
        </is>
      </c>
      <c r="J456" s="29" t="n"/>
      <c r="K456" s="29" t="n">
        <v>39.88</v>
      </c>
      <c r="L456" s="29" t="n">
        <v>39.88</v>
      </c>
      <c r="M456" s="26" t="inlineStr">
        <is>
          <t>Y</t>
        </is>
      </c>
      <c r="N456" s="30" t="n">
        <v>100</v>
      </c>
      <c r="O456" s="28" t="n">
        <v>11600</v>
      </c>
      <c r="P456" s="26" t="inlineStr">
        <is>
          <t>prospectus:stated market capitalisation</t>
        </is>
      </c>
      <c r="Q456" s="31" t="n">
        <v>1138.21</v>
      </c>
      <c r="R456" s="32" t="n">
        <v>22.69</v>
      </c>
      <c r="S456" s="33" t="n">
        <v>25.3</v>
      </c>
      <c r="T456" s="26" t="inlineStr">
        <is>
          <t>3W Fund Management Limited; Arc Avenue Asset Management Pte. Ltd; Boyu Capital Management (Singapore) Pte. Ltd; 華夏基金（香港）有限公司; 招商證券投資管理（香港）有限公司; CPE Peepal Investment Limited; 易方達資產管理(香港)有限公司; 易方達基金管理有限公司; 鐘鼎資本八期投資有限公司; 富國資產管理（香港）有限公司; 富國基金管理有限公司; 廣發基金管理有限公司; 廣發國際資產管理有限公司; 景林資產管理香港有限公司; HHLR Advisors, Ltd; 華泰資本投資有限公司及華泰證券股份有限公司; 工銀理財有限責任公司; 未來資產證券（香港）有限公司; 盤京港景投資基金; Perseverance Asset Management International (Singapore) Pte. Ltd; 寧遠資本有限公司; Source Code Super Holdings Co; UBS Asset Management (Singapore) Ltd; 惠理基金管理香港有限公司; 惠理基金管理公司</t>
        </is>
      </c>
      <c r="U456" s="30" t="n">
        <v>18.29</v>
      </c>
      <c r="V456" s="26" t="inlineStr">
        <is>
          <t>full</t>
        </is>
      </c>
      <c r="W456" s="34" t="n">
        <v>75.53</v>
      </c>
      <c r="X456" s="34" t="n">
        <v>112.39</v>
      </c>
      <c r="Y456" s="34" t="n">
        <v>107.62</v>
      </c>
      <c r="Z456" s="34" t="n">
        <v>81.42</v>
      </c>
      <c r="AA456" s="34" t="n">
        <v>18.28</v>
      </c>
      <c r="AB456" s="34" t="n">
        <v>112.31</v>
      </c>
      <c r="AC456" s="34" t="n">
        <v>-4.69</v>
      </c>
      <c r="AD456" s="26" t="inlineStr">
        <is>
          <t>HSTECH (Hang Seng TECH ETF)</t>
        </is>
      </c>
      <c r="AE456" s="34" t="n">
        <v>82.92</v>
      </c>
      <c r="AF456" s="28" t="n">
        <v>942.2</v>
      </c>
      <c r="AG456" s="28" t="n">
        <v>322.5</v>
      </c>
      <c r="AH456" s="26" t="inlineStr">
        <is>
          <t>Y</t>
        </is>
      </c>
      <c r="AI456" s="35" t="n">
        <v>36</v>
      </c>
      <c r="AJ456" s="35" t="n">
        <v>12.3</v>
      </c>
      <c r="AK456" s="26" t="inlineStr">
        <is>
          <t>N</t>
        </is>
      </c>
      <c r="AL456" s="36">
        <f>IF('BBG Verify'!K456="","not filed — run on terminal",'BBG Verify'!K456)</f>
        <v/>
      </c>
      <c r="AM456" s="26" t="inlineStr">
        <is>
          <t>N/A</t>
        </is>
      </c>
      <c r="AN456" s="26" t="inlineStr">
        <is>
          <t>N/A</t>
        </is>
      </c>
      <c r="AO456" s="26" t="inlineStr">
        <is>
          <t>N/A</t>
        </is>
      </c>
      <c r="AP456" s="26" t="inlineStr">
        <is>
          <t>CITIC Securities (Hong Kong) Limited; Guotai Junan Capital Limited</t>
        </is>
      </c>
      <c r="AQ456" s="26" t="inlineStr">
        <is>
          <t>中信證券(香港)有限公司; 國泰君安融資有限公司</t>
        </is>
      </c>
      <c r="AR456" s="26" t="inlineStr">
        <is>
          <t>CLSA Limited; Guotai Junan Securities (Hong Kong) Limited</t>
        </is>
      </c>
      <c r="AS456" s="26" t="inlineStr">
        <is>
          <t>中信里昂證券有限公司; 國泰君安證券(香港)有限公司</t>
        </is>
      </c>
      <c r="AT456" s="37">
        <f>HYPERLINK("https://www1.hkexnews.hk/listedco/listconews/sehk/2026/0409/2026040900047.pdf","prospectus")</f>
        <v/>
      </c>
      <c r="AU456" s="37">
        <f>HYPERLINK("https://www1.hkexnews.hk/listedco/listconews/sehk/2026/0416/2026041602158.pdf","allotment")</f>
        <v/>
      </c>
      <c r="AV456" s="37">
        <f>HYPERLINK("https://www1.hkexnews.hk/listedco/listconews/sehk/2026/0514/2026051400392.pdf","stabilisation")</f>
        <v/>
      </c>
      <c r="AW456" s="26" t="inlineStr">
        <is>
          <t>A/H: no A-share listing · cornerstone: AAStocks institutional table includes non-cornerstone orders (superset) — cornerstone % is from the prospectus</t>
        </is>
      </c>
    </row>
    <row r="457">
      <c r="A457" s="25" t="inlineStr">
        <is>
          <t>2476</t>
        </is>
      </c>
      <c r="B457" s="26" t="inlineStr">
        <is>
          <t>VGT</t>
        </is>
      </c>
      <c r="C457" s="26" t="inlineStr">
        <is>
          <t>勝宏科技</t>
        </is>
      </c>
      <c r="D457" s="26" t="inlineStr">
        <is>
          <t>Tech/AI</t>
        </is>
      </c>
      <c r="E457" s="26" t="inlineStr">
        <is>
          <t>Smart hardware / consumer electronics</t>
        </is>
      </c>
      <c r="F457" s="26" t="inlineStr">
        <is>
          <t>Standard</t>
        </is>
      </c>
      <c r="G457" s="27" t="n">
        <v>46133</v>
      </c>
      <c r="H457" s="28" t="n">
        <v>20117</v>
      </c>
      <c r="I457" s="26" t="inlineStr">
        <is>
          <t>gross (stated)</t>
        </is>
      </c>
      <c r="J457" s="29" t="n"/>
      <c r="K457" s="29" t="n">
        <v>209.88</v>
      </c>
      <c r="L457" s="29" t="n">
        <v>209.88</v>
      </c>
      <c r="M457" s="26" t="inlineStr">
        <is>
          <t>Y</t>
        </is>
      </c>
      <c r="N457" s="30" t="n">
        <v>100</v>
      </c>
      <c r="O457" s="28" t="n">
        <v>203202</v>
      </c>
      <c r="P457" s="26" t="inlineStr">
        <is>
          <t>derived:deal size / offer % of enlarged capital</t>
        </is>
      </c>
      <c r="Q457" s="31" t="n">
        <v>431.15</v>
      </c>
      <c r="R457" s="39">
        <f>IF('BBG Verify'!E457="","not filed — run on terminal",'BBG Verify'!E457)</f>
        <v/>
      </c>
      <c r="S457" s="33" t="n">
        <v>44.7</v>
      </c>
      <c r="T457" s="26" t="inlineStr">
        <is>
          <t>Black Dragon AP SPV1; 博時基金（國際）有限公司; 奇點資產管理有限公司; Cloudview Capital Limited; 信銀（香港）投資有限公司; CPE Rosewood Investment Limited; Deliante Holdings Co., Ltd; Foresight Global Superior Choice SPC; Golden K2 Falcon Open-ended Fund Company; Greenwoods Asset Management Hong Kong Limited; HHLR Advisors, Ltd; 香港麥遜電子有限公司; HQ TELECOM SINGAPORE PTE. LTD; 惠州市惠聯投資合夥企業（有限合夥）; Janchor Partners Pan-Asian Master Fund; Jump Trading Pacific Pte. Ltd; Mega Prime Development Limited; Metazone Link (HK) Limited; Mirae Asset Securities Co., Ltd; Morgan Stanley &amp; Co. International plc; 葉國富先生; MY Asian Opportunities Master Fund, L.P; New Alternative Limited; New Golden Future Limited; Ovata Capital Management Limited</t>
        </is>
      </c>
      <c r="U457" s="30" t="n">
        <v>15</v>
      </c>
      <c r="V457" s="26" t="inlineStr">
        <is>
          <t>full</t>
        </is>
      </c>
      <c r="W457" s="34" t="n">
        <v>50.09</v>
      </c>
      <c r="X457" s="34" t="n">
        <v>42.94</v>
      </c>
      <c r="Y457" s="34" t="n">
        <v>64.95</v>
      </c>
      <c r="Z457" s="34" t="n">
        <v>9.59</v>
      </c>
      <c r="AA457" s="34" t="n">
        <v>9.9</v>
      </c>
      <c r="AB457" s="34" t="n">
        <v>70.65000000000001</v>
      </c>
      <c r="AC457" s="34" t="n">
        <v>-5.7</v>
      </c>
      <c r="AD457" s="26" t="inlineStr">
        <is>
          <t>HSTECH (Hang Seng TECH ETF)</t>
        </is>
      </c>
      <c r="AE457" s="34" t="n">
        <v>15.02</v>
      </c>
      <c r="AF457" s="28" t="n">
        <v>21221.5</v>
      </c>
      <c r="AG457" s="28" t="n">
        <v>1269.9</v>
      </c>
      <c r="AH457" s="26" t="inlineStr">
        <is>
          <t>Y</t>
        </is>
      </c>
      <c r="AI457" s="35" t="n">
        <v>160</v>
      </c>
      <c r="AJ457" s="35" t="n">
        <v>9.6</v>
      </c>
      <c r="AK457" s="26" t="inlineStr">
        <is>
          <t>Y</t>
        </is>
      </c>
      <c r="AL457" s="26" t="inlineStr">
        <is>
          <t>300476.SZ</t>
        </is>
      </c>
      <c r="AM457" s="34" t="n">
        <v>-46.72</v>
      </c>
      <c r="AN457" s="29" t="n">
        <v>393.8878</v>
      </c>
      <c r="AO457" s="42" t="n">
        <v>-0.2311</v>
      </c>
      <c r="AP457" s="26" t="inlineStr">
        <is>
          <t>J.P. Morgan Securities (Far East) Limited; China Securities (International) Corporate Finance Company Limited; Central, Hong Kong GF Capital (Hong Kong) Limited</t>
        </is>
      </c>
      <c r="AQ457" s="26" t="inlineStr">
        <is>
          <t>J.P. Morgan Securities (Far East) Limited; 廣發融資（香港）有限公司; 中信建投(國際)融資有限公司</t>
        </is>
      </c>
      <c r="AR457" s="26" t="inlineStr">
        <is>
          <t>農銀國際證券有限公司; 中國國際金融香港證券有限公司; 中信建投(國際)融資有限公司; 廣發證券（香港）經紀有限公司; 華泰金融控股(香港)有限公司; J.P. Morgan Securities (Asia Pacific) Limited</t>
        </is>
      </c>
      <c r="AS457" s="26" t="inlineStr">
        <is>
          <t>農銀國際證券有限公司; 中國國際金融香港證券有限公司; 中信建投(國際)融資有限公司; 廣發證券（香港）經紀有限公司; 華泰金融控股(香港)有限公司; J.P. Morgan Securities (Asia Pacific) Limited</t>
        </is>
      </c>
      <c r="AT457" s="37">
        <f>HYPERLINK("https://www1.hkexnews.hk/listedco/listconews/sehk/2026/0413/2026041300005.pdf","prospectus")</f>
        <v/>
      </c>
      <c r="AU457" s="37">
        <f>HYPERLINK("https://www1.hkexnews.hk/listedco/listconews/sehk/2026/0420/2026042001650.pdf","allotment")</f>
        <v/>
      </c>
      <c r="AV457" s="37">
        <f>HYPERLINK("https://www1.hkexnews.hk/listedco/listconews/sehk/2026/0518/2026051800452.pdf","stabilisation")</f>
        <v/>
      </c>
      <c r="AW457" s="26" t="inlineStr">
        <is>
          <t>intl sub: subscription level not stated in the filing · A/H: Apr 2026, HK$20.1bn (~US$2.57bn); +60% debut — Nvidia AI-PCB supplier</t>
        </is>
      </c>
    </row>
    <row r="458">
      <c r="A458" s="25" t="inlineStr">
        <is>
          <t>3296</t>
        </is>
      </c>
      <c r="B458" s="26" t="inlineStr">
        <is>
          <t>HUAQIN</t>
        </is>
      </c>
      <c r="C458" s="26" t="inlineStr">
        <is>
          <t>華勤技術</t>
        </is>
      </c>
      <c r="D458" s="26" t="inlineStr">
        <is>
          <t>Tech/AI</t>
        </is>
      </c>
      <c r="E458" s="26" t="inlineStr">
        <is>
          <t>Smart hardware / consumer electronics</t>
        </is>
      </c>
      <c r="F458" s="26" t="inlineStr">
        <is>
          <t>Standard</t>
        </is>
      </c>
      <c r="G458" s="27" t="n">
        <v>46135</v>
      </c>
      <c r="H458" s="28" t="n">
        <v>4549.2</v>
      </c>
      <c r="I458" s="26" t="inlineStr">
        <is>
          <t>gross (stated)</t>
        </is>
      </c>
      <c r="J458" s="29" t="n"/>
      <c r="K458" s="29" t="n">
        <v>77.7</v>
      </c>
      <c r="L458" s="29" t="n">
        <v>77.7</v>
      </c>
      <c r="M458" s="26" t="inlineStr">
        <is>
          <t>Y</t>
        </is>
      </c>
      <c r="N458" s="30" t="n">
        <v>100</v>
      </c>
      <c r="O458" s="28" t="n">
        <v>73138.3</v>
      </c>
      <c r="P458" s="26" t="inlineStr">
        <is>
          <t>derived:deal size / offer % of enlarged capital</t>
        </is>
      </c>
      <c r="Q458" s="31" t="n">
        <v>531.33</v>
      </c>
      <c r="R458" s="32" t="n">
        <v>13.34</v>
      </c>
      <c r="S458" s="33" t="n">
        <v>49.7</v>
      </c>
      <c r="T458" s="26" t="inlineStr">
        <is>
          <t>3W Fund Management Limited; Aurora SF; 艾唯技術有限公司; CICC Financial Trading Limited; Cloud Map Holdings Limited; 光大理財有限責任公司; Green Better Limited; 宏興國際科技有限公司; 北京君正集成電路（香港）集團有限公司; 常春藤資產管理(香港)有限公司; Jinyi Capital Multi-Strategy Fund SPC Ltd; JPMorgan Asset Management (Asia Pacific) Limited; 建滔投資有限公司; New China Asset Management (Hong Kong) Limited; Perseverance Asset Management International (Singapore) Pte. Ltd; 泰康人壽保險有限責任公司; UBS Asset Management (Singapore) Ltd; 韋爾半導體香港有限公司</t>
        </is>
      </c>
      <c r="U458" s="30" t="n">
        <v>15</v>
      </c>
      <c r="V458" s="26" t="inlineStr">
        <is>
          <t>full</t>
        </is>
      </c>
      <c r="W458" s="34" t="n">
        <v>13.26</v>
      </c>
      <c r="X458" s="34" t="n">
        <v>17.12</v>
      </c>
      <c r="Y458" s="34" t="n">
        <v>8.69</v>
      </c>
      <c r="Z458" s="34" t="n">
        <v>-13.45</v>
      </c>
      <c r="AA458" s="34" t="n">
        <v>-4.03</v>
      </c>
      <c r="AB458" s="34" t="n">
        <v>9.06</v>
      </c>
      <c r="AC458" s="34" t="n">
        <v>-0.37</v>
      </c>
      <c r="AD458" s="26" t="inlineStr">
        <is>
          <t>HSTECH (Hang Seng TECH ETF)</t>
        </is>
      </c>
      <c r="AE458" s="34" t="n">
        <v>-2.38</v>
      </c>
      <c r="AF458" s="28" t="n">
        <v>188580.6</v>
      </c>
      <c r="AG458" s="28" t="n">
        <v>4544.7</v>
      </c>
      <c r="AH458" s="26" t="inlineStr">
        <is>
          <t>Y</t>
        </is>
      </c>
      <c r="AI458" s="35" t="n">
        <v>16.1</v>
      </c>
      <c r="AJ458" s="35" t="n">
        <v>0.4</v>
      </c>
      <c r="AK458" s="26" t="inlineStr">
        <is>
          <t>Y</t>
        </is>
      </c>
      <c r="AL458" s="26" t="inlineStr">
        <is>
          <t>603296.SS</t>
        </is>
      </c>
      <c r="AM458" s="34" t="n">
        <v>-35.58</v>
      </c>
      <c r="AN458" s="29" t="n">
        <v>120.6149</v>
      </c>
      <c r="AO458" s="42" t="n">
        <v>-0.2428</v>
      </c>
      <c r="AP458" s="26" t="inlineStr">
        <is>
          <t>CICC; BofA Securities</t>
        </is>
      </c>
      <c r="AQ458" s="26" t="inlineStr">
        <is>
          <t>中國國際金融香港證券有限公司; 美林(亞太)有限公司</t>
        </is>
      </c>
      <c r="AR458" s="26" t="inlineStr">
        <is>
          <t>Capital Market Intermediary ABCI Capital Limited; Tiger Brokers (HK) Global Limited</t>
        </is>
      </c>
      <c r="AS458" s="26" t="inlineStr">
        <is>
          <t>農銀國際證券有限公司; 中國國際金融香港證券有限公司; 中信里昂證券有限公司; 富途證券國際（香港）有限公司; 高盛(亞洲)有限責任公司; 美林(亞太)有限公司; 老虎證券（香港）環球有限公司</t>
        </is>
      </c>
      <c r="AT458" s="37">
        <f>HYPERLINK("https://www1.hkexnews.hk/listedco/listconews/sehk/2026/0415/2026041500011.pdf","prospectus")</f>
        <v/>
      </c>
      <c r="AU458" s="37">
        <f>HYPERLINK("https://www1.hkexnews.hk/listedco/listconews/sehk/2026/0422/2026042202072.pdf","allotment")</f>
        <v/>
      </c>
      <c r="AV458" s="37">
        <f>HYPERLINK("https://www1.hkexnews.hk/listedco/listconews/sehk/2026/0520/2026052001304.pdf","stabilisation")</f>
        <v/>
      </c>
      <c r="AW458" s="26" t="inlineStr">
        <is>
          <t>A/H: Apr 2026 H listing (smart-hardware ODM)</t>
        </is>
      </c>
    </row>
    <row r="459">
      <c r="A459" s="25" t="inlineStr">
        <is>
          <t>2493</t>
        </is>
      </c>
      <c r="B459" s="26" t="inlineStr">
        <is>
          <t>MABWELL-B</t>
        </is>
      </c>
      <c r="C459" s="26" t="inlineStr">
        <is>
          <t>邁威生物－Ｂ</t>
        </is>
      </c>
      <c r="D459" s="26" t="inlineStr">
        <is>
          <t>Healthcare</t>
        </is>
      </c>
      <c r="E459" s="26" t="inlineStr">
        <is>
          <t>Biotech pre-revenue (18A)</t>
        </is>
      </c>
      <c r="F459" s="26" t="inlineStr">
        <is>
          <t>18A</t>
        </is>
      </c>
      <c r="G459" s="27" t="n">
        <v>46140</v>
      </c>
      <c r="H459" s="28" t="n">
        <v>1302.7</v>
      </c>
      <c r="I459" s="26" t="inlineStr">
        <is>
          <t>gross (price x shares)</t>
        </is>
      </c>
      <c r="J459" s="29" t="n">
        <v>27.64</v>
      </c>
      <c r="K459" s="29" t="n">
        <v>30.71</v>
      </c>
      <c r="L459" s="29" t="n">
        <v>27.64</v>
      </c>
      <c r="M459" s="26" t="inlineStr">
        <is>
          <t>N</t>
        </is>
      </c>
      <c r="N459" s="30" t="n">
        <v>90</v>
      </c>
      <c r="O459" s="28" t="n">
        <v>12347.6</v>
      </c>
      <c r="P459" s="26" t="inlineStr">
        <is>
          <t>derived:price x shares upon listing</t>
        </is>
      </c>
      <c r="Q459" s="31" t="n">
        <v>481.71</v>
      </c>
      <c r="R459" s="32" t="n">
        <v>3.46</v>
      </c>
      <c r="S459" s="33" t="n"/>
      <c r="T459" s="26" t="inlineStr">
        <is>
          <t>昌榮國際有限公司; 國惠(香港)控股有限公司; Sanjin International Co., Ltd; 錦繡中和（天津）投資管理有限公司; WuXi Biologics HealthCare Venture</t>
        </is>
      </c>
      <c r="U459" s="30" t="n"/>
      <c r="V459" s="26" t="n"/>
      <c r="W459" s="34" t="n">
        <v>0.58</v>
      </c>
      <c r="X459" s="34" t="n">
        <v>-2.03</v>
      </c>
      <c r="Y459" s="34" t="n">
        <v>-17.58</v>
      </c>
      <c r="Z459" s="34" t="n">
        <v>-24.17</v>
      </c>
      <c r="AA459" s="34" t="n">
        <v>-18.06</v>
      </c>
      <c r="AB459" s="34" t="n">
        <v>-11.23</v>
      </c>
      <c r="AC459" s="34" t="n">
        <v>-6.35</v>
      </c>
      <c r="AD459" s="26" t="inlineStr">
        <is>
          <t>China Biotech ETF (HS biotech proxy)</t>
        </is>
      </c>
      <c r="AE459" s="34" t="n">
        <v>-20.48</v>
      </c>
      <c r="AF459" s="28" t="n">
        <v>724.6</v>
      </c>
      <c r="AG459" s="28" t="n">
        <v>-1069.5</v>
      </c>
      <c r="AH459" s="26" t="inlineStr">
        <is>
          <t>N</t>
        </is>
      </c>
      <c r="AI459" s="38">
        <f>IF('BBG Verify'!O459="","not filed — run on terminal",'BBG Verify'!O459)</f>
        <v/>
      </c>
      <c r="AJ459" s="35" t="n">
        <v>17</v>
      </c>
      <c r="AK459" s="26" t="inlineStr">
        <is>
          <t>Y</t>
        </is>
      </c>
      <c r="AL459" s="26" t="inlineStr">
        <is>
          <t>688062.SS</t>
        </is>
      </c>
      <c r="AM459" s="34" t="n">
        <v>-34.87</v>
      </c>
      <c r="AN459" s="29" t="n">
        <v>42.4365</v>
      </c>
      <c r="AO459" s="42" t="n">
        <v>-0.4035</v>
      </c>
      <c r="AP459" s="26" t="inlineStr">
        <is>
          <t>CITIC Securities (Hong Kong) Limited; Haitong International Capital Limited</t>
        </is>
      </c>
      <c r="AQ459" s="26" t="inlineStr">
        <is>
          <t>海通國際資本有限公司; 中信證券(香港)有限公司</t>
        </is>
      </c>
      <c r="AR459" s="26" t="inlineStr">
        <is>
          <t>Managers and Capital Market Intermediaries CLSA Limited; Haitong International Securities Company Limited; Capital Limited; CMB International Capital Limited; Joint Bookrunner, Capital Market Intermediary ABCI Capital Limited</t>
        </is>
      </c>
      <c r="AS459" s="26" t="inlineStr">
        <is>
          <t>農銀國際證券有限公司; 保利證券有限公司; 建銀國際金融有限公司; 興證國際融資有限公司; 中信里昂證券有限公司; 招銀國際融資有限公司; 富途證券國際（香港）有限公司; 國信證券（香港）經紀有限公司; 海通國際證券有限公司</t>
        </is>
      </c>
      <c r="AT459" s="37">
        <f>HYPERLINK("https://www1.hkexnews.hk/listedco/listconews/sehk/2026/0420/2026042000011.pdf","prospectus")</f>
        <v/>
      </c>
      <c r="AU459" s="37">
        <f>HYPERLINK("https://www1.hkexnews.hk/listedco/listconews/sehk/2026/0427/2026042703128.pdf","allotment")</f>
        <v/>
      </c>
      <c r="AV459" s="26" t="n"/>
      <c r="AW459" s="26" t="inlineStr">
        <is>
          <t>P/E: n/m — loss-making at IPO (use P/S) · greenshoe: no over-allotment option in the offer structure · A/H: Apr 2026 H listing (ADC biotech); A+H on STAR</t>
        </is>
      </c>
    </row>
    <row r="460">
      <c r="A460" s="25" t="inlineStr">
        <is>
          <t>1879</t>
        </is>
      </c>
      <c r="B460" s="26" t="inlineStr">
        <is>
          <t>XIZHI TECH-P</t>
        </is>
      </c>
      <c r="C460" s="26" t="inlineStr">
        <is>
          <t>曦智科技－Ｐ</t>
        </is>
      </c>
      <c r="D460" s="26" t="inlineStr">
        <is>
          <t>Tech/AI</t>
        </is>
      </c>
      <c r="E460" s="26" t="inlineStr">
        <is>
          <t>AI application / agent software</t>
        </is>
      </c>
      <c r="F460" s="26" t="inlineStr">
        <is>
          <t>18C</t>
        </is>
      </c>
      <c r="G460" s="27" t="n">
        <v>46140</v>
      </c>
      <c r="H460" s="28" t="n">
        <v>2527.3</v>
      </c>
      <c r="I460" s="26" t="inlineStr">
        <is>
          <t>gross (stated)</t>
        </is>
      </c>
      <c r="J460" s="29" t="n"/>
      <c r="K460" s="29" t="n">
        <v>183.2</v>
      </c>
      <c r="L460" s="29" t="n">
        <v>183.2</v>
      </c>
      <c r="M460" s="26" t="inlineStr">
        <is>
          <t>Y</t>
        </is>
      </c>
      <c r="N460" s="30" t="n">
        <v>100</v>
      </c>
      <c r="O460" s="28" t="n">
        <v>16447.1</v>
      </c>
      <c r="P460" s="26" t="inlineStr">
        <is>
          <t>aastocks:上市市值 at the struck price</t>
        </is>
      </c>
      <c r="Q460" s="31" t="n">
        <v>5784.7</v>
      </c>
      <c r="R460" s="32" t="n">
        <v>53.83</v>
      </c>
      <c r="S460" s="33" t="n">
        <v>65.06</v>
      </c>
      <c r="T460" s="26" t="inlineStr">
        <is>
          <t>3W Fund Management Limited; Alibaba Investment Limited; Aspex Master Fund; Baillie Gifford Overseas Limited and Baillie Gifford &amp; Co; BlackRock, Inc; CPE Fir Investment Limited; 富達基金(香港)有限公司; 廣發基金管理有限公司; GIC Private Limited; 景林資產管理香港有限公司; HHLR Advisors, Ltd; 工銀理財有限責任公司; 聯想集團有限公司; 未來資產證券（香港）有限公司; 中國平安資產管理（香港）有限公司; Schroder Investment Management (Singapore) Ltd; 上海中移數字轉型產業私募基金合夥企業; UBS Asset Management (Singapore) Ltd; 中興通訊（香港）有限公司</t>
        </is>
      </c>
      <c r="U460" s="30" t="n">
        <v>15</v>
      </c>
      <c r="V460" s="26" t="n"/>
      <c r="W460" s="34" t="n">
        <v>383.62</v>
      </c>
      <c r="X460" s="34" t="n">
        <v>384.99</v>
      </c>
      <c r="Y460" s="34" t="n">
        <v>236.24</v>
      </c>
      <c r="Z460" s="34" t="n">
        <v>27.29</v>
      </c>
      <c r="AA460" s="34" t="n">
        <v>-30.47</v>
      </c>
      <c r="AB460" s="34" t="n">
        <v>237.19</v>
      </c>
      <c r="AC460" s="34" t="n">
        <v>-0.95</v>
      </c>
      <c r="AD460" s="26" t="inlineStr">
        <is>
          <t>HSTECH (Hang Seng TECH ETF)</t>
        </is>
      </c>
      <c r="AE460" s="34" t="n">
        <v>78.81999999999999</v>
      </c>
      <c r="AF460" s="28" t="n">
        <v>117</v>
      </c>
      <c r="AG460" s="28" t="n">
        <v>-1476.6</v>
      </c>
      <c r="AH460" s="26" t="inlineStr">
        <is>
          <t>N</t>
        </is>
      </c>
      <c r="AI460" s="38">
        <f>IF('BBG Verify'!O460="","not filed — run on terminal",'BBG Verify'!O460)</f>
        <v/>
      </c>
      <c r="AJ460" s="35" t="n">
        <v>140.6</v>
      </c>
      <c r="AK460" s="26" t="inlineStr">
        <is>
          <t>N</t>
        </is>
      </c>
      <c r="AL460" s="36">
        <f>IF('BBG Verify'!K460="","not filed — run on terminal",'BBG Verify'!K460)</f>
        <v/>
      </c>
      <c r="AM460" s="26" t="inlineStr">
        <is>
          <t>N/A</t>
        </is>
      </c>
      <c r="AN460" s="26" t="inlineStr">
        <is>
          <t>N/A</t>
        </is>
      </c>
      <c r="AO460" s="26" t="inlineStr">
        <is>
          <t>N/A</t>
        </is>
      </c>
      <c r="AP460" s="26" t="n"/>
      <c r="AQ460" s="26" t="inlineStr">
        <is>
          <t>中國國際金融香港證券有限公司; 海通國際資本有限公司</t>
        </is>
      </c>
      <c r="AR460" s="26" t="inlineStr">
        <is>
          <t>中國國際金融香港證券有限公司; 富途證券國際（香港）有限公司; 海通國際證券有限公司; 香港上海匯豐銀行有限公司; 申萬宏源證券（香港）有限公司</t>
        </is>
      </c>
      <c r="AS460" s="26" t="inlineStr">
        <is>
          <t>中國國際金融香港證券有限公司; 富途證券國際（香港）有限公司; 海通國際證券有限公司; 香港上海匯豐銀行有限公司; 申萬宏源證券（香港）有限公司</t>
        </is>
      </c>
      <c r="AT460" s="37">
        <f>HYPERLINK("https://www1.hkexnews.hk/listedco/listconews/sehk/2026/0420/2026042000021.pdf","prospectus")</f>
        <v/>
      </c>
      <c r="AU460" s="37">
        <f>HYPERLINK("https://www1.hkexnews.hk/listedco/listconews/sehk/2026/0427/2026042703526.pdf","allotment")</f>
        <v/>
      </c>
      <c r="AV460" s="26" t="n"/>
      <c r="AW460" s="26" t="inlineStr">
        <is>
          <t>P/E: n/m — loss-making at IPO (use P/S) · greenshoe: end-of-stabilisation notice not located · price range: fixed-price offering (no indicative range) · A/H: no A-share listing · sponsor: English name not in the filing text; AAStocks 保薦人 shown</t>
        </is>
      </c>
    </row>
    <row r="461">
      <c r="A461" s="25" t="inlineStr">
        <is>
          <t>6810</t>
        </is>
      </c>
      <c r="B461" s="26" t="inlineStr">
        <is>
          <t>SUNMI TECH-W</t>
        </is>
      </c>
      <c r="C461" s="26" t="inlineStr">
        <is>
          <t>商米科技－Ｗ</t>
        </is>
      </c>
      <c r="D461" s="26" t="inlineStr">
        <is>
          <t>Tech/AI</t>
        </is>
      </c>
      <c r="E461" s="26" t="inlineStr">
        <is>
          <t>Smart hardware / consumer electronics</t>
        </is>
      </c>
      <c r="F461" s="26" t="inlineStr">
        <is>
          <t>WVR</t>
        </is>
      </c>
      <c r="G461" s="27" t="n">
        <v>46141</v>
      </c>
      <c r="H461" s="28" t="n">
        <v>1059.7</v>
      </c>
      <c r="I461" s="26" t="inlineStr">
        <is>
          <t>gross (stated)</t>
        </is>
      </c>
      <c r="J461" s="29" t="n"/>
      <c r="K461" s="29" t="n">
        <v>24.86</v>
      </c>
      <c r="L461" s="29" t="n">
        <v>24.86</v>
      </c>
      <c r="M461" s="26" t="inlineStr">
        <is>
          <t>Y</t>
        </is>
      </c>
      <c r="N461" s="30" t="n">
        <v>100</v>
      </c>
      <c r="O461" s="28" t="n">
        <v>10009.3</v>
      </c>
      <c r="P461" s="26" t="inlineStr">
        <is>
          <t>derived:price x shares upon listing</t>
        </is>
      </c>
      <c r="Q461" s="31" t="n">
        <v>2003.16</v>
      </c>
      <c r="R461" s="32" t="n">
        <v>7.91</v>
      </c>
      <c r="S461" s="33" t="n">
        <v>26.9</v>
      </c>
      <c r="T461" s="26" t="inlineStr">
        <is>
          <t>XINWUTANG CO., LIMITED</t>
        </is>
      </c>
      <c r="U461" s="30" t="n">
        <v>15</v>
      </c>
      <c r="V461" s="26" t="n"/>
      <c r="W461" s="34" t="n">
        <v>241.11</v>
      </c>
      <c r="X461" s="34" t="n">
        <v>216.57</v>
      </c>
      <c r="Y461" s="34" t="n">
        <v>201.49</v>
      </c>
      <c r="Z461" s="34" t="n">
        <v>136.73</v>
      </c>
      <c r="AA461" s="34" t="n">
        <v>-11.62</v>
      </c>
      <c r="AB461" s="34" t="n">
        <v>198.53</v>
      </c>
      <c r="AC461" s="34" t="n">
        <v>2.96</v>
      </c>
      <c r="AD461" s="26" t="inlineStr">
        <is>
          <t>HSTECH (Hang Seng TECH ETF)</t>
        </is>
      </c>
      <c r="AE461" s="34" t="n">
        <v>143.97</v>
      </c>
      <c r="AF461" s="28" t="n">
        <v>4193</v>
      </c>
      <c r="AG461" s="28" t="n">
        <v>244.9</v>
      </c>
      <c r="AH461" s="26" t="inlineStr">
        <is>
          <t>Y</t>
        </is>
      </c>
      <c r="AI461" s="35" t="n">
        <v>40.9</v>
      </c>
      <c r="AJ461" s="35" t="n">
        <v>2.4</v>
      </c>
      <c r="AK461" s="26" t="inlineStr">
        <is>
          <t>N</t>
        </is>
      </c>
      <c r="AL461" s="36">
        <f>IF('BBG Verify'!K461="","not filed — run on terminal",'BBG Verify'!K461)</f>
        <v/>
      </c>
      <c r="AM461" s="26" t="inlineStr">
        <is>
          <t>N/A</t>
        </is>
      </c>
      <c r="AN461" s="26" t="inlineStr">
        <is>
          <t>N/A</t>
        </is>
      </c>
      <c r="AO461" s="26" t="inlineStr">
        <is>
          <t>N/A</t>
        </is>
      </c>
      <c r="AP461" s="26" t="inlineStr">
        <is>
          <t>Deutsche Securities Asia Limited; CITIC Securities (Hong Kong) Limited; ABCI Capital Limited</t>
        </is>
      </c>
      <c r="AQ461" s="26" t="inlineStr">
        <is>
          <t>中信證券(香港)有限公司; 德意志證券亞洲有限公司; 農銀國際融資有限公司</t>
        </is>
      </c>
      <c r="AR461" s="26" t="inlineStr">
        <is>
          <t>Deutsche Bank AG, Hong Kong Branch; CLSA Limited; ABCI Capital Limited; CMB International Capital Limited; Shenwan Hongyuan Securities (H.K.) Limited; Yue Xiu Securities Company Limited; Admiralty, Hong Kong Tiger Brokers (HK) Global Limited; Futu Securities International (Hong Kong) Limited; No.95 Queensway, Admiralty, Hong Kong Tianda Securities Limited; Webull Securities Limited; Yuen Meta (International) Securities Limited; Wanchai, Hong Kong West Bull Securities Limited</t>
        </is>
      </c>
      <c r="AS461" s="26" t="inlineStr">
        <is>
          <t>農銀國際證券有限公司; 中信里昂證券有限公司; 招銀國際融資有限公司; 德意志銀行香港分行; 富途證券國際（香港）有限公司; 利弗莫爾證券有限公司; 申萬宏源證券（香港）有限公司; 老虎證券（香港）環球有限公司; 天大証券有限公司; 西牛證券有限公司; 微牛證券有限公司; 元宇宙（國際）證券有限公司; 黃河證券有限公司; 越秀證券有限公司</t>
        </is>
      </c>
      <c r="AT461" s="37">
        <f>HYPERLINK("https://www1.hkexnews.hk/listedco/listconews/sehk/2026/0421/2026042100017.pdf","prospectus")</f>
        <v/>
      </c>
      <c r="AU461" s="37">
        <f>HYPERLINK("https://www1.hkexnews.hk/listedco/listconews/sehk/2026/0428/2026042804737.pdf","allotment")</f>
        <v/>
      </c>
      <c r="AV461" s="26" t="n"/>
      <c r="AW461" s="26" t="inlineStr">
        <is>
          <t>greenshoe: end-of-stabilisation notice not located · A/H: no A-share listing</t>
        </is>
      </c>
    </row>
    <row r="462">
      <c r="A462" s="25" t="inlineStr">
        <is>
          <t>1609</t>
        </is>
      </c>
      <c r="B462" s="26" t="inlineStr">
        <is>
          <t>STAR SPORTS MED</t>
        </is>
      </c>
      <c r="C462" s="26" t="inlineStr">
        <is>
          <t>天星醫療</t>
        </is>
      </c>
      <c r="D462" s="26" t="inlineStr">
        <is>
          <t>Healthcare</t>
        </is>
      </c>
      <c r="E462" s="26" t="inlineStr">
        <is>
          <t>Medical devices</t>
        </is>
      </c>
      <c r="F462" s="26" t="inlineStr">
        <is>
          <t>Standard</t>
        </is>
      </c>
      <c r="G462" s="27" t="n">
        <v>46147</v>
      </c>
      <c r="H462" s="28" t="n">
        <v>829.6</v>
      </c>
      <c r="I462" s="26" t="inlineStr">
        <is>
          <t>gross (stated)</t>
        </is>
      </c>
      <c r="J462" s="29" t="n"/>
      <c r="K462" s="29" t="n">
        <v>98.5</v>
      </c>
      <c r="L462" s="29" t="n">
        <v>98.5</v>
      </c>
      <c r="M462" s="26" t="inlineStr">
        <is>
          <t>Y</t>
        </is>
      </c>
      <c r="N462" s="30" t="n">
        <v>100</v>
      </c>
      <c r="O462" s="28" t="n">
        <v>5400.9</v>
      </c>
      <c r="P462" s="26" t="inlineStr">
        <is>
          <t>derived:price x shares upon listing</t>
        </is>
      </c>
      <c r="Q462" s="31" t="n">
        <v>7823.13</v>
      </c>
      <c r="R462" s="32" t="n">
        <v>10.41</v>
      </c>
      <c r="S462" s="33" t="n"/>
      <c r="T462" s="26" t="inlineStr">
        <is>
          <t>JSC International Investment Fund SPC; Mega Prime Development Limited; 奧博亞洲四期（香港）有限公司; Poly Platinum Enterprises Limited</t>
        </is>
      </c>
      <c r="U462" s="30" t="n"/>
      <c r="V462" s="26" t="n"/>
      <c r="W462" s="34" t="n">
        <v>118.27</v>
      </c>
      <c r="X462" s="34" t="n">
        <v>102.44</v>
      </c>
      <c r="Y462" s="34" t="n">
        <v>94.31</v>
      </c>
      <c r="Z462" s="34" t="n">
        <v>26.4</v>
      </c>
      <c r="AA462" s="34" t="n">
        <v>-10.98</v>
      </c>
      <c r="AB462" s="34" t="n">
        <v>108.17</v>
      </c>
      <c r="AC462" s="34" t="n">
        <v>-13.86</v>
      </c>
      <c r="AD462" s="26" t="inlineStr">
        <is>
          <t>China Biotech ETF (HS biotech proxy)</t>
        </is>
      </c>
      <c r="AE462" s="34" t="n">
        <v>65.48</v>
      </c>
      <c r="AF462" s="28" t="n">
        <v>443</v>
      </c>
      <c r="AG462" s="28" t="n">
        <v>150.7</v>
      </c>
      <c r="AH462" s="26" t="inlineStr">
        <is>
          <t>Y</t>
        </is>
      </c>
      <c r="AI462" s="35" t="n">
        <v>35.8</v>
      </c>
      <c r="AJ462" s="35" t="n">
        <v>12.2</v>
      </c>
      <c r="AK462" s="26" t="inlineStr">
        <is>
          <t>N</t>
        </is>
      </c>
      <c r="AL462" s="36">
        <f>IF('BBG Verify'!K462="","not filed — run on terminal",'BBG Verify'!K462)</f>
        <v/>
      </c>
      <c r="AM462" s="26" t="inlineStr">
        <is>
          <t>N/A</t>
        </is>
      </c>
      <c r="AN462" s="26" t="inlineStr">
        <is>
          <t>N/A</t>
        </is>
      </c>
      <c r="AO462" s="26" t="inlineStr">
        <is>
          <t>N/A</t>
        </is>
      </c>
      <c r="AP462" s="26" t="n"/>
      <c r="AQ462" s="26" t="inlineStr">
        <is>
          <t>建銀國際金融有限公司; 中信證券(香港)有限公司</t>
        </is>
      </c>
      <c r="AR462" s="26" t="inlineStr">
        <is>
          <t>建銀國際金融有限公司; 中國銀河國際證券(香港)有限公司; 中信里昂證券有限公司; 民銀證券有限公司; 富途證券國際（香港）有限公司; 開盤證券有限公司</t>
        </is>
      </c>
      <c r="AS462" s="26" t="inlineStr">
        <is>
          <t>建銀國際金融有限公司; 中國銀河國際證券(香港)有限公司; 中信里昂證券有限公司; 民銀證券有限公司; 富途證券國際（香港）有限公司; 開盤證券有限公司; 東方證券(香港)有限公司; 浙商國際金融控股有限公司</t>
        </is>
      </c>
      <c r="AT462" s="37">
        <f>HYPERLINK("https://www1.hkexnews.hk/listedco/listconews/sehk/2026/0424/2026042400053.pdf","prospectus")</f>
        <v/>
      </c>
      <c r="AU462" s="37">
        <f>HYPERLINK("https://www1.hkexnews.hk/listedco/listconews/sehk/2026/0504/2026050403728.pdf","allotment")</f>
        <v/>
      </c>
      <c r="AV462" s="26" t="n"/>
      <c r="AW462" s="26" t="inlineStr">
        <is>
          <t>greenshoe: no over-allotment option in the offer structure · price range: fixed-price offering (no indicative range) · A/H: no A-share listing · sponsor: English name not in the filing text; AAStocks 保薦人 shown</t>
        </is>
      </c>
    </row>
    <row r="463">
      <c r="A463" s="25" t="inlineStr">
        <is>
          <t>1187</t>
        </is>
      </c>
      <c r="B463" s="26" t="inlineStr">
        <is>
          <t>COFOE MEDICAL</t>
        </is>
      </c>
      <c r="C463" s="26" t="inlineStr">
        <is>
          <t>可孚醫療</t>
        </is>
      </c>
      <c r="D463" s="26" t="inlineStr">
        <is>
          <t>Healthcare</t>
        </is>
      </c>
      <c r="E463" s="26" t="inlineStr">
        <is>
          <t>Medical devices</t>
        </is>
      </c>
      <c r="F463" s="26" t="inlineStr">
        <is>
          <t>Standard</t>
        </is>
      </c>
      <c r="G463" s="27" t="n">
        <v>46148</v>
      </c>
      <c r="H463" s="28" t="n">
        <v>1062</v>
      </c>
      <c r="I463" s="26" t="inlineStr">
        <is>
          <t>gross (stated)</t>
        </is>
      </c>
      <c r="J463" s="29" t="n"/>
      <c r="K463" s="29" t="n">
        <v>39.33</v>
      </c>
      <c r="L463" s="29" t="n">
        <v>39.33</v>
      </c>
      <c r="M463" s="26" t="inlineStr">
        <is>
          <t>Y</t>
        </is>
      </c>
      <c r="N463" s="30" t="n">
        <v>100</v>
      </c>
      <c r="O463" s="28" t="n">
        <v>9277.799999999999</v>
      </c>
      <c r="P463" s="26" t="inlineStr">
        <is>
          <t>derived:price x shares upon listing</t>
        </is>
      </c>
      <c r="Q463" s="31" t="n">
        <v>399.08</v>
      </c>
      <c r="R463" s="32" t="n">
        <v>3.4</v>
      </c>
      <c r="S463" s="33" t="n"/>
      <c r="T463" s="26" t="inlineStr">
        <is>
          <t>長沙雨豐科技有限公司; 大成國際資產管理有限公司; FR M CONSULTING CO., LTD; 香港漢清達實業有限公司; 藍思科技(香港)有限公司; 戴鈞安先生; 黃雪林先生; 陸勤超女士; ODI TRUST LIMITED; 盤京港景投資基金; 中康科技控股有限公司; 遠信(珠海)私募基金管理有限公司及中國銀河國際投資有限公司</t>
        </is>
      </c>
      <c r="U463" s="30" t="n"/>
      <c r="V463" s="26" t="n"/>
      <c r="W463" s="34" t="n">
        <v>-1.09</v>
      </c>
      <c r="X463" s="34" t="n">
        <v>-6.69</v>
      </c>
      <c r="Y463" s="34" t="n">
        <v>-16.09</v>
      </c>
      <c r="Z463" s="34" t="n">
        <v>-17.72</v>
      </c>
      <c r="AA463" s="34" t="n">
        <v>-15.17</v>
      </c>
      <c r="AB463" s="34" t="n">
        <v>-2.1</v>
      </c>
      <c r="AC463" s="34" t="n">
        <v>-13.99</v>
      </c>
      <c r="AD463" s="26" t="inlineStr">
        <is>
          <t>China Biotech ETF (HS biotech proxy)</t>
        </is>
      </c>
      <c r="AE463" s="34" t="n">
        <v>-19.4</v>
      </c>
      <c r="AF463" s="28" t="n">
        <v>3726.2</v>
      </c>
      <c r="AG463" s="28" t="n">
        <v>408.8</v>
      </c>
      <c r="AH463" s="26" t="inlineStr">
        <is>
          <t>Y</t>
        </is>
      </c>
      <c r="AI463" s="35" t="n">
        <v>22.7</v>
      </c>
      <c r="AJ463" s="35" t="n">
        <v>2.5</v>
      </c>
      <c r="AK463" s="26" t="inlineStr">
        <is>
          <t>Y</t>
        </is>
      </c>
      <c r="AL463" s="26" t="inlineStr">
        <is>
          <t>301087.SZ</t>
        </is>
      </c>
      <c r="AM463" s="34" t="n">
        <v>-35.32</v>
      </c>
      <c r="AN463" s="29" t="n">
        <v>60.8041</v>
      </c>
      <c r="AO463" s="42" t="n">
        <v>-0.4627</v>
      </c>
      <c r="AP463" s="26" t="n"/>
      <c r="AQ463" s="26" t="inlineStr">
        <is>
          <t>華泰金融控股(香港)有限公司; 法國巴黎證券（亞洲）有限公司</t>
        </is>
      </c>
      <c r="AR463" s="26" t="inlineStr">
        <is>
          <t>法國巴黎證券（亞洲）有限公司; 富途證券國際（香港）有限公司; 華泰金融控股(香港)有限公司</t>
        </is>
      </c>
      <c r="AS463" s="26" t="inlineStr">
        <is>
          <t>法國巴黎證券（亞洲）有限公司; 富途證券國際（香港）有限公司; 華泰金融控股(香港)有限公司</t>
        </is>
      </c>
      <c r="AT463" s="37">
        <f>HYPERLINK("https://www1.hkexnews.hk/listedco/listconews/sehk/2026/0427/2026042700013.pdf","prospectus")</f>
        <v/>
      </c>
      <c r="AU463" s="37">
        <f>HYPERLINK("https://www1.hkexnews.hk/listedco/listconews/sehk/2026/0505/2026050501942.pdf","allotment")</f>
        <v/>
      </c>
      <c r="AV463" s="26" t="n"/>
      <c r="AW463" s="26" t="inlineStr">
        <is>
          <t>greenshoe: no over-allotment option in the offer structure · A/H: May 2026 H listing (home medical devices) · sponsor: English name not in the filing text; AAStocks 保薦人 shown</t>
        </is>
      </c>
    </row>
    <row r="464">
      <c r="A464" s="25" t="inlineStr">
        <is>
          <t>1236</t>
        </is>
      </c>
      <c r="B464" s="26" t="inlineStr">
        <is>
          <t>LDROBOT</t>
        </is>
      </c>
      <c r="C464" s="26" t="inlineStr">
        <is>
          <t>樂動機器人</t>
        </is>
      </c>
      <c r="D464" s="26" t="inlineStr">
        <is>
          <t>Tech/AI</t>
        </is>
      </c>
      <c r="E464" s="26" t="inlineStr">
        <is>
          <t>Robotics &amp; autonomous driving</t>
        </is>
      </c>
      <c r="F464" s="26" t="inlineStr">
        <is>
          <t>Standard</t>
        </is>
      </c>
      <c r="G464" s="27" t="n">
        <v>46153</v>
      </c>
      <c r="H464" s="28" t="n">
        <v>878.7</v>
      </c>
      <c r="I464" s="26" t="inlineStr">
        <is>
          <t>gross (stated)</t>
        </is>
      </c>
      <c r="J464" s="29" t="n"/>
      <c r="K464" s="29" t="n">
        <v>26.36</v>
      </c>
      <c r="L464" s="29" t="n">
        <v>26.36</v>
      </c>
      <c r="M464" s="26" t="inlineStr">
        <is>
          <t>Y</t>
        </is>
      </c>
      <c r="N464" s="30" t="n">
        <v>100</v>
      </c>
      <c r="O464" s="28" t="n">
        <v>9000</v>
      </c>
      <c r="P464" s="26" t="inlineStr">
        <is>
          <t>aastocks:上市市值 at the struck price</t>
        </is>
      </c>
      <c r="Q464" s="31" t="n">
        <v>6707.66</v>
      </c>
      <c r="R464" s="32" t="n">
        <v>9.539999999999999</v>
      </c>
      <c r="S464" s="33" t="n">
        <v>31.52</v>
      </c>
      <c r="T464" s="26" t="inlineStr">
        <is>
          <t>康成亨遠景投資有限公司</t>
        </is>
      </c>
      <c r="U464" s="30" t="n"/>
      <c r="V464" s="26" t="n"/>
      <c r="W464" s="34" t="n">
        <v>127.62</v>
      </c>
      <c r="X464" s="34" t="n">
        <v>56.68</v>
      </c>
      <c r="Y464" s="34" t="n">
        <v>54.86</v>
      </c>
      <c r="Z464" s="34" t="n">
        <v>48.71</v>
      </c>
      <c r="AA464" s="34" t="n">
        <v>-31.97</v>
      </c>
      <c r="AB464" s="34" t="n">
        <v>62.14</v>
      </c>
      <c r="AC464" s="34" t="n">
        <v>-7.28</v>
      </c>
      <c r="AD464" s="26" t="inlineStr">
        <is>
          <t>HSTECH (Hang Seng TECH ETF)</t>
        </is>
      </c>
      <c r="AE464" s="34" t="n">
        <v>49.09</v>
      </c>
      <c r="AF464" s="28" t="n">
        <v>822.6</v>
      </c>
      <c r="AG464" s="28" t="n">
        <v>-68.8</v>
      </c>
      <c r="AH464" s="26" t="inlineStr">
        <is>
          <t>N</t>
        </is>
      </c>
      <c r="AI464" s="38">
        <f>IF('BBG Verify'!O464="","not filed — run on terminal",'BBG Verify'!O464)</f>
        <v/>
      </c>
      <c r="AJ464" s="35" t="n">
        <v>10.9</v>
      </c>
      <c r="AK464" s="26" t="inlineStr">
        <is>
          <t>N</t>
        </is>
      </c>
      <c r="AL464" s="36">
        <f>IF('BBG Verify'!K464="","not filed — run on terminal",'BBG Verify'!K464)</f>
        <v/>
      </c>
      <c r="AM464" s="26" t="inlineStr">
        <is>
          <t>N/A</t>
        </is>
      </c>
      <c r="AN464" s="26" t="inlineStr">
        <is>
          <t>N/A</t>
        </is>
      </c>
      <c r="AO464" s="26" t="inlineStr">
        <is>
          <t>N/A</t>
        </is>
      </c>
      <c r="AP464" s="26" t="n"/>
      <c r="AQ464" s="26" t="inlineStr">
        <is>
          <t>海通國際資本有限公司; 國泰君安融資有限公司</t>
        </is>
      </c>
      <c r="AR464" s="26" t="inlineStr">
        <is>
          <t>中國國際金融香港證券有限公司; 民銀證券有限公司; 富途證券國際（香港）有限公司; 金橋證券有限公司; 國泰君安證券(香港)有限公司; 海通國際證券有限公司</t>
        </is>
      </c>
      <c r="AS464" s="26" t="inlineStr">
        <is>
          <t>中國國際金融香港證券有限公司; 民銀證券有限公司; 富途證券國際（香港）有限公司; 金橋證券有限公司; 國泰君安證券(香港)有限公司; 海通國際證券有限公司; 東方證券(香港)有限公司; 國投證券（香港）有限公司; 粵商國際證券有限公司</t>
        </is>
      </c>
      <c r="AT464" s="37">
        <f>HYPERLINK("https://www1.hkexnews.hk/listedco/listconews/sehk/2026/0430/2026043000099.pdf","prospectus")</f>
        <v/>
      </c>
      <c r="AU464" s="37">
        <f>HYPERLINK("https://www1.hkexnews.hk/listedco/listconews/sehk/2026/0508/2026050801854.pdf","allotment")</f>
        <v/>
      </c>
      <c r="AV464" s="26" t="n"/>
      <c r="AW464" s="26" t="inlineStr">
        <is>
          <t>P/E: n/m — loss-making at IPO (use P/S) · greenshoe: no over-allotment option in the offer structure · price range: fixed-price offering (no indicative range) · A/H: no A-share listing · sponsor: English name not in the filing text; AAStocks 保薦人 shown</t>
        </is>
      </c>
    </row>
    <row r="465">
      <c r="A465" s="25" t="inlineStr">
        <is>
          <t>7630</t>
        </is>
      </c>
      <c r="B465" s="26" t="inlineStr">
        <is>
          <t>IMPACT THERAP-B</t>
        </is>
      </c>
      <c r="C465" s="26" t="inlineStr">
        <is>
          <t>英派藥業－Ｂ</t>
        </is>
      </c>
      <c r="D465" s="26" t="inlineStr">
        <is>
          <t>Healthcare</t>
        </is>
      </c>
      <c r="E465" s="26" t="inlineStr">
        <is>
          <t>Biotech pre-revenue (18A)</t>
        </is>
      </c>
      <c r="F465" s="26" t="inlineStr">
        <is>
          <t>18A</t>
        </is>
      </c>
      <c r="G465" s="27" t="n">
        <v>46155</v>
      </c>
      <c r="H465" s="28" t="n">
        <v>843.7</v>
      </c>
      <c r="I465" s="26" t="inlineStr">
        <is>
          <t>gross (stated)</t>
        </is>
      </c>
      <c r="J465" s="29" t="n">
        <v>19.75</v>
      </c>
      <c r="K465" s="29" t="n">
        <v>21.75</v>
      </c>
      <c r="L465" s="29" t="n">
        <v>20.1</v>
      </c>
      <c r="M465" s="26" t="inlineStr">
        <is>
          <t>N</t>
        </is>
      </c>
      <c r="N465" s="30" t="n">
        <v>92.40000000000001</v>
      </c>
      <c r="O465" s="28" t="n">
        <v>4933.9</v>
      </c>
      <c r="P465" s="26" t="inlineStr">
        <is>
          <t>derived:deal size / offer % of enlarged capital</t>
        </is>
      </c>
      <c r="Q465" s="31" t="n">
        <v>2282.4</v>
      </c>
      <c r="R465" s="32" t="n">
        <v>24.58</v>
      </c>
      <c r="S465" s="33" t="n">
        <v>33.19</v>
      </c>
      <c r="T465" s="26" t="inlineStr">
        <is>
          <t>First Quarter Moon OFC — Phecda Fund; Foresight Global Superior Choice SPC — Vision Fund 1 SP; Foresight Global Superior Choice SPC-Horizon Fund 1 SP（; Foresight Global Superior Choice SPC-Horizon Next SP; 黃河投資有限公司; LAV Star Limited; LAV Star Opportunities Limited; 南京生物醫藥谷建設發展有限公司及華泰資本投資有限公司; Prosper High Holding Limited; Worldwide Healthcare Partners LLC</t>
        </is>
      </c>
      <c r="U465" s="30" t="n">
        <v>8.529999999999999</v>
      </c>
      <c r="V465" s="26" t="inlineStr">
        <is>
          <t>full</t>
        </is>
      </c>
      <c r="W465" s="34" t="n">
        <v>108.26</v>
      </c>
      <c r="X465" s="34" t="n">
        <v>86.27</v>
      </c>
      <c r="Y465" s="34" t="n">
        <v>81.09</v>
      </c>
      <c r="Z465" s="34" t="n">
        <v>-39.75</v>
      </c>
      <c r="AA465" s="34" t="n">
        <v>-13.05</v>
      </c>
      <c r="AB465" s="34" t="n">
        <v>95.55</v>
      </c>
      <c r="AC465" s="34" t="n">
        <v>-14.46</v>
      </c>
      <c r="AD465" s="26" t="inlineStr">
        <is>
          <t>China Biotech ETF (HS biotech proxy)</t>
        </is>
      </c>
      <c r="AE465" s="34" t="n">
        <v>-33.23</v>
      </c>
      <c r="AF465" s="28" t="n">
        <v>42.1</v>
      </c>
      <c r="AG465" s="28" t="n">
        <v>-325.5</v>
      </c>
      <c r="AH465" s="26" t="inlineStr">
        <is>
          <t>N</t>
        </is>
      </c>
      <c r="AI465" s="38">
        <f>IF('BBG Verify'!O465="","not filed — run on terminal",'BBG Verify'!O465)</f>
        <v/>
      </c>
      <c r="AJ465" s="35" t="n">
        <v>117.2</v>
      </c>
      <c r="AK465" s="26" t="inlineStr">
        <is>
          <t>N</t>
        </is>
      </c>
      <c r="AL465" s="36">
        <f>IF('BBG Verify'!K465="","not filed — run on terminal",'BBG Verify'!K465)</f>
        <v/>
      </c>
      <c r="AM465" s="26" t="inlineStr">
        <is>
          <t>N/A</t>
        </is>
      </c>
      <c r="AN465" s="26" t="inlineStr">
        <is>
          <t>N/A</t>
        </is>
      </c>
      <c r="AO465" s="26" t="inlineStr">
        <is>
          <t>N/A</t>
        </is>
      </c>
      <c r="AP465" s="26" t="n"/>
      <c r="AQ465" s="26" t="inlineStr">
        <is>
          <t>中國國際金融香港證券有限公司; 高盛(亞洲)有限責任公司</t>
        </is>
      </c>
      <c r="AR465" s="26" t="inlineStr">
        <is>
          <t>中國國際金融香港證券有限公司; 招銀國際融資有限公司; 高盛(亞洲)有限責任公司; 老虎證券（香港）環球有限公司</t>
        </is>
      </c>
      <c r="AS465" s="26" t="inlineStr">
        <is>
          <t>中國國際金融香港證券有限公司; 招銀國際融資有限公司; 高盛(亞洲)有限責任公司; 老虎證券（香港）環球有限公司</t>
        </is>
      </c>
      <c r="AT465" s="37">
        <f>HYPERLINK("https://www1.hkexnews.hk/listedco/listconews/sehk/2026/0505/2026050500023.pdf","prospectus")</f>
        <v/>
      </c>
      <c r="AU465" s="37">
        <f>HYPERLINK("https://www1.hkexnews.hk/listedco/listconews/sehk/2026/0512/2026051201406.pdf","allotment")</f>
        <v/>
      </c>
      <c r="AV465" s="37">
        <f>HYPERLINK("https://www1.hkexnews.hk/listedco/listconews/sehk/2026/0608/2026060800490.pdf","stabilisation")</f>
        <v/>
      </c>
      <c r="AW465" s="26" t="inlineStr">
        <is>
          <t>P/E: n/m — loss-making at IPO (use P/S) · A/H: no A-share listing · sponsor: English name not in the filing text; AAStocks 保薦人 shown</t>
        </is>
      </c>
    </row>
    <row r="466">
      <c r="A466" s="25" t="inlineStr">
        <is>
          <t>7666</t>
        </is>
      </c>
      <c r="B466" s="26" t="inlineStr">
        <is>
          <t>METIS TECHBIO-P</t>
        </is>
      </c>
      <c r="C466" s="26" t="inlineStr">
        <is>
          <t>劑泰科技－Ｐ</t>
        </is>
      </c>
      <c r="D466" s="26" t="inlineStr">
        <is>
          <t>Healthcare</t>
        </is>
      </c>
      <c r="E466" s="26" t="inlineStr">
        <is>
          <t>Biotech pre-revenue (18A)</t>
        </is>
      </c>
      <c r="F466" s="26" t="inlineStr">
        <is>
          <t>18C</t>
        </is>
      </c>
      <c r="G466" s="27" t="n">
        <v>46155</v>
      </c>
      <c r="H466" s="28" t="n">
        <v>2112.9</v>
      </c>
      <c r="I466" s="26" t="inlineStr">
        <is>
          <t>gross (stated)</t>
        </is>
      </c>
      <c r="J466" s="29" t="n"/>
      <c r="K466" s="29" t="n">
        <v>10.5</v>
      </c>
      <c r="L466" s="29" t="n">
        <v>10.5</v>
      </c>
      <c r="M466" s="26" t="inlineStr">
        <is>
          <t>Y</t>
        </is>
      </c>
      <c r="N466" s="30" t="n">
        <v>100</v>
      </c>
      <c r="O466" s="28" t="n">
        <v>12101.4</v>
      </c>
      <c r="P466" s="26" t="inlineStr">
        <is>
          <t>prospectus:stated market capitalisation</t>
        </is>
      </c>
      <c r="Q466" s="31" t="n">
        <v>6910.96</v>
      </c>
      <c r="R466" s="32" t="n">
        <v>33.86</v>
      </c>
      <c r="S466" s="33" t="n">
        <v>54.87</v>
      </c>
      <c r="T466" s="26" t="inlineStr">
        <is>
          <t>Arc Avenue Asset Management Pte. Ltd; BlackRock, Inc; 華夏基金（香港）有限公司; 國風投創新投資基金股份有限公司; Deerfield Management Company, L.P; 富國基金管理有限公司; 廣發基金管理有限公司; HHLR Advisors, Ltd; Huadeng Technology Piovt Ventures Ltd; 工銀瑞信基金管理有限公司; 工銀理財有限責任公司; Isometry Global Master Fund, L.P; Lake Bleu Prime Healthcare Master Fund Limited; 未來資產證券（香港）有限公司; ORIX Asia Asset Management Limited; RTW Master Fund, Ltd; Sage Partners Master Fund; UBS Asset Management (Singapore) Ltd</t>
        </is>
      </c>
      <c r="U466" s="30" t="n">
        <v>15</v>
      </c>
      <c r="V466" s="26" t="inlineStr">
        <is>
          <t>full</t>
        </is>
      </c>
      <c r="W466" s="34" t="n">
        <v>126.67</v>
      </c>
      <c r="X466" s="34" t="n">
        <v>71.43000000000001</v>
      </c>
      <c r="Y466" s="34" t="n">
        <v>25.62</v>
      </c>
      <c r="Z466" s="34" t="n">
        <v>25.62</v>
      </c>
      <c r="AA466" s="34" t="n">
        <v>-44.58</v>
      </c>
      <c r="AB466" s="34" t="n">
        <v>40.08</v>
      </c>
      <c r="AC466" s="34" t="n">
        <v>-14.46</v>
      </c>
      <c r="AD466" s="26" t="inlineStr">
        <is>
          <t>China Biotech ETF (HS biotech proxy)</t>
        </is>
      </c>
      <c r="AE466" s="34" t="n">
        <v>14.29</v>
      </c>
      <c r="AF466" s="28" t="n">
        <v>115.5</v>
      </c>
      <c r="AG466" s="28" t="n">
        <v>-431</v>
      </c>
      <c r="AH466" s="26" t="inlineStr">
        <is>
          <t>N</t>
        </is>
      </c>
      <c r="AI466" s="38">
        <f>IF('BBG Verify'!O466="","not filed — run on terminal",'BBG Verify'!O466)</f>
        <v/>
      </c>
      <c r="AJ466" s="35" t="n">
        <v>104.8</v>
      </c>
      <c r="AK466" s="26" t="inlineStr">
        <is>
          <t>N</t>
        </is>
      </c>
      <c r="AL466" s="36">
        <f>IF('BBG Verify'!K466="","not filed — run on terminal",'BBG Verify'!K466)</f>
        <v/>
      </c>
      <c r="AM466" s="26" t="inlineStr">
        <is>
          <t>N/A</t>
        </is>
      </c>
      <c r="AN466" s="26" t="inlineStr">
        <is>
          <t>N/A</t>
        </is>
      </c>
      <c r="AO466" s="26" t="inlineStr">
        <is>
          <t>N/A</t>
        </is>
      </c>
      <c r="AP466" s="26" t="inlineStr">
        <is>
          <t>Jefferies Hong Kong Limited; Deutsche Securities Asia Limited; CITIC Securities (Hong Kong) Limited</t>
        </is>
      </c>
      <c r="AQ466" s="26" t="inlineStr">
        <is>
          <t>富瑞金融集團香港有限公司; 中信證券(香港)有限公司; 德意志證券亞洲有限公司</t>
        </is>
      </c>
      <c r="AR466" s="26" t="inlineStr">
        <is>
          <t>Manager and Capital Market Intermediary Futu Securities International (Hong Kong) Limited</t>
        </is>
      </c>
      <c r="AS466" s="26" t="inlineStr">
        <is>
          <t>中信里昂證券有限公司; 招銀國際融資有限公司; 德意志銀行香港分行; 富途證券國際（香港）有限公司; 富瑞金融集團香港有限公司</t>
        </is>
      </c>
      <c r="AT466" s="37">
        <f>HYPERLINK("https://www1.hkexnews.hk/listedco/listconews/sehk/2026/0505/2026050500019.pdf","prospectus")</f>
        <v/>
      </c>
      <c r="AU466" s="37">
        <f>HYPERLINK("https://www1.hkexnews.hk/listedco/listconews/sehk/2026/0512/2026051201482.pdf","allotment")</f>
        <v/>
      </c>
      <c r="AV466" s="37">
        <f>HYPERLINK("https://www1.hkexnews.hk/listedco/listconews/sehk/2026/0605/2026060501450.pdf","stabilisation")</f>
        <v/>
      </c>
      <c r="AW466" s="26" t="inlineStr">
        <is>
          <t>P/E: n/m — loss-making at IPO (use P/S) · price range: fixed-price offering (no indicative range) · A/H: no A-share listing</t>
        </is>
      </c>
    </row>
    <row r="467">
      <c r="A467" s="25" t="inlineStr">
        <is>
          <t>6871</t>
        </is>
      </c>
      <c r="B467" s="26" t="inlineStr">
        <is>
          <t>ROBOTPHOENIX</t>
        </is>
      </c>
      <c r="C467" s="26" t="inlineStr">
        <is>
          <t>翼菲科技</t>
        </is>
      </c>
      <c r="D467" s="26" t="inlineStr">
        <is>
          <t>Tech/AI</t>
        </is>
      </c>
      <c r="E467" s="26" t="inlineStr">
        <is>
          <t>Robotics &amp; autonomous driving</t>
        </is>
      </c>
      <c r="F467" s="26" t="inlineStr">
        <is>
          <t>Standard</t>
        </is>
      </c>
      <c r="G467" s="27" t="n">
        <v>46160</v>
      </c>
      <c r="H467" s="28" t="n">
        <v>750.3</v>
      </c>
      <c r="I467" s="26" t="inlineStr">
        <is>
          <t>gross (stated)</t>
        </is>
      </c>
      <c r="J467" s="29" t="n"/>
      <c r="K467" s="29" t="n">
        <v>30.5</v>
      </c>
      <c r="L467" s="29" t="n">
        <v>30.5</v>
      </c>
      <c r="M467" s="26" t="inlineStr">
        <is>
          <t>Y</t>
        </is>
      </c>
      <c r="N467" s="30" t="n">
        <v>100</v>
      </c>
      <c r="O467" s="28" t="n">
        <v>7471.1</v>
      </c>
      <c r="P467" s="26" t="inlineStr">
        <is>
          <t>derived:price x shares upon listing</t>
        </is>
      </c>
      <c r="Q467" s="31" t="n">
        <v>14855.4</v>
      </c>
      <c r="R467" s="32" t="n">
        <v>9.77</v>
      </c>
      <c r="S467" s="33" t="n">
        <v>0</v>
      </c>
      <c r="T467" s="26" t="n"/>
      <c r="U467" s="30" t="n"/>
      <c r="V467" s="26" t="n"/>
      <c r="W467" s="34" t="n">
        <v>76.23</v>
      </c>
      <c r="X467" s="34" t="n">
        <v>12.72</v>
      </c>
      <c r="Y467" s="34" t="n">
        <v>23.28</v>
      </c>
      <c r="Z467" s="34" t="n">
        <v>7.54</v>
      </c>
      <c r="AA467" s="34" t="n">
        <v>-30.05</v>
      </c>
      <c r="AB467" s="34" t="n">
        <v>28.75</v>
      </c>
      <c r="AC467" s="34" t="n">
        <v>-5.47</v>
      </c>
      <c r="AD467" s="26" t="inlineStr">
        <is>
          <t>HSTECH (Hang Seng TECH ETF)</t>
        </is>
      </c>
      <c r="AE467" s="34" t="n">
        <v>7.54</v>
      </c>
      <c r="AF467" s="28" t="n">
        <v>426.1</v>
      </c>
      <c r="AG467" s="28" t="n">
        <v>-168.2</v>
      </c>
      <c r="AH467" s="26" t="inlineStr">
        <is>
          <t>N</t>
        </is>
      </c>
      <c r="AI467" s="38">
        <f>IF('BBG Verify'!O467="","not filed — run on terminal",'BBG Verify'!O467)</f>
        <v/>
      </c>
      <c r="AJ467" s="35" t="n">
        <v>17.5</v>
      </c>
      <c r="AK467" s="26" t="inlineStr">
        <is>
          <t>N</t>
        </is>
      </c>
      <c r="AL467" s="36">
        <f>IF('BBG Verify'!K467="","not filed — run on terminal",'BBG Verify'!K467)</f>
        <v/>
      </c>
      <c r="AM467" s="26" t="inlineStr">
        <is>
          <t>N/A</t>
        </is>
      </c>
      <c r="AN467" s="26" t="inlineStr">
        <is>
          <t>N/A</t>
        </is>
      </c>
      <c r="AO467" s="26" t="inlineStr">
        <is>
          <t>N/A</t>
        </is>
      </c>
      <c r="AP467" s="26" t="inlineStr">
        <is>
          <t>ABCI Capital Limited; Sponsor-OC ABCI Capital Limited</t>
        </is>
      </c>
      <c r="AQ467" s="26" t="inlineStr">
        <is>
          <t>農銀國際融資有限公司</t>
        </is>
      </c>
      <c r="AR467" s="26" t="inlineStr">
        <is>
          <t>ABCI Capital Limited; CLSA Limited; Ping An Securities (Hong Kong) Company Limited; China Industrial Securities International Capital Limited; Sheung Wan, Hong Kong CMBC Securities Company Limited; Wanchai, Hong Kong Huafu International Securities Limited; Shenwan Hongyuan Securities (H.K.) Limited; SPDB International Capital Limited</t>
        </is>
      </c>
      <c r="AS467" s="26" t="inlineStr">
        <is>
          <t>農銀國際證券有限公司; 興證國際融資有限公司; 中信里昂證券有限公司; 民銀證券有限公司; 英皇證券(香港)有限公司; 富途證券國際（香港）有限公司; 華福國際證券有限公司; 利弗莫爾證券有限公司; 平安證券（香港）有限公司; 申萬宏源證券（香港）有限公司; 浦銀國際融資有限公司; 老虎證券（香港）環球有限公司</t>
        </is>
      </c>
      <c r="AT467" s="37">
        <f>HYPERLINK("https://www1.hkexnews.hk/listedco/listconews/sehk/2026/0508/2026050800015.pdf","prospectus")</f>
        <v/>
      </c>
      <c r="AU467" s="37">
        <f>HYPERLINK("https://www1.hkexnews.hk/listedco/listconews/sehk/2026/0515/2026051502141.pdf","allotment")</f>
        <v/>
      </c>
      <c r="AV467" s="26" t="n"/>
      <c r="AW467" s="26" t="inlineStr">
        <is>
          <t>P/E: n/m — loss-making at IPO (use P/S) · greenshoe: no over-allotment option in the offer structure · A/H: no A-share listing</t>
        </is>
      </c>
    </row>
    <row r="468">
      <c r="A468" s="25" t="inlineStr">
        <is>
          <t>1511</t>
        </is>
      </c>
      <c r="B468" s="26" t="inlineStr">
        <is>
          <t>UISEE TECH</t>
        </is>
      </c>
      <c r="C468" s="26" t="inlineStr">
        <is>
          <t>馭勢科技</t>
        </is>
      </c>
      <c r="D468" s="26" t="inlineStr">
        <is>
          <t>Tech/AI</t>
        </is>
      </c>
      <c r="E468" s="26" t="inlineStr">
        <is>
          <t>Robotics &amp; autonomous driving</t>
        </is>
      </c>
      <c r="F468" s="26" t="inlineStr">
        <is>
          <t>Standard</t>
        </is>
      </c>
      <c r="G468" s="27" t="n">
        <v>46162</v>
      </c>
      <c r="H468" s="28" t="n">
        <v>872</v>
      </c>
      <c r="I468" s="26" t="inlineStr">
        <is>
          <t>gross (stated)</t>
        </is>
      </c>
      <c r="J468" s="29" t="n"/>
      <c r="K468" s="29" t="n">
        <v>60.3</v>
      </c>
      <c r="L468" s="29" t="n">
        <v>60.3</v>
      </c>
      <c r="M468" s="26" t="inlineStr">
        <is>
          <t>Y</t>
        </is>
      </c>
      <c r="N468" s="30" t="n">
        <v>100</v>
      </c>
      <c r="O468" s="28" t="n">
        <v>9797.799999999999</v>
      </c>
      <c r="P468" s="26" t="inlineStr">
        <is>
          <t>derived:price x shares upon listing</t>
        </is>
      </c>
      <c r="Q468" s="31" t="n">
        <v>6777.29</v>
      </c>
      <c r="R468" s="32" t="n">
        <v>5.66</v>
      </c>
      <c r="S468" s="33" t="n">
        <v>5</v>
      </c>
      <c r="T468" s="26" t="inlineStr">
        <is>
          <t>CYGG Holding Limited; Starwin International A LPF; 雄安自動駕駛有限公司</t>
        </is>
      </c>
      <c r="U468" s="30" t="n"/>
      <c r="V468" s="26" t="n"/>
      <c r="W468" s="34" t="n">
        <v>-4.64</v>
      </c>
      <c r="X468" s="34" t="n">
        <v>22.31</v>
      </c>
      <c r="Y468" s="34" t="n">
        <v>68.66</v>
      </c>
      <c r="Z468" s="34" t="n"/>
      <c r="AA468" s="34" t="n">
        <v>76.87</v>
      </c>
      <c r="AB468" s="34" t="n">
        <v>74.88</v>
      </c>
      <c r="AC468" s="34" t="n">
        <v>-6.22</v>
      </c>
      <c r="AD468" s="26" t="inlineStr">
        <is>
          <t>HSTECH (Hang Seng TECH ETF)</t>
        </is>
      </c>
      <c r="AE468" s="34" t="n">
        <v>3.57</v>
      </c>
      <c r="AF468" s="28" t="n">
        <v>161.3</v>
      </c>
      <c r="AG468" s="28" t="n">
        <v>-253.2</v>
      </c>
      <c r="AH468" s="26" t="inlineStr">
        <is>
          <t>N</t>
        </is>
      </c>
      <c r="AI468" s="38">
        <f>IF('BBG Verify'!O468="","not filed — run on terminal",'BBG Verify'!O468)</f>
        <v/>
      </c>
      <c r="AJ468" s="35" t="n">
        <v>60.7</v>
      </c>
      <c r="AK468" s="26" t="inlineStr">
        <is>
          <t>N</t>
        </is>
      </c>
      <c r="AL468" s="36">
        <f>IF('BBG Verify'!K468="","not filed — run on terminal",'BBG Verify'!K468)</f>
        <v/>
      </c>
      <c r="AM468" s="26" t="inlineStr">
        <is>
          <t>N/A</t>
        </is>
      </c>
      <c r="AN468" s="26" t="inlineStr">
        <is>
          <t>N/A</t>
        </is>
      </c>
      <c r="AO468" s="26" t="inlineStr">
        <is>
          <t>N/A</t>
        </is>
      </c>
      <c r="AP468" s="26" t="inlineStr">
        <is>
          <t>CITIC Securities (Hong Kong) Limited</t>
        </is>
      </c>
      <c r="AQ468" s="26" t="inlineStr">
        <is>
          <t>中信證券(香港)有限公司</t>
        </is>
      </c>
      <c r="AR468" s="26" t="inlineStr">
        <is>
          <t>Joint Lead Manager Hong Tai Securities Limited; Managers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AS468" s="26" t="inlineStr">
        <is>
          <t>交銀國際證券有限公司; 光銀國際資本有限公司; 中國銀河國際證券(香港)有限公司; 中信里昂證券有限公司; 信銀（香港）資本有限公司; 星展亞洲融資有限公司; 富途證券國際（香港）有限公司; 洪泰證券有限公司; 力高證券有限公司; 百惠證券有限公司; 華富建業證券有限公司; 軟庫中華金融服務有限公司; 友信證券有限公司</t>
        </is>
      </c>
      <c r="AT468" s="37">
        <f>HYPERLINK("https://www1.hkexnews.hk/listedco/listconews/sehk/2026/0512/2026051200147.pdf","prospectus")</f>
        <v/>
      </c>
      <c r="AU468" s="37">
        <f>HYPERLINK("https://www1.hkexnews.hk/listedco/listconews/sehk/2026/0519/2026051901257.pdf","allotment")</f>
        <v/>
      </c>
      <c r="AV468" s="26" t="n"/>
      <c r="AW468" s="26" t="inlineStr">
        <is>
          <t>P/E: n/m — loss-making at IPO (use P/S) · greenshoe: no over-allotment option in the offer structure · A/H: no A-share listing · 3m: listed less than 3m ago · cornerstone: AAStocks institutional table includes non-cornerstone orders (superset) — cornerstone % is from the prospectus</t>
        </is>
      </c>
    </row>
    <row r="469">
      <c r="A469" s="25" t="inlineStr">
        <is>
          <t>7688</t>
        </is>
      </c>
      <c r="B469" s="26" t="inlineStr">
        <is>
          <t>TOPNC</t>
        </is>
      </c>
      <c r="C469" s="26" t="inlineStr">
        <is>
          <t>拓璞數控</t>
        </is>
      </c>
      <c r="D469" s="26" t="inlineStr">
        <is>
          <t>Industrials</t>
        </is>
      </c>
      <c r="E469" s="26" t="inlineStr">
        <is>
          <t>Capital goods / machinery</t>
        </is>
      </c>
      <c r="F469" s="26" t="inlineStr">
        <is>
          <t>Standard</t>
        </is>
      </c>
      <c r="G469" s="27" t="n">
        <v>46162</v>
      </c>
      <c r="H469" s="28" t="n">
        <v>1724</v>
      </c>
      <c r="I469" s="26" t="inlineStr">
        <is>
          <t>gross (stated)</t>
        </is>
      </c>
      <c r="J469" s="29" t="n"/>
      <c r="K469" s="29" t="n">
        <v>26.39</v>
      </c>
      <c r="L469" s="29" t="n">
        <v>26.39</v>
      </c>
      <c r="M469" s="26" t="inlineStr">
        <is>
          <t>Y</t>
        </is>
      </c>
      <c r="N469" s="30" t="n">
        <v>100</v>
      </c>
      <c r="O469" s="28" t="n">
        <v>9631.299999999999</v>
      </c>
      <c r="P469" s="26" t="inlineStr">
        <is>
          <t>derived:deal size / offer % of enlarged capital</t>
        </is>
      </c>
      <c r="Q469" s="31" t="n">
        <v>3764.63</v>
      </c>
      <c r="R469" s="32" t="n">
        <v>30.46</v>
      </c>
      <c r="S469" s="33" t="n">
        <v>50</v>
      </c>
      <c r="T469" s="26" t="inlineStr">
        <is>
          <t>3W Fund Management Limited; Boyu Capital Management (Singapore) Pte. Ltd; CDH Global Frontier Ventures Limited; 華夏基金（香港）有限公司; 富國資產管理（香港）有限公司; 富國基金管理有限公司; 高盛資產管理（香港）有限公司; HHLRA Advisors, Ltd; 未來資產證券（香港）有限公司; RBC China Equity Fund; 上海閔行金融投資發展有限公司; UBS Asset Management (Singapore) Ltd</t>
        </is>
      </c>
      <c r="U469" s="30" t="n">
        <v>15</v>
      </c>
      <c r="V469" s="26" t="inlineStr">
        <is>
          <t>full</t>
        </is>
      </c>
      <c r="W469" s="34" t="n">
        <v>79.98999999999999</v>
      </c>
      <c r="X469" s="34" t="n">
        <v>35.66</v>
      </c>
      <c r="Y469" s="34" t="n">
        <v>11.25</v>
      </c>
      <c r="Z469" s="34" t="n"/>
      <c r="AA469" s="34" t="n">
        <v>-38.19</v>
      </c>
      <c r="AB469" s="34" t="n">
        <v>21.16</v>
      </c>
      <c r="AC469" s="34" t="n">
        <v>-9.91</v>
      </c>
      <c r="AD469" s="26" t="inlineStr">
        <is>
          <t>Hang Seng Commerce &amp; Industry sub-index</t>
        </is>
      </c>
      <c r="AE469" s="34" t="n">
        <v>-38.42</v>
      </c>
      <c r="AF469" s="28" t="n">
        <v>635.8</v>
      </c>
      <c r="AG469" s="28" t="n">
        <v>0</v>
      </c>
      <c r="AH469" s="26" t="inlineStr">
        <is>
          <t>N</t>
        </is>
      </c>
      <c r="AI469" s="38">
        <f>IF('BBG Verify'!O469="","not filed — run on terminal",'BBG Verify'!O469)</f>
        <v/>
      </c>
      <c r="AJ469" s="35" t="n">
        <v>15.1</v>
      </c>
      <c r="AK469" s="26" t="inlineStr">
        <is>
          <t>N</t>
        </is>
      </c>
      <c r="AL469" s="36">
        <f>IF('BBG Verify'!K469="","not filed — run on terminal",'BBG Verify'!K469)</f>
        <v/>
      </c>
      <c r="AM469" s="26" t="inlineStr">
        <is>
          <t>N/A</t>
        </is>
      </c>
      <c r="AN469" s="26" t="inlineStr">
        <is>
          <t>N/A</t>
        </is>
      </c>
      <c r="AO469" s="26" t="inlineStr">
        <is>
          <t>N/A</t>
        </is>
      </c>
      <c r="AP469" s="26" t="inlineStr">
        <is>
          <t>Guotai Junan Capital Limited; CCB International Capital Limited</t>
        </is>
      </c>
      <c r="AQ469" s="26" t="inlineStr">
        <is>
          <t>建銀國際金融有限公司; 國泰君安融資有限公司</t>
        </is>
      </c>
      <c r="AR469" s="26" t="inlineStr">
        <is>
          <t>Guotai Junan Securities (Hong Kong) Limited; CCB International Capital Limited; Managers and Capital Market Intermediaries Guotai Junan Securities (Hong Kong) Limited; SBI China Capital Financial Services Limited; BOCI Asia Limited; Central, Hong Kong CMB International Capital Limited</t>
        </is>
      </c>
      <c r="AS469" s="26" t="inlineStr">
        <is>
          <t>中銀國際亞洲有限公司; 建銀國際金融有限公司; 招銀國際融資有限公司; 國泰君安證券(香港)有限公司; 軟庫中華金融服務有限公司</t>
        </is>
      </c>
      <c r="AT469" s="37">
        <f>HYPERLINK("https://www1.hkexnews.hk/listedco/listconews/sehk/2026/0512/2026051200017.pdf","prospectus")</f>
        <v/>
      </c>
      <c r="AU469" s="37">
        <f>HYPERLINK("https://www1.hkexnews.hk/listedco/listconews/sehk/2026/0519/2026051901261.pdf","allotment")</f>
        <v/>
      </c>
      <c r="AV469" s="37">
        <f>HYPERLINK("https://www1.hkexnews.hk/listedco/listconews/sehk/2026/0614/2026061400165.pdf","stabilisation")</f>
        <v/>
      </c>
      <c r="AW469" s="26" t="inlineStr">
        <is>
          <t>P/E: n/m — loss-making at IPO (use P/S) · A/H: no A-share listing · 3m: listed less than 3m ago</t>
        </is>
      </c>
    </row>
    <row r="470">
      <c r="A470" s="25" t="inlineStr">
        <is>
          <t>6872</t>
        </is>
      </c>
      <c r="B470" s="26" t="inlineStr">
        <is>
          <t>TENNOR THERAP-B</t>
        </is>
      </c>
      <c r="C470" s="26" t="inlineStr">
        <is>
          <t>丹諾醫藥－B</t>
        </is>
      </c>
      <c r="D470" s="26" t="inlineStr">
        <is>
          <t>Healthcare</t>
        </is>
      </c>
      <c r="E470" s="26" t="inlineStr">
        <is>
          <t>Biotech pre-revenue (18A)</t>
        </is>
      </c>
      <c r="F470" s="26" t="inlineStr">
        <is>
          <t>18A</t>
        </is>
      </c>
      <c r="G470" s="27" t="n">
        <v>46164</v>
      </c>
      <c r="H470" s="28" t="n">
        <v>670.4</v>
      </c>
      <c r="I470" s="26" t="inlineStr">
        <is>
          <t>gross (stated)</t>
        </is>
      </c>
      <c r="J470" s="29" t="n"/>
      <c r="K470" s="29" t="n">
        <v>75.7</v>
      </c>
      <c r="L470" s="29" t="n">
        <v>75.7</v>
      </c>
      <c r="M470" s="26" t="inlineStr">
        <is>
          <t>Y</t>
        </is>
      </c>
      <c r="N470" s="30" t="n">
        <v>100</v>
      </c>
      <c r="O470" s="28" t="n">
        <v>3961.3</v>
      </c>
      <c r="P470" s="26" t="inlineStr">
        <is>
          <t>derived:price x shares upon listing</t>
        </is>
      </c>
      <c r="Q470" s="31" t="n">
        <v>9015.110000000001</v>
      </c>
      <c r="R470" s="32" t="n">
        <v>9.24</v>
      </c>
      <c r="S470" s="33" t="n">
        <v>34.81</v>
      </c>
      <c r="T470" s="26" t="inlineStr">
        <is>
          <t>AMR Action Fund, L.P; AMR Action Fund, SCSp; 華圓管理諮詢(香港)有限公司; 駿昇環球有限公司; 東方資產管理(香港)有限公司</t>
        </is>
      </c>
      <c r="U470" s="30" t="n">
        <v>5.5</v>
      </c>
      <c r="V470" s="26" t="n"/>
      <c r="W470" s="34" t="n">
        <v>178.73</v>
      </c>
      <c r="X470" s="34" t="n">
        <v>166.84</v>
      </c>
      <c r="Y470" s="34" t="n">
        <v>248.22</v>
      </c>
      <c r="Z470" s="34" t="n"/>
      <c r="AA470" s="34" t="n">
        <v>24.93</v>
      </c>
      <c r="AB470" s="34" t="n">
        <v>256.1</v>
      </c>
      <c r="AC470" s="34" t="n">
        <v>-7.88</v>
      </c>
      <c r="AD470" s="26" t="inlineStr">
        <is>
          <t>China Biotech ETF (HS biotech proxy)</t>
        </is>
      </c>
      <c r="AE470" s="34" t="n">
        <v>150.99</v>
      </c>
      <c r="AF470" s="28" t="n"/>
      <c r="AG470" s="28" t="n">
        <v>-168.6</v>
      </c>
      <c r="AH470" s="26" t="inlineStr">
        <is>
          <t>N</t>
        </is>
      </c>
      <c r="AI470" s="38">
        <f>IF('BBG Verify'!O470="","not filed — run on terminal",'BBG Verify'!O470)</f>
        <v/>
      </c>
      <c r="AJ470" s="35" t="n"/>
      <c r="AK470" s="26" t="inlineStr">
        <is>
          <t>N</t>
        </is>
      </c>
      <c r="AL470" s="36">
        <f>IF('BBG Verify'!K470="","not filed — run on terminal",'BBG Verify'!K470)</f>
        <v/>
      </c>
      <c r="AM470" s="26" t="inlineStr">
        <is>
          <t>N/A</t>
        </is>
      </c>
      <c r="AN470" s="26" t="inlineStr">
        <is>
          <t>N/A</t>
        </is>
      </c>
      <c r="AO470" s="26" t="inlineStr">
        <is>
          <t>N/A</t>
        </is>
      </c>
      <c r="AP470" s="26" t="inlineStr">
        <is>
          <t>CITIC Securities (Hong Kong) Limited; ABCI Capital Limited</t>
        </is>
      </c>
      <c r="AQ470" s="26" t="inlineStr">
        <is>
          <t>中信證券(香港)有限公司; 農銀國際融資有限公司</t>
        </is>
      </c>
      <c r="AR470" s="26" t="inlineStr">
        <is>
          <t>CLSA Limited; ABCI Capital Limited; China Renaissance Securities (Hong Kong) Limited</t>
        </is>
      </c>
      <c r="AS470" s="26" t="inlineStr">
        <is>
          <t>農銀國際證券有限公司; 中信里昂證券有限公司; 華興資本證券(香港)有限公司; 富途證券國際（香港）有限公司; 老虎證券（香港）環球有限公司</t>
        </is>
      </c>
      <c r="AT470" s="37">
        <f>HYPERLINK("https://www1.hkexnews.hk/listedco/listconews/sehk/2026/0514/2026051400013.pdf","prospectus")</f>
        <v/>
      </c>
      <c r="AU470" s="37">
        <f>HYPERLINK("https://www1.hkexnews.hk/listedco/listconews/sehk/2026/0521/2026052101298.pdf","allotment")</f>
        <v/>
      </c>
      <c r="AV470" s="26" t="n"/>
      <c r="AW470" s="26" t="inlineStr">
        <is>
          <t>P/E: n/m — loss-making at IPO (use P/S) · greenshoe: end-of-stabilisation notice not located · A/H: no A-share listing · 3m: listed less than 3m ago</t>
        </is>
      </c>
    </row>
    <row r="471">
      <c r="A471" s="25" t="inlineStr">
        <is>
          <t>3310</t>
        </is>
      </c>
      <c r="B471" s="26" t="inlineStr">
        <is>
          <t>VIEWTRIX TECH</t>
        </is>
      </c>
      <c r="C471" s="26" t="inlineStr">
        <is>
          <t>雲英谷科技</t>
        </is>
      </c>
      <c r="D471" s="26" t="inlineStr">
        <is>
          <t>Tech/AI</t>
        </is>
      </c>
      <c r="E471" s="26" t="inlineStr">
        <is>
          <t>AI chips &amp; semis</t>
        </is>
      </c>
      <c r="F471" s="26" t="inlineStr">
        <is>
          <t>Standard</t>
        </is>
      </c>
      <c r="G471" s="27" t="n">
        <v>46169</v>
      </c>
      <c r="H471" s="28" t="n">
        <v>1100</v>
      </c>
      <c r="I471" s="26" t="inlineStr">
        <is>
          <t>gross (stated)</t>
        </is>
      </c>
      <c r="J471" s="29" t="n"/>
      <c r="K471" s="29" t="n">
        <v>20.81</v>
      </c>
      <c r="L471" s="29" t="n">
        <v>20.81</v>
      </c>
      <c r="M471" s="26" t="inlineStr">
        <is>
          <t>Y</t>
        </is>
      </c>
      <c r="N471" s="30" t="n">
        <v>100</v>
      </c>
      <c r="O471" s="28" t="n">
        <v>7857.1</v>
      </c>
      <c r="P471" s="26" t="inlineStr">
        <is>
          <t>derived:deal size / offer % of enlarged capital</t>
        </is>
      </c>
      <c r="Q471" s="31" t="n">
        <v>3559.68</v>
      </c>
      <c r="R471" s="32" t="n">
        <v>7.05</v>
      </c>
      <c r="S471" s="33" t="n">
        <v>35.37</v>
      </c>
      <c r="T471" s="26" t="inlineStr">
        <is>
          <t>Digital Vista GD Investment LP; SpreadCom Limited</t>
        </is>
      </c>
      <c r="U471" s="30" t="n">
        <v>15</v>
      </c>
      <c r="V471" s="26" t="inlineStr">
        <is>
          <t>full</t>
        </is>
      </c>
      <c r="W471" s="34" t="n">
        <v>91.73</v>
      </c>
      <c r="X471" s="34" t="n">
        <v>66.94</v>
      </c>
      <c r="Y471" s="34" t="n">
        <v>60.98</v>
      </c>
      <c r="Z471" s="34" t="n"/>
      <c r="AA471" s="34" t="n">
        <v>-16.04</v>
      </c>
      <c r="AB471" s="34" t="n">
        <v>74.62</v>
      </c>
      <c r="AC471" s="34" t="n">
        <v>-13.64</v>
      </c>
      <c r="AD471" s="26" t="inlineStr">
        <is>
          <t>HSTECH (Hang Seng TECH ETF)</t>
        </is>
      </c>
      <c r="AE471" s="34" t="n">
        <v>52.91</v>
      </c>
      <c r="AF471" s="28" t="n">
        <v>980.4</v>
      </c>
      <c r="AG471" s="28" t="n">
        <v>-253.4</v>
      </c>
      <c r="AH471" s="26" t="inlineStr">
        <is>
          <t>N</t>
        </is>
      </c>
      <c r="AI471" s="38">
        <f>IF('BBG Verify'!O471="","not filed — run on terminal",'BBG Verify'!O471)</f>
        <v/>
      </c>
      <c r="AJ471" s="35" t="n">
        <v>8</v>
      </c>
      <c r="AK471" s="26" t="inlineStr">
        <is>
          <t>N</t>
        </is>
      </c>
      <c r="AL471" s="36">
        <f>IF('BBG Verify'!K471="","not filed — run on terminal",'BBG Verify'!K471)</f>
        <v/>
      </c>
      <c r="AM471" s="26" t="inlineStr">
        <is>
          <t>N/A</t>
        </is>
      </c>
      <c r="AN471" s="26" t="inlineStr">
        <is>
          <t>N/A</t>
        </is>
      </c>
      <c r="AO471" s="26" t="inlineStr">
        <is>
          <t>N/A</t>
        </is>
      </c>
      <c r="AP471" s="26" t="inlineStr">
        <is>
          <t>China International Capital Corporation Hong Kong Securities Limited; CITIC Securities (Hong Kong) Limited</t>
        </is>
      </c>
      <c r="AQ471" s="26" t="inlineStr">
        <is>
          <t>中國國際金融香港證券有限公司; 中信證券(香港)有限公司</t>
        </is>
      </c>
      <c r="AR471" s="26" t="inlineStr">
        <is>
          <t>CLSA Limited; GF Securities (Hong Kong) Brokerage Limited; A VICT Global Asset Management Limited; Webull Securities Limited</t>
        </is>
      </c>
      <c r="AS471" s="26" t="inlineStr">
        <is>
          <t>中航資信環球資產管理有限公司; 中國國際金融香港證券有限公司; 中信里昂證券有限公司; 廣發證券（香港）經紀有限公司; 微牛證券有限公司</t>
        </is>
      </c>
      <c r="AT471" s="37">
        <f>HYPERLINK("https://www1.hkexnews.hk/listedco/listconews/sehk/2026/0518/2026051800021.pdf","prospectus")</f>
        <v/>
      </c>
      <c r="AU471" s="37">
        <f>HYPERLINK("https://www1.hkexnews.hk/listedco/listconews/sehk/2026/0526/2026052601908.pdf","allotment")</f>
        <v/>
      </c>
      <c r="AV471" s="37">
        <f>HYPERLINK("https://www1.hkexnews.hk/listedco/listconews/sehk/2026/0621/2026062100023.pdf","stabilisation")</f>
        <v/>
      </c>
      <c r="AW471" s="26" t="inlineStr">
        <is>
          <t>P/E: n/m — loss-making at IPO (use P/S) · A/H: no A-share listing · 3m: listed less than 3m ago</t>
        </is>
      </c>
    </row>
    <row r="472">
      <c r="A472" s="25" t="inlineStr">
        <is>
          <t>2723</t>
        </is>
      </c>
      <c r="B472" s="26" t="inlineStr">
        <is>
          <t>DEEPZERO</t>
        </is>
      </c>
      <c r="C472" s="26" t="inlineStr">
        <is>
          <t>深演智能</t>
        </is>
      </c>
      <c r="D472" s="26" t="inlineStr">
        <is>
          <t>Tech/AI</t>
        </is>
      </c>
      <c r="E472" s="26" t="inlineStr">
        <is>
          <t>AI application / agent software</t>
        </is>
      </c>
      <c r="F472" s="26" t="inlineStr">
        <is>
          <t>Standard</t>
        </is>
      </c>
      <c r="G472" s="27" t="n">
        <v>46169</v>
      </c>
      <c r="H472" s="28" t="n">
        <v>503.3</v>
      </c>
      <c r="I472" s="26" t="inlineStr">
        <is>
          <t>gross (stated)</t>
        </is>
      </c>
      <c r="J472" s="29" t="n">
        <v>43.5</v>
      </c>
      <c r="K472" s="29" t="n">
        <v>55.5</v>
      </c>
      <c r="L472" s="29" t="n">
        <v>55.5</v>
      </c>
      <c r="M472" s="26" t="inlineStr">
        <is>
          <t>Y</t>
        </is>
      </c>
      <c r="N472" s="30" t="n">
        <v>100</v>
      </c>
      <c r="O472" s="28" t="n">
        <v>5032.7</v>
      </c>
      <c r="P472" s="26" t="inlineStr">
        <is>
          <t>derived:price x shares upon listing</t>
        </is>
      </c>
      <c r="Q472" s="31" t="n">
        <v>5480.23</v>
      </c>
      <c r="R472" s="32" t="n">
        <v>3.41</v>
      </c>
      <c r="S472" s="33" t="n">
        <v>0</v>
      </c>
      <c r="T472" s="26" t="n"/>
      <c r="U472" s="30" t="n"/>
      <c r="V472" s="26" t="n"/>
      <c r="W472" s="34" t="n">
        <v>265.77</v>
      </c>
      <c r="X472" s="34" t="n">
        <v>543.24</v>
      </c>
      <c r="Y472" s="34" t="n">
        <v>484.14</v>
      </c>
      <c r="Z472" s="34" t="n"/>
      <c r="AA472" s="34" t="n">
        <v>59.7</v>
      </c>
      <c r="AB472" s="34" t="n">
        <v>497.78</v>
      </c>
      <c r="AC472" s="34" t="n">
        <v>-13.64</v>
      </c>
      <c r="AD472" s="26" t="inlineStr">
        <is>
          <t>HSTECH (Hang Seng TECH ETF)</t>
        </is>
      </c>
      <c r="AE472" s="34" t="n">
        <v>1016.22</v>
      </c>
      <c r="AF472" s="28" t="n">
        <v>634.2</v>
      </c>
      <c r="AG472" s="28" t="n">
        <v>10.1</v>
      </c>
      <c r="AH472" s="26" t="inlineStr">
        <is>
          <t>Y</t>
        </is>
      </c>
      <c r="AI472" s="35" t="n">
        <v>498.3</v>
      </c>
      <c r="AJ472" s="35" t="n">
        <v>7.9</v>
      </c>
      <c r="AK472" s="26" t="inlineStr">
        <is>
          <t>N</t>
        </is>
      </c>
      <c r="AL472" s="36">
        <f>IF('BBG Verify'!K472="","not filed — run on terminal",'BBG Verify'!K472)</f>
        <v/>
      </c>
      <c r="AM472" s="26" t="inlineStr">
        <is>
          <t>N/A</t>
        </is>
      </c>
      <c r="AN472" s="26" t="inlineStr">
        <is>
          <t>N/A</t>
        </is>
      </c>
      <c r="AO472" s="26" t="inlineStr">
        <is>
          <t>N/A</t>
        </is>
      </c>
      <c r="AP472" s="26" t="inlineStr">
        <is>
          <t>ICBC International Capital Limited</t>
        </is>
      </c>
      <c r="AQ472" s="26" t="inlineStr">
        <is>
          <t>工銀國際融資有限公司</t>
        </is>
      </c>
      <c r="AR472" s="26" t="inlineStr">
        <is>
          <t>Managers and Capital Market Intermediaries ICBC International Securities Limited; CCB International Capital Limited; BOCOM International Securities Limited; Victory Securities Company Limited; Guolian Securities International Capital Co., Limited; Managers and Capital Market Intermediaries Zhongtai International Securities Limited; Futu Securities International (Hong Kong) Limited; Tiger Brokers (HK) Global Limited; Yuen Meta (International) Securities Limited; South China Securities Limited</t>
        </is>
      </c>
      <c r="AS472" s="26" t="inlineStr">
        <is>
          <t>交銀國際證券有限公司; 建銀國際金融有限公司; 富途證券國際（香港）有限公司; 結好證券有限公司; 國聯證券國際資本市場有限公司; 工銀國際證券有限公司; 南華證券投資有限公司; 老虎證券（香港）環球有限公司; 勝利證券有限公司; 元宇宙（國際）證券有限公司; 中泰國際證券有限公司</t>
        </is>
      </c>
      <c r="AT472" s="37">
        <f>HYPERLINK("https://www1.hkexnews.hk/listedco/listconews/sehk/2026/0518/2026051800023.pdf","prospectus")</f>
        <v/>
      </c>
      <c r="AU472" s="37">
        <f>HYPERLINK("https://www1.hkexnews.hk/listedco/listconews/sehk/2026/0526/2026052602298.pdf","allotment")</f>
        <v/>
      </c>
      <c r="AV472" s="26" t="n"/>
      <c r="AW472" s="26" t="inlineStr">
        <is>
          <t>greenshoe: no over-allotment option in the offer structure · A/H: no A-share listing · 3m: listed less than 3m ago</t>
        </is>
      </c>
    </row>
    <row r="473">
      <c r="A473" s="25" t="inlineStr">
        <is>
          <t>0901</t>
        </is>
      </c>
      <c r="B473" s="26" t="inlineStr">
        <is>
          <t>SDMC</t>
        </is>
      </c>
      <c r="C473" s="26" t="inlineStr">
        <is>
          <t>華曦達</t>
        </is>
      </c>
      <c r="D473" s="26" t="inlineStr">
        <is>
          <t>Tech/AI</t>
        </is>
      </c>
      <c r="E473" s="26" t="inlineStr">
        <is>
          <t>Smart hardware / consumer electronics</t>
        </is>
      </c>
      <c r="F473" s="26" t="inlineStr">
        <is>
          <t>Standard</t>
        </is>
      </c>
      <c r="G473" s="27" t="n">
        <v>46169</v>
      </c>
      <c r="H473" s="28" t="n">
        <v>630</v>
      </c>
      <c r="I473" s="26" t="inlineStr">
        <is>
          <t>gross (price x shares)</t>
        </is>
      </c>
      <c r="J473" s="29" t="n"/>
      <c r="K473" s="29" t="n">
        <v>32.8</v>
      </c>
      <c r="L473" s="29" t="n">
        <v>32.8</v>
      </c>
      <c r="M473" s="26" t="inlineStr">
        <is>
          <t>Y</t>
        </is>
      </c>
      <c r="N473" s="30" t="n">
        <v>100</v>
      </c>
      <c r="O473" s="41">
        <f>IF('BBG Verify'!M473="","not filed — run on terminal",'BBG Verify'!M473)</f>
        <v/>
      </c>
      <c r="P473" s="26" t="n"/>
      <c r="Q473" s="31" t="n">
        <v>1972</v>
      </c>
      <c r="R473" s="39">
        <f>IF('BBG Verify'!E473="","not filed — run on terminal",'BBG Verify'!E473)</f>
        <v/>
      </c>
      <c r="S473" s="33" t="n"/>
      <c r="T473" s="26" t="n"/>
      <c r="U473" s="30" t="n"/>
      <c r="V473" s="26" t="n"/>
      <c r="W473" s="34" t="n">
        <v>86.59</v>
      </c>
      <c r="X473" s="34" t="n">
        <v>104.57</v>
      </c>
      <c r="Y473" s="34" t="n">
        <v>96.19</v>
      </c>
      <c r="Z473" s="34" t="n"/>
      <c r="AA473" s="34" t="n">
        <v>5.14</v>
      </c>
      <c r="AB473" s="34" t="n">
        <v>109.83</v>
      </c>
      <c r="AC473" s="34" t="n">
        <v>-13.64</v>
      </c>
      <c r="AD473" s="26" t="inlineStr">
        <is>
          <t>HSTECH (Hang Seng TECH ETF)</t>
        </is>
      </c>
      <c r="AE473" s="34" t="n">
        <v>133.23</v>
      </c>
      <c r="AF473" s="28" t="n">
        <v>3704.4</v>
      </c>
      <c r="AG473" s="28" t="n">
        <v>263</v>
      </c>
      <c r="AH473" s="26" t="inlineStr">
        <is>
          <t>Y</t>
        </is>
      </c>
      <c r="AI473" s="38">
        <f>IF('BBG Verify'!O473="","not filed — run on terminal",'BBG Verify'!O473)</f>
        <v/>
      </c>
      <c r="AJ473" s="35" t="n"/>
      <c r="AK473" s="26" t="inlineStr">
        <is>
          <t>N</t>
        </is>
      </c>
      <c r="AL473" s="36">
        <f>IF('BBG Verify'!K473="","not filed — run on terminal",'BBG Verify'!K473)</f>
        <v/>
      </c>
      <c r="AM473" s="26" t="inlineStr">
        <is>
          <t>N/A</t>
        </is>
      </c>
      <c r="AN473" s="26" t="inlineStr">
        <is>
          <t>N/A</t>
        </is>
      </c>
      <c r="AO473" s="26" t="inlineStr">
        <is>
          <t>N/A</t>
        </is>
      </c>
      <c r="AP473" s="26" t="n"/>
      <c r="AQ473" s="26" t="inlineStr">
        <is>
          <t>中信建投(國際)融資有限公司</t>
        </is>
      </c>
      <c r="AR473" s="26" t="inlineStr">
        <is>
          <t>農銀國際證券有限公司; 建銀國際金融有限公司; 招銀國際融資有限公司; 信銀（香港）資本有限公司; 中信建投(國際)融資有限公司; 方德證券有限公司</t>
        </is>
      </c>
      <c r="AS473" s="26" t="inlineStr">
        <is>
          <t>農銀國際證券有限公司; 建銀國際金融有限公司; 招銀國際融資有限公司; 信銀（香港）資本有限公司; 中信建投(國際)融資有限公司; 方德證券有限公司; 結好證券有限公司; 路華證券有限公司</t>
        </is>
      </c>
      <c r="AT473" s="37">
        <f>HYPERLINK("https://www1.hkexnews.hk/listedco/listconews/sehk/2026/0518/2026051800027.pdf","prospectus")</f>
        <v/>
      </c>
      <c r="AU473" s="37">
        <f>HYPERLINK("https://www1.hkexnews.hk/listedco/listconews/sehk/2026/0526/2026052602392.pdf","allotment")</f>
        <v/>
      </c>
      <c r="AV473" s="26" t="n"/>
      <c r="AW473" s="26" t="inlineStr">
        <is>
          <t>intl sub: subscription level not stated in the filing · P/E: market cap not derivable (no share count disclosed) · greenshoe: no over-allotment option in the offer structure · price range: fixed-price offering (no indicative range) · A/H: no A-share listing · 3m: listed less than 3m ago · sponsor: English name not in the filing text; AAStocks 保薦人 shown</t>
        </is>
      </c>
    </row>
    <row r="474">
      <c r="A474" s="25" t="inlineStr">
        <is>
          <t>3388</t>
        </is>
      </c>
      <c r="B474" s="26" t="inlineStr">
        <is>
          <t>CREALITY</t>
        </is>
      </c>
      <c r="C474" s="26" t="inlineStr">
        <is>
          <t>創想三維</t>
        </is>
      </c>
      <c r="D474" s="26" t="inlineStr">
        <is>
          <t>Tech/AI</t>
        </is>
      </c>
      <c r="E474" s="26" t="inlineStr">
        <is>
          <t>Smart hardware / consumer electronics</t>
        </is>
      </c>
      <c r="F474" s="26" t="inlineStr">
        <is>
          <t>Standard</t>
        </is>
      </c>
      <c r="G474" s="27" t="n">
        <v>46171</v>
      </c>
      <c r="H474" s="28" t="n">
        <v>1380.44</v>
      </c>
      <c r="I474" s="26" t="inlineStr">
        <is>
          <t>gross (stated)</t>
        </is>
      </c>
      <c r="J474" s="29" t="n"/>
      <c r="K474" s="29" t="n">
        <v>18.8</v>
      </c>
      <c r="L474" s="29" t="n">
        <v>18.8</v>
      </c>
      <c r="M474" s="26" t="inlineStr">
        <is>
          <t>Y</t>
        </is>
      </c>
      <c r="N474" s="30" t="n">
        <v>100</v>
      </c>
      <c r="O474" s="28" t="n">
        <v>8776.6</v>
      </c>
      <c r="P474" s="26" t="inlineStr">
        <is>
          <t>prospectus:stated market capitalisation</t>
        </is>
      </c>
      <c r="Q474" s="31" t="n">
        <v>3829.42</v>
      </c>
      <c r="R474" s="32" t="n">
        <v>26.8</v>
      </c>
      <c r="S474" s="33" t="n">
        <v>49.9</v>
      </c>
      <c r="T474" s="26" t="inlineStr">
        <is>
          <t>Apex Insight Investment L.P; 中信興業國際投資有限公司; Colloway Group Limited; CPE Greater China Enterprises Growth fund; 鼎鑫（證券）有限公司; GBA Homeland Limited; 香港博約國際投貸基金有限公司; Integrated Core Strategies (Asia) Pte. Ltd; Jump Trading Pacific Pte. Ltd; Martis Fund, L.P; Oasis Investments II Master Fund Ltd; Optimas ACM Fund LP; Polymer Asia Fund LP; Seven Grand Managers, LLC; 泰康人壽保險有限責任公司</t>
        </is>
      </c>
      <c r="U474" s="30" t="n">
        <v>15</v>
      </c>
      <c r="V474" s="26" t="inlineStr">
        <is>
          <t>full</t>
        </is>
      </c>
      <c r="W474" s="34" t="n">
        <v>21.28</v>
      </c>
      <c r="X474" s="34" t="n">
        <v>11.17</v>
      </c>
      <c r="Y474" s="34" t="n">
        <v>38.72</v>
      </c>
      <c r="Z474" s="34" t="n"/>
      <c r="AA474" s="34" t="n">
        <v>14.38</v>
      </c>
      <c r="AB474" s="34" t="n">
        <v>46.92</v>
      </c>
      <c r="AC474" s="34" t="n">
        <v>-8.199999999999999</v>
      </c>
      <c r="AD474" s="26" t="inlineStr">
        <is>
          <t>HSTECH (Hang Seng TECH ETF)</t>
        </is>
      </c>
      <c r="AE474" s="34" t="n">
        <v>35</v>
      </c>
      <c r="AF474" s="28" t="n">
        <v>3439.7</v>
      </c>
      <c r="AG474" s="28" t="n">
        <v>-226.9</v>
      </c>
      <c r="AH474" s="26" t="inlineStr">
        <is>
          <t>N</t>
        </is>
      </c>
      <c r="AI474" s="38">
        <f>IF('BBG Verify'!O474="","not filed — run on terminal",'BBG Verify'!O474)</f>
        <v/>
      </c>
      <c r="AJ474" s="35" t="n">
        <v>2.6</v>
      </c>
      <c r="AK474" s="26" t="inlineStr">
        <is>
          <t>N</t>
        </is>
      </c>
      <c r="AL474" s="36">
        <f>IF('BBG Verify'!K474="","not filed — run on terminal",'BBG Verify'!K474)</f>
        <v/>
      </c>
      <c r="AM474" s="26" t="inlineStr">
        <is>
          <t>N/A</t>
        </is>
      </c>
      <c r="AN474" s="26" t="inlineStr">
        <is>
          <t>N/A</t>
        </is>
      </c>
      <c r="AO474" s="26" t="inlineStr">
        <is>
          <t>N/A</t>
        </is>
      </c>
      <c r="AP474" s="26" t="n"/>
      <c r="AQ474" s="26" t="inlineStr">
        <is>
          <t>中國國際金融香港證券有限公司</t>
        </is>
      </c>
      <c r="AR474" s="26" t="inlineStr">
        <is>
          <t>Managers China International Capital Corporation Hong Kong Securities Limited; A VICT Global Asset Management Limited; China International Capital Corporation Hong Kong Securities Limited; Deutsche Bank AG, Hong Kong Branch; ABCI Capital Limited; DIRECTORS AND PARTIES INVOLVED IN THE GLOBAL OFFERING –7 4– BOCI Asia Limited; CCB International Capital Limited; SPDB International Capital Limited; Livermore Holdings Limited; DIRECTORS AND PARTIES INVOLVED IN THE GLOBAL OFFERING –7 5– ABCI Capital Limited; ABCI Securities Company Limited; BOCI Asia Limited</t>
        </is>
      </c>
      <c r="AS474" s="26" t="inlineStr">
        <is>
          <t>農銀國際證券有限公司; 中航資信環球資產管理有限公司; 中銀國際亞洲有限公司; 建銀國際金融有限公司; 中國國際金融香港證券有限公司; 德意志銀行香港分行; 利弗莫爾證券有限公司; 浦銀國際融資有限公司</t>
        </is>
      </c>
      <c r="AT474" s="37">
        <f>HYPERLINK("https://www1.hkexnews.hk/listedco/listconews/sehk/2026/0520/2026052000023.pdf","prospectus")</f>
        <v/>
      </c>
      <c r="AU474" s="37">
        <f>HYPERLINK("https://www1.hkexnews.hk/listedco/listconews/sehk/2026/0528/2026052802543.pdf","allotment")</f>
        <v/>
      </c>
      <c r="AV474" s="37">
        <f>HYPERLINK("https://www1.hkexnews.hk/listedco/listconews/sehk/2026/0625/2026062502150.pdf","stabilisation")</f>
        <v/>
      </c>
      <c r="AW474" s="26" t="inlineStr">
        <is>
          <t>P/E: n/m — loss-making at IPO (use P/S) · A/H: no A-share listing · 3m: listed less than 3m ago · sponsor: English name not in the filing text; AAStocks 保薦人 shown</t>
        </is>
      </c>
    </row>
    <row r="475">
      <c r="A475" s="25" t="inlineStr">
        <is>
          <t>2553</t>
        </is>
      </c>
      <c r="B475" s="26" t="inlineStr">
        <is>
          <t>SHOUGANG LANZA</t>
        </is>
      </c>
      <c r="C475" s="26" t="inlineStr">
        <is>
          <t>首鋼朗澤</t>
        </is>
      </c>
      <c r="D475" s="26" t="inlineStr">
        <is>
          <t>Materials/Energy</t>
        </is>
      </c>
      <c r="E475" s="26" t="inlineStr">
        <is>
          <t>Chemicals</t>
        </is>
      </c>
      <c r="F475" s="26" t="inlineStr">
        <is>
          <t>Standard</t>
        </is>
      </c>
      <c r="G475" s="27" t="n">
        <v>46176</v>
      </c>
      <c r="H475" s="28" t="n">
        <v>584</v>
      </c>
      <c r="I475" s="26" t="inlineStr">
        <is>
          <t>gross (stated)</t>
        </is>
      </c>
      <c r="J475" s="29" t="n"/>
      <c r="K475" s="29" t="n">
        <v>17.1</v>
      </c>
      <c r="L475" s="29" t="n">
        <v>14.6</v>
      </c>
      <c r="M475" s="26" t="inlineStr">
        <is>
          <t>N</t>
        </is>
      </c>
      <c r="N475" s="30" t="n">
        <v>85.40000000000001</v>
      </c>
      <c r="O475" s="28" t="n">
        <v>5840</v>
      </c>
      <c r="P475" s="26" t="inlineStr">
        <is>
          <t>derived:price x shares upon listing</t>
        </is>
      </c>
      <c r="Q475" s="31" t="n">
        <v>1421.54</v>
      </c>
      <c r="R475" s="32" t="n">
        <v>0.95</v>
      </c>
      <c r="S475" s="33" t="n">
        <v>0</v>
      </c>
      <c r="T475" s="26" t="n"/>
      <c r="U475" s="30" t="n">
        <v>15.9</v>
      </c>
      <c r="V475" s="26" t="inlineStr">
        <is>
          <t>lapsed (no over-allocation)</t>
        </is>
      </c>
      <c r="W475" s="34" t="n">
        <v>44.25</v>
      </c>
      <c r="X475" s="34" t="n">
        <v>115.75</v>
      </c>
      <c r="Y475" s="34" t="n">
        <v>193.84</v>
      </c>
      <c r="Z475" s="34" t="n"/>
      <c r="AA475" s="34" t="n">
        <v>103.7</v>
      </c>
      <c r="AB475" s="34" t="n">
        <v>200.15</v>
      </c>
      <c r="AC475" s="34" t="n">
        <v>-6.31</v>
      </c>
      <c r="AD475" s="26" t="inlineStr">
        <is>
          <t>Hang Seng Utilities sub-index</t>
        </is>
      </c>
      <c r="AE475" s="34" t="n">
        <v>80.68000000000001</v>
      </c>
      <c r="AF475" s="28" t="n">
        <v>573.9</v>
      </c>
      <c r="AG475" s="28" t="n">
        <v>-357.4</v>
      </c>
      <c r="AH475" s="26" t="inlineStr">
        <is>
          <t>N</t>
        </is>
      </c>
      <c r="AI475" s="38">
        <f>IF('BBG Verify'!O475="","not filed — run on terminal",'BBG Verify'!O475)</f>
        <v/>
      </c>
      <c r="AJ475" s="35" t="n">
        <v>10.2</v>
      </c>
      <c r="AK475" s="26" t="inlineStr">
        <is>
          <t>N</t>
        </is>
      </c>
      <c r="AL475" s="36">
        <f>IF('BBG Verify'!K475="","not filed — run on terminal",'BBG Verify'!K475)</f>
        <v/>
      </c>
      <c r="AM475" s="26" t="inlineStr">
        <is>
          <t>N/A</t>
        </is>
      </c>
      <c r="AN475" s="26" t="inlineStr">
        <is>
          <t>N/A</t>
        </is>
      </c>
      <c r="AO475" s="26" t="inlineStr">
        <is>
          <t>N/A</t>
        </is>
      </c>
      <c r="AP475" s="26" t="inlineStr">
        <is>
          <t>Yue Xiu Capital Limited</t>
        </is>
      </c>
      <c r="AQ475" s="26" t="inlineStr">
        <is>
          <t>越秀融資有限公司</t>
        </is>
      </c>
      <c r="AR475" s="26" t="inlineStr">
        <is>
          <t>Yue Xiu Securities Company Limited; Mango Financial Limited; Maxa Asset Management Limited; Sheung Wan, Hong Kong CCB International Capital Limited; Central, Hong Kong Skyvast Securities Limited; Central, Hong Kong GEO Securities Limited; Central, Hong Kong uSmart Securities Limited; CMBC Securities Company Limited; Central, Hong Kong Futu Securities International (Hong Kong) Limited; No. 95 Queensway Admiralty, Hong Kong Livermore Holdings Limited</t>
        </is>
      </c>
      <c r="AS475" s="26" t="inlineStr">
        <is>
          <t>建銀國際金融有限公司; 民銀證券有限公司; 富途證券國際（香港）有限公司; 智易東方證券有限公司; 利弗莫爾證券有限公司; 邁時資產管理有限公司; 芒果金融有限公司; 天澤證券有限公司; 友信證券有限公司; 越秀證券有限公司</t>
        </is>
      </c>
      <c r="AT475" s="37">
        <f>HYPERLINK("https://www1.hkexnews.hk/listedco/listconews/sehk/2026/0526/2026052600047.pdf","prospectus")</f>
        <v/>
      </c>
      <c r="AU475" s="37">
        <f>HYPERLINK("https://www1.hkexnews.hk/listedco/listconews/sehk/2026/0602/2026060202644.pdf","allotment")</f>
        <v/>
      </c>
      <c r="AV475" s="37">
        <f>HYPERLINK("https://www1.hkexnews.hk/listedco/listconews/sehk/2026/0630/2026063000051.pdf","stabilisation")</f>
        <v/>
      </c>
      <c r="AW475" s="26" t="inlineStr">
        <is>
          <t>P/E: n/m — loss-making at IPO (use P/S) · A/H: no A-share listing · 3m: listed less than 3m ago</t>
        </is>
      </c>
    </row>
    <row r="476">
      <c r="A476" s="25" t="inlineStr">
        <is>
          <t>2290</t>
        </is>
      </c>
      <c r="B476" s="26" t="inlineStr">
        <is>
          <t>LUNG FUNG GROUP</t>
        </is>
      </c>
      <c r="C476" s="26" t="inlineStr">
        <is>
          <t>龍豐集團</t>
        </is>
      </c>
      <c r="D476" s="26" t="inlineStr">
        <is>
          <t>Consumer</t>
        </is>
      </c>
      <c r="E476" s="26" t="inlineStr">
        <is>
          <t>Retail / distribution</t>
        </is>
      </c>
      <c r="F476" s="26" t="inlineStr">
        <is>
          <t>Standard</t>
        </is>
      </c>
      <c r="G476" s="27" t="n">
        <v>46178</v>
      </c>
      <c r="H476" s="28" t="n">
        <v>647.5</v>
      </c>
      <c r="I476" s="26" t="inlineStr">
        <is>
          <t>gross (stated)</t>
        </is>
      </c>
      <c r="J476" s="29" t="n"/>
      <c r="K476" s="29" t="n">
        <v>6.38</v>
      </c>
      <c r="L476" s="29" t="n">
        <v>5.18</v>
      </c>
      <c r="M476" s="26" t="inlineStr">
        <is>
          <t>N</t>
        </is>
      </c>
      <c r="N476" s="30" t="n">
        <v>81.2</v>
      </c>
      <c r="O476" s="28" t="n">
        <v>2590</v>
      </c>
      <c r="P476" s="26" t="inlineStr">
        <is>
          <t>derived:price x shares upon listing</t>
        </is>
      </c>
      <c r="Q476" s="31" t="n">
        <v>664.92</v>
      </c>
      <c r="R476" s="32" t="n">
        <v>3.18</v>
      </c>
      <c r="S476" s="33" t="n"/>
      <c r="T476" s="26" t="n"/>
      <c r="U476" s="30" t="n">
        <v>15</v>
      </c>
      <c r="V476" s="26" t="n"/>
      <c r="W476" s="34" t="n">
        <v>-45.75</v>
      </c>
      <c r="X476" s="34" t="n">
        <v>-47.49</v>
      </c>
      <c r="Y476" s="34" t="n">
        <v>-28.57</v>
      </c>
      <c r="Z476" s="34" t="n"/>
      <c r="AA476" s="34" t="n">
        <v>31.67</v>
      </c>
      <c r="AB476" s="34" t="n">
        <v>-23.07</v>
      </c>
      <c r="AC476" s="34" t="n">
        <v>-5.5</v>
      </c>
      <c r="AD476" s="26" t="inlineStr">
        <is>
          <t>Hang Seng Commerce &amp; Industry sub-index</t>
        </is>
      </c>
      <c r="AE476" s="34" t="n">
        <v>-27.22</v>
      </c>
      <c r="AF476" s="28" t="n">
        <v>2460.5</v>
      </c>
      <c r="AG476" s="28" t="n">
        <v>-27.1</v>
      </c>
      <c r="AH476" s="26" t="inlineStr">
        <is>
          <t>N</t>
        </is>
      </c>
      <c r="AI476" s="38">
        <f>IF('BBG Verify'!O476="","not filed — run on terminal",'BBG Verify'!O476)</f>
        <v/>
      </c>
      <c r="AJ476" s="35" t="n">
        <v>1.1</v>
      </c>
      <c r="AK476" s="26" t="inlineStr">
        <is>
          <t>N</t>
        </is>
      </c>
      <c r="AL476" s="36">
        <f>IF('BBG Verify'!K476="","not filed — run on terminal",'BBG Verify'!K476)</f>
        <v/>
      </c>
      <c r="AM476" s="26" t="inlineStr">
        <is>
          <t>N/A</t>
        </is>
      </c>
      <c r="AN476" s="26" t="inlineStr">
        <is>
          <t>N/A</t>
        </is>
      </c>
      <c r="AO476" s="26" t="inlineStr">
        <is>
          <t>N/A</t>
        </is>
      </c>
      <c r="AP476" s="26" t="inlineStr">
        <is>
          <t>Compliance Advisor DBS Asia Capital Limited; Industry consultant Frost &amp; Sullivan Limited; Property Valuer AVISTA Valuation Advisory Limited; Wan Chai, Hong Kong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AQ476" s="26" t="inlineStr">
        <is>
          <t>星展亞洲融資有限公司</t>
        </is>
      </c>
      <c r="AR476" s="26" t="inlineStr">
        <is>
          <t>招銀國際融資有限公司; 星展亞洲融資有限公司; 輝立証券（香港）有限公司; 浦銀國際融資有限公司; 友信證券有限公司</t>
        </is>
      </c>
      <c r="AS476" s="26" t="inlineStr">
        <is>
          <t>招銀國際融資有限公司; 星展亞洲融資有限公司; 輝立証券（香港）有限公司; 浦銀國際融資有限公司; 友信證券有限公司</t>
        </is>
      </c>
      <c r="AT476" s="37">
        <f>HYPERLINK("https://www1.hkexnews.hk/listedco/listconews/sehk/2026/0528/2026052800031.pdf","prospectus")</f>
        <v/>
      </c>
      <c r="AU476" s="37">
        <f>HYPERLINK("https://www1.hkexnews.hk/listedco/listconews/sehk/2026/0604/2026060402521.pdf","allotment")</f>
        <v/>
      </c>
      <c r="AV476" s="26" t="n"/>
      <c r="AW476" s="26" t="inlineStr">
        <is>
          <t>P/E: n/m — loss-making at IPO (use P/S) · greenshoe: end-of-stabilisation notice not located · A/H: no A-share listing · 3m: listed less than 3m ago</t>
        </is>
      </c>
    </row>
    <row r="477">
      <c r="A477" s="25" t="inlineStr">
        <is>
          <t>1081</t>
        </is>
      </c>
      <c r="B477" s="26" t="inlineStr">
        <is>
          <t>DAJIN</t>
        </is>
      </c>
      <c r="C477" s="26" t="inlineStr">
        <is>
          <t>大金重工</t>
        </is>
      </c>
      <c r="D477" s="26" t="inlineStr">
        <is>
          <t>Industrials</t>
        </is>
      </c>
      <c r="E477" s="26" t="inlineStr">
        <is>
          <t>Solar / wind supply chain</t>
        </is>
      </c>
      <c r="F477" s="26" t="inlineStr">
        <is>
          <t>Standard</t>
        </is>
      </c>
      <c r="G477" s="27" t="n">
        <v>46178</v>
      </c>
      <c r="H477" s="28" t="n">
        <v>6640.7</v>
      </c>
      <c r="I477" s="26" t="inlineStr">
        <is>
          <t>gross (stated)</t>
        </is>
      </c>
      <c r="J477" s="29" t="n"/>
      <c r="K477" s="29" t="n">
        <v>66.40000000000001</v>
      </c>
      <c r="L477" s="29" t="n">
        <v>66.40000000000001</v>
      </c>
      <c r="M477" s="26" t="inlineStr">
        <is>
          <t>Y</t>
        </is>
      </c>
      <c r="N477" s="30" t="n">
        <v>100</v>
      </c>
      <c r="O477" s="28" t="n">
        <v>48987.3</v>
      </c>
      <c r="P477" s="26" t="inlineStr">
        <is>
          <t>derived:price x shares upon listing</t>
        </is>
      </c>
      <c r="Q477" s="31" t="n">
        <v>134.39</v>
      </c>
      <c r="R477" s="39">
        <f>IF('BBG Verify'!E477="","not filed — run on terminal",'BBG Verify'!E477)</f>
        <v/>
      </c>
      <c r="S477" s="33" t="n">
        <v>48.54</v>
      </c>
      <c r="T477" s="26" t="inlineStr">
        <is>
          <t>CPE Juniper Investment Limited; Eastspring Investments (Hong Kong) Limited; Eastspring Investments (Singapore) Limited; 富國資產管理（香港）有限公司; 富國基金管理有限公司; GIC Private Limited; HHLR Advisors, Ltd; Hillhouse Investment Management, Ltd; 工銀理財有限責任公司; Marshall Wace Asia Limited; Millennium Capital Management (Singapore) Pte. Ltd; Pinpoint Asset Management Limited; 中郵理財有限責任公司; 泰康人壽保險有限責任公司; UBS Asset Management (Singapore) Ltd</t>
        </is>
      </c>
      <c r="U477" s="30" t="n">
        <v>15</v>
      </c>
      <c r="V477" s="26" t="inlineStr">
        <is>
          <t>partial</t>
        </is>
      </c>
      <c r="W477" s="34" t="n">
        <v>0</v>
      </c>
      <c r="X477" s="34" t="n">
        <v>-3.69</v>
      </c>
      <c r="Y477" s="34" t="n">
        <v>-30.72</v>
      </c>
      <c r="Z477" s="34" t="n"/>
      <c r="AA477" s="34" t="n">
        <v>-30.72</v>
      </c>
      <c r="AB477" s="34" t="n">
        <v>-25.22</v>
      </c>
      <c r="AC477" s="34" t="n">
        <v>-5.5</v>
      </c>
      <c r="AD477" s="26" t="inlineStr">
        <is>
          <t>Hang Seng Commerce &amp; Industry sub-index</t>
        </is>
      </c>
      <c r="AE477" s="34" t="n">
        <v>-48.8</v>
      </c>
      <c r="AF477" s="28" t="n">
        <v>6790.9</v>
      </c>
      <c r="AG477" s="28" t="n">
        <v>1213.6</v>
      </c>
      <c r="AH477" s="26" t="inlineStr">
        <is>
          <t>Y</t>
        </is>
      </c>
      <c r="AI477" s="35" t="n">
        <v>40.4</v>
      </c>
      <c r="AJ477" s="35" t="n">
        <v>7.2</v>
      </c>
      <c r="AK477" s="26" t="inlineStr">
        <is>
          <t>Y</t>
        </is>
      </c>
      <c r="AL477" s="26" t="inlineStr">
        <is>
          <t>002487.SZ</t>
        </is>
      </c>
      <c r="AM477" s="34" t="n">
        <v>-15.11</v>
      </c>
      <c r="AN477" s="29" t="n">
        <v>78.2184</v>
      </c>
      <c r="AO477" s="42" t="n">
        <v>-0.2883</v>
      </c>
      <c r="AP477" s="26" t="inlineStr">
        <is>
          <t>Huatai Financial Holdings (Hong Kong) Limited; China Merchants Securities (HK) Co., Limited; -Overall Coordinators Huatai Financial Holdings (Hong Kong) Limited</t>
        </is>
      </c>
      <c r="AQ477" s="26" t="inlineStr">
        <is>
          <t>華泰金融控股(香港)有限公司; 招商證券(香港)有限公司</t>
        </is>
      </c>
      <c r="AR477" s="26" t="inlineStr">
        <is>
          <t>建銀國際金融有限公司; 中國國際金融香港證券有限公司; 招商證券(香港)有限公司; 華泰金融控股(香港)有限公司; 平安證券（香港）有限公司</t>
        </is>
      </c>
      <c r="AS477" s="26" t="inlineStr">
        <is>
          <t>建銀國際金融有限公司; 中國國際金融香港證券有限公司; 招商證券(香港)有限公司; 華泰金融控股(香港)有限公司; 平安證券（香港）有限公司</t>
        </is>
      </c>
      <c r="AT477" s="37">
        <f>HYPERLINK("https://www1.hkexnews.hk/listedco/listconews/sehk/2026/0528/2026052800019.pdf","prospectus")</f>
        <v/>
      </c>
      <c r="AU477" s="37">
        <f>HYPERLINK("https://www1.hkexnews.hk/listedco/listconews/sehk/2026/0604/2026060402919.pdf","allotment")</f>
        <v/>
      </c>
      <c r="AV477" s="37">
        <f>HYPERLINK("https://www1.hkexnews.hk/listedco/listconews/sehk/2026/0702/2026070203999.pdf","stabilisation")</f>
        <v/>
      </c>
      <c r="AW477" s="26" t="inlineStr">
        <is>
          <t>intl sub: subscription level not stated in the filing · A/H: Jun 2026 H listing (offshore wind towers/monopiles) · 3m: listed less than 3m ago</t>
        </is>
      </c>
    </row>
    <row r="478">
      <c r="A478" s="25" t="inlineStr">
        <is>
          <t>1779</t>
        </is>
      </c>
      <c r="B478" s="26" t="inlineStr">
        <is>
          <t>LONGBIO-B</t>
        </is>
      </c>
      <c r="C478" s="26" t="inlineStr">
        <is>
          <t>天辰生物－Ｂ</t>
        </is>
      </c>
      <c r="D478" s="26" t="inlineStr">
        <is>
          <t>Healthcare</t>
        </is>
      </c>
      <c r="E478" s="26" t="inlineStr">
        <is>
          <t>Biotech pre-revenue (18A)</t>
        </is>
      </c>
      <c r="F478" s="26" t="inlineStr">
        <is>
          <t>18A</t>
        </is>
      </c>
      <c r="G478" s="27" t="n">
        <v>46178</v>
      </c>
      <c r="H478" s="28" t="n">
        <v>1363.4</v>
      </c>
      <c r="I478" s="26" t="inlineStr">
        <is>
          <t>gross (stated)</t>
        </is>
      </c>
      <c r="J478" s="29" t="n"/>
      <c r="K478" s="29" t="n">
        <v>96.06</v>
      </c>
      <c r="L478" s="29" t="n">
        <v>96.06</v>
      </c>
      <c r="M478" s="26" t="inlineStr">
        <is>
          <t>Y</t>
        </is>
      </c>
      <c r="N478" s="30" t="n">
        <v>100</v>
      </c>
      <c r="O478" s="28" t="n">
        <v>7127</v>
      </c>
      <c r="P478" s="26" t="inlineStr">
        <is>
          <t>prospectus:stated market capitalisation</t>
        </is>
      </c>
      <c r="Q478" s="31" t="n">
        <v>4762.58</v>
      </c>
      <c r="R478" s="32" t="n">
        <v>10.94</v>
      </c>
      <c r="S478" s="33" t="n">
        <v>49.96</v>
      </c>
      <c r="T478" s="26" t="inlineStr">
        <is>
          <t>睿遠全球睿選－Global Superior Choice Fund 1 SP; 睿遠全球睿選－Horizon Fund 1 SP; 睿遠全球睿選－Horizon Next Fund SP; 睿遠全球睿選－Vision Fund 1 SP; FR M CONSULTING CO., LTD; 富國資產管理（香港）有限公司; 富國基金管理有限公司; Mega Prime Development Limited; OrbiMed Genesis Master Fund, L.P; 上海高毅資產管理合夥企業（有限合夥）; The Biotech Growth Trust PLC; TruMed Health Innovation Fund LP; TruMed Healthcare Master Fund; 惠理基金管理香港有限公司; 惠理基金管理公司; 上海睿郡資產管理有限公司; 源峰遠景成長基金及中國銀河國際投資</t>
        </is>
      </c>
      <c r="U478" s="30" t="n">
        <v>5.73</v>
      </c>
      <c r="V478" s="26" t="inlineStr">
        <is>
          <t>full</t>
        </is>
      </c>
      <c r="W478" s="34" t="n">
        <v>37.21</v>
      </c>
      <c r="X478" s="34" t="n">
        <v>49.8</v>
      </c>
      <c r="Y478" s="34" t="n">
        <v>-1.05</v>
      </c>
      <c r="Z478" s="34" t="n"/>
      <c r="AA478" s="34" t="n">
        <v>-27.88</v>
      </c>
      <c r="AB478" s="34" t="n">
        <v>-9.859999999999999</v>
      </c>
      <c r="AC478" s="34" t="n">
        <v>8.81</v>
      </c>
      <c r="AD478" s="26" t="inlineStr">
        <is>
          <t>China Biotech ETF (HS biotech proxy)</t>
        </is>
      </c>
      <c r="AE478" s="34" t="n">
        <v>19.4</v>
      </c>
      <c r="AF478" s="28" t="n">
        <v>2.2</v>
      </c>
      <c r="AG478" s="28" t="n">
        <v>-151.1</v>
      </c>
      <c r="AH478" s="26" t="inlineStr">
        <is>
          <t>N</t>
        </is>
      </c>
      <c r="AI478" s="38">
        <f>IF('BBG Verify'!O478="","not filed — run on terminal",'BBG Verify'!O478)</f>
        <v/>
      </c>
      <c r="AJ478" s="35" t="n">
        <v>3239.5</v>
      </c>
      <c r="AK478" s="26" t="inlineStr">
        <is>
          <t>N</t>
        </is>
      </c>
      <c r="AL478" s="36">
        <f>IF('BBG Verify'!K478="","not filed — run on terminal",'BBG Verify'!K478)</f>
        <v/>
      </c>
      <c r="AM478" s="26" t="inlineStr">
        <is>
          <t>N/A</t>
        </is>
      </c>
      <c r="AN478" s="26" t="inlineStr">
        <is>
          <t>N/A</t>
        </is>
      </c>
      <c r="AO478" s="26" t="inlineStr">
        <is>
          <t>N/A</t>
        </is>
      </c>
      <c r="AP478" s="26" t="inlineStr">
        <is>
          <t>and Sole Sponsor-Overall Coordinator Sinolink Securities (Hong Kong) Company Limited</t>
        </is>
      </c>
      <c r="AQ478" s="26" t="inlineStr">
        <is>
          <t>國金證券（香港）有限公司</t>
        </is>
      </c>
      <c r="AR478" s="26" t="inlineStr">
        <is>
          <t>GF Securities (Hong Kong) Brokerage Limited; Wan Chai, Hong Kong ABCI Capital Limited; ABCI Securities Company Limited</t>
        </is>
      </c>
      <c r="AS478" s="26" t="inlineStr">
        <is>
          <t>農銀國際證券有限公司; 建銀國際金融有限公司; 廣發證券（香港）經紀有限公司; 國金證券（香港）有限公司; 山證國際證券有限公司; TradeGo Markets Limited</t>
        </is>
      </c>
      <c r="AT478" s="37">
        <f>HYPERLINK("https://www1.hkexnews.hk/listedco/listconews/sehk/2026/0528/2026052800023.pdf","prospectus")</f>
        <v/>
      </c>
      <c r="AU478" s="37">
        <f>HYPERLINK("https://www1.hkexnews.hk/listedco/listconews/sehk/2026/0604/2026060402923.pdf","allotment")</f>
        <v/>
      </c>
      <c r="AV478" s="37">
        <f>HYPERLINK("https://www1.hkexnews.hk/listedco/listconews/sehk/2026/0702/2026070203309.pdf","stabilisation")</f>
        <v/>
      </c>
      <c r="AW478" s="26" t="inlineStr">
        <is>
          <t>P/E: n/m — loss-making at IPO (use P/S) · A/H: no A-share listing · 3m: listed less than 3m ago</t>
        </is>
      </c>
    </row>
    <row r="479">
      <c r="A479" s="25" t="inlineStr">
        <is>
          <t>6658</t>
        </is>
      </c>
      <c r="B479" s="26" t="inlineStr">
        <is>
          <t>LIULIUMEI</t>
        </is>
      </c>
      <c r="C479" s="26" t="inlineStr">
        <is>
          <t>溜溜梅</t>
        </is>
      </c>
      <c r="D479" s="26" t="inlineStr">
        <is>
          <t>Consumer</t>
        </is>
      </c>
      <c r="E479" s="26" t="inlineStr">
        <is>
          <t>Beverages / packaged food</t>
        </is>
      </c>
      <c r="F479" s="26" t="inlineStr">
        <is>
          <t>Standard</t>
        </is>
      </c>
      <c r="G479" s="27" t="n">
        <v>46188</v>
      </c>
      <c r="H479" s="28" t="n">
        <v>499.6</v>
      </c>
      <c r="I479" s="26" t="inlineStr">
        <is>
          <t>gross (stated)</t>
        </is>
      </c>
      <c r="J479" s="29" t="n"/>
      <c r="K479" s="29" t="n">
        <v>43.58</v>
      </c>
      <c r="L479" s="29" t="n">
        <v>43.58</v>
      </c>
      <c r="M479" s="26" t="inlineStr">
        <is>
          <t>Y</t>
        </is>
      </c>
      <c r="N479" s="30" t="n">
        <v>100</v>
      </c>
      <c r="O479" s="28" t="n">
        <v>3434.6</v>
      </c>
      <c r="P479" s="26" t="inlineStr">
        <is>
          <t>derived:price x shares upon listing</t>
        </is>
      </c>
      <c r="Q479" s="31" t="n">
        <v>6586.73</v>
      </c>
      <c r="R479" s="32" t="n">
        <v>2.64</v>
      </c>
      <c r="S479" s="33" t="n">
        <v>29.55</v>
      </c>
      <c r="T479" s="26" t="inlineStr">
        <is>
          <t>達隆發展有限公司</t>
        </is>
      </c>
      <c r="U479" s="30" t="n">
        <v>11.9</v>
      </c>
      <c r="V479" s="26" t="n"/>
      <c r="W479" s="34" t="n">
        <v>193.71</v>
      </c>
      <c r="X479" s="34" t="n">
        <v>225.61</v>
      </c>
      <c r="Y479" s="34" t="n">
        <v>277.93</v>
      </c>
      <c r="Z479" s="34" t="n"/>
      <c r="AA479" s="34" t="n">
        <v>28.67</v>
      </c>
      <c r="AB479" s="34" t="n">
        <v>275.73</v>
      </c>
      <c r="AC479" s="34" t="n">
        <v>2.2</v>
      </c>
      <c r="AD479" s="26" t="inlineStr">
        <is>
          <t>Hang Seng Commerce &amp; Industry sub-index</t>
        </is>
      </c>
      <c r="AE479" s="34" t="n">
        <v>256.36</v>
      </c>
      <c r="AF479" s="28" t="n">
        <v>1881.8</v>
      </c>
      <c r="AG479" s="28" t="n">
        <v>200.3</v>
      </c>
      <c r="AH479" s="26" t="inlineStr">
        <is>
          <t>Y</t>
        </is>
      </c>
      <c r="AI479" s="35" t="n">
        <v>17.1</v>
      </c>
      <c r="AJ479" s="35" t="n">
        <v>1.8</v>
      </c>
      <c r="AK479" s="26" t="inlineStr">
        <is>
          <t>N</t>
        </is>
      </c>
      <c r="AL479" s="36">
        <f>IF('BBG Verify'!K479="","not filed — run on terminal",'BBG Verify'!K479)</f>
        <v/>
      </c>
      <c r="AM479" s="26" t="inlineStr">
        <is>
          <t>N/A</t>
        </is>
      </c>
      <c r="AN479" s="26" t="inlineStr">
        <is>
          <t>N/A</t>
        </is>
      </c>
      <c r="AO479" s="26" t="inlineStr">
        <is>
          <t>N/A</t>
        </is>
      </c>
      <c r="AP479" s="26" t="inlineStr">
        <is>
          <t>CITIC Securities (Hong Kong) Limited; Guoyuan Capital (Hong Kong) Limited</t>
        </is>
      </c>
      <c r="AQ479" s="26" t="inlineStr">
        <is>
          <t>中信證券(香港)有限公司; 國元融資（香港）有限公司</t>
        </is>
      </c>
      <c r="AR479" s="26" t="inlineStr">
        <is>
          <t>Managers and Capital Market Intermediaries CLSA Limited; Guoyuan Securities Brokerage (Hong Kong) Limited; Central, Hong Kong Zhongtai International Securities Limited; Central, Hong Kong Soochow Securities International Brokerage Limited; CEB International Capital Corporation Limited; Wan Chai, Hong Kong Huafu International Securities Limited; Sheung Wan, Hong Kong Orient Securities (Hong Kong) Limited</t>
        </is>
      </c>
      <c r="AS479" s="26" t="inlineStr">
        <is>
          <t>光銀國際資本有限公司; 中信里昂證券有限公司; 國元證券經紀(香港)有限公司; 華福國際證券有限公司; 東方證券(香港)有限公司; 東吳證券國際經紀有限公司; 中泰國際證券有限公司</t>
        </is>
      </c>
      <c r="AT479" s="37">
        <f>HYPERLINK("https://www1.hkexnews.hk/listedco/listconews/sehk/2026/0605/2026060500023.pdf","prospectus")</f>
        <v/>
      </c>
      <c r="AU479" s="37">
        <f>HYPERLINK("https://www1.hkexnews.hk/listedco/listconews/sehk/2026/0612/2026061202100.pdf","allotment")</f>
        <v/>
      </c>
      <c r="AV479" s="26" t="n"/>
      <c r="AW479" s="26" t="inlineStr">
        <is>
          <t>greenshoe: end-of-stabilisation notice not located · A/H: no A-share listing · 3m: listed less than 3m ago</t>
        </is>
      </c>
    </row>
    <row r="480">
      <c r="A480" s="25" t="inlineStr">
        <is>
          <t>6675</t>
        </is>
      </c>
      <c r="B480" s="26" t="inlineStr">
        <is>
          <t>SENASIC</t>
        </is>
      </c>
      <c r="C480" s="26" t="inlineStr">
        <is>
          <t>SENASIC</t>
        </is>
      </c>
      <c r="D480" s="26" t="inlineStr">
        <is>
          <t>Tech/AI</t>
        </is>
      </c>
      <c r="E480" s="26" t="inlineStr">
        <is>
          <t>AI chips &amp; semis</t>
        </is>
      </c>
      <c r="F480" s="26" t="inlineStr">
        <is>
          <t>Standard</t>
        </is>
      </c>
      <c r="G480" s="27" t="n">
        <v>46190</v>
      </c>
      <c r="H480" s="28" t="n">
        <v>980.55</v>
      </c>
      <c r="I480" s="26" t="inlineStr">
        <is>
          <t>gross (stated)</t>
        </is>
      </c>
      <c r="J480" s="29" t="n"/>
      <c r="K480" s="29" t="n">
        <v>18.36</v>
      </c>
      <c r="L480" s="29" t="n">
        <v>18.36</v>
      </c>
      <c r="M480" s="26" t="inlineStr">
        <is>
          <t>Y</t>
        </is>
      </c>
      <c r="N480" s="30" t="n">
        <v>100</v>
      </c>
      <c r="O480" s="28" t="n">
        <v>6178.6</v>
      </c>
      <c r="P480" s="26" t="inlineStr">
        <is>
          <t>derived:deal size / offer % of enlarged capital</t>
        </is>
      </c>
      <c r="Q480" s="31" t="n">
        <v>5144.97</v>
      </c>
      <c r="R480" s="32" t="n">
        <v>4.44</v>
      </c>
      <c r="S480" s="33" t="n">
        <v>28.86</v>
      </c>
      <c r="T480" s="26" t="inlineStr">
        <is>
          <t>Chample International Limited; Libra Fixed Income One SP; 香港隆威國際貿易有限公司; 閻焱先生; Oakwise Growth Fund SPC - Greater China Fund SP; RIME Capital Limited; 欣旺達財資（香港）有限公司; Tembusu Limited; Thalassa Capital Dynamics SPC</t>
        </is>
      </c>
      <c r="U480" s="30" t="n">
        <v>5.3</v>
      </c>
      <c r="V480" s="26" t="inlineStr">
        <is>
          <t>partial</t>
        </is>
      </c>
      <c r="W480" s="34" t="n">
        <v>127.12</v>
      </c>
      <c r="X480" s="34" t="n">
        <v>105.88</v>
      </c>
      <c r="Y480" s="34" t="n">
        <v>10.02</v>
      </c>
      <c r="Z480" s="34" t="n"/>
      <c r="AA480" s="34" t="n">
        <v>-51.56</v>
      </c>
      <c r="AB480" s="34" t="n">
        <v>8.09</v>
      </c>
      <c r="AC480" s="34" t="n">
        <v>1.93</v>
      </c>
      <c r="AD480" s="26" t="inlineStr">
        <is>
          <t>HSTECH (Hang Seng TECH ETF)</t>
        </is>
      </c>
      <c r="AE480" s="34" t="n">
        <v>70.92</v>
      </c>
      <c r="AF480" s="28" t="n">
        <v>525.6</v>
      </c>
      <c r="AG480" s="28" t="n">
        <v>-386.5</v>
      </c>
      <c r="AH480" s="26" t="inlineStr">
        <is>
          <t>N</t>
        </is>
      </c>
      <c r="AI480" s="38">
        <f>IF('BBG Verify'!O480="","not filed — run on terminal",'BBG Verify'!O480)</f>
        <v/>
      </c>
      <c r="AJ480" s="35" t="n">
        <v>11.8</v>
      </c>
      <c r="AK480" s="26" t="inlineStr">
        <is>
          <t>N</t>
        </is>
      </c>
      <c r="AL480" s="36">
        <f>IF('BBG Verify'!K480="","not filed — run on terminal",'BBG Verify'!K480)</f>
        <v/>
      </c>
      <c r="AM480" s="26" t="inlineStr">
        <is>
          <t>N/A</t>
        </is>
      </c>
      <c r="AN480" s="26" t="inlineStr">
        <is>
          <t>N/A</t>
        </is>
      </c>
      <c r="AO480" s="26" t="inlineStr">
        <is>
          <t>N/A</t>
        </is>
      </c>
      <c r="AP480" s="26" t="inlineStr">
        <is>
          <t>China International Capital Corporation Hong Kong Securities Limited; Guotai Junan Capital Limited; -OCs China International Capital Corporation Hong Kong Securities Limited; Guotai Junan Securities (Hong Kong) Limited</t>
        </is>
      </c>
      <c r="AQ480" s="26" t="inlineStr">
        <is>
          <t>中國國際金融香港證券有限公司; 國泰君安融資有限公司</t>
        </is>
      </c>
      <c r="AR480" s="26"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AS480" s="26" t="inlineStr">
        <is>
          <t>農銀國際證券有限公司; 中國國際金融香港證券有限公司; 民銀證券有限公司; 大和資本市場香港有限公司; 富途證券國際（香港）有限公司; 廣發證券（香港）經紀有限公司; 國泰君安證券(香港)有限公司; 山證國際融資有限公司; 浦銀國際融資有限公司; 老虎證券（香港）環球有限公司</t>
        </is>
      </c>
      <c r="AT480" s="37">
        <f>HYPERLINK("https://www1.hkexnews.hk/listedco/listconews/sehk/2026/0609/2026060900029.pdf","prospectus")</f>
        <v/>
      </c>
      <c r="AU480" s="37">
        <f>HYPERLINK("https://www1.hkexnews.hk/listedco/listconews/sehk/2026/0616/2026061601760.pdf","allotment")</f>
        <v/>
      </c>
      <c r="AV480" s="37">
        <f>HYPERLINK("https://www1.hkexnews.hk/listedco/listconews/sehk/2026/0712/2026071200003.pdf","stabilisation")</f>
        <v/>
      </c>
      <c r="AW480" s="26" t="inlineStr">
        <is>
          <t>P/E: n/m — loss-making at IPO (use P/S) · A/H: no A-share listing · 3m: listed less than 3m ago</t>
        </is>
      </c>
    </row>
    <row r="481">
      <c r="A481" s="25" t="inlineStr">
        <is>
          <t>1392</t>
        </is>
      </c>
      <c r="B481" s="26" t="inlineStr">
        <is>
          <t>HQVT</t>
        </is>
      </c>
      <c r="C481" s="26" t="inlineStr">
        <is>
          <t>海清智元</t>
        </is>
      </c>
      <c r="D481" s="26" t="inlineStr">
        <is>
          <t>Tech/AI</t>
        </is>
      </c>
      <c r="E481" s="26" t="inlineStr">
        <is>
          <t>AI application / agent software</t>
        </is>
      </c>
      <c r="F481" s="26" t="inlineStr">
        <is>
          <t>Standard</t>
        </is>
      </c>
      <c r="G481" s="27" t="n">
        <v>46195</v>
      </c>
      <c r="H481" s="28" t="n">
        <v>613.17</v>
      </c>
      <c r="I481" s="26" t="inlineStr">
        <is>
          <t>gross (stated)</t>
        </is>
      </c>
      <c r="J481" s="29" t="n"/>
      <c r="K481" s="29" t="n">
        <v>7.2</v>
      </c>
      <c r="L481" s="29" t="n">
        <v>7.2</v>
      </c>
      <c r="M481" s="26" t="inlineStr">
        <is>
          <t>Y</t>
        </is>
      </c>
      <c r="N481" s="30" t="n">
        <v>100</v>
      </c>
      <c r="O481" s="28" t="n">
        <v>5574.3</v>
      </c>
      <c r="P481" s="26" t="inlineStr">
        <is>
          <t>derived:price x shares upon listing</t>
        </is>
      </c>
      <c r="Q481" s="31" t="n">
        <v>7181.21</v>
      </c>
      <c r="R481" s="32" t="n">
        <v>4.81</v>
      </c>
      <c r="S481" s="33" t="n"/>
      <c r="T481" s="26" t="n"/>
      <c r="U481" s="30" t="n"/>
      <c r="V481" s="26" t="n"/>
      <c r="W481" s="34" t="n">
        <v>270.83</v>
      </c>
      <c r="X481" s="34" t="n">
        <v>143.75</v>
      </c>
      <c r="Y481" s="34" t="n">
        <v>95.83</v>
      </c>
      <c r="Z481" s="34" t="n"/>
      <c r="AA481" s="34" t="n">
        <v>-47.19</v>
      </c>
      <c r="AB481" s="34" t="n">
        <v>94.31999999999999</v>
      </c>
      <c r="AC481" s="34" t="n">
        <v>1.51</v>
      </c>
      <c r="AD481" s="26" t="inlineStr">
        <is>
          <t>HSTECH (Hang Seng TECH ETF)</t>
        </is>
      </c>
      <c r="AE481" s="34" t="n">
        <v>205.56</v>
      </c>
      <c r="AF481" s="28" t="n">
        <v>735.4</v>
      </c>
      <c r="AG481" s="28" t="n">
        <v>32.3</v>
      </c>
      <c r="AH481" s="26" t="inlineStr">
        <is>
          <t>Y</t>
        </is>
      </c>
      <c r="AI481" s="35" t="n">
        <v>172.6</v>
      </c>
      <c r="AJ481" s="35" t="n">
        <v>7.6</v>
      </c>
      <c r="AK481" s="26" t="inlineStr">
        <is>
          <t>N</t>
        </is>
      </c>
      <c r="AL481" s="36">
        <f>IF('BBG Verify'!K481="","not filed — run on terminal",'BBG Verify'!K481)</f>
        <v/>
      </c>
      <c r="AM481" s="26" t="inlineStr">
        <is>
          <t>N/A</t>
        </is>
      </c>
      <c r="AN481" s="26" t="inlineStr">
        <is>
          <t>N/A</t>
        </is>
      </c>
      <c r="AO481" s="26" t="inlineStr">
        <is>
          <t>N/A</t>
        </is>
      </c>
      <c r="AP481" s="26" t="inlineStr">
        <is>
          <t>CMBC International Capital Limited; Central, Hong Kong SPDB International Capital Limited</t>
        </is>
      </c>
      <c r="AQ481" s="26" t="inlineStr">
        <is>
          <t>民銀資本有限公司; 浦銀國際融資有限公司</t>
        </is>
      </c>
      <c r="AR481" s="26" t="inlineStr">
        <is>
          <t>Manager and Capital Market Intermediary Livermore Holdings Limited; Managers and Capital Market Intermediaries CCB International Capital Limited; Wanchai, Hong Kong CMB International Capital Limited; Central, Hong Kong DL Securities (HK) Limited; Central, Hong Kong Huafu International Securities Limited; Sheung Wan, Hong Kong Skyvast Securities Limited; Central, Hong Kong Somerley Capital Limited; Yuen Meta (International) Securities Limited; Wanchai, Hong Kong Yunfeng Securities Limited; Wanchai, Hong Kong Zheshang International Financial Holdings Co., Limited; Sheung Wan, Hong Kong Zhongtai International Securities Limited</t>
        </is>
      </c>
      <c r="AS481" s="26" t="inlineStr">
        <is>
          <t>建銀國際金融有限公司; 光銀國際資本有限公司; 中灣國際證券有限公司; 民銀證券有限公司; 招銀國際融資有限公司; 德林證券（香港）有限公司; 華福國際證券有限公司; 利弗莫爾證券有限公司; 新百利融資有限公司; 浦銀國際融資有限公司; 天澤證券有限公司; 雲鋒證券有限公司; 元宇宙（國際）證券有限公司; 浙商國際金融控股有限公司; 中泰國際證券有限公司</t>
        </is>
      </c>
      <c r="AT481" s="37">
        <f>HYPERLINK("https://www1.hkexnews.hk/listedco/listconews/sehk/2026/0611/2026061100015.pdf","prospectus")</f>
        <v/>
      </c>
      <c r="AU481" s="37">
        <f>HYPERLINK("https://www1.hkexnews.hk/listedco/listconews/sehk/2026/0618/2026061802066.pdf","allotment")</f>
        <v/>
      </c>
      <c r="AV481" s="26" t="n"/>
      <c r="AW481" s="26" t="inlineStr">
        <is>
          <t>greenshoe: no over-allotment option in the offer structure · A/H: no A-share listing · 3m: listed less than 3m ago</t>
        </is>
      </c>
    </row>
    <row r="482">
      <c r="A482" s="25" t="inlineStr">
        <is>
          <t>6132</t>
        </is>
      </c>
      <c r="B482" s="26" t="inlineStr">
        <is>
          <t>HJ SCIENCE-B</t>
        </is>
      </c>
      <c r="C482" s="26" t="inlineStr">
        <is>
          <t>華健未來－Ｂ</t>
        </is>
      </c>
      <c r="D482" s="26" t="inlineStr">
        <is>
          <t>Healthcare</t>
        </is>
      </c>
      <c r="E482" s="26" t="inlineStr">
        <is>
          <t>Biotech pre-revenue (18A)</t>
        </is>
      </c>
      <c r="F482" s="26" t="inlineStr">
        <is>
          <t>18A</t>
        </is>
      </c>
      <c r="G482" s="27" t="n">
        <v>46196</v>
      </c>
      <c r="H482" s="28" t="n">
        <v>1112.5</v>
      </c>
      <c r="I482" s="26" t="inlineStr">
        <is>
          <t>gross (stated)</t>
        </is>
      </c>
      <c r="J482" s="29" t="n"/>
      <c r="K482" s="29" t="n">
        <v>81.8</v>
      </c>
      <c r="L482" s="29" t="n">
        <v>81.8</v>
      </c>
      <c r="M482" s="26" t="inlineStr">
        <is>
          <t>Y</t>
        </is>
      </c>
      <c r="N482" s="30" t="n">
        <v>100</v>
      </c>
      <c r="O482" s="41">
        <f>IF('BBG Verify'!M482="","not filed — run on terminal",'BBG Verify'!M482)</f>
        <v/>
      </c>
      <c r="P482" s="26" t="n"/>
      <c r="Q482" s="31" t="n">
        <v>2007.6</v>
      </c>
      <c r="R482" s="32" t="n">
        <v>7</v>
      </c>
      <c r="S482" s="33" t="n">
        <v>34.66</v>
      </c>
      <c r="T482" s="26" t="inlineStr">
        <is>
          <t>睿遠基金管理有限公司; 凱博未來有限公司; LBC HK Opportunity Fund Limited; 盤京港景投資基金; Sage Partners Master Fund; 泰康人壽保險有限責任公司</t>
        </is>
      </c>
      <c r="U482" s="30" t="n">
        <v>7.5</v>
      </c>
      <c r="V482" s="26" t="inlineStr">
        <is>
          <t>lapsed</t>
        </is>
      </c>
      <c r="W482" s="34" t="n">
        <v>-56.89</v>
      </c>
      <c r="X482" s="34" t="n">
        <v>-56.14</v>
      </c>
      <c r="Y482" s="34" t="n">
        <v>-42.52</v>
      </c>
      <c r="Z482" s="34" t="n"/>
      <c r="AA482" s="34" t="n">
        <v>33.33</v>
      </c>
      <c r="AB482" s="34" t="n">
        <v>-61.81</v>
      </c>
      <c r="AC482" s="34" t="n">
        <v>19.29</v>
      </c>
      <c r="AD482" s="26" t="inlineStr">
        <is>
          <t>China Biotech ETF (HS biotech proxy)</t>
        </is>
      </c>
      <c r="AE482" s="34" t="n">
        <v>-51.69</v>
      </c>
      <c r="AF482" s="28" t="n">
        <v>14.3</v>
      </c>
      <c r="AG482" s="28" t="n">
        <v>-148.6</v>
      </c>
      <c r="AH482" s="26" t="inlineStr">
        <is>
          <t>N</t>
        </is>
      </c>
      <c r="AI482" s="38">
        <f>IF('BBG Verify'!O482="","not filed — run on terminal",'BBG Verify'!O482)</f>
        <v/>
      </c>
      <c r="AJ482" s="35" t="n"/>
      <c r="AK482" s="26" t="inlineStr">
        <is>
          <t>N</t>
        </is>
      </c>
      <c r="AL482" s="36">
        <f>IF('BBG Verify'!K482="","not filed — run on terminal",'BBG Verify'!K482)</f>
        <v/>
      </c>
      <c r="AM482" s="26" t="inlineStr">
        <is>
          <t>N/A</t>
        </is>
      </c>
      <c r="AN482" s="26" t="inlineStr">
        <is>
          <t>N/A</t>
        </is>
      </c>
      <c r="AO482" s="26" t="inlineStr">
        <is>
          <t>N/A</t>
        </is>
      </c>
      <c r="AP482" s="26" t="inlineStr">
        <is>
          <t>CITIC Securities (Hong Kong) Limited</t>
        </is>
      </c>
      <c r="AQ482" s="26" t="inlineStr">
        <is>
          <t>中信證券(香港)有限公司</t>
        </is>
      </c>
      <c r="AR482" s="26" t="inlineStr">
        <is>
          <t>CLSA Limited; Sole Lead Manager CLSA Limited</t>
        </is>
      </c>
      <c r="AS482" s="26" t="inlineStr">
        <is>
          <t>中信里昂證券有限公司</t>
        </is>
      </c>
      <c r="AT482" s="37">
        <f>HYPERLINK("https://www1.hkexnews.hk/listedco/listconews/sehk/2026/0612/2026061200083.pdf","prospectus")</f>
        <v/>
      </c>
      <c r="AU482" s="37">
        <f>HYPERLINK("https://www1.hkexnews.hk/listedco/listconews/sehk/2026/0622/2026062201627.pdf","allotment")</f>
        <v/>
      </c>
      <c r="AV482" s="37">
        <f>HYPERLINK("https://www1.hkexnews.hk/listedco/listconews/sehk/2026/0717/2026071700724.pdf","stabilisation")</f>
        <v/>
      </c>
      <c r="AW482" s="26" t="inlineStr">
        <is>
          <t>P/E: n/m — loss-making at IPO (use P/S) · A/H: no A-share listing · 3m: listed less than 3m ago</t>
        </is>
      </c>
    </row>
    <row r="483">
      <c r="A483" s="25" t="inlineStr">
        <is>
          <t>6067</t>
        </is>
      </c>
      <c r="B483" s="26" t="inlineStr">
        <is>
          <t>SENIOR MATERIAL</t>
        </is>
      </c>
      <c r="C483" s="26" t="inlineStr">
        <is>
          <t>星源材質</t>
        </is>
      </c>
      <c r="D483" s="26" t="inlineStr">
        <is>
          <t>Industrials</t>
        </is>
      </c>
      <c r="E483" s="26" t="inlineStr">
        <is>
          <t>Batteries / energy storage</t>
        </is>
      </c>
      <c r="F483" s="26" t="inlineStr">
        <is>
          <t>Standard</t>
        </is>
      </c>
      <c r="G483" s="27" t="n">
        <v>46196</v>
      </c>
      <c r="H483" s="28" t="n">
        <v>1342.7</v>
      </c>
      <c r="I483" s="26" t="inlineStr">
        <is>
          <t>gross (stated)</t>
        </is>
      </c>
      <c r="J483" s="29" t="n"/>
      <c r="K483" s="29" t="n">
        <v>8.98</v>
      </c>
      <c r="L483" s="29" t="n">
        <v>8.98</v>
      </c>
      <c r="M483" s="26" t="inlineStr">
        <is>
          <t>Y</t>
        </is>
      </c>
      <c r="N483" s="30" t="n">
        <v>100</v>
      </c>
      <c r="O483" s="28" t="n">
        <v>13427.2</v>
      </c>
      <c r="P483" s="26" t="inlineStr">
        <is>
          <t>derived:price x shares upon listing</t>
        </is>
      </c>
      <c r="Q483" s="31" t="n">
        <v>1563.16</v>
      </c>
      <c r="R483" s="32" t="n">
        <v>14.34</v>
      </c>
      <c r="S483" s="33" t="n">
        <v>45.14</v>
      </c>
      <c r="T483" s="26" t="inlineStr">
        <is>
          <t>Bona Star Consultant Limited; CICC Financial Trading Limited; 富國基金管理有限公司; 廣發基金管理有限公司; Harvest International Premium Value (Secondary Market) Fund SPC; 晶科能源投資有限公司; Mondeomax Limited; 陳峰先生; SHEEN NATION HOLDINGS LIMITED; 深三和集團（香港）有限公司; Springs Capital (Hong Kong) Limited; 欣旺達財資（香港）有限公司; 泰康人壽保險有限責任公司</t>
        </is>
      </c>
      <c r="U483" s="30" t="n"/>
      <c r="V483" s="26" t="n"/>
      <c r="W483" s="34" t="n">
        <v>22.49</v>
      </c>
      <c r="X483" s="34" t="n">
        <v>10.24</v>
      </c>
      <c r="Y483" s="34" t="n">
        <v>-12.25</v>
      </c>
      <c r="Z483" s="34" t="n"/>
      <c r="AA483" s="34" t="n">
        <v>-28.36</v>
      </c>
      <c r="AB483" s="34" t="n">
        <v>-18.87</v>
      </c>
      <c r="AC483" s="34" t="n">
        <v>6.62</v>
      </c>
      <c r="AD483" s="26" t="inlineStr">
        <is>
          <t>Hang Seng Commerce &amp; Industry sub-index</t>
        </is>
      </c>
      <c r="AE483" s="34" t="n">
        <v>-8.800000000000001</v>
      </c>
      <c r="AF483" s="28" t="n">
        <v>4484.5</v>
      </c>
      <c r="AG483" s="28" t="n">
        <v>157.4</v>
      </c>
      <c r="AH483" s="26" t="inlineStr">
        <is>
          <t>Y</t>
        </is>
      </c>
      <c r="AI483" s="35" t="n">
        <v>85.3</v>
      </c>
      <c r="AJ483" s="35" t="n">
        <v>3</v>
      </c>
      <c r="AK483" s="26" t="inlineStr">
        <is>
          <t>Y</t>
        </is>
      </c>
      <c r="AL483" s="26" t="inlineStr">
        <is>
          <t>300568.SZ</t>
        </is>
      </c>
      <c r="AM483" s="34" t="n">
        <v>-61.84</v>
      </c>
      <c r="AN483" s="29" t="n">
        <v>23.5319</v>
      </c>
      <c r="AO483" s="42" t="n">
        <v>-0.531</v>
      </c>
      <c r="AP483" s="26" t="inlineStr">
        <is>
          <t>China Securities (International) Corporate Finance Company Limited</t>
        </is>
      </c>
      <c r="AQ483" s="26" t="inlineStr">
        <is>
          <t>中信建投(國際)融資有限公司</t>
        </is>
      </c>
      <c r="AR483" s="26" t="inlineStr">
        <is>
          <t>Joint Lead Managers CMBC Securities Company Limited; Jinluo Securities Limited; New Industrial Financial Holdings Limited; China Industrial Securities International Capital Limited; Managers Futu Securities International (Hong Kong) Limited; Tiger Brokers (HK) Global Limited; China Securities (International) Corporate Finance Company Limited; Huatai Financial Holdings (Hong Kong) Limited; ICBC International Securities Limited; CMBC Securities Company Limited; Futu Securities International (Hong Kong) Limited</t>
        </is>
      </c>
      <c r="AS483" s="26" t="inlineStr">
        <is>
          <t>中國國際金融香港證券有限公司; 興證國際融資有限公司; 民銀證券有限公司; 中信建投(國際)融資有限公司; 富途證券國際（香港）有限公司; 華泰金融控股(香港)有限公司; 工銀國際證券有限公司; 金洛證券有限公司; 新工金控有限公司; 老虎證券（香港）環球有限公司; 華港證券有限公司</t>
        </is>
      </c>
      <c r="AT483" s="37">
        <f>HYPERLINK("https://www1.hkexnews.hk/listedco/listconews/sehk/2026/0612/2026061200031.pdf","prospectus")</f>
        <v/>
      </c>
      <c r="AU483" s="37">
        <f>HYPERLINK("https://www1.hkexnews.hk/listedco/listconews/sehk/2026/0622/2026062202141.pdf","allotment")</f>
        <v/>
      </c>
      <c r="AV483" s="26" t="n"/>
      <c r="AW483" s="26" t="inlineStr">
        <is>
          <t>greenshoe: no over-allotment option in the offer structure · A/H: Jun 2026 H listing (battery separators) · 3m: listed less than 3m ago</t>
        </is>
      </c>
    </row>
    <row r="484">
      <c r="A484" s="25" t="inlineStr">
        <is>
          <t>2335</t>
        </is>
      </c>
      <c r="B484" s="26" t="inlineStr">
        <is>
          <t>MICOT PHARMA-B</t>
        </is>
      </c>
      <c r="C484" s="26" t="inlineStr">
        <is>
          <t>麥科醫藥－Ｂ</t>
        </is>
      </c>
      <c r="D484" s="26" t="inlineStr">
        <is>
          <t>Healthcare</t>
        </is>
      </c>
      <c r="E484" s="26" t="inlineStr">
        <is>
          <t>Biotech pre-revenue (18A)</t>
        </is>
      </c>
      <c r="F484" s="26" t="inlineStr">
        <is>
          <t>18A</t>
        </is>
      </c>
      <c r="G484" s="27" t="n">
        <v>46197</v>
      </c>
      <c r="H484" s="28" t="n">
        <v>1056.6</v>
      </c>
      <c r="I484" s="26" t="inlineStr">
        <is>
          <t>gross (stated)</t>
        </is>
      </c>
      <c r="J484" s="29" t="n">
        <v>18.2</v>
      </c>
      <c r="K484" s="29" t="n">
        <v>21</v>
      </c>
      <c r="L484" s="29" t="n">
        <v>18.2</v>
      </c>
      <c r="M484" s="26" t="inlineStr">
        <is>
          <t>N</t>
        </is>
      </c>
      <c r="N484" s="30" t="n">
        <v>86.7</v>
      </c>
      <c r="O484" s="28" t="n">
        <v>6037.7</v>
      </c>
      <c r="P484" s="26" t="inlineStr">
        <is>
          <t>derived:price x shares upon listing</t>
        </is>
      </c>
      <c r="Q484" s="31" t="n">
        <v>1181.46</v>
      </c>
      <c r="R484" s="32" t="n">
        <v>2.52</v>
      </c>
      <c r="S484" s="33" t="n">
        <v>42.51</v>
      </c>
      <c r="T484" s="26" t="inlineStr">
        <is>
          <t>雲頂新耀有限公司; 啟源高新創投（香港）有限公司; 順鳴資本有限公司</t>
        </is>
      </c>
      <c r="U484" s="30" t="n">
        <v>8.24</v>
      </c>
      <c r="V484" s="26" t="n"/>
      <c r="W484" s="34" t="n">
        <v>102.75</v>
      </c>
      <c r="X484" s="34" t="n">
        <v>97.58</v>
      </c>
      <c r="Y484" s="34" t="n">
        <v>86.81</v>
      </c>
      <c r="Z484" s="34" t="n"/>
      <c r="AA484" s="34" t="n">
        <v>-7.86</v>
      </c>
      <c r="AB484" s="34" t="n">
        <v>70.06</v>
      </c>
      <c r="AC484" s="34" t="n">
        <v>16.75</v>
      </c>
      <c r="AD484" s="26" t="inlineStr">
        <is>
          <t>China Biotech ETF (HS biotech proxy)</t>
        </is>
      </c>
      <c r="AE484" s="34" t="n">
        <v>74.40000000000001</v>
      </c>
      <c r="AF484" s="28" t="n">
        <v>2.2</v>
      </c>
      <c r="AG484" s="28" t="n">
        <v>-203.4</v>
      </c>
      <c r="AH484" s="26" t="inlineStr">
        <is>
          <t>N</t>
        </is>
      </c>
      <c r="AI484" s="38">
        <f>IF('BBG Verify'!O484="","not filed — run on terminal",'BBG Verify'!O484)</f>
        <v/>
      </c>
      <c r="AJ484" s="35" t="n">
        <v>2744.4</v>
      </c>
      <c r="AK484" s="26" t="inlineStr">
        <is>
          <t>N</t>
        </is>
      </c>
      <c r="AL484" s="36">
        <f>IF('BBG Verify'!K484="","not filed — run on terminal",'BBG Verify'!K484)</f>
        <v/>
      </c>
      <c r="AM484" s="26" t="inlineStr">
        <is>
          <t>N/A</t>
        </is>
      </c>
      <c r="AN484" s="26" t="inlineStr">
        <is>
          <t>N/A</t>
        </is>
      </c>
      <c r="AO484" s="26" t="inlineStr">
        <is>
          <t>N/A</t>
        </is>
      </c>
      <c r="AP484" s="26" t="n"/>
      <c r="AQ484" s="26" t="inlineStr">
        <is>
          <t>建銀國際金融有限公司; 招商證券(香港)有限公司</t>
        </is>
      </c>
      <c r="AR484" s="26" t="inlineStr">
        <is>
          <t>建銀國際金融有限公司; 招商證券(香港)有限公司; 嘉高達證券集團有限公司; 瑞邦證券有限公司; 國金證券（香港）有限公司; 新百利融資有限公司</t>
        </is>
      </c>
      <c r="AS484" s="26" t="inlineStr">
        <is>
          <t>建銀國際金融有限公司; 招商證券(香港)有限公司; 嘉高達證券集團有限公司; 瑞邦證券有限公司; 國金證券（香港）有限公司; 新百利融資有限公司; 天澤證券有限公司; 老虎證券（香港）環球有限公司; 友信證券有限公司; 微牛證券有限公司; 中泰國際證券有限公司; 中募金融資管有限公司</t>
        </is>
      </c>
      <c r="AT484" s="37">
        <f>HYPERLINK("https://www1.hkexnews.hk/listedco/listconews/sehk/2026/0615/2026061500009.pdf","prospectus")</f>
        <v/>
      </c>
      <c r="AU484" s="37">
        <f>HYPERLINK("https://www1.hkexnews.hk/listedco/listconews/sehk/2026/0623/2026062301227.pdf","allotment")</f>
        <v/>
      </c>
      <c r="AV484" s="26" t="n"/>
      <c r="AW484" s="26" t="inlineStr">
        <is>
          <t>P/E: n/m — loss-making at IPO (use P/S) · greenshoe: end-of-stabilisation notice not located · A/H: no A-share listing · 3m: listed less than 3m ago · sponsor: English name not in the filing text; AAStocks 保薦人 shown</t>
        </is>
      </c>
    </row>
    <row r="485">
      <c r="A485" s="25" t="inlineStr">
        <is>
          <t>6106</t>
        </is>
      </c>
      <c r="B485" s="26" t="inlineStr">
        <is>
          <t>SEER TECH</t>
        </is>
      </c>
      <c r="C485" s="26" t="inlineStr">
        <is>
          <t>仙工智能</t>
        </is>
      </c>
      <c r="D485" s="26" t="inlineStr">
        <is>
          <t>Tech/AI</t>
        </is>
      </c>
      <c r="E485" s="26" t="inlineStr">
        <is>
          <t>Robotics &amp; autonomous driving</t>
        </is>
      </c>
      <c r="F485" s="26" t="inlineStr">
        <is>
          <t>Standard</t>
        </is>
      </c>
      <c r="G485" s="27" t="n">
        <v>46197</v>
      </c>
      <c r="H485" s="28" t="n">
        <v>1066.5</v>
      </c>
      <c r="I485" s="26" t="inlineStr">
        <is>
          <t>gross (stated)</t>
        </is>
      </c>
      <c r="J485" s="29" t="n"/>
      <c r="K485" s="29" t="n">
        <v>101.6</v>
      </c>
      <c r="L485" s="29" t="n">
        <v>101.6</v>
      </c>
      <c r="M485" s="26" t="inlineStr">
        <is>
          <t>Y</t>
        </is>
      </c>
      <c r="N485" s="30" t="n">
        <v>100</v>
      </c>
      <c r="O485" s="28" t="n">
        <v>9902.5</v>
      </c>
      <c r="P485" s="26" t="inlineStr">
        <is>
          <t>derived:deal size / offer % of enlarged capital</t>
        </is>
      </c>
      <c r="Q485" s="31" t="n">
        <v>5934.56</v>
      </c>
      <c r="R485" s="32" t="n">
        <v>21.29</v>
      </c>
      <c r="S485" s="33" t="n">
        <v>43.2</v>
      </c>
      <c r="T485" s="26" t="inlineStr">
        <is>
          <t>3W Fund Management Limited; 廣發基金管理有限公司; HHLR Advisors, Ltd; Nova Kerry Inc; 瑞華(國際)投資有限公司; 錦繡中和（天津）投資管理有限公司; Yishao Capital Management (HK) Limited; Yuanbao Family Office Limited</t>
        </is>
      </c>
      <c r="U485" s="30" t="n">
        <v>15</v>
      </c>
      <c r="V485" s="26" t="inlineStr">
        <is>
          <t>lapsed</t>
        </is>
      </c>
      <c r="W485" s="34" t="n">
        <v>4.33</v>
      </c>
      <c r="X485" s="34" t="n">
        <v>-19.54</v>
      </c>
      <c r="Y485" s="34" t="n">
        <v>-44.69</v>
      </c>
      <c r="Z485" s="34" t="n"/>
      <c r="AA485" s="34" t="n">
        <v>-46.99</v>
      </c>
      <c r="AB485" s="34" t="n">
        <v>-49.98</v>
      </c>
      <c r="AC485" s="34" t="n">
        <v>5.29</v>
      </c>
      <c r="AD485" s="26" t="inlineStr">
        <is>
          <t>HSTECH (Hang Seng TECH ETF)</t>
        </is>
      </c>
      <c r="AE485" s="34" t="n">
        <v>-28.94</v>
      </c>
      <c r="AF485" s="28" t="n">
        <v>486.1</v>
      </c>
      <c r="AG485" s="28" t="n">
        <v>-51.8</v>
      </c>
      <c r="AH485" s="26" t="inlineStr">
        <is>
          <t>N</t>
        </is>
      </c>
      <c r="AI485" s="38">
        <f>IF('BBG Verify'!O485="","not filed — run on terminal",'BBG Verify'!O485)</f>
        <v/>
      </c>
      <c r="AJ485" s="35" t="n">
        <v>20.4</v>
      </c>
      <c r="AK485" s="26" t="inlineStr">
        <is>
          <t>N</t>
        </is>
      </c>
      <c r="AL485" s="36">
        <f>IF('BBG Verify'!K485="","not filed — run on terminal",'BBG Verify'!K485)</f>
        <v/>
      </c>
      <c r="AM485" s="26" t="inlineStr">
        <is>
          <t>N/A</t>
        </is>
      </c>
      <c r="AN485" s="26" t="inlineStr">
        <is>
          <t>N/A</t>
        </is>
      </c>
      <c r="AO485" s="26" t="inlineStr">
        <is>
          <t>N/A</t>
        </is>
      </c>
      <c r="AP485" s="26" t="n"/>
      <c r="AQ485" s="26" t="inlineStr">
        <is>
          <t>中國國際金融香港證券有限公司</t>
        </is>
      </c>
      <c r="AR485" s="26" t="inlineStr">
        <is>
          <t>Kong Securities Limited; CMB International Capital Limited; Soochow Securities International Brokerage Limited; BOCI Asia Limited; Futu Securities International (Hong Kong) Limited; Tiger Brokers (HK) Global Limited; Central, Hong Kong Zheshang International Financial Holdings Co., Limited; DIRECTORS AND PARTIES INVOLVED IN THE GLOBAL OFFERING –6 5– ABCI Capital Limited; ABCI Securities Company Limited</t>
        </is>
      </c>
      <c r="AS485" s="26" t="inlineStr">
        <is>
          <t>農銀國際證券有限公司; 中銀國際亞洲有限公司; 中國國際金融香港證券有限公司; 招銀國際融資有限公司; 富途證券國際（香港）有限公司; 東吳證券國際經紀有限公司; 老虎證券（香港）環球有限公司; 浙商國際金融控股有限公司</t>
        </is>
      </c>
      <c r="AT485" s="37">
        <f>HYPERLINK("https://www1.hkexnews.hk/listedco/listconews/sehk/2026/0615/2026061500013.pdf","prospectus")</f>
        <v/>
      </c>
      <c r="AU485" s="37">
        <f>HYPERLINK("https://www1.hkexnews.hk/listedco/listconews/sehk/2026/0623/2026062302143.pdf","allotment")</f>
        <v/>
      </c>
      <c r="AV485" s="37">
        <f>HYPERLINK("https://www1.hkexnews.hk/listedco/listconews/sehk/2026/0719/2026071900001.pdf","stabilisation")</f>
        <v/>
      </c>
      <c r="AW485" s="26" t="inlineStr">
        <is>
          <t>P/E: n/m — loss-making at IPO (use P/S) · A/H: no A-share listing · 3m: listed less than 3m ago · sponsor: English name not in the filing text; AAStocks 保薦人 shown</t>
        </is>
      </c>
    </row>
    <row r="486">
      <c r="A486" s="25" t="inlineStr">
        <is>
          <t>2272</t>
        </is>
      </c>
      <c r="B486" s="26" t="inlineStr">
        <is>
          <t>KEYTOP PARKING</t>
        </is>
      </c>
      <c r="C486" s="26" t="inlineStr">
        <is>
          <t>科拓股份</t>
        </is>
      </c>
      <c r="D486" s="26" t="inlineStr">
        <is>
          <t>Tech/AI</t>
        </is>
      </c>
      <c r="E486" s="26" t="inlineStr">
        <is>
          <t>SaaS / enterprise software</t>
        </is>
      </c>
      <c r="F486" s="26" t="inlineStr">
        <is>
          <t>Standard</t>
        </is>
      </c>
      <c r="G486" s="27" t="n">
        <v>46199</v>
      </c>
      <c r="H486" s="28" t="n">
        <v>399.9</v>
      </c>
      <c r="I486" s="26" t="inlineStr">
        <is>
          <t>gross (stated)</t>
        </is>
      </c>
      <c r="J486" s="29" t="n"/>
      <c r="K486" s="29" t="n">
        <v>39.55</v>
      </c>
      <c r="L486" s="29" t="n">
        <v>39.55</v>
      </c>
      <c r="M486" s="26" t="inlineStr">
        <is>
          <t>Y</t>
        </is>
      </c>
      <c r="N486" s="30" t="n">
        <v>100</v>
      </c>
      <c r="O486" s="28" t="n">
        <v>3529.6</v>
      </c>
      <c r="P486" s="26" t="inlineStr">
        <is>
          <t>derived:deal size / offer % of enlarged capital</t>
        </is>
      </c>
      <c r="Q486" s="31" t="n">
        <v>2115.21</v>
      </c>
      <c r="R486" s="32" t="n">
        <v>5.56</v>
      </c>
      <c r="S486" s="33" t="n">
        <v>0</v>
      </c>
      <c r="T486" s="26" t="n"/>
      <c r="U486" s="30" t="n">
        <v>10</v>
      </c>
      <c r="V486" s="26" t="n"/>
      <c r="W486" s="34" t="n">
        <v>203.92</v>
      </c>
      <c r="X486" s="34" t="n">
        <v>199.87</v>
      </c>
      <c r="Y486" s="34" t="n">
        <v>176.86</v>
      </c>
      <c r="Z486" s="34" t="n"/>
      <c r="AA486" s="34" t="n">
        <v>-8.9</v>
      </c>
      <c r="AB486" s="34" t="n">
        <v>169.61</v>
      </c>
      <c r="AC486" s="34" t="n">
        <v>7.25</v>
      </c>
      <c r="AD486" s="26" t="inlineStr">
        <is>
          <t>HSTECH (Hang Seng TECH ETF)</t>
        </is>
      </c>
      <c r="AE486" s="34" t="n">
        <v>205.94</v>
      </c>
      <c r="AF486" s="28" t="n">
        <v>913.7</v>
      </c>
      <c r="AG486" s="28" t="n">
        <v>103</v>
      </c>
      <c r="AH486" s="26" t="inlineStr">
        <is>
          <t>Y</t>
        </is>
      </c>
      <c r="AI486" s="35" t="n">
        <v>34.3</v>
      </c>
      <c r="AJ486" s="35" t="n">
        <v>3.9</v>
      </c>
      <c r="AK486" s="26" t="inlineStr">
        <is>
          <t>N</t>
        </is>
      </c>
      <c r="AL486" s="36">
        <f>IF('BBG Verify'!K486="","not filed — run on terminal",'BBG Verify'!K486)</f>
        <v/>
      </c>
      <c r="AM486" s="26" t="inlineStr">
        <is>
          <t>N/A</t>
        </is>
      </c>
      <c r="AN486" s="26" t="inlineStr">
        <is>
          <t>N/A</t>
        </is>
      </c>
      <c r="AO486" s="26" t="inlineStr">
        <is>
          <t>N/A</t>
        </is>
      </c>
      <c r="AP486" s="26" t="inlineStr">
        <is>
          <t>China International Capital Corporation Hong Kong Securities Limited; Sponsor-OCs China International Capital Corporation Hong Kong Securities Limited; CMBC Securities Company Limited</t>
        </is>
      </c>
      <c r="AQ486" s="26" t="inlineStr">
        <is>
          <t>中國國際金融香港證券有限公司; 民銀資本有限公司</t>
        </is>
      </c>
      <c r="AR486" s="26"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AS486" s="26" t="inlineStr">
        <is>
          <t>建銀國際金融有限公司; 中國國際金融香港證券有限公司; 民銀證券有限公司; 招銀國際融資有限公司; 富途證券國際（香港）有限公司; 華福國際證券有限公司; 新工金控有限公司; 百惠證券有限公司; 國投證券（香港）有限公司; 申萬宏源證券（香港）有限公司; 新百利融資有限公司; 天澤證券有限公司; 天風國際證券與期貨有限公司; 元宇宙（國際）證券有限公司; 越秀證券有限公司</t>
        </is>
      </c>
      <c r="AT486" s="37">
        <f>HYPERLINK("https://www1.hkexnews.hk/listedco/listconews/sehk/2026/0617/2026061700071.pdf","prospectus")</f>
        <v/>
      </c>
      <c r="AU486" s="37">
        <f>HYPERLINK("https://www1.hkexnews.hk/listedco/listconews/sehk/2026/0625/2026062501916.pdf","allotment")</f>
        <v/>
      </c>
      <c r="AV486" s="26" t="n"/>
      <c r="AW486" s="26" t="inlineStr">
        <is>
          <t>greenshoe: end-of-stabilisation notice not located · A/H: no A-share listing · 3m: listed less than 3m ago</t>
        </is>
      </c>
    </row>
    <row r="487">
      <c r="A487" s="25" t="inlineStr">
        <is>
          <t>1956</t>
        </is>
      </c>
      <c r="B487" s="26" t="inlineStr">
        <is>
          <t>WENGE AI</t>
        </is>
      </c>
      <c r="C487" s="26" t="inlineStr">
        <is>
          <t>中科聞歌</t>
        </is>
      </c>
      <c r="D487" s="26" t="inlineStr">
        <is>
          <t>Tech/AI</t>
        </is>
      </c>
      <c r="E487" s="26" t="inlineStr">
        <is>
          <t>AI application / agent software</t>
        </is>
      </c>
      <c r="F487" s="26" t="inlineStr">
        <is>
          <t>Standard</t>
        </is>
      </c>
      <c r="G487" s="27" t="n">
        <v>46199</v>
      </c>
      <c r="H487" s="28" t="n">
        <v>900.5</v>
      </c>
      <c r="I487" s="26" t="inlineStr">
        <is>
          <t>gross (stated)</t>
        </is>
      </c>
      <c r="J487" s="29" t="n"/>
      <c r="K487" s="29" t="n">
        <v>60.7</v>
      </c>
      <c r="L487" s="29" t="n">
        <v>60.7</v>
      </c>
      <c r="M487" s="26" t="inlineStr">
        <is>
          <t>Y</t>
        </is>
      </c>
      <c r="N487" s="30" t="n">
        <v>100</v>
      </c>
      <c r="O487" s="28" t="n">
        <v>10507.6</v>
      </c>
      <c r="P487" s="26" t="inlineStr">
        <is>
          <t>derived:deal size / offer % of enlarged capital</t>
        </is>
      </c>
      <c r="Q487" s="31" t="n">
        <v>5966.78</v>
      </c>
      <c r="R487" s="32" t="n">
        <v>20.7</v>
      </c>
      <c r="S487" s="33" t="n">
        <v>26.97</v>
      </c>
      <c r="T487" s="26" t="inlineStr">
        <is>
          <t>China Orient Enhanced Income Fund; 民銀國際投資（香港）有限公司; 前海國際基金管理有限公司; 國惠（香港）控股有限公司; 嘉實國際資產管理有限公司; 華泰資本投資有限公司</t>
        </is>
      </c>
      <c r="U487" s="30" t="n">
        <v>20</v>
      </c>
      <c r="V487" s="26" t="inlineStr">
        <is>
          <t>partial</t>
        </is>
      </c>
      <c r="W487" s="34" t="n">
        <v>84.02</v>
      </c>
      <c r="X487" s="34" t="n">
        <v>30.07</v>
      </c>
      <c r="Y487" s="34" t="n">
        <v>0.99</v>
      </c>
      <c r="Z487" s="34" t="n"/>
      <c r="AA487" s="34" t="n">
        <v>-45.12</v>
      </c>
      <c r="AB487" s="34" t="n">
        <v>-6.26</v>
      </c>
      <c r="AC487" s="34" t="n">
        <v>7.25</v>
      </c>
      <c r="AD487" s="26" t="inlineStr">
        <is>
          <t>HSTECH (Hang Seng TECH ETF)</t>
        </is>
      </c>
      <c r="AE487" s="34" t="n">
        <v>41.68</v>
      </c>
      <c r="AF487" s="28" t="n">
        <v>445.8</v>
      </c>
      <c r="AG487" s="28" t="n">
        <v>68.8</v>
      </c>
      <c r="AH487" s="26" t="inlineStr">
        <is>
          <t>Y</t>
        </is>
      </c>
      <c r="AI487" s="35" t="n">
        <v>152.7</v>
      </c>
      <c r="AJ487" s="35" t="n">
        <v>23.6</v>
      </c>
      <c r="AK487" s="26" t="inlineStr">
        <is>
          <t>N</t>
        </is>
      </c>
      <c r="AL487" s="36">
        <f>IF('BBG Verify'!K487="","not filed — run on terminal",'BBG Verify'!K487)</f>
        <v/>
      </c>
      <c r="AM487" s="26" t="inlineStr">
        <is>
          <t>N/A</t>
        </is>
      </c>
      <c r="AN487" s="26" t="inlineStr">
        <is>
          <t>N/A</t>
        </is>
      </c>
      <c r="AO487" s="26" t="inlineStr">
        <is>
          <t>N/A</t>
        </is>
      </c>
      <c r="AP487" s="26" t="n"/>
      <c r="AQ487" s="26" t="inlineStr">
        <is>
          <t>中國國際金融香港證券有限公司</t>
        </is>
      </c>
      <c r="AR487" s="26"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AS487" s="26" t="inlineStr">
        <is>
          <t>農銀國際證券有限公司; 建銀國際金融有限公司; 中國銀河國際證券(香港)有限公司; 中國國際金融香港證券有限公司; 招銀國際融資有限公司; 富途證券國際（香港）有限公司; 利弗莫爾證券有限公司; 浦銀國際融資有限公司; 老虎證券（香港）環球有限公司; 天風國際證券與期貨有限公司</t>
        </is>
      </c>
      <c r="AT487" s="37">
        <f>HYPERLINK("https://www1.hkexnews.hk/listedco/listconews/sehk/2026/0617/2026061700025.pdf","prospectus")</f>
        <v/>
      </c>
      <c r="AU487" s="37">
        <f>HYPERLINK("https://www1.hkexnews.hk/listedco/listconews/sehk/2026/0625/2026062501938.pdf","allotment")</f>
        <v/>
      </c>
      <c r="AV487" s="37">
        <f>HYPERLINK("https://www1.hkexnews.hk/listedco/listconews/sehk/2026/0724/2026072401850.pdf","stabilisation")</f>
        <v/>
      </c>
      <c r="AW487" s="26" t="inlineStr">
        <is>
          <t>A/H: no A line; closest listed proxy {'code': '300229.SZ', 'name': 'TRS Information Technology', 'rationale': "A-share NLP/big-data software house serving media and government analytics — same niche as Wenge's decision-intelligence LLM stack."} · 3m: listed less than 3m ago · sponsor: English name not in the filing text; AAStocks 保薦人 shown</t>
        </is>
      </c>
    </row>
    <row r="488">
      <c r="A488" s="25" t="inlineStr">
        <is>
          <t>3661</t>
        </is>
      </c>
      <c r="B488" s="26" t="inlineStr">
        <is>
          <t>SG MICRO</t>
        </is>
      </c>
      <c r="C488" s="26" t="inlineStr">
        <is>
          <t>聖邦股份</t>
        </is>
      </c>
      <c r="D488" s="26" t="inlineStr">
        <is>
          <t>Tech/AI</t>
        </is>
      </c>
      <c r="E488" s="26" t="inlineStr">
        <is>
          <t>AI chips &amp; semis</t>
        </is>
      </c>
      <c r="F488" s="26" t="inlineStr">
        <is>
          <t>Standard</t>
        </is>
      </c>
      <c r="G488" s="27" t="n">
        <v>46199</v>
      </c>
      <c r="H488" s="28" t="n">
        <v>4600.9</v>
      </c>
      <c r="I488" s="26" t="inlineStr">
        <is>
          <t>gross (stated)</t>
        </is>
      </c>
      <c r="J488" s="29" t="n"/>
      <c r="K488" s="29" t="n">
        <v>85.2</v>
      </c>
      <c r="L488" s="29" t="n">
        <v>85.2</v>
      </c>
      <c r="M488" s="26" t="inlineStr">
        <is>
          <t>Y</t>
        </is>
      </c>
      <c r="N488" s="30" t="n">
        <v>100</v>
      </c>
      <c r="O488" s="41">
        <f>IF('BBG Verify'!M488="","not filed — run on terminal",'BBG Verify'!M488)</f>
        <v/>
      </c>
      <c r="P488" s="26" t="n"/>
      <c r="Q488" s="31" t="n">
        <v>251.73</v>
      </c>
      <c r="R488" s="32" t="n">
        <v>23.5</v>
      </c>
      <c r="S488" s="33" t="n">
        <v>49.89</v>
      </c>
      <c r="T488" s="26" t="inlineStr">
        <is>
          <t>CPE Ginkgo Investment Limited; Da Cheng International Asset Management Company Limited; 大家人壽保險股份有限公司; Dymon Asia Multi-Strategy Investment Master Fund; First Sentier Investors (Hong Kong) Limited; 廣發基金管理有限公司; 廣發國際資產管理有限公司; GIC Private Limited; 嘉實國際資產管理有限公司; HHLR Advisors, Ltd; HHLRA Advisors, Ltd（身為CPP Investments管理的 SMA的投資管理人）; HQ TELECOM SINGAPORE PTE. LTD; Huadeng Tech Ace Investment Ltd; 工銀理財有限責任公司; JPMorgan Asset Management (Asia Pacific) Limited; LMR Multi-Strategy Master Fund Limited; Millennium Capital Management (Singapore) Pte. Ltd; Ninety One Asia Pte. Limited; Ocean Fine Industrial Limited; 中郵理財有限責任公司; Sungrow Power (Hong Kong) Co., Limited; Taikang Life Insurance Co., Ltd; Value Partners Hong Kong Limited; Value Partners Limited</t>
        </is>
      </c>
      <c r="U488" s="30" t="n">
        <v>15</v>
      </c>
      <c r="V488" s="26" t="inlineStr">
        <is>
          <t>full</t>
        </is>
      </c>
      <c r="W488" s="34" t="n">
        <v>47.07</v>
      </c>
      <c r="X488" s="34" t="n">
        <v>37.91</v>
      </c>
      <c r="Y488" s="34" t="n">
        <v>4.93</v>
      </c>
      <c r="Z488" s="34" t="n"/>
      <c r="AA488" s="34" t="n">
        <v>-28.65</v>
      </c>
      <c r="AB488" s="34" t="n">
        <v>-2.32</v>
      </c>
      <c r="AC488" s="34" t="n">
        <v>7.25</v>
      </c>
      <c r="AD488" s="26" t="inlineStr">
        <is>
          <t>HSTECH (Hang Seng TECH ETF)</t>
        </is>
      </c>
      <c r="AE488" s="34" t="n">
        <v>17.61</v>
      </c>
      <c r="AF488" s="28" t="n">
        <v>4287.9</v>
      </c>
      <c r="AG488" s="28" t="n">
        <v>587.8</v>
      </c>
      <c r="AH488" s="26" t="inlineStr">
        <is>
          <t>Y</t>
        </is>
      </c>
      <c r="AI488" s="38">
        <f>IF('BBG Verify'!O488="","not filed — run on terminal",'BBG Verify'!O488)</f>
        <v/>
      </c>
      <c r="AJ488" s="35" t="n"/>
      <c r="AK488" s="26" t="inlineStr">
        <is>
          <t>Y</t>
        </is>
      </c>
      <c r="AL488" s="26" t="inlineStr">
        <is>
          <t>300661.SZ</t>
        </is>
      </c>
      <c r="AM488" s="34" t="n">
        <v>-46.62</v>
      </c>
      <c r="AN488" s="29" t="n">
        <v>159.5961</v>
      </c>
      <c r="AO488" s="42" t="n">
        <v>-0.2769</v>
      </c>
      <c r="AP488" s="26" t="inlineStr">
        <is>
          <t>Securities Limited; Huatai Financial Holdings (Hong Kong) Limited</t>
        </is>
      </c>
      <c r="AQ488" s="26" t="inlineStr">
        <is>
          <t>中國國際金融香港證券有限公司; 華泰金融控股(香港)有限公司</t>
        </is>
      </c>
      <c r="AR488" s="26" t="inlineStr">
        <is>
          <t>中國國際金融香港證券有限公司; 華泰金融控股(香港)有限公司</t>
        </is>
      </c>
      <c r="AS488" s="26" t="inlineStr">
        <is>
          <t>中國國際金融香港證券有限公司; 華泰金融控股(香港)有限公司</t>
        </is>
      </c>
      <c r="AT488" s="37">
        <f>HYPERLINK("https://www1.hkexnews.hk/listedco/listconews/sehk/2026/0617/2026061700162.htm","prospectus")</f>
        <v/>
      </c>
      <c r="AU488" s="37">
        <f>HYPERLINK("https://www1.hkexnews.hk/listedco/listconews/sehk/2026/0625/2026062502076.pdf","allotment")</f>
        <v/>
      </c>
      <c r="AV488" s="37">
        <f>HYPERLINK("https://www1.hkexnews.hk/listedco/listconews/sehk/2026/0723/2026072301288.pdf","stabilisation")</f>
        <v/>
      </c>
      <c r="AW488" s="26" t="inlineStr">
        <is>
          <t>P/E: market cap not derivable (no share count disclosed) · price range: fixed-price offering (no indicative range) · A/H: Jun 2026 H listing (analog chips) · 3m: listed less than 3m ago</t>
        </is>
      </c>
    </row>
    <row r="489">
      <c r="A489" s="25" t="inlineStr">
        <is>
          <t>1688</t>
        </is>
      </c>
      <c r="B489" s="26" t="inlineStr">
        <is>
          <t>LINGYI ITECH</t>
        </is>
      </c>
      <c r="C489" s="26" t="inlineStr">
        <is>
          <t>領益智造</t>
        </is>
      </c>
      <c r="D489" s="26" t="inlineStr">
        <is>
          <t>Tech/AI</t>
        </is>
      </c>
      <c r="E489" s="26" t="inlineStr">
        <is>
          <t>Smart hardware / consumer electronics</t>
        </is>
      </c>
      <c r="F489" s="26" t="inlineStr">
        <is>
          <t>Standard</t>
        </is>
      </c>
      <c r="G489" s="27" t="n">
        <v>46199</v>
      </c>
      <c r="H489" s="28" t="n">
        <v>8264.200000000001</v>
      </c>
      <c r="I489" s="26" t="inlineStr">
        <is>
          <t>gross (stated)</t>
        </is>
      </c>
      <c r="J489" s="29" t="n"/>
      <c r="K489" s="29" t="n">
        <v>10.18</v>
      </c>
      <c r="L489" s="29" t="n">
        <v>10.18</v>
      </c>
      <c r="M489" s="26" t="inlineStr">
        <is>
          <t>Y</t>
        </is>
      </c>
      <c r="N489" s="30" t="n">
        <v>100</v>
      </c>
      <c r="O489" s="28" t="n">
        <v>82661.7</v>
      </c>
      <c r="P489" s="26" t="inlineStr">
        <is>
          <t>derived:price x shares upon listing</t>
        </is>
      </c>
      <c r="Q489" s="31" t="n">
        <v>96.16</v>
      </c>
      <c r="R489" s="39">
        <f>IF('BBG Verify'!E489="","not filed — run on terminal",'BBG Verify'!E489)</f>
        <v/>
      </c>
      <c r="S489" s="33" t="n">
        <v>38.6</v>
      </c>
      <c r="T489" s="26" t="inlineStr">
        <is>
          <t>3W Fund Management Limited; 大成國際資產管理有限公司; Deliante Holdings Co., Ltd; 光大理財有限責任公司; 廣發基金管理有限公司; 廣發國際資產管理有限公司; GRANITE ASIA IX VCC; 景林資產管理香港有限公司; 宏興國際科技有限公司; 榮耀信息技術有限公司; Jain Global Master Fund Ltd; Kaide Global Investment Ltd; Morgan Stanley &amp; Co. International plc; Qube Master Fund Ltd; Seven Grand Managers, LLC; 舜宇資本有限公司; 泰康人壽保險有限責任公司; Ti-Capital (HK) Pioneer Fund III; 惠理基金管理香港有限公司; 惠理基金管理公司; Verition Fund Management LLC</t>
        </is>
      </c>
      <c r="U489" s="30" t="n"/>
      <c r="V489" s="26" t="n"/>
      <c r="W489" s="34" t="n">
        <v>-4.62</v>
      </c>
      <c r="X489" s="34" t="n">
        <v>-5.11</v>
      </c>
      <c r="Y489" s="34" t="n">
        <v>-37.23</v>
      </c>
      <c r="Z489" s="34" t="n"/>
      <c r="AA489" s="34" t="n">
        <v>-34.19</v>
      </c>
      <c r="AB489" s="34" t="n">
        <v>-44.48</v>
      </c>
      <c r="AC489" s="34" t="n">
        <v>7.25</v>
      </c>
      <c r="AD489" s="26" t="inlineStr">
        <is>
          <t>HSTECH (Hang Seng TECH ETF)</t>
        </is>
      </c>
      <c r="AE489" s="34" t="n">
        <v>-33.89</v>
      </c>
      <c r="AF489" s="28" t="n">
        <v>56571.8</v>
      </c>
      <c r="AG489" s="28" t="n">
        <v>2516.5</v>
      </c>
      <c r="AH489" s="26" t="inlineStr">
        <is>
          <t>Y</t>
        </is>
      </c>
      <c r="AI489" s="35" t="n">
        <v>32.8</v>
      </c>
      <c r="AJ489" s="35" t="n">
        <v>1.5</v>
      </c>
      <c r="AK489" s="26" t="inlineStr">
        <is>
          <t>Y</t>
        </is>
      </c>
      <c r="AL489" s="26" t="inlineStr">
        <is>
          <t>002600.SZ</t>
        </is>
      </c>
      <c r="AM489" s="34" t="n">
        <v>-50.67</v>
      </c>
      <c r="AN489" s="29" t="n">
        <v>20.6362</v>
      </c>
      <c r="AO489" s="42" t="n">
        <v>-0.5659</v>
      </c>
      <c r="AP489" s="26" t="inlineStr">
        <is>
          <t>Guotai Junan International</t>
        </is>
      </c>
      <c r="AQ489" s="26" t="inlineStr">
        <is>
          <t>國泰君安融資有限公司</t>
        </is>
      </c>
      <c r="AR489" s="26" t="inlineStr">
        <is>
          <t>花旗環球金融亞洲有限公司; 中信里昂證券有限公司; 富途證券國際（香港）有限公司; 國泰君安證券(香港)有限公司; J.P. Morgan Securities (Asia Pacific) Limited; 老虎證券（香港）環球有限公司</t>
        </is>
      </c>
      <c r="AS489" s="26" t="inlineStr">
        <is>
          <t>花旗環球金融亞洲有限公司; 中信里昂證券有限公司; 富途證券國際（香港）有限公司; 國泰君安證券(香港)有限公司; J.P. Morgan Securities (Asia Pacific) Limited; 老虎證券（香港）環球有限公司</t>
        </is>
      </c>
      <c r="AT489" s="37">
        <f>HYPERLINK("https://www1.hkexnews.hk/listedco/listconews/sehk/2026/0617/2026061700029.pdf","prospectus")</f>
        <v/>
      </c>
      <c r="AU489" s="37">
        <f>HYPERLINK("https://www1.hkexnews.hk/listedco/listconews/sehk/2026/0625/2026062502292.pdf","allotment")</f>
        <v/>
      </c>
      <c r="AV489" s="26" t="n"/>
      <c r="AW489" s="26" t="inlineStr">
        <is>
          <t>intl sub: subscription level not stated in the filing · greenshoe: no over-allotment option in the offer structure · A/H: Jun 2026 H listing (consumer-electronics precision parts) · 3m: listed less than 3m ago</t>
        </is>
      </c>
    </row>
    <row r="490">
      <c r="A490" s="25" t="inlineStr">
        <is>
          <t>9630</t>
        </is>
      </c>
      <c r="B490" s="26" t="inlineStr">
        <is>
          <t>CFMEE</t>
        </is>
      </c>
      <c r="C490" s="26" t="inlineStr">
        <is>
          <t>芯碁微裝</t>
        </is>
      </c>
      <c r="D490" s="26" t="inlineStr">
        <is>
          <t>Tech/AI</t>
        </is>
      </c>
      <c r="E490" s="26" t="inlineStr">
        <is>
          <t>AI chips &amp; semis</t>
        </is>
      </c>
      <c r="F490" s="26" t="inlineStr">
        <is>
          <t>Standard</t>
        </is>
      </c>
      <c r="G490" s="27" t="n">
        <v>46199</v>
      </c>
      <c r="H490" s="28" t="n">
        <v>3244.7</v>
      </c>
      <c r="I490" s="26" t="inlineStr">
        <is>
          <t>gross (stated)</t>
        </is>
      </c>
      <c r="J490" s="29" t="n"/>
      <c r="K490" s="29" t="n">
        <v>252.73</v>
      </c>
      <c r="L490" s="29" t="n">
        <v>252.73</v>
      </c>
      <c r="M490" s="26" t="inlineStr">
        <is>
          <t>Y</t>
        </is>
      </c>
      <c r="N490" s="30" t="n">
        <v>100</v>
      </c>
      <c r="O490" s="28" t="n">
        <v>32189.5</v>
      </c>
      <c r="P490" s="26" t="inlineStr">
        <is>
          <t>derived:deal size / offer % of enlarged capital</t>
        </is>
      </c>
      <c r="Q490" s="31" t="n">
        <v>1007.22</v>
      </c>
      <c r="R490" s="32" t="n">
        <v>1</v>
      </c>
      <c r="S490" s="33" t="n">
        <v>49.98</v>
      </c>
      <c r="T490" s="26" t="inlineStr">
        <is>
          <t>博時基金（國際）有限公司; 匯添富資產管理（香港）有限公司; CICC Financial Trading Limited; CPE Chestnut Investment Limited; 富國資產管理（香港）有限公司及富國基金管理有限公司及富國基金管理有限公司; 廣發基金管理有限公司; 合肥建匯戰新基石投資有限公司; HHLR Advisors, Ltd; 香港永聯投資發展有限公司; 香港芯耀投資有限公司; Huadeng Victorious Way Limited; JPMorgan Asset Management (Asia Pacific) Limited; Lion Global Investors Limited; Montage Hong Kong Holdings Company Limited; Monterey Park Finance Limited; 晶合集成香港有限公司; 海燿實業有限公司; 陽光電源（香港）有限公司; 勝宏科技集團(香港)有限公司</t>
        </is>
      </c>
      <c r="U490" s="30" t="n">
        <v>8.880000000000001</v>
      </c>
      <c r="V490" s="26" t="inlineStr">
        <is>
          <t>full</t>
        </is>
      </c>
      <c r="W490" s="34" t="n">
        <v>103.77</v>
      </c>
      <c r="X490" s="34" t="n">
        <v>55.11</v>
      </c>
      <c r="Y490" s="34" t="n">
        <v>30.26</v>
      </c>
      <c r="Z490" s="34" t="n"/>
      <c r="AA490" s="34" t="n">
        <v>-36.07</v>
      </c>
      <c r="AB490" s="34" t="n">
        <v>23.01</v>
      </c>
      <c r="AC490" s="34" t="n">
        <v>7.25</v>
      </c>
      <c r="AD490" s="26" t="inlineStr">
        <is>
          <t>HSTECH (Hang Seng TECH ETF)</t>
        </is>
      </c>
      <c r="AE490" s="34" t="n">
        <v>60.65</v>
      </c>
      <c r="AF490" s="28" t="n">
        <v>1548.9</v>
      </c>
      <c r="AG490" s="28" t="n">
        <v>318.9</v>
      </c>
      <c r="AH490" s="26" t="inlineStr">
        <is>
          <t>Y</t>
        </is>
      </c>
      <c r="AI490" s="35" t="n">
        <v>100.9</v>
      </c>
      <c r="AJ490" s="35" t="n">
        <v>20.8</v>
      </c>
      <c r="AK490" s="26" t="inlineStr">
        <is>
          <t>Y</t>
        </is>
      </c>
      <c r="AL490" s="26" t="inlineStr">
        <is>
          <t>688630.SS</t>
        </is>
      </c>
      <c r="AM490" s="34" t="n">
        <v>-60.58</v>
      </c>
      <c r="AN490" s="29" t="n">
        <v>641.1315</v>
      </c>
      <c r="AO490" s="42" t="n">
        <v>-0.3228</v>
      </c>
      <c r="AP490" s="26" t="n"/>
      <c r="AQ490" s="26" t="inlineStr">
        <is>
          <t>中國國際金融香港證券有限公司</t>
        </is>
      </c>
      <c r="AR490" s="26" t="inlineStr">
        <is>
          <t>Manager BOCI Asia Limited</t>
        </is>
      </c>
      <c r="AS490" s="26" t="inlineStr">
        <is>
          <t>中銀國際亞洲有限公司; 中國國際金融香港證券有限公司; 招銀國際融資有限公司; 富途證券國際（香港）有限公司; 國元證券經紀(香港)有限公司</t>
        </is>
      </c>
      <c r="AT490" s="37">
        <f>HYPERLINK("https://www1.hkexnews.hk/listedco/listconews/sehk/2026/0617/2026061700039.pdf","prospectus")</f>
        <v/>
      </c>
      <c r="AU490" s="37">
        <f>HYPERLINK("https://www1.hkexnews.hk/listedco/listconews/sehk/2026/0625/2026062502296.pdf","allotment")</f>
        <v/>
      </c>
      <c r="AV490" s="37">
        <f>HYPERLINK("https://www1.hkexnews.hk/listedco/listconews/sehk/2026/0723/2026072300312.pdf","stabilisation")</f>
        <v/>
      </c>
      <c r="AW490" s="26" t="inlineStr">
        <is>
          <t>A/H: Jun 2026 H listing (direct-write lithography equipment) · 3m: listed less than 3m ago · sponsor: English name not in the filing text; AAStocks 保薦人 shown</t>
        </is>
      </c>
    </row>
    <row r="491">
      <c r="A491" s="25" t="inlineStr">
        <is>
          <t>6228</t>
        </is>
      </c>
      <c r="B491" s="26" t="inlineStr">
        <is>
          <t>MERDEKAGOLD-DRS</t>
        </is>
      </c>
      <c r="C491" s="26" t="inlineStr">
        <is>
          <t>MERDEKAGOLD-DRS</t>
        </is>
      </c>
      <c r="D491" s="26" t="inlineStr">
        <is>
          <t>Materials/Energy</t>
        </is>
      </c>
      <c r="E491" s="26" t="inlineStr">
        <is>
          <t>Mining / metals</t>
        </is>
      </c>
      <c r="F491" s="26" t="inlineStr">
        <is>
          <t>Standard</t>
        </is>
      </c>
      <c r="G491" s="27" t="n">
        <v>46199</v>
      </c>
      <c r="H491" s="28" t="n">
        <v>2385.18</v>
      </c>
      <c r="I491" s="26" t="inlineStr">
        <is>
          <t>gross (stated)</t>
        </is>
      </c>
      <c r="J491" s="29" t="n"/>
      <c r="K491" s="29" t="n">
        <v>26.6</v>
      </c>
      <c r="L491" s="29" t="n">
        <v>26.6</v>
      </c>
      <c r="M491" s="26" t="inlineStr">
        <is>
          <t>Y</t>
        </is>
      </c>
      <c r="N491" s="30" t="n">
        <v>100</v>
      </c>
      <c r="O491" s="28" t="n">
        <v>34074</v>
      </c>
      <c r="P491" s="26" t="inlineStr">
        <is>
          <t>derived:deal size / offer % of enlarged capital</t>
        </is>
      </c>
      <c r="Q491" s="31" t="n">
        <v>4.42</v>
      </c>
      <c r="R491" s="32" t="n">
        <v>7.67</v>
      </c>
      <c r="S491" s="33" t="n">
        <v>49.9</v>
      </c>
      <c r="T491" s="26" t="inlineStr">
        <is>
          <t>中偉(香港)新材料科技貿易有限公司; Dymon Asia Multi-Strategy Investment Master Fund; 廣發基金管理有限公司; Glencore International AG; 開元礦業投資有限公司; Mercuria Holdings (Singapore) Pte. Ltd; ORIX Asia Asset Management Limited; 中國平安資產管理（香港）有限公司; Trafigura Group Pte. Ltd; 萬國黃金集團有限公司; Wind Sabre Fund SPC</t>
        </is>
      </c>
      <c r="U491" s="30" t="n">
        <v>15</v>
      </c>
      <c r="V491" s="26" t="inlineStr">
        <is>
          <t>partial</t>
        </is>
      </c>
      <c r="W491" s="34" t="n">
        <v>-6.54</v>
      </c>
      <c r="X491" s="34" t="n">
        <v>-2.26</v>
      </c>
      <c r="Y491" s="34" t="n">
        <v>-0.38</v>
      </c>
      <c r="Z491" s="34" t="n"/>
      <c r="AA491" s="34" t="n">
        <v>6.59</v>
      </c>
      <c r="AB491" s="34" t="n">
        <v>-4.54</v>
      </c>
      <c r="AC491" s="34" t="n">
        <v>4.16</v>
      </c>
      <c r="AD491" s="26" t="inlineStr">
        <is>
          <t>Hang Seng Utilities sub-index</t>
        </is>
      </c>
      <c r="AE491" s="34" t="n">
        <v>34.44</v>
      </c>
      <c r="AF491" s="28" t="n">
        <v>1</v>
      </c>
      <c r="AG491" s="28" t="n">
        <v>99.09999999999999</v>
      </c>
      <c r="AH491" s="26" t="inlineStr">
        <is>
          <t>Y</t>
        </is>
      </c>
      <c r="AI491" s="35" t="n">
        <v>343.8</v>
      </c>
      <c r="AJ491" s="35" t="n">
        <v>34074</v>
      </c>
      <c r="AK491" s="26" t="inlineStr">
        <is>
          <t>N</t>
        </is>
      </c>
      <c r="AL491" s="36">
        <f>IF('BBG Verify'!K491="","not filed — run on terminal",'BBG Verify'!K491)</f>
        <v/>
      </c>
      <c r="AM491" s="26" t="inlineStr">
        <is>
          <t>N/A</t>
        </is>
      </c>
      <c r="AN491" s="26" t="inlineStr">
        <is>
          <t>N/A</t>
        </is>
      </c>
      <c r="AO491" s="26" t="inlineStr">
        <is>
          <t>N/A</t>
        </is>
      </c>
      <c r="AP491" s="26" t="inlineStr">
        <is>
          <t>UBS Securities Hong Kong Limited; CITIC Securities (Hong Kong) Limited</t>
        </is>
      </c>
      <c r="AQ491" s="26" t="inlineStr">
        <is>
          <t>瑞銀證券香港有限公司; 中信證券(香港)有限公司</t>
        </is>
      </c>
      <c r="AR491" s="26" t="inlineStr">
        <is>
          <t>UBS AG Hong Kong Branch; DIRECTORS, COMMISSIONERS AND PARTIES INVOLVED IN THE GLOBAL OFFERING – 85 –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AS491" s="26" t="inlineStr">
        <is>
          <t>東方匯理銀行; 中國國際金融香港證券有限公司; 中信里昂證券有限公司; 星展亞洲融資有限公司; 香港上海匯豐銀行有限公司; 麥格理資本股份有限公司; 摩根士丹利亞洲有限公司; 瑞穗證券亞洲有限公司; NATIXIS; 華僑銀行有限公司; Societe Generale; UBS AG 香港分行; 大華繼顯(香港)有限公司</t>
        </is>
      </c>
      <c r="AT491" s="37">
        <f>HYPERLINK("https://www1.hkexnews.hk/listedco/listconews/sehk/2026/0617/2026061700075.pdf","prospectus")</f>
        <v/>
      </c>
      <c r="AU491" s="37">
        <f>HYPERLINK("https://www1.hkexnews.hk/listedco/listconews/sehk/2026/0625/2026062502338.pdf","allotment")</f>
        <v/>
      </c>
      <c r="AV491" s="37">
        <f>HYPERLINK("https://www1.hkexnews.hk/listedco/listconews/sehk/2026/0723/2026072301404.pdf","stabilisation")</f>
        <v/>
      </c>
      <c r="AW491" s="26" t="inlineStr">
        <is>
          <t>A/H: no A-share listing · 3m: listed less than 3m ago</t>
        </is>
      </c>
    </row>
    <row r="492">
      <c r="A492" s="25" t="inlineStr">
        <is>
          <t>2672</t>
        </is>
      </c>
      <c r="B492" s="26" t="inlineStr">
        <is>
          <t>BAIGE DIGITAL</t>
        </is>
      </c>
      <c r="C492" s="26" t="inlineStr">
        <is>
          <t>白鴿在線</t>
        </is>
      </c>
      <c r="D492" s="26" t="inlineStr">
        <is>
          <t>Financials</t>
        </is>
      </c>
      <c r="E492" s="26" t="inlineStr">
        <is>
          <t>Insurance</t>
        </is>
      </c>
      <c r="F492" s="26" t="inlineStr">
        <is>
          <t>Standard</t>
        </is>
      </c>
      <c r="G492" s="27" t="n">
        <v>46202</v>
      </c>
      <c r="H492" s="28" t="n">
        <v>520.2</v>
      </c>
      <c r="I492" s="26" t="inlineStr">
        <is>
          <t>gross (price x shares)</t>
        </is>
      </c>
      <c r="J492" s="29" t="n"/>
      <c r="K492" s="29" t="n">
        <v>20.28</v>
      </c>
      <c r="L492" s="29" t="n">
        <v>15.6</v>
      </c>
      <c r="M492" s="26" t="inlineStr">
        <is>
          <t>N</t>
        </is>
      </c>
      <c r="N492" s="30" t="n">
        <v>76.90000000000001</v>
      </c>
      <c r="O492" s="28" t="n">
        <v>5001.7</v>
      </c>
      <c r="P492" s="26" t="inlineStr">
        <is>
          <t>derived:price x shares upon listing</t>
        </is>
      </c>
      <c r="Q492" s="31" t="n">
        <v>242.05</v>
      </c>
      <c r="R492" s="32" t="n">
        <v>2.44</v>
      </c>
      <c r="S492" s="33" t="n">
        <v>3.84</v>
      </c>
      <c r="T492" s="26" t="inlineStr">
        <is>
          <t>GLY New Mobility 2. LP; 柯家琪先生</t>
        </is>
      </c>
      <c r="U492" s="30" t="n">
        <v>11.8</v>
      </c>
      <c r="V492" s="26" t="n"/>
      <c r="W492" s="34" t="n">
        <v>367.95</v>
      </c>
      <c r="X492" s="34" t="n">
        <v>295.19</v>
      </c>
      <c r="Y492" s="34" t="n">
        <v>280.77</v>
      </c>
      <c r="Z492" s="34" t="n"/>
      <c r="AA492" s="34" t="n">
        <v>-18.63</v>
      </c>
      <c r="AB492" s="34" t="n">
        <v>269.3</v>
      </c>
      <c r="AC492" s="34" t="n">
        <v>11.47</v>
      </c>
      <c r="AD492" s="26" t="inlineStr">
        <is>
          <t>Hang Seng Finance sub-index</t>
        </is>
      </c>
      <c r="AE492" s="34" t="n">
        <v>311.22</v>
      </c>
      <c r="AF492" s="28" t="n">
        <v>1349.8</v>
      </c>
      <c r="AG492" s="28" t="n">
        <v>-51.3</v>
      </c>
      <c r="AH492" s="26" t="inlineStr">
        <is>
          <t>N</t>
        </is>
      </c>
      <c r="AI492" s="38">
        <f>IF('BBG Verify'!O492="","not filed — run on terminal",'BBG Verify'!O492)</f>
        <v/>
      </c>
      <c r="AJ492" s="35" t="n">
        <v>3.7</v>
      </c>
      <c r="AK492" s="26" t="inlineStr">
        <is>
          <t>N</t>
        </is>
      </c>
      <c r="AL492" s="36">
        <f>IF('BBG Verify'!K492="","not filed — run on terminal",'BBG Verify'!K492)</f>
        <v/>
      </c>
      <c r="AM492" s="26" t="inlineStr">
        <is>
          <t>N/A</t>
        </is>
      </c>
      <c r="AN492" s="26" t="inlineStr">
        <is>
          <t>N/A</t>
        </is>
      </c>
      <c r="AO492" s="26" t="inlineStr">
        <is>
          <t>N/A</t>
        </is>
      </c>
      <c r="AP492" s="26" t="inlineStr">
        <is>
          <t>CMBC International Capital Limited; BOCI Asia Limited</t>
        </is>
      </c>
      <c r="AQ492" s="26" t="inlineStr">
        <is>
          <t>中銀國際亞洲有限公司; 民銀資本有限公司</t>
        </is>
      </c>
      <c r="AR492" s="26" t="inlineStr">
        <is>
          <t>Managers and Capital Market Intermediaries ICBC International Securities Limited</t>
        </is>
      </c>
      <c r="AS492" s="26" t="inlineStr">
        <is>
          <t>農銀國際證券有限公司; 中銀國際亞洲有限公司; 民銀證券有限公司; 招銀國際融資有限公司; 富強證券有限公司; 富途證券國際（香港）有限公司; 國元證券經紀(香港)有限公司; 仁和資本有限公司; 華福國際證券有限公司; 工銀國際證券有限公司; 浦銀國際融資有限公司; 老虎證券（香港）環球有限公司; 友信證券有限公司; 卓銳證券（香港）有限公司</t>
        </is>
      </c>
      <c r="AT492" s="37">
        <f>HYPERLINK("https://www1.hkexnews.hk/listedco/listconews/sehk/2026/0618/2026061800045.pdf","prospectus")</f>
        <v/>
      </c>
      <c r="AU492" s="37">
        <f>HYPERLINK("https://www1.hkexnews.hk/listedco/listconews/sehk/2026/0626/2026062602363.pdf","allotment")</f>
        <v/>
      </c>
      <c r="AV492" s="26" t="n"/>
      <c r="AW492" s="26" t="inlineStr">
        <is>
          <t>P/E: n/m — loss-making at IPO (use P/S) · greenshoe: end-of-stabilisation notice not located · A/H: no A-share listing · 3m: listed less than 3m ago</t>
        </is>
      </c>
    </row>
    <row r="493">
      <c r="A493" s="25" t="inlineStr">
        <is>
          <t>1191</t>
        </is>
      </c>
      <c r="B493" s="26" t="inlineStr">
        <is>
          <t>CREALIGHTS</t>
        </is>
      </c>
      <c r="C493" s="26" t="inlineStr">
        <is>
          <t>海光芯正</t>
        </is>
      </c>
      <c r="D493" s="26" t="inlineStr">
        <is>
          <t>Tech/AI</t>
        </is>
      </c>
      <c r="E493" s="26" t="inlineStr">
        <is>
          <t>Smart hardware / consumer electronics</t>
        </is>
      </c>
      <c r="F493" s="26" t="inlineStr">
        <is>
          <t>Standard</t>
        </is>
      </c>
      <c r="G493" s="27" t="n">
        <v>46202</v>
      </c>
      <c r="H493" s="28" t="n">
        <v>1531.19</v>
      </c>
      <c r="I493" s="26" t="inlineStr">
        <is>
          <t>gross (stated)</t>
        </is>
      </c>
      <c r="J493" s="29" t="n"/>
      <c r="K493" s="29" t="n">
        <v>114</v>
      </c>
      <c r="L493" s="29" t="n">
        <v>114</v>
      </c>
      <c r="M493" s="26" t="inlineStr">
        <is>
          <t>Y</t>
        </is>
      </c>
      <c r="N493" s="30" t="n">
        <v>100</v>
      </c>
      <c r="O493" s="41">
        <f>IF('BBG Verify'!M493="","not filed — run on terminal",'BBG Verify'!M493)</f>
        <v/>
      </c>
      <c r="P493" s="26" t="n"/>
      <c r="Q493" s="31" t="n">
        <v>1296.89</v>
      </c>
      <c r="R493" s="32" t="n">
        <v>15.51</v>
      </c>
      <c r="S493" s="33" t="n"/>
      <c r="T493" s="26" t="inlineStr">
        <is>
          <t>易方達基金管理有限公司; JSC International Investment Fund SPC; 金山雲網絡有限公司; Perseverance Asset Management International (Singapore) Pte. Ltd; UBS Asset Management (Singapore) Ltd; 雙贏科技投資有限公司</t>
        </is>
      </c>
      <c r="U493" s="30" t="n">
        <v>15</v>
      </c>
      <c r="V493" s="26" t="n"/>
      <c r="W493" s="34" t="n">
        <v>44.74</v>
      </c>
      <c r="X493" s="34" t="n">
        <v>60.53</v>
      </c>
      <c r="Y493" s="34" t="n">
        <v>-41.67</v>
      </c>
      <c r="Z493" s="34" t="n"/>
      <c r="AA493" s="34" t="n">
        <v>-59.7</v>
      </c>
      <c r="AB493" s="34" t="n">
        <v>-55.74</v>
      </c>
      <c r="AC493" s="34" t="n">
        <v>14.07</v>
      </c>
      <c r="AD493" s="26" t="inlineStr">
        <is>
          <t>HSTECH (Hang Seng TECH ETF)</t>
        </is>
      </c>
      <c r="AE493" s="34" t="n">
        <v>2.54</v>
      </c>
      <c r="AF493" s="28" t="n">
        <v>1343.2</v>
      </c>
      <c r="AG493" s="28" t="n">
        <v>-110.2</v>
      </c>
      <c r="AH493" s="26" t="inlineStr">
        <is>
          <t>N</t>
        </is>
      </c>
      <c r="AI493" s="38">
        <f>IF('BBG Verify'!O493="","not filed — run on terminal",'BBG Verify'!O493)</f>
        <v/>
      </c>
      <c r="AJ493" s="35" t="n"/>
      <c r="AK493" s="26" t="inlineStr">
        <is>
          <t>N</t>
        </is>
      </c>
      <c r="AL493" s="36">
        <f>IF('BBG Verify'!K493="","not filed — run on terminal",'BBG Verify'!K493)</f>
        <v/>
      </c>
      <c r="AM493" s="26" t="inlineStr">
        <is>
          <t>N/A</t>
        </is>
      </c>
      <c r="AN493" s="26" t="inlineStr">
        <is>
          <t>N/A</t>
        </is>
      </c>
      <c r="AO493" s="26" t="inlineStr">
        <is>
          <t>N/A</t>
        </is>
      </c>
      <c r="AP493" s="26" t="n"/>
      <c r="AQ493" s="26" t="inlineStr">
        <is>
          <t>華泰金融控股(香港)有限公司</t>
        </is>
      </c>
      <c r="AR493" s="26" t="inlineStr">
        <is>
          <t>華泰金融控股(香港)有限公司</t>
        </is>
      </c>
      <c r="AS493" s="26" t="inlineStr">
        <is>
          <t>華泰金融控股(香港)有限公司</t>
        </is>
      </c>
      <c r="AT493" s="37">
        <f>HYPERLINK("https://www1.hkexnews.hk/listedco/listconews/sehk/2026/0618/2026061800079.pdf","prospectus")</f>
        <v/>
      </c>
      <c r="AU493" s="37">
        <f>HYPERLINK("https://www1.hkexnews.hk/listedco/listconews/sehk/2026/0626/2026062602599.pdf","allotment")</f>
        <v/>
      </c>
      <c r="AV493" s="26" t="n"/>
      <c r="AW493" s="26" t="inlineStr">
        <is>
          <t>P/E: n/m — loss-making at IPO (use P/S) · greenshoe: end-of-stabilisation notice not located · price range: fixed-price offering (no indicative range) · A/H: no A-share listing · 3m: listed less than 3m ago · sponsor: English name not in the filing text; AAStocks 保薦人 shown</t>
        </is>
      </c>
    </row>
    <row r="494">
      <c r="A494" s="25" t="inlineStr">
        <is>
          <t>9637</t>
        </is>
      </c>
      <c r="B494" s="26" t="inlineStr">
        <is>
          <t>ALEBUND-B</t>
        </is>
      </c>
      <c r="C494" s="26" t="inlineStr">
        <is>
          <t>禮邦醫藥－Ｂ</t>
        </is>
      </c>
      <c r="D494" s="26" t="inlineStr">
        <is>
          <t>Healthcare</t>
        </is>
      </c>
      <c r="E494" s="26" t="inlineStr">
        <is>
          <t>Biotech pre-revenue (18A)</t>
        </is>
      </c>
      <c r="F494" s="26" t="inlineStr">
        <is>
          <t>18A</t>
        </is>
      </c>
      <c r="G494" s="27" t="n">
        <v>46202</v>
      </c>
      <c r="H494" s="28" t="n">
        <v>1282.7</v>
      </c>
      <c r="I494" s="26" t="inlineStr">
        <is>
          <t>gross (stated)</t>
        </is>
      </c>
      <c r="J494" s="29" t="n"/>
      <c r="K494" s="29" t="n">
        <v>22.6</v>
      </c>
      <c r="L494" s="29" t="n">
        <v>22.6</v>
      </c>
      <c r="M494" s="26" t="inlineStr">
        <is>
          <t>Y</t>
        </is>
      </c>
      <c r="N494" s="30" t="n">
        <v>100</v>
      </c>
      <c r="O494" s="28" t="n">
        <v>6859.4</v>
      </c>
      <c r="P494" s="26" t="inlineStr">
        <is>
          <t>derived:deal size / offer % of enlarged capital</t>
        </is>
      </c>
      <c r="Q494" s="31" t="n">
        <v>963.5599999999999</v>
      </c>
      <c r="R494" s="32" t="n">
        <v>19.77</v>
      </c>
      <c r="S494" s="33" t="n">
        <v>49.78</v>
      </c>
      <c r="T494" s="26" t="inlineStr">
        <is>
          <t>匯添富資產管理（香港）有限公司; Cormorant Global Healthcare Master Fund, LP; Dymon Asia Multi-Strategy Investment Master Fund; 易方達資產管理(香港)有限公司; 易方達基金管理有限公司; 廣發基金管理有限公司; 廣發國際資產管理有限公司;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U494" s="30" t="n">
        <v>7.9</v>
      </c>
      <c r="V494" s="26" t="inlineStr">
        <is>
          <t>full</t>
        </is>
      </c>
      <c r="W494" s="34" t="n">
        <v>103.54</v>
      </c>
      <c r="X494" s="34" t="n">
        <v>29.12</v>
      </c>
      <c r="Y494" s="34" t="n">
        <v>19.47</v>
      </c>
      <c r="Z494" s="34" t="n"/>
      <c r="AA494" s="34" t="n">
        <v>-41.3</v>
      </c>
      <c r="AB494" s="34" t="n">
        <v>2.47</v>
      </c>
      <c r="AC494" s="34" t="n">
        <v>17</v>
      </c>
      <c r="AD494" s="26" t="inlineStr">
        <is>
          <t>China Biotech ETF (HS biotech proxy)</t>
        </is>
      </c>
      <c r="AE494" s="34" t="n">
        <v>50.35</v>
      </c>
      <c r="AF494" s="28" t="n">
        <v>33.6</v>
      </c>
      <c r="AG494" s="28" t="n">
        <v>-827</v>
      </c>
      <c r="AH494" s="26" t="inlineStr">
        <is>
          <t>N</t>
        </is>
      </c>
      <c r="AI494" s="38">
        <f>IF('BBG Verify'!O494="","not filed — run on terminal",'BBG Verify'!O494)</f>
        <v/>
      </c>
      <c r="AJ494" s="35" t="n">
        <v>204.1</v>
      </c>
      <c r="AK494" s="26" t="inlineStr">
        <is>
          <t>N</t>
        </is>
      </c>
      <c r="AL494" s="36">
        <f>IF('BBG Verify'!K494="","not filed — run on terminal",'BBG Verify'!K494)</f>
        <v/>
      </c>
      <c r="AM494" s="26" t="inlineStr">
        <is>
          <t>N/A</t>
        </is>
      </c>
      <c r="AN494" s="26" t="inlineStr">
        <is>
          <t>N/A</t>
        </is>
      </c>
      <c r="AO494" s="26" t="inlineStr">
        <is>
          <t>N/A</t>
        </is>
      </c>
      <c r="AP494" s="26" t="n"/>
      <c r="AQ494" s="26" t="inlineStr">
        <is>
          <t>富瑞金融集團香港有限公司; 美林(亞太)有限公司; 華泰金融控股(香港)有限公司</t>
        </is>
      </c>
      <c r="AR494" s="26" t="inlineStr">
        <is>
          <t>Managers and Capital Market Intermediaries BOCI Asia Limited</t>
        </is>
      </c>
      <c r="AS494" s="26" t="inlineStr">
        <is>
          <t>中銀國際亞洲有限公司; 中信里昂證券有限公司; 華泰金融控股(香港)有限公司; 富瑞金融集團香港有限公司; 美林(亞太)有限公司</t>
        </is>
      </c>
      <c r="AT494" s="37">
        <f>HYPERLINK("https://www1.hkexnews.hk/listedco/listconews/sehk/2026/0618/2026061800025.pdf","prospectus")</f>
        <v/>
      </c>
      <c r="AU494" s="37">
        <f>HYPERLINK("https://www1.hkexnews.hk/listedco/listconews/sehk/2026/0626/2026062603033.pdf","allotment")</f>
        <v/>
      </c>
      <c r="AV494" s="37">
        <f>HYPERLINK("https://www1.hkexnews.hk/listedco/listconews/sehk/2026/0724/2026072400262.pdf","stabilisation")</f>
        <v/>
      </c>
      <c r="AW494" s="26" t="inlineStr">
        <is>
          <t>P/E: n/m — loss-making at IPO (use P/S) · A/H: no A-share listing · 3m: listed less than 3m ago · sponsor: English name not in the filing text; AAStocks 保薦人 shown</t>
        </is>
      </c>
    </row>
    <row r="495">
      <c r="A495" s="25" t="inlineStr">
        <is>
          <t>2697</t>
        </is>
      </c>
      <c r="B495" s="26" t="inlineStr">
        <is>
          <t>TH MEDICAL-B</t>
        </is>
      </c>
      <c r="C495" s="26" t="inlineStr">
        <is>
          <t>真健康醫療－Ｂ</t>
        </is>
      </c>
      <c r="D495" s="26" t="inlineStr">
        <is>
          <t>Healthcare</t>
        </is>
      </c>
      <c r="E495" s="26" t="inlineStr">
        <is>
          <t>Medical devices</t>
        </is>
      </c>
      <c r="F495" s="26" t="inlineStr">
        <is>
          <t>18A</t>
        </is>
      </c>
      <c r="G495" s="27" t="n">
        <v>46203</v>
      </c>
      <c r="H495" s="28" t="n">
        <v>449.9</v>
      </c>
      <c r="I495" s="26" t="inlineStr">
        <is>
          <t>gross (stated)</t>
        </is>
      </c>
      <c r="J495" s="29" t="n"/>
      <c r="K495" s="29" t="n">
        <v>135.4</v>
      </c>
      <c r="L495" s="29" t="n">
        <v>126.2</v>
      </c>
      <c r="M495" s="26" t="inlineStr">
        <is>
          <t>N</t>
        </is>
      </c>
      <c r="N495" s="30" t="n">
        <v>93.2</v>
      </c>
      <c r="O495" s="28" t="n">
        <v>4498.7</v>
      </c>
      <c r="P495" s="26" t="inlineStr">
        <is>
          <t>derived:price x shares upon listing</t>
        </is>
      </c>
      <c r="Q495" s="31" t="n">
        <v>1790.4</v>
      </c>
      <c r="R495" s="32" t="n">
        <v>2.2</v>
      </c>
      <c r="S495" s="33" t="n">
        <v>0</v>
      </c>
      <c r="T495" s="26" t="n"/>
      <c r="U495" s="30" t="n">
        <v>14.5</v>
      </c>
      <c r="V495" s="26" t="n"/>
      <c r="W495" s="34" t="n">
        <v>216.96</v>
      </c>
      <c r="X495" s="34" t="n">
        <v>202.22</v>
      </c>
      <c r="Y495" s="34" t="n">
        <v>325.91</v>
      </c>
      <c r="Z495" s="34" t="n"/>
      <c r="AA495" s="34" t="n">
        <v>34.37</v>
      </c>
      <c r="AB495" s="34" t="n">
        <v>319.19</v>
      </c>
      <c r="AC495" s="34" t="n">
        <v>6.72</v>
      </c>
      <c r="AD495" s="26" t="inlineStr">
        <is>
          <t>China Biotech ETF (HS biotech proxy)</t>
        </is>
      </c>
      <c r="AE495" s="34" t="n">
        <v>511.33</v>
      </c>
      <c r="AF495" s="28" t="n">
        <v>13.4</v>
      </c>
      <c r="AG495" s="28" t="n">
        <v>-99.09999999999999</v>
      </c>
      <c r="AH495" s="26" t="inlineStr">
        <is>
          <t>N</t>
        </is>
      </c>
      <c r="AI495" s="38">
        <f>IF('BBG Verify'!O495="","not filed — run on terminal",'BBG Verify'!O495)</f>
        <v/>
      </c>
      <c r="AJ495" s="35" t="n">
        <v>335.7</v>
      </c>
      <c r="AK495" s="26" t="inlineStr">
        <is>
          <t>N</t>
        </is>
      </c>
      <c r="AL495" s="36">
        <f>IF('BBG Verify'!K495="","not filed — run on terminal",'BBG Verify'!K495)</f>
        <v/>
      </c>
      <c r="AM495" s="26" t="inlineStr">
        <is>
          <t>N/A</t>
        </is>
      </c>
      <c r="AN495" s="26" t="inlineStr">
        <is>
          <t>N/A</t>
        </is>
      </c>
      <c r="AO495" s="26" t="inlineStr">
        <is>
          <t>N/A</t>
        </is>
      </c>
      <c r="AP495" s="26" t="inlineStr">
        <is>
          <t>China International Capital Corporation Hong Kong Securities Limited; DBS Asia Capital Limited</t>
        </is>
      </c>
      <c r="AQ495" s="26" t="inlineStr">
        <is>
          <t>中國國際金融香港證券有限公司; 星展亞洲融資有限公司</t>
        </is>
      </c>
      <c r="AR495" s="26" t="inlineStr">
        <is>
          <t>China International Capital Corporation Hong Kong Securities Limited; DBS Asia Capital Limited; ABCI Capital Limited; DIRECTORS AND PARTIES INVOLVED IN THE GLOBAL OFFERING –7 9– DBS Asia Capital Limited; Funde Securities Limited; CMBC Securities Company Limited; Livermore Holdings Limited; Open Securities Limited; SPDB International Capital Limited</t>
        </is>
      </c>
      <c r="AS495" s="26" t="inlineStr">
        <is>
          <t>農銀國際證券有限公司; 中國國際金融香港證券有限公司; 民銀證券有限公司; 星展亞洲融資有限公司; 富德證券有限公司; 利弗莫爾證券有限公司; 開盤證券有限公司; 南華證券投資有限公司; 浦銀國際融資有限公司</t>
        </is>
      </c>
      <c r="AT495" s="37">
        <f>HYPERLINK("https://www1.hkexnews.hk/listedco/listconews/sehk/2026/0622/2026062200041.pdf","prospectus")</f>
        <v/>
      </c>
      <c r="AU495" s="37">
        <f>HYPERLINK("https://www1.hkexnews.hk/listedco/listconews/sehk/2026/0629/2026062901959.pdf","allotment")</f>
        <v/>
      </c>
      <c r="AV495" s="26" t="n"/>
      <c r="AW495" s="26" t="inlineStr">
        <is>
          <t>P/E: n/m — loss-making at IPO (use P/S) · greenshoe: end-of-stabilisation notice not located · A/H: no A-share listing · 3m: listed less than 3m ago</t>
        </is>
      </c>
    </row>
    <row r="496">
      <c r="A496" s="25" t="inlineStr">
        <is>
          <t>6915</t>
        </is>
      </c>
      <c r="B496" s="26" t="inlineStr">
        <is>
          <t>JIANGXI BIO</t>
        </is>
      </c>
      <c r="C496" s="26" t="inlineStr">
        <is>
          <t>江西生物</t>
        </is>
      </c>
      <c r="D496" s="26" t="inlineStr">
        <is>
          <t>Healthcare</t>
        </is>
      </c>
      <c r="E496" s="26" t="inlineStr">
        <is>
          <t>Biopharma commercial</t>
        </is>
      </c>
      <c r="F496" s="26" t="inlineStr">
        <is>
          <t>Standard</t>
        </is>
      </c>
      <c r="G496" s="27" t="n">
        <v>46203</v>
      </c>
      <c r="H496" s="28" t="n">
        <v>405.83</v>
      </c>
      <c r="I496" s="26" t="inlineStr">
        <is>
          <t>gross (stated)</t>
        </is>
      </c>
      <c r="J496" s="29" t="n">
        <v>9.33</v>
      </c>
      <c r="K496" s="29" t="n">
        <v>13.06</v>
      </c>
      <c r="L496" s="29" t="n">
        <v>11.2</v>
      </c>
      <c r="M496" s="26" t="inlineStr">
        <is>
          <t>N</t>
        </is>
      </c>
      <c r="N496" s="30" t="n">
        <v>85.8</v>
      </c>
      <c r="O496" s="28" t="n">
        <v>3453.9</v>
      </c>
      <c r="P496" s="26" t="inlineStr">
        <is>
          <t>derived:deal size / offer % of enlarged capital</t>
        </is>
      </c>
      <c r="Q496" s="31" t="n">
        <v>476.56</v>
      </c>
      <c r="R496" s="32" t="n">
        <v>4.25</v>
      </c>
      <c r="S496" s="33" t="n">
        <v>13.07</v>
      </c>
      <c r="T496" s="26" t="inlineStr">
        <is>
          <t>富策控股有限公司</t>
        </is>
      </c>
      <c r="U496" s="30" t="n">
        <v>15</v>
      </c>
      <c r="V496" s="26" t="inlineStr">
        <is>
          <t>lapsed</t>
        </is>
      </c>
      <c r="W496" s="34" t="n">
        <v>-12.68</v>
      </c>
      <c r="X496" s="34" t="n">
        <v>-62.41</v>
      </c>
      <c r="Y496" s="34" t="n">
        <v>24.82</v>
      </c>
      <c r="Z496" s="34" t="n"/>
      <c r="AA496" s="34" t="n">
        <v>42.95</v>
      </c>
      <c r="AB496" s="34" t="n">
        <v>18.1</v>
      </c>
      <c r="AC496" s="34" t="n">
        <v>6.72</v>
      </c>
      <c r="AD496" s="26" t="inlineStr">
        <is>
          <t>China Biotech ETF (HS biotech proxy)</t>
        </is>
      </c>
      <c r="AE496" s="34" t="n">
        <v>21.43</v>
      </c>
      <c r="AF496" s="28" t="n">
        <v>242.8</v>
      </c>
      <c r="AG496" s="28" t="n">
        <v>104.3</v>
      </c>
      <c r="AH496" s="26" t="inlineStr">
        <is>
          <t>Y</t>
        </is>
      </c>
      <c r="AI496" s="35" t="n">
        <v>33.1</v>
      </c>
      <c r="AJ496" s="35" t="n">
        <v>14.2</v>
      </c>
      <c r="AK496" s="26" t="inlineStr">
        <is>
          <t>N</t>
        </is>
      </c>
      <c r="AL496" s="36">
        <f>IF('BBG Verify'!K496="","not filed — run on terminal",'BBG Verify'!K496)</f>
        <v/>
      </c>
      <c r="AM496" s="26" t="inlineStr">
        <is>
          <t>N/A</t>
        </is>
      </c>
      <c r="AN496" s="26" t="inlineStr">
        <is>
          <t>N/A</t>
        </is>
      </c>
      <c r="AO496" s="26" t="inlineStr">
        <is>
          <t>N/A</t>
        </is>
      </c>
      <c r="AP496" s="26" t="inlineStr">
        <is>
          <t>China Merchants Securities (HK) Co., Limited</t>
        </is>
      </c>
      <c r="AQ496" s="26" t="inlineStr">
        <is>
          <t>中國國際金融香港證券有限公司; 招商證券(香港)有限公司</t>
        </is>
      </c>
      <c r="AR496" s="26" t="inlineStr">
        <is>
          <t>Securities Limited; China Merchants Securities (HK) Co., Limited; Futu Securities International (Hong Kong) Limited; CMBC Securities Company Limited; Arta Asset Management Limited</t>
        </is>
      </c>
      <c r="AS496" s="26" t="inlineStr">
        <is>
          <t>裕承資產管理有限公司; 中國國際金融香港證券有限公司; 民銀證券有限公司; 招商證券(香港)有限公司; 富途證券國際（香港）有限公司; 國信證券（香港）經紀有限公司</t>
        </is>
      </c>
      <c r="AT496" s="37">
        <f>HYPERLINK("https://www1.hkexnews.hk/listedco/listconews/sehk/2026/0622/2026062200065.pdf","prospectus")</f>
        <v/>
      </c>
      <c r="AU496" s="37">
        <f>HYPERLINK("https://www1.hkexnews.hk/listedco/listconews/sehk/2026/0629/2026062902075.pdf","allotment")</f>
        <v/>
      </c>
      <c r="AV496" s="37">
        <f>HYPERLINK("https://www1.hkexnews.hk/listedco/listconews/sehk/2026/0726/2026072600027.pdf","stabilisation")</f>
        <v/>
      </c>
      <c r="AW496" s="26" t="inlineStr">
        <is>
          <t>A/H: no A-share listing · 3m: listed less than 3m ago</t>
        </is>
      </c>
    </row>
    <row r="497">
      <c r="A497" s="25" t="inlineStr">
        <is>
          <t>3952</t>
        </is>
      </c>
      <c r="B497" s="26" t="inlineStr">
        <is>
          <t>LAIFUAL</t>
        </is>
      </c>
      <c r="C497" s="26" t="inlineStr">
        <is>
          <t>來福諧波</t>
        </is>
      </c>
      <c r="D497" s="26" t="inlineStr">
        <is>
          <t>Industrials</t>
        </is>
      </c>
      <c r="E497" s="26" t="inlineStr">
        <is>
          <t>Capital goods / machinery</t>
        </is>
      </c>
      <c r="F497" s="26" t="inlineStr">
        <is>
          <t>Standard</t>
        </is>
      </c>
      <c r="G497" s="27" t="n">
        <v>46203</v>
      </c>
      <c r="H497" s="28" t="n">
        <v>1149.3</v>
      </c>
      <c r="I497" s="26" t="inlineStr">
        <is>
          <t>gross (stated)</t>
        </is>
      </c>
      <c r="J497" s="29" t="n"/>
      <c r="K497" s="29" t="n">
        <v>85.5</v>
      </c>
      <c r="L497" s="29" t="n">
        <v>85.5</v>
      </c>
      <c r="M497" s="26" t="inlineStr">
        <is>
          <t>Y</t>
        </is>
      </c>
      <c r="N497" s="30" t="n">
        <v>100</v>
      </c>
      <c r="O497" s="28" t="n">
        <v>8840.6</v>
      </c>
      <c r="P497" s="26" t="inlineStr">
        <is>
          <t>derived:price x shares upon listing</t>
        </is>
      </c>
      <c r="Q497" s="31" t="n">
        <v>4571.99</v>
      </c>
      <c r="R497" s="32" t="n">
        <v>7.89</v>
      </c>
      <c r="S497" s="33" t="n">
        <v>5</v>
      </c>
      <c r="T497" s="26" t="inlineStr">
        <is>
          <t>明山資本有限公司; CDH Global Frontier Ventures Limited; Dreamee (Hong Kong) Openended Fund Company; 易方達基金管理有限公司及易方達資產管理（香港）有限公司; Eurus Holdings SPC; Factorial Master Fund; 嘉實國際資產管理有限公司; LBC HK Opportunity Fund Limited; Oaktree Capital Management, L.P; Oasis Investments II Master Fund Ltd</t>
        </is>
      </c>
      <c r="U497" s="30" t="n">
        <v>8.699999999999999</v>
      </c>
      <c r="V497" s="26" t="inlineStr">
        <is>
          <t>partial</t>
        </is>
      </c>
      <c r="W497" s="34" t="n">
        <v>-14.62</v>
      </c>
      <c r="X497" s="34" t="n">
        <v>21.87</v>
      </c>
      <c r="Y497" s="34" t="n">
        <v>-42.22</v>
      </c>
      <c r="Z497" s="34" t="n"/>
      <c r="AA497" s="34" t="n">
        <v>-32.33</v>
      </c>
      <c r="AB497" s="34" t="n">
        <v>-55.12</v>
      </c>
      <c r="AC497" s="34" t="n">
        <v>12.9</v>
      </c>
      <c r="AD497" s="26" t="inlineStr">
        <is>
          <t>Hang Seng Commerce &amp; Industry sub-index</t>
        </is>
      </c>
      <c r="AE497" s="34" t="n">
        <v>-16.37</v>
      </c>
      <c r="AF497" s="28" t="n">
        <v>2.2</v>
      </c>
      <c r="AG497" s="28" t="n">
        <v>-185.7</v>
      </c>
      <c r="AH497" s="26" t="inlineStr">
        <is>
          <t>N</t>
        </is>
      </c>
      <c r="AI497" s="38">
        <f>IF('BBG Verify'!O497="","not filed — run on terminal",'BBG Verify'!O497)</f>
        <v/>
      </c>
      <c r="AJ497" s="35" t="n">
        <v>4018.5</v>
      </c>
      <c r="AK497" s="26" t="inlineStr">
        <is>
          <t>N</t>
        </is>
      </c>
      <c r="AL497" s="36">
        <f>IF('BBG Verify'!K497="","not filed — run on terminal",'BBG Verify'!K497)</f>
        <v/>
      </c>
      <c r="AM497" s="26" t="inlineStr">
        <is>
          <t>N/A</t>
        </is>
      </c>
      <c r="AN497" s="26" t="inlineStr">
        <is>
          <t>N/A</t>
        </is>
      </c>
      <c r="AO497" s="26" t="inlineStr">
        <is>
          <t>N/A</t>
        </is>
      </c>
      <c r="AP497" s="26" t="inlineStr">
        <is>
          <t>CMB International Capital Limited</t>
        </is>
      </c>
      <c r="AQ497" s="26" t="inlineStr">
        <is>
          <t>招銀國際融資有限公司</t>
        </is>
      </c>
      <c r="AR497" s="26" t="inlineStr">
        <is>
          <t>CMB International Capital Limited; Sole Lead Manager CMB International Capital Limited</t>
        </is>
      </c>
      <c r="AS497" s="26" t="inlineStr">
        <is>
          <t>招銀國際融資有限公司</t>
        </is>
      </c>
      <c r="AT497" s="37">
        <f>HYPERLINK("https://www1.hkexnews.hk/listedco/listconews/sehk/2026/0622/2026062200047.pdf","prospectus")</f>
        <v/>
      </c>
      <c r="AU497" s="37">
        <f>HYPERLINK("https://www1.hkexnews.hk/listedco/listconews/sehk/2026/0629/2026062902089.pdf","allotment")</f>
        <v/>
      </c>
      <c r="AV497" s="37">
        <f>HYPERLINK("https://www1.hkexnews.hk/listedco/listconews/sehk/2026/0726/2026072600013.pdf","stabilisation")</f>
        <v/>
      </c>
      <c r="AW497" s="26" t="inlineStr">
        <is>
          <t>P/E: n/m — loss-making at IPO (use P/S) · A/H: no A-share listing · 3m: listed less than 3m ago · cornerstone: AAStocks institutional table includes non-cornerstone orders (superset) — cornerstone % is from the prospectus</t>
        </is>
      </c>
    </row>
    <row r="498">
      <c r="A498" s="25" t="inlineStr">
        <is>
          <t>6715</t>
        </is>
      </c>
      <c r="B498" s="26" t="inlineStr">
        <is>
          <t>XUNLONG SCITECH</t>
        </is>
      </c>
      <c r="C498" s="26" t="inlineStr">
        <is>
          <t>鱘龍科技</t>
        </is>
      </c>
      <c r="D498" s="26" t="inlineStr">
        <is>
          <t>Consumer</t>
        </is>
      </c>
      <c r="E498" s="26" t="inlineStr">
        <is>
          <t>Beverages / packaged food</t>
        </is>
      </c>
      <c r="F498" s="26" t="inlineStr">
        <is>
          <t>Standard</t>
        </is>
      </c>
      <c r="G498" s="27" t="n">
        <v>46203</v>
      </c>
      <c r="H498" s="28" t="n">
        <v>1233.1</v>
      </c>
      <c r="I498" s="26" t="inlineStr">
        <is>
          <t>gross (stated)</t>
        </is>
      </c>
      <c r="J498" s="29" t="n"/>
      <c r="K498" s="29" t="n">
        <v>75.5</v>
      </c>
      <c r="L498" s="29" t="n">
        <v>75.5</v>
      </c>
      <c r="M498" s="26" t="inlineStr">
        <is>
          <t>Y</t>
        </is>
      </c>
      <c r="N498" s="30" t="n">
        <v>100</v>
      </c>
      <c r="O498" s="41">
        <f>IF('BBG Verify'!M498="","not filed — run on terminal",'BBG Verify'!M498)</f>
        <v/>
      </c>
      <c r="P498" s="26" t="n"/>
      <c r="Q498" s="31" t="n">
        <v>2134.81</v>
      </c>
      <c r="R498" s="32" t="n">
        <v>19.87</v>
      </c>
      <c r="S498" s="33" t="n">
        <v>49.7</v>
      </c>
      <c r="T498" s="26" t="inlineStr">
        <is>
          <t>霸菱資產管理（亞洲）有限公司; Black Rock, Inc; 大成國際資產管理有限公司及大成基金管理有限公司及大成基金管理有限公司; 國泰君安證券投資(香港)有限公司）及國泰海通證券股份有限公司; 工銀理財有限責任公司; 未來資產證券（香港）有限公司; Nova Kerry Inc; 泰康人壽保險有限責任公司</t>
        </is>
      </c>
      <c r="U498" s="30" t="n">
        <v>15</v>
      </c>
      <c r="V498" s="26" t="inlineStr">
        <is>
          <t>lapsed</t>
        </is>
      </c>
      <c r="W498" s="34" t="n">
        <v>50.99</v>
      </c>
      <c r="X498" s="34" t="n">
        <v>3.97</v>
      </c>
      <c r="Y498" s="34" t="n">
        <v>-22.72</v>
      </c>
      <c r="Z498" s="34" t="n"/>
      <c r="AA498" s="34" t="n">
        <v>-48.82</v>
      </c>
      <c r="AB498" s="34" t="n">
        <v>-35.62</v>
      </c>
      <c r="AC498" s="34" t="n">
        <v>12.9</v>
      </c>
      <c r="AD498" s="26" t="inlineStr">
        <is>
          <t>Hang Seng Commerce &amp; Industry sub-index</t>
        </is>
      </c>
      <c r="AE498" s="34" t="n">
        <v>-5.03</v>
      </c>
      <c r="AF498" s="28" t="n">
        <v>845.9</v>
      </c>
      <c r="AG498" s="28" t="n">
        <v>399.7</v>
      </c>
      <c r="AH498" s="26" t="inlineStr">
        <is>
          <t>Y</t>
        </is>
      </c>
      <c r="AI498" s="38">
        <f>IF('BBG Verify'!O498="","not filed — run on terminal",'BBG Verify'!O498)</f>
        <v/>
      </c>
      <c r="AJ498" s="35" t="n"/>
      <c r="AK498" s="26" t="inlineStr">
        <is>
          <t>N</t>
        </is>
      </c>
      <c r="AL498" s="36">
        <f>IF('BBG Verify'!K498="","not filed — run on terminal",'BBG Verify'!K498)</f>
        <v/>
      </c>
      <c r="AM498" s="26" t="inlineStr">
        <is>
          <t>N/A</t>
        </is>
      </c>
      <c r="AN498" s="26" t="inlineStr">
        <is>
          <t>N/A</t>
        </is>
      </c>
      <c r="AO498" s="26" t="inlineStr">
        <is>
          <t>N/A</t>
        </is>
      </c>
      <c r="AP498" s="26" t="inlineStr">
        <is>
          <t>CITIC Securities (Hong Kong) Limited; China Securities (Internat ional) Corporate Finance Company Limited; Sponsor-Overall Coor dinators CLSA Limited</t>
        </is>
      </c>
      <c r="AQ498" s="26" t="inlineStr">
        <is>
          <t>中信證券(香港)有限公司; 中信建投(國際)融資有限公司</t>
        </is>
      </c>
      <c r="AR498" s="26" t="inlineStr">
        <is>
          <t>興證國際融資有限公司; 中信里昂證券有限公司; 中信建投(國際)融資有限公司; 華福國際證券有限公司</t>
        </is>
      </c>
      <c r="AS498" s="26" t="inlineStr">
        <is>
          <t>興證國際融資有限公司; 中信里昂證券有限公司; 中信建投(國際)融資有限公司; 華福國際證券有限公司</t>
        </is>
      </c>
      <c r="AT498" s="37">
        <f>HYPERLINK("https://www1.hkexnews.hk/listedco/listconews/sehk/2026/0622/2026062200025.pdf","prospectus")</f>
        <v/>
      </c>
      <c r="AU498" s="37">
        <f>HYPERLINK("https://www1.hkexnews.hk/listedco/listconews/sehk/2026/0629/2026062902679.pdf","allotment")</f>
        <v/>
      </c>
      <c r="AV498" s="37">
        <f>HYPERLINK("https://www1.hkexnews.hk/listedco/listconews/sehk/2026/0726/2026072600021.pdf","stabilisation")</f>
        <v/>
      </c>
      <c r="AW498" s="26" t="inlineStr">
        <is>
          <t>P/E: market cap not derivable (no share count disclosed) · A/H: no A-share listing · 3m: listed less than 3m ago</t>
        </is>
      </c>
    </row>
    <row r="499">
      <c r="A499" s="25" t="inlineStr">
        <is>
          <t>0668</t>
        </is>
      </c>
      <c r="B499" s="26" t="inlineStr">
        <is>
          <t>ANKER</t>
        </is>
      </c>
      <c r="C499" s="26" t="inlineStr">
        <is>
          <t>安克創新</t>
        </is>
      </c>
      <c r="D499" s="26" t="inlineStr">
        <is>
          <t>Tech/AI</t>
        </is>
      </c>
      <c r="E499" s="26" t="inlineStr">
        <is>
          <t>Smart hardware / consumer electronics</t>
        </is>
      </c>
      <c r="F499" s="26" t="inlineStr">
        <is>
          <t>Standard</t>
        </is>
      </c>
      <c r="G499" s="27" t="n">
        <v>46205</v>
      </c>
      <c r="H499" s="28" t="n">
        <v>4631.6</v>
      </c>
      <c r="I499" s="26" t="inlineStr">
        <is>
          <t>gross (stated)</t>
        </is>
      </c>
      <c r="J499" s="29" t="n"/>
      <c r="K499" s="29" t="n">
        <v>99.31999999999999</v>
      </c>
      <c r="L499" s="29" t="n">
        <v>99.31999999999999</v>
      </c>
      <c r="M499" s="26" t="inlineStr">
        <is>
          <t>Y</t>
        </is>
      </c>
      <c r="N499" s="30" t="n">
        <v>100</v>
      </c>
      <c r="O499" s="28" t="n">
        <v>57894.5</v>
      </c>
      <c r="P499" s="26" t="inlineStr">
        <is>
          <t>derived:price x shares upon listing</t>
        </is>
      </c>
      <c r="Q499" s="31" t="n">
        <v>27.57</v>
      </c>
      <c r="R499" s="32" t="n">
        <v>10.24</v>
      </c>
      <c r="S499" s="33" t="n">
        <v>49.9</v>
      </c>
      <c r="T499" s="26" t="inlineStr">
        <is>
          <t>Aspex Master Fund; 國海富蘭克林基金管理有限公司; Greenwoods Asset Management Hong Kong Limited; HACF, L.P; Jane Street Asia Trading Limited; 信安資金管理（亞洲）有限公司; Schroder Investment Management (Singapore) Ltd; 上海景林資產管理有限公司; 泰康人壽保險有限責任公司; UBS Asset Management (Singapore) Ltd; 惠理基金管理香港有限公司; WT Asset Management Limited</t>
        </is>
      </c>
      <c r="U499" s="30" t="n">
        <v>15</v>
      </c>
      <c r="V499" s="26" t="n"/>
      <c r="W499" s="34" t="n">
        <v>15.69</v>
      </c>
      <c r="X499" s="34" t="n">
        <v>1.29</v>
      </c>
      <c r="Y499" s="34" t="n">
        <v>10.55</v>
      </c>
      <c r="Z499" s="34" t="n"/>
      <c r="AA499" s="34" t="n">
        <v>-4.44</v>
      </c>
      <c r="AB499" s="34" t="n">
        <v>2.81</v>
      </c>
      <c r="AC499" s="34" t="n">
        <v>7.74</v>
      </c>
      <c r="AD499" s="26" t="inlineStr">
        <is>
          <t>HSTECH (Hang Seng TECH ETF)</t>
        </is>
      </c>
      <c r="AE499" s="34" t="n">
        <v>21.63</v>
      </c>
      <c r="AF499" s="28" t="n">
        <v>33565.8</v>
      </c>
      <c r="AG499" s="28" t="n">
        <v>2799.6</v>
      </c>
      <c r="AH499" s="26" t="inlineStr">
        <is>
          <t>Y</t>
        </is>
      </c>
      <c r="AI499" s="35" t="n">
        <v>20.7</v>
      </c>
      <c r="AJ499" s="35" t="n">
        <v>1.7</v>
      </c>
      <c r="AK499" s="26" t="inlineStr">
        <is>
          <t>Y</t>
        </is>
      </c>
      <c r="AL499" s="26" t="inlineStr">
        <is>
          <t>300866.SZ</t>
        </is>
      </c>
      <c r="AM499" s="34" t="n">
        <v>-20.13</v>
      </c>
      <c r="AN499" s="29" t="n">
        <v>124.3512</v>
      </c>
      <c r="AO499" s="42" t="n">
        <v>-0.1322</v>
      </c>
      <c r="AP499" s="26" t="inlineStr">
        <is>
          <t>CICC; Goldman Sachs; J.P. Morgan</t>
        </is>
      </c>
      <c r="AQ499" s="26" t="inlineStr">
        <is>
          <t>中國國際金融香港證券有限公司; J.P. Morgan Securities (Far East) Limited; 高盛(亞洲)有限責任公司</t>
        </is>
      </c>
      <c r="AR499" s="26" t="inlineStr">
        <is>
          <t>中國國際金融香港證券有限公司; 高盛(亞洲)有限責任公司; J.P. Morgan Securities (Asia Pacific) Limited</t>
        </is>
      </c>
      <c r="AS499" s="26" t="inlineStr">
        <is>
          <t>中國國際金融香港證券有限公司; 高盛(亞洲)有限責任公司; J.P. Morgan Securities (Asia Pacific) Limited</t>
        </is>
      </c>
      <c r="AT499" s="37">
        <f>HYPERLINK("https://www1.hkexnews.hk/listedco/listconews/sehk/2026/0623/2026062300037.pdf","prospectus")</f>
        <v/>
      </c>
      <c r="AU499" s="37">
        <f>HYPERLINK("https://www1.hkexnews.hk/listedco/listconews/sehk/2026/0630/2026063003481.pdf","allotment")</f>
        <v/>
      </c>
      <c r="AV499" s="26" t="n"/>
      <c r="AW499" s="26" t="inlineStr">
        <is>
          <t>greenshoe: end-of-stabilisation notice not located · price range: fixed-price offering (no indicative range) · A/H: Jun 2026 H listing (consumer charging/power brands) · 3m: listed less than 3m ago</t>
        </is>
      </c>
    </row>
    <row r="500">
      <c r="A500" s="25" t="inlineStr">
        <is>
          <t>2667</t>
        </is>
      </c>
      <c r="B500" s="26" t="inlineStr">
        <is>
          <t>TONGRENTANGCARE</t>
        </is>
      </c>
      <c r="C500" s="26" t="inlineStr">
        <is>
          <t>同仁堂醫養</t>
        </is>
      </c>
      <c r="D500" s="26" t="inlineStr">
        <is>
          <t>Healthcare</t>
        </is>
      </c>
      <c r="E500" s="26" t="inlineStr">
        <is>
          <t>TCM</t>
        </is>
      </c>
      <c r="F500" s="26" t="inlineStr">
        <is>
          <t>Standard</t>
        </is>
      </c>
      <c r="G500" s="27" t="n">
        <v>46210</v>
      </c>
      <c r="H500" s="28" t="n">
        <v>594.8</v>
      </c>
      <c r="I500" s="26" t="inlineStr">
        <is>
          <t>gross (stated)</t>
        </is>
      </c>
      <c r="J500" s="29" t="n"/>
      <c r="K500" s="29" t="n">
        <v>6.21</v>
      </c>
      <c r="L500" s="29" t="n">
        <v>5.5</v>
      </c>
      <c r="M500" s="26" t="inlineStr">
        <is>
          <t>N</t>
        </is>
      </c>
      <c r="N500" s="30" t="n">
        <v>88.59999999999999</v>
      </c>
      <c r="O500" s="28" t="n">
        <v>2550.2</v>
      </c>
      <c r="P500" s="26" t="inlineStr">
        <is>
          <t>prospectus:stated market capitalisation</t>
        </is>
      </c>
      <c r="Q500" s="31" t="n">
        <v>251.74</v>
      </c>
      <c r="R500" s="32" t="n">
        <v>2.84</v>
      </c>
      <c r="S500" s="33" t="n">
        <v>44.08</v>
      </c>
      <c r="T500" s="26" t="inlineStr">
        <is>
          <t>航空港科技資本（香港）有限公; Aurora SF; CICC Financial Trading Limited</t>
        </is>
      </c>
      <c r="U500" s="30" t="n">
        <v>15</v>
      </c>
      <c r="V500" s="26" t="inlineStr">
        <is>
          <t>lapsed</t>
        </is>
      </c>
      <c r="W500" s="34" t="n">
        <v>-39.09</v>
      </c>
      <c r="X500" s="34" t="n">
        <v>-44.73</v>
      </c>
      <c r="Y500" s="34" t="n">
        <v>-49.09</v>
      </c>
      <c r="Z500" s="34" t="n"/>
      <c r="AA500" s="34" t="n">
        <v>-16.42</v>
      </c>
      <c r="AB500" s="34" t="n">
        <v>-50.53</v>
      </c>
      <c r="AC500" s="34" t="n">
        <v>1.44</v>
      </c>
      <c r="AD500" s="26" t="inlineStr">
        <is>
          <t>China Biotech ETF (HS biotech proxy)</t>
        </is>
      </c>
      <c r="AE500" s="34" t="n">
        <v>-51.55</v>
      </c>
      <c r="AF500" s="28" t="n">
        <v>1288.4</v>
      </c>
      <c r="AG500" s="28" t="n">
        <v>37.1</v>
      </c>
      <c r="AH500" s="26" t="inlineStr">
        <is>
          <t>Y</t>
        </is>
      </c>
      <c r="AI500" s="35" t="n">
        <v>68.7</v>
      </c>
      <c r="AJ500" s="35" t="n">
        <v>2</v>
      </c>
      <c r="AK500" s="26" t="inlineStr">
        <is>
          <t>N</t>
        </is>
      </c>
      <c r="AL500" s="36">
        <f>IF('BBG Verify'!K500="","not filed — run on terminal",'BBG Verify'!K500)</f>
        <v/>
      </c>
      <c r="AM500" s="26" t="inlineStr">
        <is>
          <t>N/A</t>
        </is>
      </c>
      <c r="AN500" s="26" t="inlineStr">
        <is>
          <t>N/A</t>
        </is>
      </c>
      <c r="AO500" s="26" t="inlineStr">
        <is>
          <t>N/A</t>
        </is>
      </c>
      <c r="AP500" s="26" t="n"/>
      <c r="AQ500" s="26" t="inlineStr">
        <is>
          <t>中國國際金融香港證券有限公司</t>
        </is>
      </c>
      <c r="AR500" s="26" t="inlineStr">
        <is>
          <t>China International Capital Corporation Hong Kong Securities Limited; ICBC International Securities Limited; Kong GF Securities (Hong Kong) Brokerage Limited; Chai, Hong Kong ABCI Capital Limited; West Bull Securities Limited; V oeux Rd Central, Sheung Wan, Hong Kong Patrons Securities Limited</t>
        </is>
      </c>
      <c r="AS500" s="26" t="inlineStr">
        <is>
          <t>農銀國際證券有限公司; 中國國際金融香港證券有限公司; 富途證券國際（香港）有限公司; 廣發證券（香港）經紀有限公司; 工銀國際證券有限公司; 利弗莫爾證券有限公司; 百惠證券有限公司; 老虎證券（香港）環球有限公司; 西牛證券有限公司</t>
        </is>
      </c>
      <c r="AT500" s="37">
        <f>HYPERLINK("https://www1.hkexnews.hk/listedco/listconews/sehk/2026/0626/2026062600021.pdf","prospectus")</f>
        <v/>
      </c>
      <c r="AU500" s="37">
        <f>HYPERLINK("https://www1.hkexnews.hk/listedco/listconews/sehk/2026/0706/2026070602117.pdf","allotment")</f>
        <v/>
      </c>
      <c r="AV500" s="37">
        <f>HYPERLINK("https://www1.hkexnews.hk/listedco/listconews/sehk/2026/0803/2026080301376.pdf","stabilisation")</f>
        <v/>
      </c>
      <c r="AW500" s="26" t="inlineStr">
        <is>
          <t>A/H: no A-share listing · 3m: listed less than 3m ago · sponsor: English name not in the filing text; AAStocks 保薦人 shown</t>
        </is>
      </c>
    </row>
    <row r="501">
      <c r="A501" s="25" t="inlineStr">
        <is>
          <t>7656</t>
        </is>
      </c>
      <c r="B501" s="26" t="inlineStr">
        <is>
          <t>RECONOVA</t>
        </is>
      </c>
      <c r="C501" s="26" t="inlineStr">
        <is>
          <t>瑞為技術</t>
        </is>
      </c>
      <c r="D501" s="26" t="inlineStr">
        <is>
          <t>Tech/AI</t>
        </is>
      </c>
      <c r="E501" s="26" t="inlineStr">
        <is>
          <t>AI application / agent software</t>
        </is>
      </c>
      <c r="F501" s="26" t="inlineStr">
        <is>
          <t>Standard</t>
        </is>
      </c>
      <c r="G501" s="27" t="n">
        <v>46211</v>
      </c>
      <c r="H501" s="28" t="n">
        <v>608.4</v>
      </c>
      <c r="I501" s="26" t="inlineStr">
        <is>
          <t>gross (stated)</t>
        </is>
      </c>
      <c r="J501" s="29" t="n"/>
      <c r="K501" s="29" t="n">
        <v>21.66</v>
      </c>
      <c r="L501" s="29" t="n">
        <v>21.66</v>
      </c>
      <c r="M501" s="26" t="inlineStr">
        <is>
          <t>Y</t>
        </is>
      </c>
      <c r="N501" s="30" t="n">
        <v>100</v>
      </c>
      <c r="O501" s="28" t="n">
        <v>6612.6</v>
      </c>
      <c r="P501" s="26" t="inlineStr">
        <is>
          <t>derived:price x shares upon listing</t>
        </is>
      </c>
      <c r="Q501" s="31" t="n">
        <v>3646.06</v>
      </c>
      <c r="R501" s="32" t="n">
        <v>3.08</v>
      </c>
      <c r="S501" s="33" t="n">
        <v>0</v>
      </c>
      <c r="T501" s="26" t="n"/>
      <c r="U501" s="30" t="n"/>
      <c r="V501" s="26" t="n"/>
      <c r="W501" s="34" t="n">
        <v>-3.05</v>
      </c>
      <c r="X501" s="34" t="n">
        <v>31.12</v>
      </c>
      <c r="Y501" s="34" t="n">
        <v>53.74</v>
      </c>
      <c r="Z501" s="34" t="n"/>
      <c r="AA501" s="34" t="n">
        <v>58.58</v>
      </c>
      <c r="AB501" s="34" t="n">
        <v>46.59</v>
      </c>
      <c r="AC501" s="34" t="n">
        <v>7.15</v>
      </c>
      <c r="AD501" s="26" t="inlineStr">
        <is>
          <t>HSTECH (Hang Seng TECH ETF)</t>
        </is>
      </c>
      <c r="AE501" s="34" t="n">
        <v>36.2</v>
      </c>
      <c r="AF501" s="28" t="n">
        <v>487.3</v>
      </c>
      <c r="AG501" s="28" t="n">
        <v>-75</v>
      </c>
      <c r="AH501" s="26" t="inlineStr">
        <is>
          <t>N</t>
        </is>
      </c>
      <c r="AI501" s="38">
        <f>IF('BBG Verify'!O501="","not filed — run on terminal",'BBG Verify'!O501)</f>
        <v/>
      </c>
      <c r="AJ501" s="35" t="n">
        <v>13.6</v>
      </c>
      <c r="AK501" s="26" t="inlineStr">
        <is>
          <t>N</t>
        </is>
      </c>
      <c r="AL501" s="36">
        <f>IF('BBG Verify'!K501="","not filed — run on terminal",'BBG Verify'!K501)</f>
        <v/>
      </c>
      <c r="AM501" s="26" t="inlineStr">
        <is>
          <t>N/A</t>
        </is>
      </c>
      <c r="AN501" s="26" t="inlineStr">
        <is>
          <t>N/A</t>
        </is>
      </c>
      <c r="AO501" s="26" t="inlineStr">
        <is>
          <t>N/A</t>
        </is>
      </c>
      <c r="AP501" s="26" t="inlineStr">
        <is>
          <t>and Joint Sponsor-OCs Huatai Financial Holdings (Hong Kong) Limited; CCB International Capital Limited; Central, Hong Kong ABCI Capital Limited</t>
        </is>
      </c>
      <c r="AQ501" s="26" t="inlineStr">
        <is>
          <t>建銀國際金融有限公司; 華泰金融控股(香港)有限公司; 農銀國際融資有限公司</t>
        </is>
      </c>
      <c r="AR501" s="26" t="inlineStr">
        <is>
          <t>Huatai Financial Holdings (Hong Kong) Limited; CCB International Capital Limited; Central, Hong Kong ABCI Capital Limited; CMBC Securities Company Limited; Huafu International Securities Limited; Sheung Wan, Hong Kong Shenwan Hongyuan Securities (H.K.) Limited; Sunfund Securities Limited; Futu Securities International (Hong Kong) Limited; Admiralty, Hong Kong Yuet Sheung International Securities Limited</t>
        </is>
      </c>
      <c r="AS501" s="26" t="inlineStr">
        <is>
          <t>農銀國際證券有限公司; 建銀國際金融有限公司; 民銀證券有限公司; 富途證券國際（香港）有限公司; 華泰金融控股(香港)有限公司; 華福國際證券有限公司; 申萬宏源證券（香港）有限公司; 耀盛證券有限公司; 粵商國際證券有限公司</t>
        </is>
      </c>
      <c r="AT501" s="37">
        <f>HYPERLINK("https://www1.hkexnews.hk/listedco/listconews/sehk/2026/0629/2026062900145.pdf","prospectus")</f>
        <v/>
      </c>
      <c r="AU501" s="37">
        <f>HYPERLINK("https://www1.hkexnews.hk/listedco/listconews/sehk/2026/0707/2026070701895.pdf","allotment")</f>
        <v/>
      </c>
      <c r="AV501" s="26" t="n"/>
      <c r="AW501" s="26" t="inlineStr">
        <is>
          <t>P/E: n/m — loss-making at IPO (use P/S) · greenshoe: no over-allotment option in the offer structure · A/H: no A-share listing · 3m: listed less than 3m ago</t>
        </is>
      </c>
    </row>
    <row r="502">
      <c r="A502" s="25" t="inlineStr">
        <is>
          <t>9971</t>
        </is>
      </c>
      <c r="B502" s="26" t="inlineStr">
        <is>
          <t>BASICSEMI</t>
        </is>
      </c>
      <c r="C502" s="26" t="inlineStr">
        <is>
          <t>基本半導體</t>
        </is>
      </c>
      <c r="D502" s="26" t="inlineStr">
        <is>
          <t>Tech/AI</t>
        </is>
      </c>
      <c r="E502" s="26" t="inlineStr">
        <is>
          <t>AI chips &amp; semis</t>
        </is>
      </c>
      <c r="F502" s="26" t="inlineStr">
        <is>
          <t>Standard</t>
        </is>
      </c>
      <c r="G502" s="27" t="n">
        <v>46211</v>
      </c>
      <c r="H502" s="28" t="n">
        <v>865.95</v>
      </c>
      <c r="I502" s="26" t="inlineStr">
        <is>
          <t>gross (stated)</t>
        </is>
      </c>
      <c r="J502" s="29" t="n"/>
      <c r="K502" s="29" t="n">
        <v>31.62</v>
      </c>
      <c r="L502" s="29" t="n">
        <v>31.62</v>
      </c>
      <c r="M502" s="26" t="inlineStr">
        <is>
          <t>Y</t>
        </is>
      </c>
      <c r="N502" s="30" t="n">
        <v>100</v>
      </c>
      <c r="O502" s="28" t="n">
        <v>9621.6</v>
      </c>
      <c r="P502" s="26" t="inlineStr">
        <is>
          <t>derived:price x shares upon listing</t>
        </is>
      </c>
      <c r="Q502" s="31" t="n">
        <v>4812.72</v>
      </c>
      <c r="R502" s="32" t="n">
        <v>2.98</v>
      </c>
      <c r="S502" s="33" t="n"/>
      <c r="T502" s="26" t="n"/>
      <c r="U502" s="30" t="n">
        <v>17.41</v>
      </c>
      <c r="V502" s="26" t="inlineStr">
        <is>
          <t>lapsed (no over-allocation)</t>
        </is>
      </c>
      <c r="W502" s="34" t="n">
        <v>5.06</v>
      </c>
      <c r="X502" s="34" t="n">
        <v>33.71</v>
      </c>
      <c r="Y502" s="34" t="n">
        <v>74.89</v>
      </c>
      <c r="Z502" s="34" t="n"/>
      <c r="AA502" s="34" t="n">
        <v>66.47</v>
      </c>
      <c r="AB502" s="34" t="n">
        <v>67.73999999999999</v>
      </c>
      <c r="AC502" s="34" t="n">
        <v>7.15</v>
      </c>
      <c r="AD502" s="26" t="inlineStr">
        <is>
          <t>HSTECH (Hang Seng TECH ETF)</t>
        </is>
      </c>
      <c r="AE502" s="34" t="n">
        <v>127.7</v>
      </c>
      <c r="AF502" s="28" t="n">
        <v>342.3</v>
      </c>
      <c r="AG502" s="28" t="n">
        <v>-260.8</v>
      </c>
      <c r="AH502" s="26" t="inlineStr">
        <is>
          <t>N</t>
        </is>
      </c>
      <c r="AI502" s="38">
        <f>IF('BBG Verify'!O502="","not filed — run on terminal",'BBG Verify'!O502)</f>
        <v/>
      </c>
      <c r="AJ502" s="35" t="n">
        <v>28.1</v>
      </c>
      <c r="AK502" s="26" t="inlineStr">
        <is>
          <t>N</t>
        </is>
      </c>
      <c r="AL502" s="36">
        <f>IF('BBG Verify'!K502="","not filed — run on terminal",'BBG Verify'!K502)</f>
        <v/>
      </c>
      <c r="AM502" s="26" t="inlineStr">
        <is>
          <t>N/A</t>
        </is>
      </c>
      <c r="AN502" s="26" t="inlineStr">
        <is>
          <t>N/A</t>
        </is>
      </c>
      <c r="AO502" s="26" t="inlineStr">
        <is>
          <t>N/A</t>
        </is>
      </c>
      <c r="AP502" s="26" t="inlineStr">
        <is>
          <t>Sinolink Securities (Hong Kong) Company Limited; Sheung Wan, Hong Kong BOCI Asia Limited</t>
        </is>
      </c>
      <c r="AQ502" s="26" t="inlineStr">
        <is>
          <t>中銀國際亞洲有限公司; 國金證券（香港）有限公司</t>
        </is>
      </c>
      <c r="AR502" s="26" t="inlineStr">
        <is>
          <t>Managers and Capital Market Intermediaries Fortune (HK) Securities Limited; Futu Securities International (Hong Kong) Limited; Guosen Securities (HK) Capital Company Limited; Patrons Securities Limited; Tiger Brokers (HK) Global Limited; DIRECTORS AND PARTIES INVOLVED IN THE GLOBAL OFFERING –6 2– TradeGo Markets Limited; Yue Xiu Securities Company Limited</t>
        </is>
      </c>
      <c r="AS502" s="26" t="inlineStr">
        <is>
          <t>中銀國際亞洲有限公司; 富強證券有限公司; 富途證券國際（香港）有限公司; 國信證券(香港)融資有限公司; 百惠證券有限公司; 國金證券（香港）有限公司; 老虎證券（香港）環球有限公司; TradeGo Markets Limited; 越秀證券有限公司</t>
        </is>
      </c>
      <c r="AT502" s="37">
        <f>HYPERLINK("https://www1.hkexnews.hk/listedco/listconews/sehk/2026/0629/2026062900049.pdf","prospectus")</f>
        <v/>
      </c>
      <c r="AU502" s="37">
        <f>HYPERLINK("https://www1.hkexnews.hk/listedco/listconews/sehk/2026/0707/2026070701913.pdf","allotment")</f>
        <v/>
      </c>
      <c r="AV502" s="37">
        <f>HYPERLINK("https://www1.hkexnews.hk/listedco/listconews/sehk/2026/0803/2026080300057.pdf","stabilisation")</f>
        <v/>
      </c>
      <c r="AW502" s="26" t="inlineStr">
        <is>
          <t>P/E: n/m — loss-making at IPO (use P/S) · A/H: no A-share listing · 3m: listed less than 3m ago</t>
        </is>
      </c>
    </row>
    <row r="503">
      <c r="A503" s="25" t="inlineStr">
        <is>
          <t>6880</t>
        </is>
      </c>
      <c r="B503" s="26" t="inlineStr">
        <is>
          <t>MOMENTA-W</t>
        </is>
      </c>
      <c r="C503" s="26" t="inlineStr">
        <is>
          <t>MOMENTA-W</t>
        </is>
      </c>
      <c r="D503" s="26" t="inlineStr">
        <is>
          <t>Tech/AI</t>
        </is>
      </c>
      <c r="E503" s="26" t="inlineStr">
        <is>
          <t>Robotics &amp; autonomous driving</t>
        </is>
      </c>
      <c r="F503" s="26" t="inlineStr">
        <is>
          <t>WVR</t>
        </is>
      </c>
      <c r="G503" s="27" t="n">
        <v>46211</v>
      </c>
      <c r="H503" s="28" t="n">
        <v>5893.8</v>
      </c>
      <c r="I503" s="26" t="inlineStr">
        <is>
          <t>gross (stated)</t>
        </is>
      </c>
      <c r="J503" s="29" t="n"/>
      <c r="K503" s="29" t="n">
        <v>295.6</v>
      </c>
      <c r="L503" s="29" t="n">
        <v>295.6</v>
      </c>
      <c r="M503" s="26" t="inlineStr">
        <is>
          <t>Y</t>
        </is>
      </c>
      <c r="N503" s="30" t="n">
        <v>100</v>
      </c>
      <c r="O503" s="41">
        <f>IF('BBG Verify'!M503="","not filed — run on terminal",'BBG Verify'!M503)</f>
        <v/>
      </c>
      <c r="P503" s="26" t="n"/>
      <c r="Q503" s="31" t="n">
        <v>413.63</v>
      </c>
      <c r="R503" s="32" t="n">
        <v>20.31</v>
      </c>
      <c r="S503" s="33" t="n">
        <v>49.95</v>
      </c>
      <c r="T503" s="26" t="inlineStr">
        <is>
          <t>BlackRock, Inc; Boyu Group, LLC; 華夏基金（香港）有限公司; 中國太保投資管理(香港)有限公司; 富達基金(香港)有限公司; 廣發基金管理有限公司; GIC Private Limited; 芯技佳易微電子（香港）科技有限公司; 金興環球有限公司; 梅賽德斯 — 奔馳集團; Oaktree Capital Management, L.P; 蘇州魔速科技有限公司; Templeton Asset Management Ltd</t>
        </is>
      </c>
      <c r="U503" s="30" t="n">
        <v>15</v>
      </c>
      <c r="V503" s="26" t="n"/>
      <c r="W503" s="34" t="n">
        <v>0</v>
      </c>
      <c r="X503" s="34" t="n">
        <v>0.27</v>
      </c>
      <c r="Y503" s="34" t="n">
        <v>-10.08</v>
      </c>
      <c r="Z503" s="34" t="n"/>
      <c r="AA503" s="34" t="n">
        <v>-10.08</v>
      </c>
      <c r="AB503" s="34" t="n">
        <v>-17.23</v>
      </c>
      <c r="AC503" s="34" t="n">
        <v>7.15</v>
      </c>
      <c r="AD503" s="26" t="inlineStr">
        <is>
          <t>HSTECH (Hang Seng TECH ETF)</t>
        </is>
      </c>
      <c r="AE503" s="34" t="n">
        <v>-9.81</v>
      </c>
      <c r="AF503" s="28" t="n">
        <v>2653.8</v>
      </c>
      <c r="AG503" s="28" t="n">
        <v>-3803.7</v>
      </c>
      <c r="AH503" s="26" t="inlineStr">
        <is>
          <t>N</t>
        </is>
      </c>
      <c r="AI503" s="38">
        <f>IF('BBG Verify'!O503="","not filed — run on terminal",'BBG Verify'!O503)</f>
        <v/>
      </c>
      <c r="AJ503" s="35" t="n"/>
      <c r="AK503" s="26" t="inlineStr">
        <is>
          <t>N</t>
        </is>
      </c>
      <c r="AL503" s="36">
        <f>IF('BBG Verify'!K503="","not filed — run on terminal",'BBG Verify'!K503)</f>
        <v/>
      </c>
      <c r="AM503" s="26" t="inlineStr">
        <is>
          <t>N/A</t>
        </is>
      </c>
      <c r="AN503" s="26" t="inlineStr">
        <is>
          <t>N/A</t>
        </is>
      </c>
      <c r="AO503" s="26" t="inlineStr">
        <is>
          <t>N/A</t>
        </is>
      </c>
      <c r="AP503" s="26" t="inlineStr">
        <is>
          <t>CICC; Deutsche Bank</t>
        </is>
      </c>
      <c r="AQ503" s="26" t="inlineStr">
        <is>
          <t>中國國際金融香港證券有限公司; 德意志證券亞洲有限公司</t>
        </is>
      </c>
      <c r="AR503" s="26" t="inlineStr">
        <is>
          <t>中國國際金融香港證券有限公司; 德意志銀行香港分行; 富途證券國際（香港）有限公司; J.P. Morgan Securities (Asia Pacific) Limited; 老虎證券（香港）環球有限公司</t>
        </is>
      </c>
      <c r="AS503" s="26" t="inlineStr">
        <is>
          <t>中國國際金融香港證券有限公司; 德意志銀行香港分行; 富途證券國際（香港）有限公司; J.P. Morgan Securities (Asia Pacific) Limited; 老虎證券（香港）環球有限公司</t>
        </is>
      </c>
      <c r="AT503" s="37">
        <f>HYPERLINK("https://www1.hkexnews.hk/listedco/listconews/sehk/2026/0629/2026062900057.pdf","prospectus")</f>
        <v/>
      </c>
      <c r="AU503" s="37">
        <f>HYPERLINK("https://www1.hkexnews.hk/listedco/listconews/sehk/2026/0707/2026070701963.pdf","allotment")</f>
        <v/>
      </c>
      <c r="AV503" s="26" t="n"/>
      <c r="AW503" s="26" t="inlineStr">
        <is>
          <t>P/E: n/m — loss-making at IPO (use P/S) · greenshoe: end-of-stabilisation notice not located · price range: fixed-price offering (no indicative range) · A/H: no A-share listing · 3m: listed less than 3m ago</t>
        </is>
      </c>
    </row>
    <row r="504">
      <c r="A504" s="25" t="inlineStr">
        <is>
          <t>7687</t>
        </is>
      </c>
      <c r="B504" s="26" t="inlineStr">
        <is>
          <t>EACON</t>
        </is>
      </c>
      <c r="C504" s="26" t="inlineStr">
        <is>
          <t>易控智駕</t>
        </is>
      </c>
      <c r="D504" s="26" t="inlineStr">
        <is>
          <t>Tech/AI</t>
        </is>
      </c>
      <c r="E504" s="26" t="inlineStr">
        <is>
          <t>Robotics &amp; autonomous driving</t>
        </is>
      </c>
      <c r="F504" s="26" t="inlineStr">
        <is>
          <t>Standard</t>
        </is>
      </c>
      <c r="G504" s="27" t="n">
        <v>46211</v>
      </c>
      <c r="H504" s="28" t="n">
        <v>2297.53</v>
      </c>
      <c r="I504" s="26" t="inlineStr">
        <is>
          <t>gross (stated)</t>
        </is>
      </c>
      <c r="J504" s="29" t="n">
        <v>81.16</v>
      </c>
      <c r="K504" s="29" t="n">
        <v>87.92</v>
      </c>
      <c r="L504" s="29" t="n">
        <v>87.92</v>
      </c>
      <c r="M504" s="26" t="inlineStr">
        <is>
          <t>Y</t>
        </is>
      </c>
      <c r="N504" s="30" t="n">
        <v>100</v>
      </c>
      <c r="O504" s="28" t="n">
        <v>11603.7</v>
      </c>
      <c r="P504" s="26" t="inlineStr">
        <is>
          <t>derived:deal size / offer % of enlarged capital</t>
        </is>
      </c>
      <c r="Q504" s="31" t="n">
        <v>157.82</v>
      </c>
      <c r="R504" s="32" t="n">
        <v>10.5</v>
      </c>
      <c r="S504" s="33" t="n">
        <v>49.79</v>
      </c>
      <c r="T504" s="26" t="inlineStr">
        <is>
          <t>Aurora SF; 霸菱資產管理（亞洲）有限公司; CDH Golden River, L.P; 富達基金(香港)有限公司; 廣發基金管理有限公司; Indus Select Master Fund, Ltd. 及 Vitruvius SICAV-Asian Equity; Jain Global Master Fund Ltd; JPMorgan Asset Management (Asia Pacific) Limited; Regal Partners Holdings Pty Limited; Seven Grand Managers, LLC; ZIJINNING Limited Partnership</t>
        </is>
      </c>
      <c r="U504" s="30" t="n">
        <v>6.2</v>
      </c>
      <c r="V504" s="26" t="inlineStr">
        <is>
          <t>partial</t>
        </is>
      </c>
      <c r="W504" s="34" t="n">
        <v>9.99</v>
      </c>
      <c r="X504" s="34" t="n">
        <v>2.59</v>
      </c>
      <c r="Y504" s="34" t="n">
        <v>-5.6</v>
      </c>
      <c r="Z504" s="34" t="n"/>
      <c r="AA504" s="34" t="n">
        <v>-14.17</v>
      </c>
      <c r="AB504" s="34" t="n">
        <v>-12.75</v>
      </c>
      <c r="AC504" s="34" t="n">
        <v>7.15</v>
      </c>
      <c r="AD504" s="26" t="inlineStr">
        <is>
          <t>HSTECH (Hang Seng TECH ETF)</t>
        </is>
      </c>
      <c r="AE504" s="34" t="n">
        <v>-5.14</v>
      </c>
      <c r="AF504" s="28" t="n">
        <v>1578.8</v>
      </c>
      <c r="AG504" s="28" t="n">
        <v>-567.1</v>
      </c>
      <c r="AH504" s="26" t="inlineStr">
        <is>
          <t>N</t>
        </is>
      </c>
      <c r="AI504" s="38">
        <f>IF('BBG Verify'!O504="","not filed — run on terminal",'BBG Verify'!O504)</f>
        <v/>
      </c>
      <c r="AJ504" s="35" t="n">
        <v>7.3</v>
      </c>
      <c r="AK504" s="26" t="inlineStr">
        <is>
          <t>N</t>
        </is>
      </c>
      <c r="AL504" s="36">
        <f>IF('BBG Verify'!K504="","not filed — run on terminal",'BBG Verify'!K504)</f>
        <v/>
      </c>
      <c r="AM504" s="26" t="inlineStr">
        <is>
          <t>N/A</t>
        </is>
      </c>
      <c r="AN504" s="26" t="inlineStr">
        <is>
          <t>N/A</t>
        </is>
      </c>
      <c r="AO504" s="26" t="inlineStr">
        <is>
          <t>N/A</t>
        </is>
      </c>
      <c r="AP504" s="26" t="inlineStr">
        <is>
          <t>Haitong International Capital Limited</t>
        </is>
      </c>
      <c r="AQ504" s="26" t="inlineStr">
        <is>
          <t>海通國際資本有限公司</t>
        </is>
      </c>
      <c r="AR504" s="26"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AS504" s="26" t="inlineStr">
        <is>
          <t>興證國際融資有限公司; 中信里昂證券有限公司; 招銀國際融資有限公司; 富途證券國際（香港）有限公司; 海通國際證券有限公司; 麥格理資本股份有限公司; 瑞穗證券亞洲有限公司; 老虎證券（香港）環球有限公司</t>
        </is>
      </c>
      <c r="AT504" s="37">
        <f>HYPERLINK("https://www1.hkexnews.hk/listedco/listconews/sehk/2026/0629/2026062900135.pdf","prospectus")</f>
        <v/>
      </c>
      <c r="AU504" s="37">
        <f>HYPERLINK("https://www1.hkexnews.hk/listedco/listconews/sehk/2026/0707/2026070702043.pdf","allotment")</f>
        <v/>
      </c>
      <c r="AV504" s="37">
        <f>HYPERLINK("https://www1.hkexnews.hk/listedco/listconews/sehk/2026/0802/2026080200017.pdf","stabilisation")</f>
        <v/>
      </c>
      <c r="AW504" s="26" t="inlineStr">
        <is>
          <t>P/E: n/m — loss-making at IPO (use P/S) · A/H: no A-share listing · 3m: listed less than 3m ago</t>
        </is>
      </c>
    </row>
    <row r="505">
      <c r="A505" s="25" t="inlineStr">
        <is>
          <t>2797</t>
        </is>
      </c>
      <c r="B505" s="26" t="inlineStr">
        <is>
          <t>QIYUNSHAN FOOD</t>
        </is>
      </c>
      <c r="C505" s="26" t="inlineStr">
        <is>
          <t>齊雲山食品</t>
        </is>
      </c>
      <c r="D505" s="26" t="inlineStr">
        <is>
          <t>Consumer</t>
        </is>
      </c>
      <c r="E505" s="26" t="inlineStr">
        <is>
          <t>Beverages / packaged food</t>
        </is>
      </c>
      <c r="F505" s="26" t="inlineStr">
        <is>
          <t>Standard</t>
        </is>
      </c>
      <c r="G505" s="27" t="n">
        <v>46212</v>
      </c>
      <c r="H505" s="28" t="n">
        <v>200</v>
      </c>
      <c r="I505" s="26" t="inlineStr">
        <is>
          <t>gross (stated)</t>
        </is>
      </c>
      <c r="J505" s="29" t="n"/>
      <c r="K505" s="29" t="n">
        <v>8</v>
      </c>
      <c r="L505" s="29" t="n">
        <v>8</v>
      </c>
      <c r="M505" s="26" t="inlineStr">
        <is>
          <t>Y</t>
        </is>
      </c>
      <c r="N505" s="30" t="n">
        <v>100</v>
      </c>
      <c r="O505" s="28" t="n">
        <v>800</v>
      </c>
      <c r="P505" s="26" t="inlineStr">
        <is>
          <t>derived:price x shares upon listing</t>
        </is>
      </c>
      <c r="Q505" s="31" t="n">
        <v>1688.1</v>
      </c>
      <c r="R505" s="32" t="n">
        <v>1.51</v>
      </c>
      <c r="S505" s="33" t="n">
        <v>0</v>
      </c>
      <c r="T505" s="26" t="n"/>
      <c r="U505" s="30" t="n">
        <v>15</v>
      </c>
      <c r="V505" s="26" t="inlineStr">
        <is>
          <t>lapsed (no over-allocation)</t>
        </is>
      </c>
      <c r="W505" s="34" t="n">
        <v>162.5</v>
      </c>
      <c r="X505" s="34" t="n">
        <v>267.5</v>
      </c>
      <c r="Y505" s="34" t="n">
        <v>1146.88</v>
      </c>
      <c r="Z505" s="34" t="n"/>
      <c r="AA505" s="34" t="n">
        <v>375</v>
      </c>
      <c r="AB505" s="34" t="n">
        <v>1140.07</v>
      </c>
      <c r="AC505" s="34" t="n">
        <v>6.81</v>
      </c>
      <c r="AD505" s="26" t="inlineStr">
        <is>
          <t>Hang Seng Commerce &amp; Industry sub-index</t>
        </is>
      </c>
      <c r="AE505" s="34" t="n">
        <v>1242.5</v>
      </c>
      <c r="AF505" s="28" t="n">
        <v>345.1</v>
      </c>
      <c r="AG505" s="28" t="n">
        <v>53.8</v>
      </c>
      <c r="AH505" s="26" t="inlineStr">
        <is>
          <t>Y</t>
        </is>
      </c>
      <c r="AI505" s="35" t="n">
        <v>14.9</v>
      </c>
      <c r="AJ505" s="35" t="n">
        <v>2.3</v>
      </c>
      <c r="AK505" s="26" t="inlineStr">
        <is>
          <t>N</t>
        </is>
      </c>
      <c r="AL505" s="36">
        <f>IF('BBG Verify'!K505="","not filed — run on terminal",'BBG Verify'!K505)</f>
        <v/>
      </c>
      <c r="AM505" s="26" t="inlineStr">
        <is>
          <t>N/A</t>
        </is>
      </c>
      <c r="AN505" s="26" t="inlineStr">
        <is>
          <t>N/A</t>
        </is>
      </c>
      <c r="AO505" s="26" t="inlineStr">
        <is>
          <t>N/A</t>
        </is>
      </c>
      <c r="AP505" s="26" t="inlineStr">
        <is>
          <t>Zhongtai Inte rnational Capital Limited</t>
        </is>
      </c>
      <c r="AQ505" s="26" t="inlineStr">
        <is>
          <t>中泰國際融資有限公司</t>
        </is>
      </c>
      <c r="AR505" s="26" t="inlineStr">
        <is>
          <t>Managers and Capital Market Intermediaries CCB International Capital Limited; ABCI Capital Limited</t>
        </is>
      </c>
      <c r="AS505" s="26" t="inlineStr">
        <is>
          <t>農銀國際證券有限公司; 建銀國際金融有限公司; 民銀證券有限公司; 艾德證券期貨有限公司; 第一上海證券有限公司; 富途證券國際（香港）有限公司; 結好證券有限公司; 平安證券（香港）有限公司; 南華證券投資有限公司; 申萬宏源證券（香港）有限公司; 浦銀國際融資有限公司; 山證國際證券有限公司; 老虎證券（香港）環球有限公司; 勝利證券有限公司; 元宇宙（國際）證券有限公司; 中泰國際證券有限公司</t>
        </is>
      </c>
      <c r="AT505" s="37">
        <f>HYPERLINK("https://www1.hkexnews.hk/listedco/listconews/sehk/2026/0630/2026063000055.pdf","prospectus")</f>
        <v/>
      </c>
      <c r="AU505" s="37">
        <f>HYPERLINK("https://www1.hkexnews.hk/listedco/listconews/sehk/2026/0708/2026070801132.pdf","allotment")</f>
        <v/>
      </c>
      <c r="AV505" s="37">
        <f>HYPERLINK("https://www1.hkexnews.hk/listedco/listconews/sehk/2026/0805/2026080501400.pdf","stabilisation")</f>
        <v/>
      </c>
      <c r="AW505" s="26" t="inlineStr">
        <is>
          <t>A/H: no A-share listing · 3m: listed less than 3m ago</t>
        </is>
      </c>
    </row>
    <row r="506">
      <c r="A506" s="25" t="inlineStr">
        <is>
          <t>1770</t>
        </is>
      </c>
      <c r="B506" s="26" t="inlineStr">
        <is>
          <t>DKE</t>
        </is>
      </c>
      <c r="C506" s="26" t="inlineStr">
        <is>
          <t>東方科脈</t>
        </is>
      </c>
      <c r="D506" s="26" t="inlineStr">
        <is>
          <t>Tech/AI</t>
        </is>
      </c>
      <c r="E506" s="26" t="inlineStr">
        <is>
          <t>Smart hardware / consumer electronics</t>
        </is>
      </c>
      <c r="F506" s="26" t="inlineStr">
        <is>
          <t>Standard</t>
        </is>
      </c>
      <c r="G506" s="27" t="n">
        <v>46212</v>
      </c>
      <c r="H506" s="28" t="n">
        <v>402.53</v>
      </c>
      <c r="I506" s="26" t="inlineStr">
        <is>
          <t>gross (stated)</t>
        </is>
      </c>
      <c r="J506" s="29" t="n"/>
      <c r="K506" s="29" t="n">
        <v>101.11</v>
      </c>
      <c r="L506" s="29" t="n">
        <v>78.64</v>
      </c>
      <c r="M506" s="26" t="inlineStr">
        <is>
          <t>N</t>
        </is>
      </c>
      <c r="N506" s="30" t="n">
        <v>77.8</v>
      </c>
      <c r="O506" s="28" t="n">
        <v>4025.2</v>
      </c>
      <c r="P506" s="26" t="inlineStr">
        <is>
          <t>derived:price x shares upon listing</t>
        </is>
      </c>
      <c r="Q506" s="31" t="n">
        <v>1067.54</v>
      </c>
      <c r="R506" s="32" t="n">
        <v>3.69</v>
      </c>
      <c r="S506" s="33" t="n">
        <v>0</v>
      </c>
      <c r="T506" s="26" t="n"/>
      <c r="U506" s="30" t="n">
        <v>10</v>
      </c>
      <c r="V506" s="26" t="inlineStr">
        <is>
          <t>lapsed (no over-allocation)</t>
        </is>
      </c>
      <c r="W506" s="34" t="n">
        <v>1.73</v>
      </c>
      <c r="X506" s="34" t="n">
        <v>-1.2</v>
      </c>
      <c r="Y506" s="34" t="n">
        <v>42.42</v>
      </c>
      <c r="Z506" s="34" t="n"/>
      <c r="AA506" s="34" t="n">
        <v>40</v>
      </c>
      <c r="AB506" s="34" t="n">
        <v>39.7</v>
      </c>
      <c r="AC506" s="34" t="n">
        <v>2.72</v>
      </c>
      <c r="AD506" s="26" t="inlineStr">
        <is>
          <t>HSTECH (Hang Seng TECH ETF)</t>
        </is>
      </c>
      <c r="AE506" s="34" t="n">
        <v>36.19</v>
      </c>
      <c r="AF506" s="28" t="n">
        <v>2.2</v>
      </c>
      <c r="AG506" s="28" t="n">
        <v>88.3</v>
      </c>
      <c r="AH506" s="26" t="inlineStr">
        <is>
          <t>Y</t>
        </is>
      </c>
      <c r="AI506" s="35" t="n">
        <v>45.6</v>
      </c>
      <c r="AJ506" s="35" t="n">
        <v>1829.6</v>
      </c>
      <c r="AK506" s="26" t="inlineStr">
        <is>
          <t>N</t>
        </is>
      </c>
      <c r="AL506" s="36">
        <f>IF('BBG Verify'!K506="","not filed — run on terminal",'BBG Verify'!K506)</f>
        <v/>
      </c>
      <c r="AM506" s="26" t="inlineStr">
        <is>
          <t>N/A</t>
        </is>
      </c>
      <c r="AN506" s="26" t="inlineStr">
        <is>
          <t>N/A</t>
        </is>
      </c>
      <c r="AO506" s="26" t="inlineStr">
        <is>
          <t>N/A</t>
        </is>
      </c>
      <c r="AP506" s="26" t="inlineStr">
        <is>
          <t>CITIC Securities (Hong Kong) Limited</t>
        </is>
      </c>
      <c r="AQ506" s="26" t="inlineStr">
        <is>
          <t>中信證券(香港)有限公司</t>
        </is>
      </c>
      <c r="AR506" s="26" t="inlineStr">
        <is>
          <t>Wanchai, Hong Kong CMBC Securities Company Limited; JA Securities Limited</t>
        </is>
      </c>
      <c r="AS506" s="26" t="inlineStr">
        <is>
          <t>中灣國際證券有限公司; 中信里昂證券有限公司; 民銀證券有限公司; 金奧證券有限公司; 浦銀國際融資有限公司</t>
        </is>
      </c>
      <c r="AT506" s="37">
        <f>HYPERLINK("https://www1.hkexnews.hk/listedco/listconews/sehk/2026/0629/2026062900101.pdf","prospectus")</f>
        <v/>
      </c>
      <c r="AU506" s="37">
        <f>HYPERLINK("https://www1.hkexnews.hk/listedco/listconews/sehk/2026/0708/2026070801214.pdf","allotment")</f>
        <v/>
      </c>
      <c r="AV506" s="37">
        <f>HYPERLINK("https://www1.hkexnews.hk/listedco/listconews/sehk/2026/0803/2026080303735.pdf","stabilisation")</f>
        <v/>
      </c>
      <c r="AW506" s="26" t="inlineStr">
        <is>
          <t>A/H: no A-share listing · 3m: listed less than 3m ago</t>
        </is>
      </c>
    </row>
    <row r="507">
      <c r="A507" s="25" t="inlineStr">
        <is>
          <t>3752</t>
        </is>
      </c>
      <c r="B507" s="26" t="inlineStr">
        <is>
          <t>ROKAE ROBOTICS</t>
        </is>
      </c>
      <c r="C507" s="26" t="inlineStr">
        <is>
          <t>珞石機器人</t>
        </is>
      </c>
      <c r="D507" s="26" t="inlineStr">
        <is>
          <t>Tech/AI</t>
        </is>
      </c>
      <c r="E507" s="26" t="inlineStr">
        <is>
          <t>Robotics &amp; autonomous driving</t>
        </is>
      </c>
      <c r="F507" s="26" t="inlineStr">
        <is>
          <t>Standard</t>
        </is>
      </c>
      <c r="G507" s="27" t="n">
        <v>46212</v>
      </c>
      <c r="H507" s="28" t="n">
        <v>875.2</v>
      </c>
      <c r="I507" s="26" t="inlineStr">
        <is>
          <t>gross (stated)</t>
        </is>
      </c>
      <c r="J507" s="29" t="n"/>
      <c r="K507" s="29" t="n">
        <v>38</v>
      </c>
      <c r="L507" s="29" t="n">
        <v>38</v>
      </c>
      <c r="M507" s="26" t="inlineStr">
        <is>
          <t>Y</t>
        </is>
      </c>
      <c r="N507" s="30" t="n">
        <v>100</v>
      </c>
      <c r="O507" s="28" t="n">
        <v>9950</v>
      </c>
      <c r="P507" s="26" t="inlineStr">
        <is>
          <t>prospectus:stated market capitalisation</t>
        </is>
      </c>
      <c r="Q507" s="31" t="n">
        <v>156.58</v>
      </c>
      <c r="R507" s="32" t="n">
        <v>11.96</v>
      </c>
      <c r="S507" s="33" t="n">
        <v>31.4</v>
      </c>
      <c r="T507" s="26" t="inlineStr">
        <is>
          <t>All View Focus Fund LPF; 北京金融街資本運營集團有限公司; 廣發基金管理有限公司; 華泰資本投資有限公司; Yishao Capital Management (HK) Limited</t>
        </is>
      </c>
      <c r="U507" s="30" t="n">
        <v>15</v>
      </c>
      <c r="V507" s="26" t="inlineStr">
        <is>
          <t>full</t>
        </is>
      </c>
      <c r="W507" s="34" t="n">
        <v>15.21</v>
      </c>
      <c r="X507" s="34" t="n">
        <v>28.63</v>
      </c>
      <c r="Y507" s="34" t="n">
        <v>88.95</v>
      </c>
      <c r="Z507" s="34" t="n"/>
      <c r="AA507" s="34" t="n">
        <v>64</v>
      </c>
      <c r="AB507" s="34" t="n">
        <v>86.23</v>
      </c>
      <c r="AC507" s="34" t="n">
        <v>2.72</v>
      </c>
      <c r="AD507" s="26" t="inlineStr">
        <is>
          <t>HSTECH (Hang Seng TECH ETF)</t>
        </is>
      </c>
      <c r="AE507" s="34" t="n">
        <v>86.45</v>
      </c>
      <c r="AF507" s="28" t="n">
        <v>2.2</v>
      </c>
      <c r="AG507" s="28" t="n">
        <v>-197.2</v>
      </c>
      <c r="AH507" s="26" t="inlineStr">
        <is>
          <t>N</t>
        </is>
      </c>
      <c r="AI507" s="38">
        <f>IF('BBG Verify'!O507="","not filed — run on terminal",'BBG Verify'!O507)</f>
        <v/>
      </c>
      <c r="AJ507" s="35" t="n">
        <v>4522.7</v>
      </c>
      <c r="AK507" s="26" t="inlineStr">
        <is>
          <t>N</t>
        </is>
      </c>
      <c r="AL507" s="36">
        <f>IF('BBG Verify'!K507="","not filed — run on terminal",'BBG Verify'!K507)</f>
        <v/>
      </c>
      <c r="AM507" s="26" t="inlineStr">
        <is>
          <t>N/A</t>
        </is>
      </c>
      <c r="AN507" s="26" t="inlineStr">
        <is>
          <t>N/A</t>
        </is>
      </c>
      <c r="AO507" s="26" t="inlineStr">
        <is>
          <t>N/A</t>
        </is>
      </c>
      <c r="AP507" s="26" t="inlineStr">
        <is>
          <t>China International Capital Corporation Hong Kong Securities Limited; Guotai Junan Capital Limited</t>
        </is>
      </c>
      <c r="AQ507" s="26" t="inlineStr">
        <is>
          <t>中國國際金融香港證券有限公司; 國泰君安融資有限公司</t>
        </is>
      </c>
      <c r="AR507" s="26" t="inlineStr">
        <is>
          <t>China International Capital Corporation Hong Kong Securities Limited; Guotai Junan Securities (Hong Kong) Limited; Guosen Securities (HK) Brokerage Company, Limited; Futu Securities International (Hong Kong) Limited; Kingsway Financial Services Group Limited</t>
        </is>
      </c>
      <c r="AS507" s="26" t="inlineStr">
        <is>
          <t>中國國際金融香港證券有限公司; 富途證券國際（香港）有限公司; 國泰君安證券(香港)有限公司; 國信證券（香港）經紀有限公司; 匯富金融服務有限公司</t>
        </is>
      </c>
      <c r="AT507" s="37">
        <f>HYPERLINK("https://www1.hkexnews.hk/listedco/listconews/sehk/2026/0630/2026063000033.pdf","prospectus")</f>
        <v/>
      </c>
      <c r="AU507" s="37">
        <f>HYPERLINK("https://www1.hkexnews.hk/listedco/listconews/sehk/2026/0708/2026070801234.pdf","allotment")</f>
        <v/>
      </c>
      <c r="AV507" s="37">
        <f>HYPERLINK("https://www1.hkexnews.hk/listedco/listconews/sehk/2026/0805/2026080501829.pdf","stabilisation")</f>
        <v/>
      </c>
      <c r="AW507" s="26" t="inlineStr">
        <is>
          <t>P/E: n/m — loss-making at IPO (use P/S) · A/H: no A-share listing · 3m: listed less than 3m ago</t>
        </is>
      </c>
    </row>
    <row r="508">
      <c r="A508" s="25" t="inlineStr">
        <is>
          <t>0537</t>
        </is>
      </c>
      <c r="B508" s="26" t="inlineStr">
        <is>
          <t>RIGOL</t>
        </is>
      </c>
      <c r="C508" s="26" t="inlineStr">
        <is>
          <t>普源精電</t>
        </is>
      </c>
      <c r="D508" s="26" t="inlineStr">
        <is>
          <t>Industrials</t>
        </is>
      </c>
      <c r="E508" s="26" t="inlineStr">
        <is>
          <t>Capital goods / machinery</t>
        </is>
      </c>
      <c r="F508" s="26" t="inlineStr">
        <is>
          <t>Standard</t>
        </is>
      </c>
      <c r="G508" s="27" t="n">
        <v>46212</v>
      </c>
      <c r="H508" s="28" t="n">
        <v>1140.4</v>
      </c>
      <c r="I508" s="26" t="inlineStr">
        <is>
          <t>gross (stated)</t>
        </is>
      </c>
      <c r="J508" s="29" t="n"/>
      <c r="K508" s="29" t="n">
        <v>45.98</v>
      </c>
      <c r="L508" s="29" t="n">
        <v>45.98</v>
      </c>
      <c r="M508" s="26" t="inlineStr">
        <is>
          <t>Y</t>
        </is>
      </c>
      <c r="N508" s="30" t="n">
        <v>100</v>
      </c>
      <c r="O508" s="28" t="n">
        <v>10054.8</v>
      </c>
      <c r="P508" s="26" t="inlineStr">
        <is>
          <t>derived:price x shares upon listing</t>
        </is>
      </c>
      <c r="Q508" s="31" t="n">
        <v>356.86</v>
      </c>
      <c r="R508" s="32" t="n">
        <v>9.17</v>
      </c>
      <c r="S508" s="33" t="n">
        <v>42.11</v>
      </c>
      <c r="T508" s="26" t="inlineStr">
        <is>
          <t>中信保誠基金管理有限公司; CPE Hemlock Investment Limited; HHLR Advisors, Ltd; 華圓管理諮詢(香港)有限公司; Purple Diamond Ltd; 陽光電源（香港）有限公司; 蘇州太湖金谷建設發展有限公司</t>
        </is>
      </c>
      <c r="U508" s="30" t="n"/>
      <c r="V508" s="26" t="n"/>
      <c r="W508" s="34" t="n">
        <v>-37.36</v>
      </c>
      <c r="X508" s="34" t="n">
        <v>-44.32</v>
      </c>
      <c r="Y508" s="34" t="n">
        <v>-45.06</v>
      </c>
      <c r="Z508" s="34" t="n"/>
      <c r="AA508" s="34" t="n">
        <v>-12.29</v>
      </c>
      <c r="AB508" s="34" t="n">
        <v>-51.87</v>
      </c>
      <c r="AC508" s="34" t="n">
        <v>6.81</v>
      </c>
      <c r="AD508" s="26" t="inlineStr">
        <is>
          <t>Hang Seng Commerce &amp; Industry sub-index</t>
        </is>
      </c>
      <c r="AE508" s="34" t="n">
        <v>-39.58</v>
      </c>
      <c r="AF508" s="28" t="n">
        <v>853.4</v>
      </c>
      <c r="AG508" s="28" t="n">
        <v>94.7</v>
      </c>
      <c r="AH508" s="26" t="inlineStr">
        <is>
          <t>Y</t>
        </is>
      </c>
      <c r="AI508" s="35" t="n">
        <v>106.2</v>
      </c>
      <c r="AJ508" s="35" t="n">
        <v>11.8</v>
      </c>
      <c r="AK508" s="26" t="inlineStr">
        <is>
          <t>Y</t>
        </is>
      </c>
      <c r="AL508" s="26" t="inlineStr">
        <is>
          <t>688337.SS</t>
        </is>
      </c>
      <c r="AM508" s="34" t="n">
        <v>-30.35</v>
      </c>
      <c r="AN508" s="29" t="n">
        <v>66.0176</v>
      </c>
      <c r="AO508" s="42" t="n">
        <v>-0.5108</v>
      </c>
      <c r="AP508" s="26" t="inlineStr">
        <is>
          <t>CITIC Securities (Hong Kong) Limited</t>
        </is>
      </c>
      <c r="AQ508" s="26" t="inlineStr">
        <is>
          <t>中信證券(香港)有限公司</t>
        </is>
      </c>
      <c r="AR508" s="26" t="inlineStr">
        <is>
          <t>中信里昂證券有限公司; 招銀國際融資有限公司; 工銀國際證券有限公司</t>
        </is>
      </c>
      <c r="AS508" s="26" t="inlineStr">
        <is>
          <t>中信里昂證券有限公司; 招銀國際融資有限公司; 工銀國際證券有限公司</t>
        </is>
      </c>
      <c r="AT508" s="37">
        <f>HYPERLINK("https://www1.hkexnews.hk/listedco/listconews/sehk/2026/0630/2026063000023.pdf","prospectus")</f>
        <v/>
      </c>
      <c r="AU508" s="37">
        <f>HYPERLINK("https://www1.hkexnews.hk/listedco/listconews/sehk/2026/0708/2026070801336.pdf","allotment")</f>
        <v/>
      </c>
      <c r="AV508" s="26" t="n"/>
      <c r="AW508" s="26" t="inlineStr">
        <is>
          <t>greenshoe: no over-allotment option in the offer structure · A/H: Jul 2026 H listing (electronic test &amp; measurement) · 3m: listed less than 3m ago</t>
        </is>
      </c>
    </row>
    <row r="509">
      <c r="A509" s="25" t="inlineStr">
        <is>
          <t>2475</t>
        </is>
      </c>
      <c r="B509" s="26" t="inlineStr">
        <is>
          <t>LUXSHARE ICT</t>
        </is>
      </c>
      <c r="C509" s="26" t="inlineStr">
        <is>
          <t>立訊精密</t>
        </is>
      </c>
      <c r="D509" s="26" t="inlineStr">
        <is>
          <t>Tech/AI</t>
        </is>
      </c>
      <c r="E509" s="26" t="inlineStr">
        <is>
          <t>Smart hardware / consumer electronics</t>
        </is>
      </c>
      <c r="F509" s="26" t="inlineStr">
        <is>
          <t>Standard</t>
        </is>
      </c>
      <c r="G509" s="27" t="n">
        <v>46212</v>
      </c>
      <c r="H509" s="28" t="n">
        <v>24266.2</v>
      </c>
      <c r="I509" s="26" t="inlineStr">
        <is>
          <t>gross (stated)</t>
        </is>
      </c>
      <c r="J509" s="29" t="n"/>
      <c r="K509" s="29" t="n">
        <v>63.28</v>
      </c>
      <c r="L509" s="29" t="n">
        <v>63.28</v>
      </c>
      <c r="M509" s="26" t="inlineStr">
        <is>
          <t>Y</t>
        </is>
      </c>
      <c r="N509" s="30" t="n">
        <v>100</v>
      </c>
      <c r="O509" s="41">
        <f>IF('BBG Verify'!M509="","not filed — run on terminal",'BBG Verify'!M509)</f>
        <v/>
      </c>
      <c r="P509" s="26" t="n"/>
      <c r="Q509" s="31" t="n">
        <v>3.78</v>
      </c>
      <c r="R509" s="32" t="n">
        <v>9.460000000000001</v>
      </c>
      <c r="S509" s="33" t="n">
        <v>48.4</v>
      </c>
      <c r="T509" s="26" t="inlineStr">
        <is>
          <t>博時基金（國際）有限公司; 匯添富資產管理（香港）有限公司; CPE Neem Investment Limited; CPP Investments; 瀚亞投資（香港）有限公司; Eastspring Investments (Singapore) Limited; 富達基金(香港)有限公司; First Sentier Investors (Hong Kong) Limited; First Sentier Investors (Singapore); Foresight Global Superior Choice SPC—Global Superior Choice Fund 1 SP; 廣發基金管理有限公司; 廣發國際資產管理有限公司; GIC Private Li; 景林資產管理香港有限公司; 嘉實國際資產管理有限公司; HHLR Advisors, Ltd; Huang River Investment Limited; Jane Street Asia Trading Limited; Millennium Capital Management (Singapore) Pte. Ltd; Mirae Asset Financial Group; Mirae Asset Securities Co., Ltd; MY Asian Opportunities Master Fund, L.P; Perseverance Asset Management International (Singapore) Pte. Ltd; Polymer Asia Fund LP; Prosper High Holding Limited</t>
        </is>
      </c>
      <c r="U509" s="30" t="n">
        <v>15</v>
      </c>
      <c r="V509" s="26" t="inlineStr">
        <is>
          <t>partial</t>
        </is>
      </c>
      <c r="W509" s="34" t="n">
        <v>-1.55</v>
      </c>
      <c r="X509" s="34" t="n">
        <v>-5.18</v>
      </c>
      <c r="Y509" s="34" t="n">
        <v>0.11</v>
      </c>
      <c r="Z509" s="34" t="n"/>
      <c r="AA509" s="34" t="n">
        <v>1.69</v>
      </c>
      <c r="AB509" s="34" t="n">
        <v>-2.61</v>
      </c>
      <c r="AC509" s="34" t="n">
        <v>2.72</v>
      </c>
      <c r="AD509" s="26" t="inlineStr">
        <is>
          <t>HSTECH (Hang Seng TECH ETF)</t>
        </is>
      </c>
      <c r="AE509" s="34" t="n">
        <v>-2.65</v>
      </c>
      <c r="AF509" s="28" t="n">
        <v>365578.9</v>
      </c>
      <c r="AG509" s="28" t="n">
        <v>19987.3</v>
      </c>
      <c r="AH509" s="26" t="inlineStr">
        <is>
          <t>Y</t>
        </is>
      </c>
      <c r="AI509" s="38">
        <f>IF('BBG Verify'!O509="","not filed — run on terminal",'BBG Verify'!O509)</f>
        <v/>
      </c>
      <c r="AJ509" s="35" t="n"/>
      <c r="AK509" s="26" t="inlineStr">
        <is>
          <t>Y</t>
        </is>
      </c>
      <c r="AL509" s="26" t="inlineStr">
        <is>
          <t>002475.SZ</t>
        </is>
      </c>
      <c r="AM509" s="34" t="n">
        <v>-12.23</v>
      </c>
      <c r="AN509" s="29" t="n">
        <v>72.09999999999999</v>
      </c>
      <c r="AO509" s="42" t="n">
        <v>-0.0827</v>
      </c>
      <c r="AP509" s="26" t="inlineStr">
        <is>
          <t>CITIC Securities (Hong Kong) Limited; Goldman Sachs (Asia) L.L.C; China International Capital Corporation Hong Kong Securities Limited</t>
        </is>
      </c>
      <c r="AQ509" s="26" t="inlineStr">
        <is>
          <t>中國國際金融香港證券有限公司; 高盛(亞洲)有限責任公司; 中信證券(香港)有限公司</t>
        </is>
      </c>
      <c r="AR509" s="26" t="inlineStr">
        <is>
          <t>中國國際金融香港證券有限公司; 中信里昂證券有限公司; 廣發證券（香港）經紀有限公司; 高盛(亞洲)有限責任公司; 國信證券(香港)融資有限公司; 香港上海匯豐銀行有限公司</t>
        </is>
      </c>
      <c r="AS509" s="26" t="inlineStr">
        <is>
          <t>中國國際金融香港證券有限公司; 中信里昂證券有限公司; 廣發證券（香港）經紀有限公司; 高盛(亞洲)有限責任公司; 國信證券(香港)融資有限公司; 香港上海匯豐銀行有限公司</t>
        </is>
      </c>
      <c r="AT509" s="37">
        <f>HYPERLINK("https://www1.hkexnews.hk/listedco/listconews/sehk/2026/0630/2026063000097.pdf","prospectus")</f>
        <v/>
      </c>
      <c r="AU509" s="37">
        <f>HYPERLINK("https://www1.hkexnews.hk/listedco/listconews/sehk/2026/0708/2026070801342.pdf","allotment")</f>
        <v/>
      </c>
      <c r="AV509" s="37">
        <f>HYPERLINK("https://www1.hkexnews.hk/listedco/listconews/sehk/2026/0805/2026080501907.pdf","stabilisation")</f>
        <v/>
      </c>
      <c r="AW509" s="26" t="inlineStr">
        <is>
          <t>P/E: market cap not derivable (no share count disclosed) · A/H: Jul 2026, ~US$3.1bn — largest HK IPO of 2026 until Innolight · 3m: listed less than 3m ago</t>
        </is>
      </c>
    </row>
    <row r="510">
      <c r="A510" s="25" t="inlineStr">
        <is>
          <t>6951</t>
        </is>
      </c>
      <c r="B510" s="26" t="inlineStr">
        <is>
          <t>CCTC</t>
        </is>
      </c>
      <c r="C510" s="26" t="inlineStr">
        <is>
          <t>三環集團</t>
        </is>
      </c>
      <c r="D510" s="26" t="inlineStr">
        <is>
          <t>Tech/AI</t>
        </is>
      </c>
      <c r="E510" s="26" t="inlineStr">
        <is>
          <t>Smart hardware / consumer electronics</t>
        </is>
      </c>
      <c r="F510" s="26" t="inlineStr">
        <is>
          <t>Standard</t>
        </is>
      </c>
      <c r="G510" s="27" t="n">
        <v>46212</v>
      </c>
      <c r="H510" s="28" t="n">
        <v>7157.8</v>
      </c>
      <c r="I510" s="26" t="inlineStr">
        <is>
          <t>gross (stated)</t>
        </is>
      </c>
      <c r="J510" s="29" t="n"/>
      <c r="K510" s="29" t="n">
        <v>100.3</v>
      </c>
      <c r="L510" s="29" t="n">
        <v>100.3</v>
      </c>
      <c r="M510" s="26" t="inlineStr">
        <is>
          <t>Y</t>
        </is>
      </c>
      <c r="N510" s="30" t="n">
        <v>100</v>
      </c>
      <c r="O510" s="28" t="n">
        <v>199382.5</v>
      </c>
      <c r="P510" s="26" t="inlineStr">
        <is>
          <t>derived:price x shares upon listing</t>
        </is>
      </c>
      <c r="Q510" s="31" t="n">
        <v>327.49</v>
      </c>
      <c r="R510" s="32" t="n">
        <v>16.24</v>
      </c>
      <c r="S510" s="33" t="n">
        <v>49.81</v>
      </c>
      <c r="T510" s="26" t="inlineStr">
        <is>
          <t>Alibaba Investment Limited; 博時基金（國際）有限公司; 匯添富基金管理股份有限公司; CPE River Investment Limited; 高盛資產管理（香港）有限公司; 大灣區共同家園投資有限公司; 黃河投資有限公司; 工銀理財有限責任公司; IvyRock Asset Management (HK) Limited; JPMorgan Asset Management (Asia Pacific) Limited; 宏利投資管理（香港）有限公司; Metazone Link (HK) Limited; Ninety One Asia Pte. Limited; Schonfeld Global Master Fund L.P. 及 Schonfeld IR Master Fund Pte. Ltd; 泰康人壽保險有限責任公司; Verition Multi-Strategy Master Fund Ltd</t>
        </is>
      </c>
      <c r="U510" s="30" t="n">
        <v>15</v>
      </c>
      <c r="V510" s="26" t="inlineStr">
        <is>
          <t>partial</t>
        </is>
      </c>
      <c r="W510" s="34" t="n">
        <v>4.69</v>
      </c>
      <c r="X510" s="34" t="n">
        <v>-2.29</v>
      </c>
      <c r="Y510" s="34" t="n">
        <v>6.68</v>
      </c>
      <c r="Z510" s="34" t="n"/>
      <c r="AA510" s="34" t="n">
        <v>1.9</v>
      </c>
      <c r="AB510" s="34" t="n">
        <v>3.96</v>
      </c>
      <c r="AC510" s="34" t="n">
        <v>2.72</v>
      </c>
      <c r="AD510" s="26" t="inlineStr">
        <is>
          <t>HSTECH (Hang Seng TECH ETF)</t>
        </is>
      </c>
      <c r="AE510" s="34" t="n">
        <v>24.53</v>
      </c>
      <c r="AF510" s="28" t="n">
        <v>9755.4</v>
      </c>
      <c r="AG510" s="28" t="n">
        <v>2878.7</v>
      </c>
      <c r="AH510" s="26" t="inlineStr">
        <is>
          <t>Y</t>
        </is>
      </c>
      <c r="AI510" s="35" t="n">
        <v>69.3</v>
      </c>
      <c r="AJ510" s="35" t="n">
        <v>20.4</v>
      </c>
      <c r="AK510" s="26" t="inlineStr">
        <is>
          <t>Y</t>
        </is>
      </c>
      <c r="AL510" s="26" t="inlineStr">
        <is>
          <t>300408.SZ</t>
        </is>
      </c>
      <c r="AM510" s="34" t="n">
        <v>-33.37</v>
      </c>
      <c r="AN510" s="29" t="n">
        <v>150.5363</v>
      </c>
      <c r="AO510" s="42" t="n">
        <v>-0.1386</v>
      </c>
      <c r="AP510" s="26" t="inlineStr">
        <is>
          <t>China Galaxy International Securities (Hong Kong) Co., Limited</t>
        </is>
      </c>
      <c r="AQ510" s="26" t="inlineStr">
        <is>
          <t>中國銀河國際證券(香港)有限公司</t>
        </is>
      </c>
      <c r="AR510" s="26" t="inlineStr">
        <is>
          <t>Managers and Capital Market Intermediaries CCB International Capital Limited</t>
        </is>
      </c>
      <c r="AS510" s="26" t="inlineStr">
        <is>
          <t>中銀國際亞洲有限公司; 建銀國際金融有限公司; 中國銀河國際證券(香港)有限公司; 華泰金融控股(香港)有限公司; 工銀國際證券有限公司</t>
        </is>
      </c>
      <c r="AT510" s="37">
        <f>HYPERLINK("https://www1.hkexnews.hk/listedco/listconews/sehk/2026/0630/2026063000323.pdf","prospectus")</f>
        <v/>
      </c>
      <c r="AU510" s="37">
        <f>HYPERLINK("https://www1.hkexnews.hk/listedco/listconews/sehk/2026/0708/2026070801348.pdf","allotment")</f>
        <v/>
      </c>
      <c r="AV510" s="37">
        <f>HYPERLINK("https://www1.hkexnews.hk/listedco/listconews/sehk/2026/0805/2026080501999.pdf","stabilisation")</f>
        <v/>
      </c>
      <c r="AW510" s="26" t="inlineStr">
        <is>
          <t>A/H: Jul 2026 H listing (ceramic components; targeted ~US$1bn) · 3m: listed less than 3m ago</t>
        </is>
      </c>
    </row>
    <row r="511">
      <c r="A511" s="25" t="inlineStr">
        <is>
          <t>1377</t>
        </is>
      </c>
      <c r="B511" s="26" t="inlineStr">
        <is>
          <t>DTECH</t>
        </is>
      </c>
      <c r="C511" s="26" t="inlineStr">
        <is>
          <t>鼎泰高科</t>
        </is>
      </c>
      <c r="D511" s="26" t="inlineStr">
        <is>
          <t>Tech/AI</t>
        </is>
      </c>
      <c r="E511" s="26" t="inlineStr">
        <is>
          <t>Smart hardware / consumer electronics</t>
        </is>
      </c>
      <c r="F511" s="26" t="inlineStr">
        <is>
          <t>Standard</t>
        </is>
      </c>
      <c r="G511" s="27" t="n">
        <v>46212</v>
      </c>
      <c r="H511" s="28" t="n">
        <v>4800.2</v>
      </c>
      <c r="I511" s="26" t="inlineStr">
        <is>
          <t>gross (stated)</t>
        </is>
      </c>
      <c r="J511" s="29" t="n"/>
      <c r="K511" s="29" t="n">
        <v>380</v>
      </c>
      <c r="L511" s="29" t="n">
        <v>380</v>
      </c>
      <c r="M511" s="26" t="inlineStr">
        <is>
          <t>Y</t>
        </is>
      </c>
      <c r="N511" s="30" t="n">
        <v>100</v>
      </c>
      <c r="O511" s="28" t="n">
        <v>161137.1</v>
      </c>
      <c r="P511" s="26" t="inlineStr">
        <is>
          <t>derived:price x shares upon listing</t>
        </is>
      </c>
      <c r="Q511" s="31" t="n">
        <v>354.64</v>
      </c>
      <c r="R511" s="39">
        <f>IF('BBG Verify'!E511="","not filed — run on terminal",'BBG Verify'!E511)</f>
        <v/>
      </c>
      <c r="S511" s="33" t="n">
        <v>41.45</v>
      </c>
      <c r="T511" s="26" t="inlineStr">
        <is>
          <t>Aspex Master Fund; Athos Capital Limited; 霸菱資產管理（亞洲）有限公司; CloudAlpha Capital Management Limited; CPE Investment XV Limited; 定穎投資控股股份有限公司; 易方達資產管理(香港)有限公司; 易方達基金管理有限公司; Hel Ved Master Fund; HHLR Advisors, Ltd; IFUND SPC– Vision IX SP; 建滔投資有限公司; Martis Fund, L.P; Millennium Capital Management (Singapore) Pte. Ltd; 泰康人壽保險有限責任公司; Verition Multi-Strategy Master Fund Ltd; 勝宏科技集團(香港)有限公司</t>
        </is>
      </c>
      <c r="U511" s="30" t="n">
        <v>15</v>
      </c>
      <c r="V511" s="26" t="n"/>
      <c r="W511" s="34" t="n">
        <v>-1.79</v>
      </c>
      <c r="X511" s="34" t="n">
        <v>9.949999999999999</v>
      </c>
      <c r="Y511" s="34" t="n">
        <v>2.63</v>
      </c>
      <c r="Z511" s="34" t="n"/>
      <c r="AA511" s="34" t="n">
        <v>4.5</v>
      </c>
      <c r="AB511" s="34" t="n">
        <v>-0.09</v>
      </c>
      <c r="AC511" s="34" t="n">
        <v>2.72</v>
      </c>
      <c r="AD511" s="26" t="inlineStr">
        <is>
          <t>HSTECH (Hang Seng TECH ETF)</t>
        </is>
      </c>
      <c r="AE511" s="34" t="n">
        <v>-5.05</v>
      </c>
      <c r="AF511" s="28" t="n">
        <v>2.2</v>
      </c>
      <c r="AG511" s="28" t="n">
        <v>474.8</v>
      </c>
      <c r="AH511" s="26" t="inlineStr">
        <is>
          <t>Y</t>
        </is>
      </c>
      <c r="AI511" s="35" t="n">
        <v>339.4</v>
      </c>
      <c r="AJ511" s="35" t="n">
        <v>73244.10000000001</v>
      </c>
      <c r="AK511" s="26" t="inlineStr">
        <is>
          <t>Y</t>
        </is>
      </c>
      <c r="AL511" s="26" t="inlineStr">
        <is>
          <t>301377.SZ</t>
        </is>
      </c>
      <c r="AM511" s="34" t="n">
        <v>-30.4</v>
      </c>
      <c r="AN511" s="29" t="n">
        <v>546.0071</v>
      </c>
      <c r="AO511" s="42" t="n">
        <v>-0.2946</v>
      </c>
      <c r="AP511" s="26" t="inlineStr">
        <is>
          <t>CITIC Securities (Hong Kong) Limited; HSBC Corporate Finance (Hong Kong) Limited</t>
        </is>
      </c>
      <c r="AQ511" s="26" t="inlineStr">
        <is>
          <t>HSBC Corporate Finance (Hong Kong) Limited; 中信證券(香港)有限公司</t>
        </is>
      </c>
      <c r="AR511" s="26" t="inlineStr">
        <is>
          <t>Managers and Capital Market Intermediaries CLSA Limited; The Hongkong and Shanghai Banking Corporation Limited; ABCI Capital Limited; GF Securities (Hong Kong) Brokerage Limited; Huatai Financial Holdings (Hong Kong) Limited</t>
        </is>
      </c>
      <c r="AS511" s="26" t="inlineStr">
        <is>
          <t>農銀國際證券有限公司; 中銀國際亞洲有限公司; 中國銀河國際證券(香港)有限公司; 中信里昂證券有限公司; 民銀證券有限公司; 招銀國際融資有限公司; 廣發證券（香港）經紀有限公司; 國信證券（香港）經紀有限公司; 華泰金融控股(香港)有限公司; 香港上海匯豐銀行有限公司</t>
        </is>
      </c>
      <c r="AT511" s="37">
        <f>HYPERLINK("https://www1.hkexnews.hk/listedco/listconews/sehk/2026/0630/2026063000041.pdf","prospectus")</f>
        <v/>
      </c>
      <c r="AU511" s="37">
        <f>HYPERLINK("https://www1.hkexnews.hk/listedco/listconews/sehk/2026/0708/2026070801372.pdf","allotment")</f>
        <v/>
      </c>
      <c r="AV511" s="26" t="n"/>
      <c r="AW511" s="26" t="inlineStr">
        <is>
          <t>intl sub: subscription level not stated in the filing · greenshoe: end-of-stabilisation notice not located · A/H: Jul 2026 H listing (PCB drilling tools) · 3m: listed less than 3m ago</t>
        </is>
      </c>
    </row>
    <row r="512">
      <c r="A512" s="25" t="inlineStr">
        <is>
          <t>6745</t>
        </is>
      </c>
      <c r="B512" s="26" t="inlineStr">
        <is>
          <t>BEFAR GROUP</t>
        </is>
      </c>
      <c r="C512" s="26" t="inlineStr">
        <is>
          <t>濱化股份</t>
        </is>
      </c>
      <c r="D512" s="26" t="inlineStr">
        <is>
          <t>Materials/Energy</t>
        </is>
      </c>
      <c r="E512" s="26" t="inlineStr">
        <is>
          <t>Chemicals</t>
        </is>
      </c>
      <c r="F512" s="26" t="inlineStr">
        <is>
          <t>Standard</t>
        </is>
      </c>
      <c r="G512" s="27" t="n">
        <v>46213</v>
      </c>
      <c r="H512" s="28" t="n">
        <v>1225.4</v>
      </c>
      <c r="I512" s="26" t="inlineStr">
        <is>
          <t>gross (stated)</t>
        </is>
      </c>
      <c r="J512" s="29" t="n"/>
      <c r="K512" s="29" t="n">
        <v>3.59</v>
      </c>
      <c r="L512" s="29" t="n">
        <v>3.48</v>
      </c>
      <c r="M512" s="26" t="inlineStr">
        <is>
          <t>N</t>
        </is>
      </c>
      <c r="N512" s="30" t="n">
        <v>96.90000000000001</v>
      </c>
      <c r="O512" s="28" t="n">
        <v>8608.299999999999</v>
      </c>
      <c r="P512" s="26" t="inlineStr">
        <is>
          <t>aastocks:上市市值 at the struck price</t>
        </is>
      </c>
      <c r="Q512" s="31" t="n">
        <v>227.58</v>
      </c>
      <c r="R512" s="32" t="n">
        <v>4.26</v>
      </c>
      <c r="S512" s="33" t="n">
        <v>30.91</v>
      </c>
      <c r="T512" s="26" t="inlineStr">
        <is>
          <t>Aurora SF; 北京益安資本管理有限公司; 中國宏橋集團有限公司; Hyperion Venture Capital Partners Limited; 魯花道生集團有限公司; 盛威安全設備有限公司; 天圖科技有限公司</t>
        </is>
      </c>
      <c r="U512" s="30" t="n"/>
      <c r="V512" s="26" t="n"/>
      <c r="W512" s="34" t="n">
        <v>-18.68</v>
      </c>
      <c r="X512" s="34" t="n">
        <v>-13.22</v>
      </c>
      <c r="Y512" s="34" t="n">
        <v>-3.16</v>
      </c>
      <c r="Z512" s="34" t="n"/>
      <c r="AA512" s="34" t="n">
        <v>19.09</v>
      </c>
      <c r="AB512" s="34" t="n">
        <v>-6.54</v>
      </c>
      <c r="AC512" s="34" t="n">
        <v>3.38</v>
      </c>
      <c r="AD512" s="26" t="inlineStr">
        <is>
          <t>Hang Seng Utilities sub-index</t>
        </is>
      </c>
      <c r="AE512" s="34" t="n">
        <v>-11.49</v>
      </c>
      <c r="AF512" s="28" t="n">
        <v>16320.1</v>
      </c>
      <c r="AG512" s="28" t="n">
        <v>918.8</v>
      </c>
      <c r="AH512" s="26" t="inlineStr">
        <is>
          <t>Y</t>
        </is>
      </c>
      <c r="AI512" s="35" t="n">
        <v>9.4</v>
      </c>
      <c r="AJ512" s="35" t="n">
        <v>0.5</v>
      </c>
      <c r="AK512" s="26" t="inlineStr">
        <is>
          <t>Y</t>
        </is>
      </c>
      <c r="AL512" s="26" t="inlineStr">
        <is>
          <t>601678.SS</t>
        </is>
      </c>
      <c r="AM512" s="34" t="n">
        <v>-47.38</v>
      </c>
      <c r="AN512" s="29" t="n">
        <v>6.6132</v>
      </c>
      <c r="AO512" s="42" t="n">
        <v>-0.6196</v>
      </c>
      <c r="AP512" s="26" t="inlineStr">
        <is>
          <t>Huatai Financial Holdings (Hong Kong) Limited; CCB International Capital Limited</t>
        </is>
      </c>
      <c r="AQ512" s="26" t="inlineStr">
        <is>
          <t>建銀國際金融有限公司; 華泰金融控股(香港)有限公司</t>
        </is>
      </c>
      <c r="AR512" s="26" t="inlineStr">
        <is>
          <t>Joint Lead Managers Huafu International Securities Limited; Central China International Securities Co., Limited; Manager CMB International Capital Limited; Huatai Financial Holdings (Hong Kong) Limited; CCB International Capital Limited; Zhongtai International Securities Limited; Huafu International Securities Limited; CMB International Capital Limited</t>
        </is>
      </c>
      <c r="AS512" s="26" t="inlineStr">
        <is>
          <t>建銀國際金融有限公司; 中州國際證券有限公司; 招銀國際融資有限公司; 華泰金融控股(香港)有限公司; 華福國際證券有限公司; 中泰國際證券有限公司</t>
        </is>
      </c>
      <c r="AT512" s="37">
        <f>HYPERLINK("https://www1.hkexnews.hk/listedco/listconews/sehk/2026/0630/2026063000101.pdf","prospectus")</f>
        <v/>
      </c>
      <c r="AU512" s="37">
        <f>HYPERLINK("https://www1.hkexnews.hk/listedco/listconews/sehk/2026/0709/2026070901273.pdf","allotment")</f>
        <v/>
      </c>
      <c r="AV512" s="26" t="n"/>
      <c r="AW512" s="26" t="inlineStr">
        <is>
          <t>greenshoe: no over-allotment option in the offer structure · A/H: Jul 2026 H listing (chlor-alkali/chemicals) · 3m: listed less than 3m ago</t>
        </is>
      </c>
    </row>
    <row r="513">
      <c r="A513" s="25" t="inlineStr">
        <is>
          <t>2249</t>
        </is>
      </c>
      <c r="B513" s="26" t="inlineStr">
        <is>
          <t>NEXCHIP</t>
        </is>
      </c>
      <c r="C513" s="26" t="inlineStr">
        <is>
          <t>晶合集成</t>
        </is>
      </c>
      <c r="D513" s="26" t="inlineStr">
        <is>
          <t>Tech/AI</t>
        </is>
      </c>
      <c r="E513" s="26" t="inlineStr">
        <is>
          <t>AI chips &amp; semis</t>
        </is>
      </c>
      <c r="F513" s="26" t="inlineStr">
        <is>
          <t>Standard</t>
        </is>
      </c>
      <c r="G513" s="27" t="n">
        <v>46213</v>
      </c>
      <c r="H513" s="28" t="n">
        <v>6982.19</v>
      </c>
      <c r="I513" s="26" t="inlineStr">
        <is>
          <t>gross (stated)</t>
        </is>
      </c>
      <c r="J513" s="29" t="n"/>
      <c r="K513" s="29" t="n">
        <v>32.3</v>
      </c>
      <c r="L513" s="29" t="n">
        <v>32.3</v>
      </c>
      <c r="M513" s="26" t="inlineStr">
        <is>
          <t>Y</t>
        </is>
      </c>
      <c r="N513" s="30" t="n">
        <v>100</v>
      </c>
      <c r="O513" s="28" t="n">
        <v>72179.10000000001</v>
      </c>
      <c r="P513" s="26" t="inlineStr">
        <is>
          <t>aastocks:上市市值 at the struck price</t>
        </is>
      </c>
      <c r="Q513" s="31" t="n">
        <v>344.26</v>
      </c>
      <c r="R513" s="32" t="n">
        <v>14.62</v>
      </c>
      <c r="S513" s="33" t="n">
        <v>49.92</v>
      </c>
      <c r="T513" s="26" t="inlineStr">
        <is>
          <t>奇瑞汽車香港貿易有限公司; 匯添富資產管理（香港）有限公司; CICC Financial Trading Limited; 大成國際資產管理有限公司; 廣發基金管理有限公司; 香港歌爾泰克有限公司; 嘉實國際資產管理有限公司; 合肥集創（香港）有限公司; HHLR Advisors, Ltd; 工銀理財有限責任公司; 常春藤資產管理(香港)有限公司; NGS Super Pty Limited; Perseverance Asset Management International (Singapore) Pte. Ltd; 保銀資產管理有限公司; 中郵理財有限責任公司; 璞新科技有限公司; 智感微電子科技（香港）有限公司; 泰康人壽保險有限責任公司; Verition Multi-Strategy Master Fund Ltd; WT Asset Management Limited</t>
        </is>
      </c>
      <c r="U513" s="30" t="n">
        <v>15</v>
      </c>
      <c r="V513" s="26" t="inlineStr">
        <is>
          <t>partial</t>
        </is>
      </c>
      <c r="W513" s="34" t="n">
        <v>0</v>
      </c>
      <c r="X513" s="34" t="n">
        <v>-9.66</v>
      </c>
      <c r="Y513" s="34" t="n">
        <v>-0.12</v>
      </c>
      <c r="Z513" s="34" t="n"/>
      <c r="AA513" s="34" t="n">
        <v>-0.12</v>
      </c>
      <c r="AB513" s="34" t="n">
        <v>-4</v>
      </c>
      <c r="AC513" s="34" t="n">
        <v>3.88</v>
      </c>
      <c r="AD513" s="26" t="inlineStr">
        <is>
          <t>HSTECH (Hang Seng TECH ETF)</t>
        </is>
      </c>
      <c r="AE513" s="34" t="n">
        <v>8.359999999999999</v>
      </c>
      <c r="AF513" s="28" t="n">
        <v>11.4</v>
      </c>
      <c r="AG513" s="28" t="n">
        <v>513.1</v>
      </c>
      <c r="AH513" s="26" t="inlineStr">
        <is>
          <t>Y</t>
        </is>
      </c>
      <c r="AI513" s="35" t="n">
        <v>140.7</v>
      </c>
      <c r="AJ513" s="35" t="n">
        <v>6331.5</v>
      </c>
      <c r="AK513" s="26" t="inlineStr">
        <is>
          <t>Y</t>
        </is>
      </c>
      <c r="AL513" s="26" t="inlineStr">
        <is>
          <t>688249.SS</t>
        </is>
      </c>
      <c r="AM513" s="34" t="n">
        <v>-57.01</v>
      </c>
      <c r="AN513" s="29" t="n">
        <v>75.1297</v>
      </c>
      <c r="AO513" s="42" t="n">
        <v>-0.258</v>
      </c>
      <c r="AP513" s="26" t="inlineStr">
        <is>
          <t>CICC</t>
        </is>
      </c>
      <c r="AQ513" s="26" t="inlineStr">
        <is>
          <t>中國國際金融香港證券有限公司</t>
        </is>
      </c>
      <c r="AR513" s="26" t="inlineStr">
        <is>
          <t>Managers, Capital Market Intermediaries BOCI Asia Limited; ICBC International Securities Limited; Futu Securities International (Hong Kong) Limited</t>
        </is>
      </c>
      <c r="AS513" s="26" t="inlineStr">
        <is>
          <t>中銀國際亞洲有限公司; 中國國際金融香港證券有限公司; 中信里昂證券有限公司; 招銀國際融資有限公司; 富途證券國際（香港）有限公司; 華泰金融控股(香港)有限公司; 工銀國際證券有限公司</t>
        </is>
      </c>
      <c r="AT513" s="37">
        <f>HYPERLINK("https://www1.hkexnews.hk/listedco/listconews/sehk/2026/0630/2026063000123.pdf","prospectus")</f>
        <v/>
      </c>
      <c r="AU513" s="37">
        <f>HYPERLINK("https://www1.hkexnews.hk/listedco/listconews/sehk/2026/0709/2026070901289.pdf","allotment")</f>
        <v/>
      </c>
      <c r="AV513" s="37">
        <f>HYPERLINK("https://www1.hkexnews.hk/listedco/listconews/sehk/2026/0806/2026080602039.pdf","stabilisation")</f>
        <v/>
      </c>
      <c r="AW513" s="26" t="inlineStr">
        <is>
          <t>A/H: Jul 2026 H listing (foundry) · 3m: listed less than 3m ago · market cap: estimate from deal size / offer % of enlarged capital disagreed with the published listing cap — published figure adopted</t>
        </is>
      </c>
    </row>
    <row r="514">
      <c r="A514" s="25" t="inlineStr">
        <is>
          <t>3308</t>
        </is>
      </c>
      <c r="B514" s="26" t="inlineStr">
        <is>
          <t>ZJ INNOLIGHT</t>
        </is>
      </c>
      <c r="C514" s="26" t="inlineStr">
        <is>
          <t>中際旭創</t>
        </is>
      </c>
      <c r="D514" s="26" t="inlineStr">
        <is>
          <t>Tech/AI</t>
        </is>
      </c>
      <c r="E514" s="26" t="inlineStr">
        <is>
          <t>Smart hardware / consumer electronics</t>
        </is>
      </c>
      <c r="F514" s="26" t="inlineStr">
        <is>
          <t>Standard</t>
        </is>
      </c>
      <c r="G514" s="27" t="n">
        <v>46233</v>
      </c>
      <c r="H514" s="28" t="n">
        <v>53410</v>
      </c>
      <c r="I514" s="26" t="inlineStr">
        <is>
          <t>gross (stated)</t>
        </is>
      </c>
      <c r="J514" s="29" t="n"/>
      <c r="K514" s="29" t="n">
        <v>1010</v>
      </c>
      <c r="L514" s="29" t="n">
        <v>980</v>
      </c>
      <c r="M514" s="26" t="inlineStr">
        <is>
          <t>N</t>
        </is>
      </c>
      <c r="N514" s="30" t="n">
        <v>97</v>
      </c>
      <c r="O514" s="41">
        <f>IF('BBG Verify'!M514="","not filed — run on terminal",'BBG Verify'!M514)</f>
        <v/>
      </c>
      <c r="P514" s="26" t="n"/>
      <c r="Q514" s="31" t="n">
        <v>16.84</v>
      </c>
      <c r="R514" s="32" t="n">
        <v>9.73</v>
      </c>
      <c r="S514" s="33" t="n">
        <v>50</v>
      </c>
      <c r="T514" s="26" t="inlineStr">
        <is>
          <t>Alibaba Investment Limited; Aspex Master Fund; Athos Capital Limited; BCC Asia Aggregator, L.P; Black Dragon CP Fund SPC; 貝萊德集團; Boyu Capital Opportunities Master Fund; Burkehill Global Management, LP; Canada Pension Plan Investment Board; 周大福企業有限公司; 奇點資產管理有限公司; CPE Hawthorn Investment Limited; General Atlantic Singapore SPV 68 Pte. Ltd; Hao Advisors Management Limited; HHLR Advisors, Ltd; Huadeng Tech Vision Investment Ltd; Huang River Investment Limited; IDG Capital Project Fund Rhododendron L.P; Indus Select Master Fund, Ltd.andVitruvius SICAV-Asian Equity; J.P. Morgan Investment Management Inc; JPMorgan Asset Management (Asia Pacific) Limited; Mirae Asset Securities Co., Ltd; NGS Super Pty Limited; Ninety One Asia Pte. Limited; Oaktree Capital Management, L.P</t>
        </is>
      </c>
      <c r="U514" s="30" t="n">
        <v>15</v>
      </c>
      <c r="V514" s="26" t="n"/>
      <c r="W514" s="34" t="n">
        <v>-2.04</v>
      </c>
      <c r="X514" s="34" t="n">
        <v>17.45</v>
      </c>
      <c r="Y514" s="34" t="n"/>
      <c r="Z514" s="34" t="n"/>
      <c r="AA514" s="34" t="n"/>
      <c r="AB514" s="34" t="n"/>
      <c r="AC514" s="34" t="n"/>
      <c r="AD514" s="26" t="inlineStr">
        <is>
          <t>HSTECH (Hang Seng TECH ETF)</t>
        </is>
      </c>
      <c r="AE514" s="34" t="n">
        <v>24.8</v>
      </c>
      <c r="AF514" s="28" t="n">
        <v>42063.9</v>
      </c>
      <c r="AG514" s="28" t="n">
        <v>11871.7</v>
      </c>
      <c r="AH514" s="26" t="inlineStr">
        <is>
          <t>Y</t>
        </is>
      </c>
      <c r="AI514" s="38">
        <f>IF('BBG Verify'!O514="","not filed — run on terminal",'BBG Verify'!O514)</f>
        <v/>
      </c>
      <c r="AJ514" s="35" t="n"/>
      <c r="AK514" s="26" t="inlineStr">
        <is>
          <t>Y</t>
        </is>
      </c>
      <c r="AL514" s="26" t="inlineStr">
        <is>
          <t>300308.SZ</t>
        </is>
      </c>
      <c r="AM514" s="34" t="n">
        <v>-11</v>
      </c>
      <c r="AN514" s="29" t="n">
        <v>1101.1724</v>
      </c>
      <c r="AO514" s="42" t="n">
        <v>0.0698</v>
      </c>
      <c r="AP514" s="26" t="inlineStr">
        <is>
          <t>Goldman Sachs; CICC; Morgan Stanley; GF Securities (Hong Kong)</t>
        </is>
      </c>
      <c r="AQ514" s="26" t="inlineStr">
        <is>
          <t>中國國際金融香港證券有限公司; 摩根士丹利亞洲有限公司; 高盛(亞洲)有限責任公司; 廣發融資（香港）有限公司</t>
        </is>
      </c>
      <c r="AR514" s="26" t="inlineStr">
        <is>
          <t>農銀國際證券有限公司; 中國銀河國際證券(香港)有限公司; 花旗環球金融亞洲有限公司; 中國國際金融香港證券有限公司; 廣發證券（香港）經紀有限公司; 高盛(亞洲)有限責任公司</t>
        </is>
      </c>
      <c r="AS514" s="26" t="inlineStr">
        <is>
          <t>農銀國際證券有限公司; 中國銀河國際證券(香港)有限公司; 花旗環球金融亞洲有限公司; 中國國際金融香港證券有限公司; 廣發證券（香港）經紀有限公司; 高盛(亞洲)有限責任公司; 海通國際證券有限公司; 香港上海匯豐銀行有限公司; 摩根士丹利亞洲有限公司; 清科證券有限公司; 中泰國際證券有限公司</t>
        </is>
      </c>
      <c r="AT514" s="37">
        <f>HYPERLINK("https://www1.hkexnews.hk/listedco/listconews/sehk/2026/0722/2026072200013.pdf","prospectus")</f>
        <v/>
      </c>
      <c r="AU514" s="37">
        <f>HYPERLINK("https://www1.hkexnews.hk/listedco/listconews/sehk/2026/0729/2026072901629.pdf","allotment")</f>
        <v/>
      </c>
      <c r="AV514" s="26" t="n"/>
      <c r="AW514" s="26" t="inlineStr">
        <is>
          <t>P/E: market cap not derivable (no share count disclosed) · greenshoe: stabilisation window still open (listed &lt;40 days ago) · A/H: Jul 2026 — Hong Kong's largest IPO in seven years (optical transceivers for AI datacenters) · 1m: listed less than 1m ago · 3m: listed less than 3m ago</t>
        </is>
      </c>
    </row>
    <row r="515">
      <c r="A515" s="25" t="inlineStr">
        <is>
          <t>2261</t>
        </is>
      </c>
      <c r="B515" s="26" t="inlineStr">
        <is>
          <t>NASN TECH</t>
        </is>
      </c>
      <c r="C515" s="26" t="inlineStr">
        <is>
          <t>拿森科技</t>
        </is>
      </c>
      <c r="D515" s="26" t="inlineStr">
        <is>
          <t>Consumer</t>
        </is>
      </c>
      <c r="E515" s="26" t="inlineStr">
        <is>
          <t>Auto parts / supply chain</t>
        </is>
      </c>
      <c r="F515" s="26" t="inlineStr">
        <is>
          <t>Standard</t>
        </is>
      </c>
      <c r="G515" s="27" t="n">
        <v>46241</v>
      </c>
      <c r="H515" s="28" t="n">
        <v>600.1</v>
      </c>
      <c r="I515" s="26" t="inlineStr">
        <is>
          <t>gross (price x shares)</t>
        </is>
      </c>
      <c r="J515" s="29" t="n"/>
      <c r="K515" s="29" t="n">
        <v>11.18</v>
      </c>
      <c r="L515" s="29" t="n">
        <v>10.42</v>
      </c>
      <c r="M515" s="26" t="inlineStr">
        <is>
          <t>N</t>
        </is>
      </c>
      <c r="N515" s="30" t="n">
        <v>93.2</v>
      </c>
      <c r="O515" s="28" t="n">
        <v>6199.7</v>
      </c>
      <c r="P515" s="26" t="inlineStr">
        <is>
          <t>derived:price x shares upon listing</t>
        </is>
      </c>
      <c r="Q515" s="31" t="n">
        <v>2513.54</v>
      </c>
      <c r="R515" s="32" t="n">
        <v>2.12</v>
      </c>
      <c r="S515" s="33" t="n">
        <v>0</v>
      </c>
      <c r="T515" s="26" t="n"/>
      <c r="U515" s="30" t="n">
        <v>10.12</v>
      </c>
      <c r="V515" s="26" t="n"/>
      <c r="W515" s="34" t="n">
        <v>64.11</v>
      </c>
      <c r="X515" s="34" t="n">
        <v>45.3</v>
      </c>
      <c r="Y515" s="34" t="n"/>
      <c r="Z515" s="34" t="n"/>
      <c r="AA515" s="34" t="n"/>
      <c r="AB515" s="34" t="n"/>
      <c r="AC515" s="34" t="n"/>
      <c r="AD515" s="26" t="inlineStr">
        <is>
          <t>Hang Seng Commerce &amp; Industry sub-index</t>
        </is>
      </c>
      <c r="AE515" s="34" t="n">
        <v>51.15</v>
      </c>
      <c r="AF515" s="28" t="n">
        <v>676</v>
      </c>
      <c r="AG515" s="28" t="n">
        <v>-208.5</v>
      </c>
      <c r="AH515" s="26" t="inlineStr">
        <is>
          <t>N</t>
        </is>
      </c>
      <c r="AI515" s="38">
        <f>IF('BBG Verify'!O515="","not filed — run on terminal",'BBG Verify'!O515)</f>
        <v/>
      </c>
      <c r="AJ515" s="35" t="n">
        <v>9.199999999999999</v>
      </c>
      <c r="AK515" s="26" t="inlineStr">
        <is>
          <t>N</t>
        </is>
      </c>
      <c r="AL515" s="36">
        <f>IF('BBG Verify'!K515="","not filed — run on terminal",'BBG Verify'!K515)</f>
        <v/>
      </c>
      <c r="AM515" s="26" t="inlineStr">
        <is>
          <t>N/A</t>
        </is>
      </c>
      <c r="AN515" s="26" t="inlineStr">
        <is>
          <t>N/A</t>
        </is>
      </c>
      <c r="AO515" s="26" t="inlineStr">
        <is>
          <t>N/A</t>
        </is>
      </c>
      <c r="AP515" s="26" t="inlineStr">
        <is>
          <t>Haitong International Capital Limited; BOCI Asia Limited</t>
        </is>
      </c>
      <c r="AQ515" s="26" t="inlineStr">
        <is>
          <t>海通國際資本有限公司; 中銀國際亞洲有限公司</t>
        </is>
      </c>
      <c r="AR515" s="26" t="inlineStr">
        <is>
          <t>Haitong International Securities Company Limited; BOCI Asia Limited; SDIC Securities (Hong Kong) Limited; Orient Securities (Hong Kong) Limited; TradeMaster Securities (Hong Kong) Limited; SPDB International Capital Limited</t>
        </is>
      </c>
      <c r="AS515" s="26" t="inlineStr">
        <is>
          <t>中銀國際亞洲有限公司; 富途證券國際（香港）有限公司; 海通國際證券有限公司; 東方證券(香港)有限公司; 國投證券（香港）有限公司; 浦銀國際融資有限公司; 淘金者證券（香港）有限公司</t>
        </is>
      </c>
      <c r="AT515" s="37">
        <f>HYPERLINK("https://www1.hkexnews.hk/listedco/listconews/sehk/2026/0730/2026073000009.pdf","prospectus")</f>
        <v/>
      </c>
      <c r="AU515" s="37">
        <f>HYPERLINK("https://www1.hkexnews.hk/listedco/listconews/sehk/2026/0806/2026080602047.pdf","allotment")</f>
        <v/>
      </c>
      <c r="AV515" s="26" t="n"/>
      <c r="AW515" s="26" t="inlineStr">
        <is>
          <t>P/E: n/m — loss-making at IPO (use P/S) · greenshoe: stabilisation window still open (listed &lt;40 days ago) · A/H: no A-share listing · 1m: listed less than 1m ago · 3m: listed less than 3m ago</t>
        </is>
      </c>
    </row>
  </sheetData>
  <autoFilter ref="A4:AW515"/>
  <mergeCells count="7">
    <mergeCell ref="AK3:AO3"/>
    <mergeCell ref="AF3:AJ3"/>
    <mergeCell ref="A3:G3"/>
    <mergeCell ref="AP3:AV3"/>
    <mergeCell ref="W3:AE3"/>
    <mergeCell ref="H3:P3"/>
    <mergeCell ref="Q3:V3"/>
  </mergeCells>
  <conditionalFormatting sqref="A5:AW515">
    <cfRule type="expression" priority="1" dxfId="2" stopIfTrue="0">
      <formula>MOD(ROW(),2)=0</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60"/>
  <sheetViews>
    <sheetView workbookViewId="0">
      <selection activeCell="A1" sqref="A1"/>
    </sheetView>
  </sheetViews>
  <sheetFormatPr baseColWidth="8" defaultRowHeight="15"/>
  <cols>
    <col width="8" customWidth="1" min="1" max="1"/>
    <col width="24" customWidth="1" min="2" max="2"/>
    <col width="12" customWidth="1" min="3" max="3"/>
    <col width="12" customWidth="1" min="4" max="4"/>
    <col width="22" customWidth="1" min="5" max="5"/>
    <col width="13" customWidth="1" min="6" max="6"/>
    <col width="10" customWidth="1" min="7" max="7"/>
    <col width="10" customWidth="1" min="8" max="8"/>
    <col width="26" customWidth="1" min="9" max="9"/>
    <col width="11" customWidth="1" min="10" max="10"/>
    <col width="11" customWidth="1" min="11" max="11"/>
    <col width="8" customWidth="1" min="12" max="12"/>
    <col width="7" customWidth="1" min="13" max="13"/>
    <col width="11" customWidth="1" min="14" max="14"/>
    <col width="11" customWidth="1" min="15" max="15"/>
    <col width="26" customWidth="1" min="16" max="16"/>
    <col width="46" customWidth="1" min="17" max="17"/>
    <col width="40" customWidth="1" min="18" max="18"/>
  </cols>
  <sheetData>
    <row r="1">
      <c r="A1" s="1" t="inlineStr">
        <is>
          <t>ACTIVE PIPELINE</t>
        </is>
      </c>
    </row>
    <row r="2">
      <c r="A2" s="2" t="inlineStr">
        <is>
          <t>expected size/timing are INPUT-BLUE — update as terms firm up; screener reads columns D/E/F/J/K/L</t>
        </is>
      </c>
    </row>
    <row r="3"/>
    <row r="4">
      <c r="A4" s="26" t="inlineStr"/>
    </row>
    <row r="5">
      <c r="A5" s="7" t="inlineStr">
        <is>
          <t>Code</t>
        </is>
      </c>
      <c r="B5" s="7" t="inlineStr">
        <is>
          <t>Name</t>
        </is>
      </c>
      <c r="C5" s="7" t="inlineStr">
        <is>
          <t>Name (CN)</t>
        </is>
      </c>
      <c r="D5" s="7" t="inlineStr">
        <is>
          <t>Sector</t>
        </is>
      </c>
      <c r="E5" s="7" t="inlineStr">
        <is>
          <t>Subsector</t>
        </is>
      </c>
      <c r="F5" s="7" t="inlineStr">
        <is>
          <t>Expected size (HK$m)</t>
        </is>
      </c>
      <c r="G5" s="7" t="inlineStr">
        <is>
          <t>Size lo (US$m)</t>
        </is>
      </c>
      <c r="H5" s="7" t="inlineStr">
        <is>
          <t>Size hi (US$m)</t>
        </is>
      </c>
      <c r="I5" s="7" t="inlineStr">
        <is>
          <t>Size basis</t>
        </is>
      </c>
      <c r="J5" s="7" t="inlineStr">
        <is>
          <t>Status</t>
        </is>
      </c>
      <c r="K5" s="7" t="inlineStr">
        <is>
          <t>Expected timing</t>
        </is>
      </c>
      <c r="L5" s="7" t="inlineStr">
        <is>
          <t>Profitable</t>
        </is>
      </c>
      <c r="M5" s="7" t="inlineStr">
        <is>
          <t>H-share</t>
        </is>
      </c>
      <c r="N5" s="7" t="inlineStr">
        <is>
          <t>A-share code</t>
        </is>
      </c>
      <c r="O5" s="7" t="inlineStr">
        <is>
          <t>A/H premium</t>
        </is>
      </c>
      <c r="P5" s="7" t="inlineStr">
        <is>
          <t>Sponsors</t>
        </is>
      </c>
      <c r="Q5" s="7" t="inlineStr">
        <is>
          <t>Business</t>
        </is>
      </c>
      <c r="R5" s="7" t="inlineStr">
        <is>
          <t>Valuation notes</t>
        </is>
      </c>
    </row>
    <row r="6">
      <c r="A6" s="26" t="n"/>
      <c r="B6" s="26" t="inlineStr">
        <is>
          <t>Shein Group</t>
        </is>
      </c>
      <c r="C6" s="26" t="inlineStr">
        <is>
          <t>希音</t>
        </is>
      </c>
      <c r="D6" s="26" t="inlineStr">
        <is>
          <t>Tech/AI</t>
        </is>
      </c>
      <c r="E6" s="5" t="inlineStr">
        <is>
          <t>Internet platform / e-commerce</t>
        </is>
      </c>
      <c r="F6" s="10" t="n">
        <v>18720</v>
      </c>
      <c r="G6" s="10" t="n">
        <v>2000</v>
      </c>
      <c r="H6" s="10" t="n">
        <v>2800</v>
      </c>
      <c r="I6" s="26" t="n"/>
      <c r="J6" s="5" t="inlineStr">
        <is>
          <t>PHIP</t>
        </is>
      </c>
      <c r="K6" s="5" t="inlineStr">
        <is>
          <t>2026-08-28 listing (expected)</t>
        </is>
      </c>
      <c r="L6" s="26" t="n"/>
      <c r="M6" s="26" t="inlineStr">
        <is>
          <t>N</t>
        </is>
      </c>
      <c r="N6" s="26" t="n"/>
      <c r="O6" s="42" t="n"/>
      <c r="P6" s="26" t="inlineStr">
        <is>
          <t>Goldman Sachs; Morgan Stanley; J.P. Morgan</t>
        </is>
      </c>
      <c r="Q6" s="26" t="n"/>
      <c r="R6" s="26" t="inlineStr">
        <is>
          <t>Targeting USD 30-40bn valuation (Reuters); syndicate pitching below USD 30bn to ~35bn per SCMP; far below the ~USD 100bn 2022 round. Existing shareholders may sell up to about half the deal.</t>
        </is>
      </c>
    </row>
    <row r="7">
      <c r="A7" s="26" t="n"/>
      <c r="B7" s="26" t="inlineStr">
        <is>
          <t>Xiaohongshu (RedNote)</t>
        </is>
      </c>
      <c r="C7" s="26" t="inlineStr">
        <is>
          <t>小红书</t>
        </is>
      </c>
      <c r="D7" s="26" t="inlineStr">
        <is>
          <t>Tech/AI</t>
        </is>
      </c>
      <c r="E7" s="5" t="inlineStr">
        <is>
          <t>Internet platform / e-commerce</t>
        </is>
      </c>
      <c r="F7" s="10" t="n"/>
      <c r="G7" s="10" t="n"/>
      <c r="H7" s="10" t="n"/>
      <c r="I7" s="26" t="n"/>
      <c r="J7" s="5" t="inlineStr">
        <is>
          <t>A1 filed</t>
        </is>
      </c>
      <c r="K7" s="5" t="inlineStr">
        <is>
          <t>2026 H2, as early as year-end 2026</t>
        </is>
      </c>
      <c r="L7" s="26" t="n"/>
      <c r="M7" s="26" t="inlineStr">
        <is>
          <t>N</t>
        </is>
      </c>
      <c r="N7" s="26" t="n"/>
      <c r="O7" s="42" t="n"/>
      <c r="P7" s="26" t="inlineStr">
        <is>
          <t>Goldman Sachs; CICC</t>
        </is>
      </c>
      <c r="Q7" s="26" t="n"/>
      <c r="R7" s="26" t="inlineStr">
        <is>
          <t>Targeting &gt;USD 70bn valuation (WSJ via The Standard, 2026-06); above the ~USD 50bn seen in recent private secondary trades; would be one of HK's largest tech IPOs. Company publicly denied some IPO rumours amid compliance dispute (The Standard, 2026-07).</t>
        </is>
      </c>
    </row>
    <row r="8">
      <c r="A8" s="26" t="n"/>
      <c r="B8" s="26" t="inlineStr">
        <is>
          <t>AgiBot (AgiBot Innovation / Zhiyuan Robotics)</t>
        </is>
      </c>
      <c r="C8" s="26" t="inlineStr">
        <is>
          <t>智元机器人</t>
        </is>
      </c>
      <c r="D8" s="26" t="inlineStr">
        <is>
          <t>Tech/AI</t>
        </is>
      </c>
      <c r="E8" s="5" t="inlineStr">
        <is>
          <t>Robotics &amp; autonomous driving</t>
        </is>
      </c>
      <c r="F8" s="10" t="n">
        <v>7800</v>
      </c>
      <c r="G8" s="10" t="n">
        <v>1000</v>
      </c>
      <c r="H8" s="10" t="n">
        <v>1000</v>
      </c>
      <c r="I8" s="26" t="n"/>
      <c r="J8" s="5" t="inlineStr">
        <is>
          <t>A1 filed</t>
        </is>
      </c>
      <c r="K8" s="5" t="inlineStr">
        <is>
          <t>2026 H2 (possibly as early as Aug-Sep 2026)</t>
        </is>
      </c>
      <c r="L8" s="26" t="n"/>
      <c r="M8" s="26" t="inlineStr">
        <is>
          <t>N</t>
        </is>
      </c>
      <c r="N8" s="26" t="n"/>
      <c r="O8" s="42" t="n"/>
      <c r="P8" s="26" t="inlineStr">
        <is>
          <t>CITIC Securities; CICC; Morgan Stanley</t>
        </is>
      </c>
      <c r="Q8" s="26" t="n"/>
      <c r="R8" s="26" t="inlineStr">
        <is>
          <t>Cornerstone/valuation target HK$40-50bn (~USD 5.1-6.4bn); plans to sell 15-25% of shares, potentially raising &gt;USD 1bn. Last private rounds valued it above RMB 20bn (~USD 3bn) per Caixin.</t>
        </is>
      </c>
    </row>
    <row r="9">
      <c r="A9" s="26" t="n"/>
      <c r="B9" s="26" t="inlineStr">
        <is>
          <t>Moonshot AI</t>
        </is>
      </c>
      <c r="C9" s="26" t="inlineStr">
        <is>
          <t>月之暗面</t>
        </is>
      </c>
      <c r="D9" s="26" t="inlineStr">
        <is>
          <t>Tech/AI</t>
        </is>
      </c>
      <c r="E9" s="5" t="inlineStr">
        <is>
          <t>LLM / foundation model</t>
        </is>
      </c>
      <c r="F9" s="10" t="n"/>
      <c r="G9" s="10" t="n"/>
      <c r="H9" s="10" t="n"/>
      <c r="I9" s="26" t="n"/>
      <c r="J9" s="5" t="n"/>
      <c r="K9" s="5" t="inlineStr">
        <is>
          <t>filing 2026 H2; listing as early as end-2026</t>
        </is>
      </c>
      <c r="L9" s="26" t="n"/>
      <c r="M9" s="26" t="inlineStr">
        <is>
          <t>N</t>
        </is>
      </c>
      <c r="N9" s="26" t="n"/>
      <c r="O9" s="42" t="n"/>
      <c r="P9" s="26" t="n"/>
      <c r="Q9" s="26" t="n"/>
      <c r="R9" s="26" t="inlineStr">
        <is>
          <t>Closed USD 3.5bn round at USD 35bn valuation (Bloomberg, 2026-07-29), up from ~USD 4bn end-2025; in talks for a final pre-IPO round at USD 50bn pre-money (Bloomberg, 2026-07-21).</t>
        </is>
      </c>
    </row>
    <row r="10">
      <c r="A10" s="26" t="n"/>
      <c r="B10" s="26" t="inlineStr">
        <is>
          <t>Sungrow Power Supply</t>
        </is>
      </c>
      <c r="C10" s="26" t="inlineStr">
        <is>
          <t>阳光电源</t>
        </is>
      </c>
      <c r="D10" s="26" t="inlineStr">
        <is>
          <t>Industrials</t>
        </is>
      </c>
      <c r="E10" s="5" t="inlineStr">
        <is>
          <t>Solar / wind supply chain</t>
        </is>
      </c>
      <c r="F10" s="10" t="n"/>
      <c r="G10" s="10" t="n"/>
      <c r="H10" s="10" t="n"/>
      <c r="I10" s="26" t="n"/>
      <c r="J10" s="5" t="inlineStr">
        <is>
          <t>A1 filed</t>
        </is>
      </c>
      <c r="K10" s="5" t="inlineStr">
        <is>
          <t>2026 H2 (application refiled Apr 2026, 6-month validity)</t>
        </is>
      </c>
      <c r="L10" s="26" t="n"/>
      <c r="M10" s="26" t="inlineStr">
        <is>
          <t>Y</t>
        </is>
      </c>
      <c r="N10" s="26" t="inlineStr">
        <is>
          <t>300274.SZ</t>
        </is>
      </c>
      <c r="O10" s="42" t="n"/>
      <c r="P10" s="26" t="inlineStr">
        <is>
          <t>CICC</t>
        </is>
      </c>
      <c r="Q10" s="26" t="n"/>
      <c r="R10" s="26" t="inlineStr">
        <is>
          <t>A-share market cap ~RMB 277-330bn (USD 40-47bn) in Apr 2026. Early reports cited a HK$987m (USD 126.7m) raise target from the Oct-2025 filing — treat with caution, small vs peers' A+H raises; no updated size disclosed on the Apr 2026 refiling.</t>
        </is>
      </c>
    </row>
    <row r="11">
      <c r="A11" s="26" t="n"/>
      <c r="B11" s="26" t="inlineStr">
        <is>
          <t>Mech-Mind Robotics Technologies Co., Ltd.</t>
        </is>
      </c>
      <c r="C11" s="26" t="inlineStr">
        <is>
          <t>梅卡曼德（雄安）機器人科技股份有限公司</t>
        </is>
      </c>
      <c r="D11" s="26" t="inlineStr">
        <is>
          <t>Tech/AI</t>
        </is>
      </c>
      <c r="E11" s="5" t="inlineStr">
        <is>
          <t>Robotics &amp; autonomous driving</t>
        </is>
      </c>
      <c r="F11" s="10" t="n">
        <v>2340</v>
      </c>
      <c r="G11" s="10" t="n"/>
      <c r="H11" s="10" t="n"/>
      <c r="I11" s="26" t="inlineStr">
        <is>
          <t>estimated (press report: HKEJ, 2026-08-14)</t>
        </is>
      </c>
      <c r="J11" s="5" t="inlineStr">
        <is>
          <t>PHIP — hearing cleared</t>
        </is>
      </c>
      <c r="K11" s="5" t="inlineStr">
        <is>
          <t>PHIP 2026-08-16</t>
        </is>
      </c>
      <c r="L11" s="26" t="inlineStr">
        <is>
          <t>N</t>
        </is>
      </c>
      <c r="M11" s="26" t="n"/>
      <c r="N11" s="26" t="n"/>
      <c r="O11" s="42" t="n"/>
      <c r="P11" s="26" t="inlineStr">
        <is>
          <t>China Securities (International) Corporate Finance Company Limited; CLSA Limited</t>
        </is>
      </c>
      <c r="Q11" s="26" t="inlineStr">
        <is>
          <t>We are a PRC enterprise and we are subject to PRC tax on our global income, and any gains on the [REDACTED ] of our H Shares by [REDACTED ] and dividends paid to [REDACTED ] on our H Shares may be subject to PRC tax. Under the current PRC tax laws and regulations, non-PRC resident individuals and non-PRC resident enterprises are subject to different tax obligations with respect to dividends paid t</t>
        </is>
      </c>
      <c r="R11" s="26" t="inlineStr">
        <is>
          <t>subsector via analyst label; expected size not yet public (PHIP stage) — type it in the blue cell to rank comps on size</t>
        </is>
      </c>
    </row>
    <row r="12">
      <c r="A12" s="26" t="n"/>
      <c r="B12" s="26" t="inlineStr">
        <is>
          <t>Ingenic Semiconductor Co., Ltd.</t>
        </is>
      </c>
      <c r="C12" s="26" t="inlineStr">
        <is>
          <t>北京君正集成電路股份有限公司</t>
        </is>
      </c>
      <c r="D12" s="26" t="inlineStr">
        <is>
          <t>Tech/AI</t>
        </is>
      </c>
      <c r="E12" s="5" t="inlineStr">
        <is>
          <t>AI chips &amp; semis</t>
        </is>
      </c>
      <c r="F12" s="10" t="n">
        <v>3220</v>
      </c>
      <c r="G12" s="10" t="n"/>
      <c r="H12" s="10" t="n"/>
      <c r="I12" s="26" t="inlineStr">
        <is>
          <t>estimated (firm guidance: The Standard, 2026-08-18)</t>
        </is>
      </c>
      <c r="J12" s="5" t="inlineStr">
        <is>
          <t>PHIP — hearing cleared</t>
        </is>
      </c>
      <c r="K12" s="5" t="inlineStr">
        <is>
          <t>PHIP 2026-08-09</t>
        </is>
      </c>
      <c r="L12" s="26" t="n"/>
      <c r="M12" s="26" t="inlineStr">
        <is>
          <t>Y</t>
        </is>
      </c>
      <c r="N12" s="26" t="n"/>
      <c r="O12" s="42" t="n"/>
      <c r="P12" s="26" t="inlineStr">
        <is>
          <t>Guotai Junan Securities (Hong Kong) Limited</t>
        </is>
      </c>
      <c r="Q12" s="26" t="inlineStr">
        <is>
          <t xml:space="preserve">Our Company is a PRC tax resident and is subject to PRC tax on its global income, and the dividends payable to investors and gains on the sale of our H Shares by our investors are subject to PRC tax. Under applicable PRC tax laws, regulations and statutory documents, non-PRC resident individuals and enterprises are subject to different tax obligations with respect to dividends received from us or </t>
        </is>
      </c>
      <c r="R12" s="26" t="inlineStr">
        <is>
          <t>A-share listed on the Shenzhen ChiNext; the PHIP does not print the code — confirm on the terminal; subsector via analyst label; expected size not yet public (PHIP stage) — type it in the blue cell to rank comps on size</t>
        </is>
      </c>
    </row>
    <row r="13">
      <c r="A13" s="26" t="n"/>
      <c r="B13" s="26" t="inlineStr">
        <is>
          <t>Direct Drive Tech Limited</t>
        </is>
      </c>
      <c r="C13" s="26" t="inlineStr">
        <is>
          <t>本末動力（北京）科技股份有限公司</t>
        </is>
      </c>
      <c r="D13" s="26" t="inlineStr">
        <is>
          <t>Tech/AI</t>
        </is>
      </c>
      <c r="E13" s="5" t="inlineStr">
        <is>
          <t>Robotics &amp; autonomous driving</t>
        </is>
      </c>
      <c r="F13" s="10" t="n"/>
      <c r="G13" s="10" t="n"/>
      <c r="H13" s="10" t="n"/>
      <c r="I13" s="26" t="n"/>
      <c r="J13" s="5" t="inlineStr">
        <is>
          <t>PHIP — hearing cleared</t>
        </is>
      </c>
      <c r="K13" s="5" t="inlineStr">
        <is>
          <t>PHIP 2026-06-29</t>
        </is>
      </c>
      <c r="L13" s="26" t="inlineStr">
        <is>
          <t>N</t>
        </is>
      </c>
      <c r="M13" s="26" t="n"/>
      <c r="N13" s="26" t="n"/>
      <c r="O13" s="42" t="n"/>
      <c r="P13" s="26" t="inlineStr">
        <is>
          <t>CLSA Limited</t>
        </is>
      </c>
      <c r="Q13" s="26" t="inlineStr">
        <is>
          <t xml:space="preserve">We are a company incorporated under the laws of the PRC and almost all of our assets and subsidiaries, the majority of our Directors and senior management, and their assets located within the PRC. As a result, it may not be possible for you to directly effect service of process upon us or such Directors or senior management who reside in China, including with respect to matters arising under U.S. </t>
        </is>
      </c>
      <c r="R13" s="26" t="inlineStr">
        <is>
          <t>subsector via analyst label; expected size not yet public (PHIP stage) — type it in the blue cell to rank comps on size</t>
        </is>
      </c>
    </row>
    <row r="14">
      <c r="A14" s="26" t="n"/>
      <c r="B14" s="26" t="inlineStr">
        <is>
          <t>EKH Limited</t>
        </is>
      </c>
      <c r="C14" s="26" t="n"/>
      <c r="D14" s="26" t="inlineStr">
        <is>
          <t>Industrials</t>
        </is>
      </c>
      <c r="E14" s="5" t="inlineStr">
        <is>
          <t>Logistics</t>
        </is>
      </c>
      <c r="F14" s="10" t="n">
        <v>126</v>
      </c>
      <c r="G14" s="10" t="n"/>
      <c r="H14" s="10" t="n"/>
      <c r="I14" s="26" t="inlineStr">
        <is>
          <t>estimated (firm guidance: Reuters company announcement, 2026-07-01)</t>
        </is>
      </c>
      <c r="J14" s="5" t="inlineStr">
        <is>
          <t>PHIP — hearing cleared</t>
        </is>
      </c>
      <c r="K14" s="5" t="inlineStr">
        <is>
          <t>PHIP 2026-06-26</t>
        </is>
      </c>
      <c r="L14" s="26" t="n"/>
      <c r="M14" s="26" t="n"/>
      <c r="N14" s="26" t="n"/>
      <c r="O14" s="42" t="n"/>
      <c r="P14" s="26" t="inlineStr">
        <is>
          <t>Quam Securities Limited</t>
        </is>
      </c>
      <c r="Q14" s="26"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t>
        </is>
      </c>
      <c r="R14" s="26" t="inlineStr">
        <is>
          <t>subsector via analyst label; expected size not yet public (PHIP stage) — type it in the blue cell to rank comps on size</t>
        </is>
      </c>
    </row>
    <row r="15">
      <c r="A15" s="26" t="n"/>
      <c r="B15" s="26" t="inlineStr">
        <is>
          <t>Tanboer Group Co., Ltd.</t>
        </is>
      </c>
      <c r="C15" s="26" t="n"/>
      <c r="D15" s="26" t="inlineStr">
        <is>
          <t>Consumer</t>
        </is>
      </c>
      <c r="E15" s="5" t="inlineStr">
        <is>
          <t>Apparel / luxury</t>
        </is>
      </c>
      <c r="F15" s="10" t="n">
        <v>780</v>
      </c>
      <c r="G15" s="10" t="n"/>
      <c r="H15" s="10" t="n"/>
      <c r="I15" s="26" t="inlineStr">
        <is>
          <t>estimated (press report: Bamboo Works 2025-10 / Smartkarma 2026)</t>
        </is>
      </c>
      <c r="J15" s="5" t="inlineStr">
        <is>
          <t>PHIP — hearing cleared</t>
        </is>
      </c>
      <c r="K15" s="5" t="inlineStr">
        <is>
          <t>PHIP 2026-06-21</t>
        </is>
      </c>
      <c r="L15" s="26" t="inlineStr">
        <is>
          <t>Y</t>
        </is>
      </c>
      <c r="M15" s="26" t="n"/>
      <c r="N15" s="26" t="n"/>
      <c r="O15" s="42" t="n"/>
      <c r="P15" s="26" t="inlineStr">
        <is>
          <t>China International Capital Corporation Hong Kong Securities Limited</t>
        </is>
      </c>
      <c r="Q15" s="26" t="inlineStr">
        <is>
          <t xml:space="preserve">We are a company incorporated under the laws of the PRC and a substantial majority of our assets and subsidiaries are located in mainland China. The majority of our Directors and senior management reside within mainland China. The assets of these Directors and senior management also may be located within mainland China. As a result, it may not be possible to effect service of process upon most of </t>
        </is>
      </c>
      <c r="R15" s="26" t="inlineStr">
        <is>
          <t>subsector via analyst label; expected size not yet public (PHIP stage) — type it in the blue cell to rank comps on size</t>
        </is>
      </c>
    </row>
    <row r="16"/>
    <row r="17">
      <c r="A17" s="2" t="inlineStr">
        <is>
          <t>BLUE = yours to edit. Type/adjust EXPECTED SIZE (HK$m) and SUBSECTOR here — the Screener reads these cells LIVE, so comps re-rank the moment you type. HKD size = midpoint of US$ range × 7.8 where not explicitly reported.</t>
        </is>
      </c>
    </row>
    <row r="18"/>
    <row r="19">
      <c r="A19" s="3" t="inlineStr">
        <is>
          <t>LIVE HKEX APPLICATION QUEUE (from the exchange's own AP &amp; PHIP feed)</t>
        </is>
      </c>
    </row>
    <row r="20">
      <c r="A20" s="2" t="inlineStr">
        <is>
          <t>PHIP posted = listing hearing CLEARED, typically days-to-weeks from launch. Refreshed every time you run refresh.</t>
        </is>
      </c>
    </row>
    <row r="21">
      <c r="A21" s="7" t="inlineStr">
        <is>
          <t>Applicant</t>
        </is>
      </c>
      <c r="B21" s="7" t="inlineStr">
        <is>
          <t>Stage</t>
        </is>
      </c>
      <c r="C21" s="7" t="inlineStr">
        <is>
          <t>First filed</t>
        </is>
      </c>
      <c r="D21" s="7" t="inlineStr">
        <is>
          <t>Latest filing</t>
        </is>
      </c>
      <c r="E21" s="7" t="inlineStr">
        <is>
          <t>Days in process</t>
        </is>
      </c>
      <c r="F21" s="7" t="inlineStr">
        <is>
          <t>Document</t>
        </is>
      </c>
    </row>
    <row r="22">
      <c r="A22" s="49" t="inlineStr">
        <is>
          <t>Mech-Mind Robotics Technologies Co., Ltd.</t>
        </is>
      </c>
      <c r="B22" s="4" t="inlineStr">
        <is>
          <t>PHIP posted (hearing cleared)</t>
        </is>
      </c>
      <c r="C22" s="4" t="inlineStr">
        <is>
          <t>2026-08-16</t>
        </is>
      </c>
      <c r="D22" s="4" t="inlineStr">
        <is>
          <t>2026-08-16</t>
        </is>
      </c>
      <c r="E22" s="50" t="n">
        <v>3</v>
      </c>
      <c r="F22" s="37">
        <f>HYPERLINK("https://www1.hkexnews.hk/app/sehk/2026/108796/documents/sehk26081600030.pdf","open filing")</f>
        <v/>
      </c>
    </row>
    <row r="23">
      <c r="A23" s="49" t="inlineStr">
        <is>
          <t>Ingenic Semiconductor Co., Ltd.</t>
        </is>
      </c>
      <c r="B23" s="4" t="inlineStr">
        <is>
          <t>PHIP posted (hearing cleared)</t>
        </is>
      </c>
      <c r="C23" s="4" t="inlineStr">
        <is>
          <t>2026-08-09</t>
        </is>
      </c>
      <c r="D23" s="4" t="inlineStr">
        <is>
          <t>2026-08-09</t>
        </is>
      </c>
      <c r="E23" s="50" t="n">
        <v>10</v>
      </c>
      <c r="F23" s="37">
        <f>HYPERLINK("https://www1.hkexnews.hk/app/sehk/2026/108571/documents/sehk26080900032.pdf","open filing")</f>
        <v/>
      </c>
    </row>
    <row r="24">
      <c r="A24" s="49" t="inlineStr">
        <is>
          <t>Glorysoft (Shanghai) Co., Ltd.</t>
        </is>
      </c>
      <c r="B24" s="51" t="inlineStr">
        <is>
          <t>PHIP posted (hearing cleared)  [SPONSOR TERMINATED]</t>
        </is>
      </c>
      <c r="C24" s="4" t="inlineStr">
        <is>
          <t>2026-08-07</t>
        </is>
      </c>
      <c r="D24" s="4" t="inlineStr">
        <is>
          <t>2026-08-07</t>
        </is>
      </c>
      <c r="E24" s="50" t="n">
        <v>12</v>
      </c>
      <c r="F24" s="37">
        <f>HYPERLINK("https://www1.hkexnews.hk/app/sehk/2026/108262/documents/sehk26062301714.pdf","open filing")</f>
        <v/>
      </c>
    </row>
    <row r="25">
      <c r="A25" s="49" t="inlineStr">
        <is>
          <t>SHEIN Global Holdings Limited (formerly known as Elite Depot Limited) - W</t>
        </is>
      </c>
      <c r="B25" s="4" t="inlineStr">
        <is>
          <t>PHIP posted (hearing cleared)</t>
        </is>
      </c>
      <c r="C25" s="4" t="inlineStr">
        <is>
          <t>2026-07-26</t>
        </is>
      </c>
      <c r="D25" s="4" t="inlineStr">
        <is>
          <t>2026-07-26</t>
        </is>
      </c>
      <c r="E25" s="50" t="n">
        <v>24</v>
      </c>
      <c r="F25" s="37">
        <f>HYPERLINK("https://www1.hkexnews.hk/app/sehk/2026/108766/documents/sehk26072600126.pdf","open filing")</f>
        <v/>
      </c>
    </row>
    <row r="26">
      <c r="A26" s="49" t="inlineStr">
        <is>
          <t>Direct Drive Tech Limited</t>
        </is>
      </c>
      <c r="B26" s="4" t="inlineStr">
        <is>
          <t>PHIP posted (hearing cleared)</t>
        </is>
      </c>
      <c r="C26" s="4" t="inlineStr">
        <is>
          <t>2026-06-29</t>
        </is>
      </c>
      <c r="D26" s="4" t="inlineStr">
        <is>
          <t>2026-06-29</t>
        </is>
      </c>
      <c r="E26" s="50" t="n">
        <v>51</v>
      </c>
      <c r="F26" s="37">
        <f>HYPERLINK("https://www1.hkexnews.hk/app/sehk/2026/108691/documents/sehk26062901536.pdf","open filing")</f>
        <v/>
      </c>
    </row>
    <row r="27">
      <c r="A27" s="49" t="inlineStr">
        <is>
          <t>EKH Limited</t>
        </is>
      </c>
      <c r="B27" s="4" t="inlineStr">
        <is>
          <t>PHIP posted (hearing cleared)</t>
        </is>
      </c>
      <c r="C27" s="4" t="inlineStr">
        <is>
          <t>2026-06-26</t>
        </is>
      </c>
      <c r="D27" s="4" t="inlineStr">
        <is>
          <t>2026-06-26</t>
        </is>
      </c>
      <c r="E27" s="50" t="n">
        <v>54</v>
      </c>
      <c r="F27" s="37">
        <f>HYPERLINK("https://www1.hkexnews.hk/app/sehk/2026/108390/documents/sehk26062603258.pdf","open filing")</f>
        <v/>
      </c>
    </row>
    <row r="28">
      <c r="A28" s="49" t="inlineStr">
        <is>
          <t>Tanboer Group Co., Ltd.</t>
        </is>
      </c>
      <c r="B28" s="4" t="inlineStr">
        <is>
          <t>PHIP posted (hearing cleared)</t>
        </is>
      </c>
      <c r="C28" s="4" t="inlineStr">
        <is>
          <t>2026-06-21</t>
        </is>
      </c>
      <c r="D28" s="4" t="inlineStr">
        <is>
          <t>2026-06-21</t>
        </is>
      </c>
      <c r="E28" s="50" t="n">
        <v>59</v>
      </c>
      <c r="F28" s="37">
        <f>HYPERLINK("https://www1.hkexnews.hk/app/sehk/2026/108483/documents/sehk26062100126.pdf","open filing")</f>
        <v/>
      </c>
    </row>
    <row r="29">
      <c r="A29" s="4" t="inlineStr">
        <is>
          <t>Shenzhen Immunofoco Biotechnology Co., Ltd. - B</t>
        </is>
      </c>
      <c r="B29" s="4" t="inlineStr">
        <is>
          <t>Application Proof only</t>
        </is>
      </c>
      <c r="C29" s="4" t="inlineStr">
        <is>
          <t>2026-08-18</t>
        </is>
      </c>
      <c r="D29" s="4" t="inlineStr">
        <is>
          <t>2026-08-18</t>
        </is>
      </c>
      <c r="E29" s="50" t="n">
        <v>1</v>
      </c>
      <c r="F29" s="37">
        <f>HYPERLINK("https://www1.hkexnews.hk/app/sehk/2026/108798/documents/sehk26081800036.pdf","open filing")</f>
        <v/>
      </c>
    </row>
    <row r="30">
      <c r="A30" s="4" t="inlineStr">
        <is>
          <t>Tianjin Chenxing Technology Co., Ltd. (formerly known as Tianjin Atomrobot Co., Ltd.)</t>
        </is>
      </c>
      <c r="B30" s="4" t="inlineStr">
        <is>
          <t>Application Proof only</t>
        </is>
      </c>
      <c r="C30" s="4" t="inlineStr">
        <is>
          <t>2026-08-18</t>
        </is>
      </c>
      <c r="D30" s="4" t="inlineStr">
        <is>
          <t>2026-08-18</t>
        </is>
      </c>
      <c r="E30" s="50" t="n">
        <v>1</v>
      </c>
      <c r="F30" s="37">
        <f>HYPERLINK("https://www1.hkexnews.hk/app/sehk/2026/108799/documents/sehk26081801658.pdf","open filing")</f>
        <v/>
      </c>
    </row>
    <row r="31">
      <c r="A31" s="4" t="inlineStr">
        <is>
          <t>Hunan Yuneng New Energy Battery Material Co., Ltd.</t>
        </is>
      </c>
      <c r="B31" s="4" t="inlineStr">
        <is>
          <t>Application Proof only</t>
        </is>
      </c>
      <c r="C31" s="4" t="inlineStr">
        <is>
          <t>2026-08-17</t>
        </is>
      </c>
      <c r="D31" s="4" t="inlineStr">
        <is>
          <t>2026-08-17</t>
        </is>
      </c>
      <c r="E31" s="50" t="n">
        <v>2</v>
      </c>
      <c r="F31" s="37">
        <f>HYPERLINK("https://www1.hkexnews.hk/app/sehk/2026/108797/documents/sehk26081700010.pdf","open filing")</f>
        <v/>
      </c>
    </row>
    <row r="32">
      <c r="A32" s="4" t="inlineStr">
        <is>
          <t>SHENZHEN WOKE TECHNOLOGY Co., LTD</t>
        </is>
      </c>
      <c r="B32" s="4" t="inlineStr">
        <is>
          <t>Application Proof only</t>
        </is>
      </c>
      <c r="C32" s="4" t="inlineStr">
        <is>
          <t>2026-08-14</t>
        </is>
      </c>
      <c r="D32" s="4" t="inlineStr">
        <is>
          <t>2026-08-14</t>
        </is>
      </c>
      <c r="E32" s="50" t="n">
        <v>5</v>
      </c>
      <c r="F32" s="37">
        <f>HYPERLINK("https://www1.hkexnews.hk/app/sehk/2026/108795/documents/sehk26081402024.pdf","open filing")</f>
        <v/>
      </c>
    </row>
    <row r="33">
      <c r="A33" s="4" t="inlineStr">
        <is>
          <t>Hunan Junxin Environmental Protection Co., Ltd.</t>
        </is>
      </c>
      <c r="B33" s="4" t="inlineStr">
        <is>
          <t>Application Proof only</t>
        </is>
      </c>
      <c r="C33" s="4" t="inlineStr">
        <is>
          <t>2026-08-13</t>
        </is>
      </c>
      <c r="D33" s="4" t="inlineStr">
        <is>
          <t>2026-08-13</t>
        </is>
      </c>
      <c r="E33" s="50" t="n">
        <v>6</v>
      </c>
      <c r="F33" s="37">
        <f>HYPERLINK("https://www1.hkexnews.hk/app/sehk/2026/108794/documents/sehk26081301489.pdf","open filing")</f>
        <v/>
      </c>
    </row>
    <row r="34">
      <c r="A34" s="4" t="inlineStr">
        <is>
          <t>Suzhou Zelgen Biopharmaceuticals Co., Ltd.</t>
        </is>
      </c>
      <c r="B34" s="4" t="inlineStr">
        <is>
          <t>Application Proof only</t>
        </is>
      </c>
      <c r="C34" s="4" t="inlineStr">
        <is>
          <t>2026-08-12</t>
        </is>
      </c>
      <c r="D34" s="4" t="inlineStr">
        <is>
          <t>2026-08-12</t>
        </is>
      </c>
      <c r="E34" s="50" t="n">
        <v>7</v>
      </c>
      <c r="F34" s="37">
        <f>HYPERLINK("https://www1.hkexnews.hk/app/sehk/2026/108793/documents/sehk26081201416.pdf","open filing")</f>
        <v/>
      </c>
    </row>
    <row r="35">
      <c r="A35" s="4" t="inlineStr">
        <is>
          <t>Hangzhou CIEC Group Co., Ltd.</t>
        </is>
      </c>
      <c r="B35" s="4" t="inlineStr">
        <is>
          <t>Application Proof only</t>
        </is>
      </c>
      <c r="C35" s="4" t="inlineStr">
        <is>
          <t>2026-08-11</t>
        </is>
      </c>
      <c r="D35" s="4" t="inlineStr">
        <is>
          <t>2026-08-11</t>
        </is>
      </c>
      <c r="E35" s="50" t="n">
        <v>8</v>
      </c>
      <c r="F35" s="37">
        <f>HYPERLINK("https://www1.hkexnews.hk/app/sehk/2026/108792/documents/sehk26081100442.pdf","open filing")</f>
        <v/>
      </c>
    </row>
    <row r="36">
      <c r="A36" s="4" t="inlineStr">
        <is>
          <t>Shenzhen Yueshi Holding Co., Ltd. (formerly known as Shenzhen Yueshi Digital Intelligence Co., Ltd.)</t>
        </is>
      </c>
      <c r="B36" s="4" t="inlineStr">
        <is>
          <t>Application Proof only</t>
        </is>
      </c>
      <c r="C36" s="4" t="inlineStr">
        <is>
          <t>2026-08-10</t>
        </is>
      </c>
      <c r="D36" s="4" t="inlineStr">
        <is>
          <t>2026-08-10</t>
        </is>
      </c>
      <c r="E36" s="50" t="n">
        <v>9</v>
      </c>
      <c r="F36" s="37">
        <f>HYPERLINK("https://www1.hkexnews.hk/app/sehk/2026/108771/documents/sehk26072900705.pdf","open filing")</f>
        <v/>
      </c>
    </row>
    <row r="37">
      <c r="A37" s="4" t="inlineStr">
        <is>
          <t>Ever Glory United Holdings Limited</t>
        </is>
      </c>
      <c r="B37" s="4" t="inlineStr">
        <is>
          <t>Application Proof only</t>
        </is>
      </c>
      <c r="C37" s="4" t="inlineStr">
        <is>
          <t>2026-08-10</t>
        </is>
      </c>
      <c r="D37" s="4" t="inlineStr">
        <is>
          <t>2026-08-10</t>
        </is>
      </c>
      <c r="E37" s="50" t="n">
        <v>9</v>
      </c>
      <c r="F37" s="37">
        <f>HYPERLINK("https://www1.hkexnews.hk/app/sehk/2026/108791/documents/sehk26081001283.pdf","open filing")</f>
        <v/>
      </c>
    </row>
    <row r="38">
      <c r="A38" s="4" t="inlineStr">
        <is>
          <t>RelyEZ Energy Storage Technology Co., Ltd.</t>
        </is>
      </c>
      <c r="B38" s="4" t="inlineStr">
        <is>
          <t>Application Proof only</t>
        </is>
      </c>
      <c r="C38" s="4" t="inlineStr">
        <is>
          <t>2026-08-09</t>
        </is>
      </c>
      <c r="D38" s="4" t="inlineStr">
        <is>
          <t>2026-08-09</t>
        </is>
      </c>
      <c r="E38" s="50" t="n">
        <v>10</v>
      </c>
      <c r="F38" s="37">
        <f>HYPERLINK("https://www1.hkexnews.hk/app/sehk/2026/108790/documents/sehk26080900120.pdf","open filing")</f>
        <v/>
      </c>
    </row>
    <row r="39">
      <c r="A39" s="4" t="inlineStr">
        <is>
          <t>ZHEJIANG ENERGY MARINE ENVIRONMENTAL TECHNOLOGY CO., LTD</t>
        </is>
      </c>
      <c r="B39" s="4" t="inlineStr">
        <is>
          <t>Application Proof only</t>
        </is>
      </c>
      <c r="C39" s="4" t="inlineStr">
        <is>
          <t>2026-08-07</t>
        </is>
      </c>
      <c r="D39" s="4" t="inlineStr">
        <is>
          <t>2026-08-07</t>
        </is>
      </c>
      <c r="E39" s="50" t="n">
        <v>12</v>
      </c>
      <c r="F39" s="37">
        <f>HYPERLINK("https://www1.hkexnews.hk/app/sehk/2026/108788/documents/sehk26080701054.pdf","open filing")</f>
        <v/>
      </c>
    </row>
    <row r="40">
      <c r="A40" s="4" t="inlineStr">
        <is>
          <t>Suzhou GenHouse Bio Co., Ltd. - B</t>
        </is>
      </c>
      <c r="B40" s="4" t="inlineStr">
        <is>
          <t>Application Proof only</t>
        </is>
      </c>
      <c r="C40" s="4" t="inlineStr">
        <is>
          <t>2026-08-07</t>
        </is>
      </c>
      <c r="D40" s="4" t="inlineStr">
        <is>
          <t>2026-08-07</t>
        </is>
      </c>
      <c r="E40" s="50" t="n">
        <v>12</v>
      </c>
      <c r="F40" s="37">
        <f>HYPERLINK("https://www1.hkexnews.hk/app/sehk/2026/108789/documents/sehk26080701538.pdf","open filing")</f>
        <v/>
      </c>
    </row>
    <row r="41">
      <c r="A41" s="4" t="inlineStr">
        <is>
          <t>Sichuan Biokin Pharmaceutical Co., Ltd. - B</t>
        </is>
      </c>
      <c r="B41" s="4" t="inlineStr">
        <is>
          <t>Application Proof only</t>
        </is>
      </c>
      <c r="C41" s="4" t="inlineStr">
        <is>
          <t>2026-08-06</t>
        </is>
      </c>
      <c r="D41" s="4" t="inlineStr">
        <is>
          <t>2026-08-06</t>
        </is>
      </c>
      <c r="E41" s="50" t="n">
        <v>13</v>
      </c>
      <c r="F41" s="37">
        <f>HYPERLINK("https://www1.hkexnews.hk/app/sehk/2026/108787/documents/sehk26080601694.pdf","open filing")</f>
        <v/>
      </c>
    </row>
    <row r="42">
      <c r="A42" s="4" t="inlineStr">
        <is>
          <t>Hangzhou Yodosmart Automotive Technology Co., Ltd.</t>
        </is>
      </c>
      <c r="B42" s="4" t="inlineStr">
        <is>
          <t>Application Proof only</t>
        </is>
      </c>
      <c r="C42" s="4" t="inlineStr">
        <is>
          <t>2026-08-04</t>
        </is>
      </c>
      <c r="D42" s="4" t="inlineStr">
        <is>
          <t>2026-08-04</t>
        </is>
      </c>
      <c r="E42" s="50" t="n">
        <v>15</v>
      </c>
      <c r="F42" s="37">
        <f>HYPERLINK("https://www1.hkexnews.hk/app/sehk/2026/108786/documents/sehk26080402104.pdf","open filing")</f>
        <v/>
      </c>
    </row>
    <row r="43">
      <c r="A43" s="4" t="inlineStr">
        <is>
          <t>Guangdong Topstar Technology Co., Ltd.</t>
        </is>
      </c>
      <c r="B43" s="4" t="inlineStr">
        <is>
          <t>Application Proof only</t>
        </is>
      </c>
      <c r="C43" s="4" t="inlineStr">
        <is>
          <t>2026-08-02</t>
        </is>
      </c>
      <c r="D43" s="4" t="inlineStr">
        <is>
          <t>2026-08-02</t>
        </is>
      </c>
      <c r="E43" s="50" t="n">
        <v>17</v>
      </c>
      <c r="F43" s="37">
        <f>HYPERLINK("https://www1.hkexnews.hk/app/sehk/2026/108747/documents/sehk26072000042.pdf","open filing")</f>
        <v/>
      </c>
    </row>
    <row r="44">
      <c r="A44" s="4" t="inlineStr">
        <is>
          <t>JPJ (TCM) Limited</t>
        </is>
      </c>
      <c r="B44" s="4" t="inlineStr">
        <is>
          <t>Application Proof only</t>
        </is>
      </c>
      <c r="C44" s="4" t="inlineStr">
        <is>
          <t>2026-07-31</t>
        </is>
      </c>
      <c r="D44" s="4" t="inlineStr">
        <is>
          <t>2026-07-31</t>
        </is>
      </c>
      <c r="E44" s="50" t="n">
        <v>19</v>
      </c>
      <c r="F44" s="37">
        <f>HYPERLINK("https://www1.hkexnews.hk/app/sehk/2026/108740/documents/sehk26071701190.pdf","open filing")</f>
        <v/>
      </c>
    </row>
    <row r="45">
      <c r="A45" s="4" t="inlineStr">
        <is>
          <t>Luxvisions Innovation Technology Corp. Limited</t>
        </is>
      </c>
      <c r="B45" s="4" t="inlineStr">
        <is>
          <t>Application Proof only</t>
        </is>
      </c>
      <c r="C45" s="4" t="inlineStr">
        <is>
          <t>2026-07-31</t>
        </is>
      </c>
      <c r="D45" s="4" t="inlineStr">
        <is>
          <t>2026-07-31</t>
        </is>
      </c>
      <c r="E45" s="50" t="n">
        <v>19</v>
      </c>
      <c r="F45" s="37">
        <f>HYPERLINK("https://www1.hkexnews.hk/app/sehk/2026/108776/documents/sehk26073101890.pdf","open filing")</f>
        <v/>
      </c>
    </row>
    <row r="46">
      <c r="A46" s="4" t="inlineStr">
        <is>
          <t>Beijing ESWIN Computing Technology Co., Ltd.</t>
        </is>
      </c>
      <c r="B46" s="4" t="inlineStr">
        <is>
          <t>Application Proof only</t>
        </is>
      </c>
      <c r="C46" s="4" t="inlineStr">
        <is>
          <t>2026-07-31</t>
        </is>
      </c>
      <c r="D46" s="4" t="inlineStr">
        <is>
          <t>2026-07-31</t>
        </is>
      </c>
      <c r="E46" s="50" t="n">
        <v>19</v>
      </c>
      <c r="F46" s="37">
        <f>HYPERLINK("https://www1.hkexnews.hk/app/sehk/2026/108777/documents/sehk26073102104.pdf","open filing")</f>
        <v/>
      </c>
    </row>
    <row r="47">
      <c r="A47" s="4" t="inlineStr">
        <is>
          <t>Harbin Yuyantang Traditional Chinese Medicine Outpatient Group Co., Ltd.</t>
        </is>
      </c>
      <c r="B47" s="4" t="inlineStr">
        <is>
          <t>Application Proof only</t>
        </is>
      </c>
      <c r="C47" s="4" t="inlineStr">
        <is>
          <t>2026-07-30</t>
        </is>
      </c>
      <c r="D47" s="4" t="inlineStr">
        <is>
          <t>2026-07-30</t>
        </is>
      </c>
      <c r="E47" s="50" t="n">
        <v>20</v>
      </c>
      <c r="F47" s="37">
        <f>HYPERLINK("https://www1.hkexnews.hk/app/sehk/2026/108770/documents/sehk26073000330.pdf","open filing")</f>
        <v/>
      </c>
    </row>
    <row r="48">
      <c r="A48" s="4" t="inlineStr">
        <is>
          <t>COSMOPlat IoT Technology Co., Ltd.</t>
        </is>
      </c>
      <c r="B48" s="4" t="inlineStr">
        <is>
          <t>Application Proof only</t>
        </is>
      </c>
      <c r="C48" s="4" t="inlineStr">
        <is>
          <t>2026-07-30</t>
        </is>
      </c>
      <c r="D48" s="4" t="inlineStr">
        <is>
          <t>2026-07-30</t>
        </is>
      </c>
      <c r="E48" s="50" t="n">
        <v>20</v>
      </c>
      <c r="F48" s="37">
        <f>HYPERLINK("https://www1.hkexnews.hk/app/sehk/2026/108774/documents/sehk26073002134.pdf","open filing")</f>
        <v/>
      </c>
    </row>
    <row r="49">
      <c r="A49" s="4" t="inlineStr">
        <is>
          <t>YUEN KEE FOOD GROUP CO., LTD.</t>
        </is>
      </c>
      <c r="B49" s="4" t="inlineStr">
        <is>
          <t>Application Proof only</t>
        </is>
      </c>
      <c r="C49" s="4" t="inlineStr">
        <is>
          <t>2026-07-30</t>
        </is>
      </c>
      <c r="D49" s="4" t="inlineStr">
        <is>
          <t>2026-07-30</t>
        </is>
      </c>
      <c r="E49" s="50" t="n">
        <v>20</v>
      </c>
      <c r="F49" s="37">
        <f>HYPERLINK("https://www1.hkexnews.hk/app/sehk/2026/108775/documents/sehk26073002144.pdf","open filing")</f>
        <v/>
      </c>
    </row>
    <row r="50">
      <c r="A50" s="4" t="inlineStr">
        <is>
          <t>Changzhou Xingyu Automotive Lighting Systems Co., Ltd.</t>
        </is>
      </c>
      <c r="B50" s="4" t="inlineStr">
        <is>
          <t>Application Proof only</t>
        </is>
      </c>
      <c r="C50" s="4" t="inlineStr">
        <is>
          <t>2026-07-29</t>
        </is>
      </c>
      <c r="D50" s="4" t="inlineStr">
        <is>
          <t>2026-07-29</t>
        </is>
      </c>
      <c r="E50" s="50" t="n">
        <v>21</v>
      </c>
      <c r="F50" s="37">
        <f>HYPERLINK("https://www1.hkexnews.hk/app/sehk/2026/108772/documents/sehk26072901708.pdf","open filing")</f>
        <v/>
      </c>
    </row>
    <row r="51">
      <c r="A51" s="4" t="inlineStr">
        <is>
          <t>Hand Enterprise Solutions Co., Ltd.</t>
        </is>
      </c>
      <c r="B51" s="4" t="inlineStr">
        <is>
          <t>Application Proof only</t>
        </is>
      </c>
      <c r="C51" s="4" t="inlineStr">
        <is>
          <t>2026-07-29</t>
        </is>
      </c>
      <c r="D51" s="4" t="inlineStr">
        <is>
          <t>2026-07-29</t>
        </is>
      </c>
      <c r="E51" s="50" t="n">
        <v>21</v>
      </c>
      <c r="F51" s="37">
        <f>HYPERLINK("https://www1.hkexnews.hk/app/sehk/2026/108773/documents/sehk26072901848.pdf","open filing")</f>
        <v/>
      </c>
    </row>
    <row r="52">
      <c r="A52" s="4" t="inlineStr">
        <is>
          <t>Ningbo Deye Technology Corporation</t>
        </is>
      </c>
      <c r="B52" s="4" t="inlineStr">
        <is>
          <t>Application Proof only</t>
        </is>
      </c>
      <c r="C52" s="4" t="inlineStr">
        <is>
          <t>2026-07-28</t>
        </is>
      </c>
      <c r="D52" s="4" t="inlineStr">
        <is>
          <t>2026-07-28</t>
        </is>
      </c>
      <c r="E52" s="50" t="n">
        <v>22</v>
      </c>
      <c r="F52" s="37">
        <f>HYPERLINK("https://www1.hkexnews.hk/app/sehk/2026/108768/documents/sehk26072800883.pdf","open filing")</f>
        <v/>
      </c>
    </row>
    <row r="53">
      <c r="A53" s="4" t="inlineStr">
        <is>
          <t>Giantec Semiconductor Corporation</t>
        </is>
      </c>
      <c r="B53" s="4" t="inlineStr">
        <is>
          <t>Application Proof only</t>
        </is>
      </c>
      <c r="C53" s="4" t="inlineStr">
        <is>
          <t>2026-07-28</t>
        </is>
      </c>
      <c r="D53" s="4" t="inlineStr">
        <is>
          <t>2026-07-28</t>
        </is>
      </c>
      <c r="E53" s="50" t="n">
        <v>22</v>
      </c>
      <c r="F53" s="37">
        <f>HYPERLINK("https://www1.hkexnews.hk/app/sehk/2026/108769/documents/sehk26072800992.pdf","open filing")</f>
        <v/>
      </c>
    </row>
    <row r="54">
      <c r="A54" s="4" t="inlineStr">
        <is>
          <t>Yonyou Network Technology Co., Ltd.</t>
        </is>
      </c>
      <c r="B54" s="4" t="inlineStr">
        <is>
          <t>Application Proof only</t>
        </is>
      </c>
      <c r="C54" s="4" t="inlineStr">
        <is>
          <t>2026-07-27</t>
        </is>
      </c>
      <c r="D54" s="4" t="inlineStr">
        <is>
          <t>2026-07-27</t>
        </is>
      </c>
      <c r="E54" s="50" t="n">
        <v>23</v>
      </c>
      <c r="F54" s="37">
        <f>HYPERLINK("https://www1.hkexnews.hk/app/sehk/2026/108737/documents/sehk26071500938.pdf","open filing")</f>
        <v/>
      </c>
    </row>
    <row r="55">
      <c r="A55" s="4" t="inlineStr">
        <is>
          <t>Standard Robots (Wuxi) Co., Ltd.</t>
        </is>
      </c>
      <c r="B55" s="4" t="inlineStr">
        <is>
          <t>Application Proof only</t>
        </is>
      </c>
      <c r="C55" s="4" t="inlineStr">
        <is>
          <t>2026-07-27</t>
        </is>
      </c>
      <c r="D55" s="4" t="inlineStr">
        <is>
          <t>2026-07-27</t>
        </is>
      </c>
      <c r="E55" s="50" t="n">
        <v>23</v>
      </c>
      <c r="F55" s="37">
        <f>HYPERLINK("https://www1.hkexnews.hk/app/sehk/2026/108767/documents/sehk26072701068.pdf","open filing")</f>
        <v/>
      </c>
    </row>
    <row r="56">
      <c r="A56" s="4" t="inlineStr">
        <is>
          <t>Jinan Janbon Metallic Materials Co., Ltd. (formerly known as Janbon Materials Co., Ltd.)</t>
        </is>
      </c>
      <c r="B56" s="4" t="inlineStr">
        <is>
          <t>Application Proof only</t>
        </is>
      </c>
      <c r="C56" s="4" t="inlineStr">
        <is>
          <t>2026-07-24</t>
        </is>
      </c>
      <c r="D56" s="4" t="inlineStr">
        <is>
          <t>2026-07-24</t>
        </is>
      </c>
      <c r="E56" s="50" t="n">
        <v>26</v>
      </c>
      <c r="F56" s="37">
        <f>HYPERLINK("https://www1.hkexnews.hk/app/sehk/2026/108735/documents/sehk26071401399.pdf","open filing")</f>
        <v/>
      </c>
    </row>
    <row r="57">
      <c r="A57" s="4" t="inlineStr">
        <is>
          <t>ZhongAn Information Technology (Shenzhen) Co., Ltd.</t>
        </is>
      </c>
      <c r="B57" s="4" t="inlineStr">
        <is>
          <t>Application Proof only</t>
        </is>
      </c>
      <c r="C57" s="4" t="inlineStr">
        <is>
          <t>2026-07-24</t>
        </is>
      </c>
      <c r="D57" s="4" t="inlineStr">
        <is>
          <t>2026-07-24</t>
        </is>
      </c>
      <c r="E57" s="50" t="n">
        <v>26</v>
      </c>
      <c r="F57" s="37">
        <f>HYPERLINK("https://www1.hkexnews.hk/app/sehk/2026/108752/documents/sehk26072401795.pdf","open filing")</f>
        <v/>
      </c>
    </row>
    <row r="58">
      <c r="A58" s="4" t="inlineStr">
        <is>
          <t>PrimeGenX Therapeutics Co., Ltd. - B</t>
        </is>
      </c>
      <c r="B58" s="4" t="inlineStr">
        <is>
          <t>Application Proof only</t>
        </is>
      </c>
      <c r="C58" s="4" t="inlineStr">
        <is>
          <t>2026-07-24</t>
        </is>
      </c>
      <c r="D58" s="4" t="inlineStr">
        <is>
          <t>2026-07-24</t>
        </is>
      </c>
      <c r="E58" s="50" t="n">
        <v>26</v>
      </c>
      <c r="F58" s="37">
        <f>HYPERLINK("https://www1.hkexnews.hk/app/sehk/2026/108754/documents/sehk26072401933.pdf","open filing")</f>
        <v/>
      </c>
    </row>
    <row r="59"/>
    <row r="60">
      <c r="A60" s="2" t="inlineStr">
        <is>
          <t>7 PHIP-stage of 341 live applications; showing PHIPs plus the 30 most recent Application Proofs.</t>
        </is>
      </c>
    </row>
  </sheetData>
  <dataValidations count="1">
    <dataValidation sqref="E6:E15" showDropDown="0" showInputMessage="0" showErrorMessage="0" allowBlank="1" type="list">
      <formula1>=SubsectorList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84"/>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premium = H×HKD ÷ (A×CNY→HKD) − 1 · + = H rich vs A · LIVE columns are Bloomberg BDP (work on the terminal only — mnemonics await terminal verify) · BLUE overrides beat live · snapshot column as of 2026-08-19</t>
        </is>
      </c>
    </row>
    <row r="3"/>
    <row r="4">
      <c r="A4" s="24" t="inlineStr">
        <is>
          <t>CNYHKD</t>
        </is>
      </c>
      <c r="B4" s="6">
        <f>BDP("CNYHKD Curncy","PX_LAST")</f>
        <v/>
      </c>
      <c r="C4" s="5" t="n"/>
      <c r="D4" s="52">
        <f>IF($C$4&lt;&gt;"",$C$4,$B$4)</f>
        <v/>
      </c>
      <c r="E4" s="2" t="inlineStr">
        <is>
          <t>live / override / effective</t>
        </is>
      </c>
    </row>
    <row r="5"/>
    <row r="6">
      <c r="A6" s="7" t="inlineStr">
        <is>
          <t>H code</t>
        </is>
      </c>
      <c r="B6" s="7" t="inlineStr">
        <is>
          <t>Name</t>
        </is>
      </c>
      <c r="C6" s="7" t="inlineStr">
        <is>
          <t>Subsector</t>
        </is>
      </c>
      <c r="D6" s="7" t="inlineStr">
        <is>
          <t>H live (BDP)</t>
        </is>
      </c>
      <c r="E6" s="7" t="inlineStr">
        <is>
          <t>H override</t>
        </is>
      </c>
      <c r="F6" s="7" t="inlineStr">
        <is>
          <t>H eff</t>
        </is>
      </c>
      <c r="G6" s="7" t="inlineStr">
        <is>
          <t>A code</t>
        </is>
      </c>
      <c r="H6" s="7" t="inlineStr">
        <is>
          <t>A live (BDP)</t>
        </is>
      </c>
      <c r="I6" s="7" t="inlineStr">
        <is>
          <t>A override</t>
        </is>
      </c>
      <c r="J6" s="7" t="inlineStr">
        <is>
          <t>A eff</t>
        </is>
      </c>
      <c r="K6" s="7" t="inlineStr">
        <is>
          <t>A/H premium</t>
        </is>
      </c>
      <c r="L6" s="7" t="inlineStr">
        <is>
          <t>Snapshot prem</t>
        </is>
      </c>
      <c r="M6" s="7" t="inlineStr">
        <is>
          <t>Note</t>
        </is>
      </c>
    </row>
    <row r="7">
      <c r="A7" s="53" t="inlineStr">
        <is>
          <t>6127</t>
        </is>
      </c>
      <c r="B7" s="4" t="inlineStr">
        <is>
          <t>JOINN</t>
        </is>
      </c>
      <c r="C7" s="4" t="inlineStr">
        <is>
          <t>CXO / pharma services</t>
        </is>
      </c>
      <c r="D7" s="54">
        <f>BDP("6127 HK Equity","PX_LAST")</f>
        <v/>
      </c>
      <c r="E7" s="55" t="n"/>
      <c r="F7" s="54">
        <f>IF($E7&lt;&gt;"",$E7,$D7)</f>
        <v/>
      </c>
      <c r="G7" s="4" t="inlineStr">
        <is>
          <t>603127.SS</t>
        </is>
      </c>
      <c r="H7" s="54">
        <f>BDP("603127 CH Equity","PX_LAST")</f>
        <v/>
      </c>
      <c r="I7" s="55" t="n"/>
      <c r="J7" s="54">
        <f>IF($I7&lt;&gt;"",$I7,$H7)</f>
        <v/>
      </c>
      <c r="K7" s="22">
        <f>IF(OR($F7="",$J7="",$D$4=""),"",$F7/($J7*$D$4)-1)</f>
        <v/>
      </c>
      <c r="L7" s="56" t="n">
        <v>-0.5799</v>
      </c>
      <c r="M7" s="2" t="inlineStr">
        <is>
          <t>H listed Feb 2021; CRO safety-evaluation leader</t>
        </is>
      </c>
    </row>
    <row r="8">
      <c r="A8" s="53" t="inlineStr">
        <is>
          <t>6821</t>
        </is>
      </c>
      <c r="B8" s="4" t="inlineStr">
        <is>
          <t>ASYMCHEM</t>
        </is>
      </c>
      <c r="C8" s="4" t="inlineStr">
        <is>
          <t>CXO / pharma services</t>
        </is>
      </c>
      <c r="D8" s="54">
        <f>BDP("6821 HK Equity","PX_LAST")</f>
        <v/>
      </c>
      <c r="E8" s="55" t="n"/>
      <c r="F8" s="54">
        <f>IF($E8&lt;&gt;"",$E8,$D8)</f>
        <v/>
      </c>
      <c r="G8" s="4" t="inlineStr">
        <is>
          <t>002821.SZ</t>
        </is>
      </c>
      <c r="H8" s="54">
        <f>BDP("002821 CH Equity","PX_LAST")</f>
        <v/>
      </c>
      <c r="I8" s="55" t="n"/>
      <c r="J8" s="54">
        <f>IF($I8&lt;&gt;"",$I8,$H8)</f>
        <v/>
      </c>
      <c r="K8" s="22">
        <f>IF(OR($F8="",$J8="",$D$4=""),"",$F8/($J8*$D$4)-1)</f>
        <v/>
      </c>
      <c r="L8" s="56" t="n">
        <v>-0.4258</v>
      </c>
      <c r="M8" s="2" t="inlineStr">
        <is>
          <t>H listed Dec 2021 (CDMO)</t>
        </is>
      </c>
    </row>
    <row r="9">
      <c r="A9" s="53" t="inlineStr">
        <is>
          <t>6680</t>
        </is>
      </c>
      <c r="B9" s="4" t="inlineStr">
        <is>
          <t>JLMAG</t>
        </is>
      </c>
      <c r="C9" s="4" t="inlineStr">
        <is>
          <t>Capital goods / machinery</t>
        </is>
      </c>
      <c r="D9" s="54">
        <f>BDP("6680 HK Equity","PX_LAST")</f>
        <v/>
      </c>
      <c r="E9" s="55" t="n"/>
      <c r="F9" s="54">
        <f>IF($E9&lt;&gt;"",$E9,$D9)</f>
        <v/>
      </c>
      <c r="G9" s="4" t="inlineStr">
        <is>
          <t>300748.SZ</t>
        </is>
      </c>
      <c r="H9" s="54">
        <f>BDP("300748 CH Equity","PX_LAST")</f>
        <v/>
      </c>
      <c r="I9" s="55" t="n"/>
      <c r="J9" s="54">
        <f>IF($I9&lt;&gt;"",$I9,$H9)</f>
        <v/>
      </c>
      <c r="K9" s="22">
        <f>IF(OR($F9="",$J9="",$D$4=""),"",$F9/($J9*$D$4)-1)</f>
        <v/>
      </c>
      <c r="L9" s="56" t="n">
        <v>-0.4669</v>
      </c>
      <c r="M9" s="2" t="inlineStr">
        <is>
          <t>H listed Jan 2022 (NdFeB magnets)</t>
        </is>
      </c>
    </row>
    <row r="10">
      <c r="A10" s="53" t="inlineStr">
        <is>
          <t>9696</t>
        </is>
      </c>
      <c r="B10" s="4" t="inlineStr">
        <is>
          <t>TIANQI LITHIUM</t>
        </is>
      </c>
      <c r="C10" s="4" t="inlineStr">
        <is>
          <t>Mining / metals</t>
        </is>
      </c>
      <c r="D10" s="54">
        <f>BDP("9696 HK Equity","PX_LAST")</f>
        <v/>
      </c>
      <c r="E10" s="55" t="n"/>
      <c r="F10" s="54">
        <f>IF($E10&lt;&gt;"",$E10,$D10)</f>
        <v/>
      </c>
      <c r="G10" s="4" t="inlineStr">
        <is>
          <t>002466.SZ</t>
        </is>
      </c>
      <c r="H10" s="54">
        <f>BDP("002466 CH Equity","PX_LAST")</f>
        <v/>
      </c>
      <c r="I10" s="55" t="n"/>
      <c r="J10" s="54">
        <f>IF($I10&lt;&gt;"",$I10,$H10)</f>
        <v/>
      </c>
      <c r="K10" s="22">
        <f>IF(OR($F10="",$J10="",$D$4=""),"",$F10/($J10*$D$4)-1)</f>
        <v/>
      </c>
      <c r="L10" s="56" t="n">
        <v>-0.3708</v>
      </c>
      <c r="M10" s="2" t="inlineStr">
        <is>
          <t>Jul 2022, ~US$1.7bn — largest HK IPO of 2022 at pricing</t>
        </is>
      </c>
    </row>
    <row r="11">
      <c r="A11" s="53" t="inlineStr">
        <is>
          <t>1880</t>
        </is>
      </c>
      <c r="B11" s="4" t="inlineStr">
        <is>
          <t>CTG DUTY-FREE</t>
        </is>
      </c>
      <c r="C11" s="4" t="inlineStr">
        <is>
          <t>Retail / distribution</t>
        </is>
      </c>
      <c r="D11" s="54">
        <f>BDP("1880 HK Equity","PX_LAST")</f>
        <v/>
      </c>
      <c r="E11" s="55" t="n"/>
      <c r="F11" s="54">
        <f>IF($E11&lt;&gt;"",$E11,$D11)</f>
        <v/>
      </c>
      <c r="G11" s="4" t="inlineStr">
        <is>
          <t>601888.SS</t>
        </is>
      </c>
      <c r="H11" s="54">
        <f>BDP("601888 CH Equity","PX_LAST")</f>
        <v/>
      </c>
      <c r="I11" s="55" t="n"/>
      <c r="J11" s="54">
        <f>IF($I11&lt;&gt;"",$I11,$H11)</f>
        <v/>
      </c>
      <c r="K11" s="22">
        <f>IF(OR($F11="",$J11="",$D$4=""),"",$F11/($J11*$D$4)-1)</f>
        <v/>
      </c>
      <c r="L11" s="56" t="n">
        <v>-0.21</v>
      </c>
      <c r="M11" s="2" t="inlineStr">
        <is>
          <t>Aug 2022, ~US$2.1bn H offering</t>
        </is>
      </c>
    </row>
    <row r="12">
      <c r="A12" s="53" t="inlineStr">
        <is>
          <t>2315</t>
        </is>
      </c>
      <c r="B12" s="4" t="inlineStr">
        <is>
          <t>BIOCYTOGEN-B</t>
        </is>
      </c>
      <c r="C12" s="4" t="inlineStr">
        <is>
          <t>Biotech pre-revenue (18A)</t>
        </is>
      </c>
      <c r="D12" s="54">
        <f>BDP("2315 HK Equity","PX_LAST")</f>
        <v/>
      </c>
      <c r="E12" s="55" t="n"/>
      <c r="F12" s="54">
        <f>IF($E12&lt;&gt;"",$E12,$D12)</f>
        <v/>
      </c>
      <c r="G12" s="4" t="inlineStr">
        <is>
          <t>688796.SS</t>
        </is>
      </c>
      <c r="H12" s="54">
        <f>BDP("688796 CH Equity","PX_LAST")</f>
        <v/>
      </c>
      <c r="I12" s="55" t="n"/>
      <c r="J12" s="54">
        <f>IF($I12&lt;&gt;"",$I12,$H12)</f>
        <v/>
      </c>
      <c r="K12" s="22">
        <f>IF(OR($F12="",$J12="",$D$4=""),"",$F12/($J12*$D$4)-1)</f>
        <v/>
      </c>
      <c r="L12" s="56" t="n">
        <v>-0.6004</v>
      </c>
      <c r="M12" s="2" t="inlineStr">
        <is>
          <t>A-share history unavailable before the listing date</t>
        </is>
      </c>
    </row>
    <row r="13">
      <c r="A13" s="53" t="inlineStr">
        <is>
          <t>2402</t>
        </is>
      </c>
      <c r="B13" s="4" t="inlineStr">
        <is>
          <t>SINOHYTEC</t>
        </is>
      </c>
      <c r="C13" s="4" t="inlineStr">
        <is>
          <t>Batteries / energy storage</t>
        </is>
      </c>
      <c r="D13" s="54">
        <f>BDP("2402 HK Equity","PX_LAST")</f>
        <v/>
      </c>
      <c r="E13" s="55" t="n"/>
      <c r="F13" s="54">
        <f>IF($E13&lt;&gt;"",$E13,$D13)</f>
        <v/>
      </c>
      <c r="G13" s="4" t="inlineStr">
        <is>
          <t>688339.SS</t>
        </is>
      </c>
      <c r="H13" s="54">
        <f>BDP("688339 CH Equity","PX_LAST")</f>
        <v/>
      </c>
      <c r="I13" s="55" t="n"/>
      <c r="J13" s="54">
        <f>IF($I13&lt;&gt;"",$I13,$H13)</f>
        <v/>
      </c>
      <c r="K13" s="22">
        <f>IF(OR($F13="",$J13="",$D$4=""),"",$F13/($J13*$D$4)-1)</f>
        <v/>
      </c>
      <c r="L13" s="56" t="n">
        <v>-0.3644</v>
      </c>
      <c r="M13" s="2" t="inlineStr">
        <is>
          <t>H listed Jan 2023 (hydrogen fuel cells); A+H on STAR</t>
        </is>
      </c>
    </row>
    <row r="14">
      <c r="A14" s="53" t="inlineStr">
        <is>
          <t>0300</t>
        </is>
      </c>
      <c r="B14" s="4" t="inlineStr">
        <is>
          <t>MIDEA GROUP</t>
        </is>
      </c>
      <c r="C14" s="4" t="inlineStr">
        <is>
          <t>Smart hardware / consumer electronics</t>
        </is>
      </c>
      <c r="D14" s="54">
        <f>BDP("300 HK Equity","PX_LAST")</f>
        <v/>
      </c>
      <c r="E14" s="55" t="n"/>
      <c r="F14" s="54">
        <f>IF($E14&lt;&gt;"",$E14,$D14)</f>
        <v/>
      </c>
      <c r="G14" s="4" t="inlineStr">
        <is>
          <t>000333.SZ</t>
        </is>
      </c>
      <c r="H14" s="54">
        <f>BDP("000333 CH Equity","PX_LAST")</f>
        <v/>
      </c>
      <c r="I14" s="55" t="n"/>
      <c r="J14" s="54">
        <f>IF($I14&lt;&gt;"",$I14,$H14)</f>
        <v/>
      </c>
      <c r="K14" s="22">
        <f>IF(OR($F14="",$J14="",$D$4=""),"",$F14/($J14*$D$4)-1)</f>
        <v/>
      </c>
      <c r="L14" s="56" t="n">
        <v>-0.0075</v>
      </c>
      <c r="M14" s="2" t="inlineStr">
        <is>
          <t>Sep 2024, ~US$4.0bn+greenshoe — the deal that opened the A-to-H wave; H priced at a double-digit discount to A</t>
        </is>
      </c>
    </row>
    <row r="15">
      <c r="A15" s="53" t="inlineStr">
        <is>
          <t>2465</t>
        </is>
      </c>
      <c r="B15" s="4" t="inlineStr">
        <is>
          <t>LOPAL TECH</t>
        </is>
      </c>
      <c r="C15" s="4" t="inlineStr">
        <is>
          <t>Batteries / energy storage</t>
        </is>
      </c>
      <c r="D15" s="54">
        <f>BDP("2465 HK Equity","PX_LAST")</f>
        <v/>
      </c>
      <c r="E15" s="55" t="n"/>
      <c r="F15" s="54">
        <f>IF($E15&lt;&gt;"",$E15,$D15)</f>
        <v/>
      </c>
      <c r="G15" s="4" t="inlineStr">
        <is>
          <t>603906.SS</t>
        </is>
      </c>
      <c r="H15" s="54">
        <f>BDP("603906 CH Equity","PX_LAST")</f>
        <v/>
      </c>
      <c r="I15" s="55" t="n"/>
      <c r="J15" s="54">
        <f>IF($I15&lt;&gt;"",$I15,$H15)</f>
        <v/>
      </c>
      <c r="K15" s="22">
        <f>IF(OR($F15="",$J15="",$D$4=""),"",$F15/($J15*$D$4)-1)</f>
        <v/>
      </c>
      <c r="L15" s="56" t="n">
        <v>-0.5701000000000001</v>
      </c>
      <c r="M15" s="2" t="inlineStr">
        <is>
          <t>Oct 2024 H listing (LFP cathode/adblue)</t>
        </is>
      </c>
    </row>
    <row r="16">
      <c r="A16" s="53" t="inlineStr">
        <is>
          <t>6936</t>
        </is>
      </c>
      <c r="B16" s="4" t="inlineStr">
        <is>
          <t>SF HOLDING</t>
        </is>
      </c>
      <c r="C16" s="4" t="inlineStr">
        <is>
          <t>Logistics</t>
        </is>
      </c>
      <c r="D16" s="54">
        <f>BDP("6936 HK Equity","PX_LAST")</f>
        <v/>
      </c>
      <c r="E16" s="55" t="n"/>
      <c r="F16" s="54">
        <f>IF($E16&lt;&gt;"",$E16,$D16)</f>
        <v/>
      </c>
      <c r="G16" s="4" t="inlineStr">
        <is>
          <t>002352.SZ</t>
        </is>
      </c>
      <c r="H16" s="54">
        <f>BDP("002352 CH Equity","PX_LAST")</f>
        <v/>
      </c>
      <c r="I16" s="55" t="n"/>
      <c r="J16" s="54">
        <f>IF($I16&lt;&gt;"",$I16,$H16)</f>
        <v/>
      </c>
      <c r="K16" s="22">
        <f>IF(OR($F16="",$J16="",$D$4=""),"",$F16/($J16*$D$4)-1)</f>
        <v/>
      </c>
      <c r="L16" s="56" t="n">
        <v>-0.1544</v>
      </c>
      <c r="M16" s="2" t="inlineStr">
        <is>
          <t>Nov 2024, ~US$750m; first A+H express logistics name</t>
        </is>
      </c>
    </row>
    <row r="17">
      <c r="A17" s="53" t="inlineStr">
        <is>
          <t>6693</t>
        </is>
      </c>
      <c r="B17" s="4" t="inlineStr">
        <is>
          <t>CHIFENG GOLD</t>
        </is>
      </c>
      <c r="C17" s="4" t="inlineStr">
        <is>
          <t>Mining / metals</t>
        </is>
      </c>
      <c r="D17" s="54">
        <f>BDP("6693 HK Equity","PX_LAST")</f>
        <v/>
      </c>
      <c r="E17" s="55" t="n"/>
      <c r="F17" s="54">
        <f>IF($E17&lt;&gt;"",$E17,$D17)</f>
        <v/>
      </c>
      <c r="G17" s="4" t="inlineStr">
        <is>
          <t>600988.SS</t>
        </is>
      </c>
      <c r="H17" s="54">
        <f>BDP("600988 CH Equity","PX_LAST")</f>
        <v/>
      </c>
      <c r="I17" s="55" t="n"/>
      <c r="J17" s="54">
        <f>IF($I17&lt;&gt;"",$I17,$H17)</f>
        <v/>
      </c>
      <c r="K17" s="22">
        <f>IF(OR($F17="",$J17="",$D$4=""),"",$F17/($J17*$D$4)-1)</f>
        <v/>
      </c>
      <c r="L17" s="56" t="n">
        <v>-0.2007</v>
      </c>
      <c r="M17" s="2" t="inlineStr">
        <is>
          <t>Mar 2025 H listing (gold miner)</t>
        </is>
      </c>
    </row>
    <row r="18">
      <c r="A18" s="53" t="inlineStr">
        <is>
          <t>2865</t>
        </is>
      </c>
      <c r="B18" s="4" t="inlineStr">
        <is>
          <t>DRINDA</t>
        </is>
      </c>
      <c r="C18" s="4" t="inlineStr">
        <is>
          <t>Solar / wind supply chain</t>
        </is>
      </c>
      <c r="D18" s="54">
        <f>BDP("2865 HK Equity","PX_LAST")</f>
        <v/>
      </c>
      <c r="E18" s="55" t="n"/>
      <c r="F18" s="54">
        <f>IF($E18&lt;&gt;"",$E18,$D18)</f>
        <v/>
      </c>
      <c r="G18" s="4" t="inlineStr">
        <is>
          <t>002865.SZ</t>
        </is>
      </c>
      <c r="H18" s="54">
        <f>BDP("002865 CH Equity","PX_LAST")</f>
        <v/>
      </c>
      <c r="I18" s="55" t="n"/>
      <c r="J18" s="54">
        <f>IF($I18&lt;&gt;"",$I18,$H18)</f>
        <v/>
      </c>
      <c r="K18" s="22">
        <f>IF(OR($F18="",$J18="",$D$4=""),"",$F18/($J18*$D$4)-1)</f>
        <v/>
      </c>
      <c r="L18" s="56" t="n">
        <v>-0.654</v>
      </c>
      <c r="M18" s="2" t="inlineStr">
        <is>
          <t>May 2025 H listing (TOPCon solar cells)</t>
        </is>
      </c>
    </row>
    <row r="19">
      <c r="A19" s="53" t="inlineStr">
        <is>
          <t>3750</t>
        </is>
      </c>
      <c r="B19" s="4" t="inlineStr">
        <is>
          <t>CATL</t>
        </is>
      </c>
      <c r="C19" s="4" t="inlineStr">
        <is>
          <t>Batteries / energy storage</t>
        </is>
      </c>
      <c r="D19" s="54">
        <f>BDP("3750 HK Equity","PX_LAST")</f>
        <v/>
      </c>
      <c r="E19" s="55" t="n"/>
      <c r="F19" s="54">
        <f>IF($E19&lt;&gt;"",$E19,$D19)</f>
        <v/>
      </c>
      <c r="G19" s="4" t="inlineStr">
        <is>
          <t>300750.SZ</t>
        </is>
      </c>
      <c r="H19" s="54">
        <f>BDP("300750 CH Equity","PX_LAST")</f>
        <v/>
      </c>
      <c r="I19" s="55" t="n"/>
      <c r="J19" s="54">
        <f>IF($I19&lt;&gt;"",$I19,$H19)</f>
        <v/>
      </c>
      <c r="K19" s="22">
        <f>IF(OR($F19="",$J19="",$D$4=""),"",$F19/($J19*$D$4)-1)</f>
        <v/>
      </c>
      <c r="L19" s="56" t="n">
        <v>0.3993</v>
      </c>
      <c r="M19" s="2" t="inlineStr">
        <is>
          <t>May 2025, ~US$4.6bn (US$5.3bn w/ shoe) — world's largest listing of 2025; H priced at a slim discount to A and surged on debut</t>
        </is>
      </c>
    </row>
    <row r="20">
      <c r="A20" s="53" t="inlineStr">
        <is>
          <t>1276</t>
        </is>
      </c>
      <c r="B20" s="4" t="inlineStr">
        <is>
          <t>HENGRUI PHARMA</t>
        </is>
      </c>
      <c r="C20" s="4" t="inlineStr">
        <is>
          <t>Biopharma commercial</t>
        </is>
      </c>
      <c r="D20" s="54">
        <f>BDP("1276 HK Equity","PX_LAST")</f>
        <v/>
      </c>
      <c r="E20" s="55" t="n"/>
      <c r="F20" s="54">
        <f>IF($E20&lt;&gt;"",$E20,$D20)</f>
        <v/>
      </c>
      <c r="G20" s="4" t="inlineStr">
        <is>
          <t>600276.SS</t>
        </is>
      </c>
      <c r="H20" s="54">
        <f>BDP("600276 CH Equity","PX_LAST")</f>
        <v/>
      </c>
      <c r="I20" s="55" t="n"/>
      <c r="J20" s="54">
        <f>IF($I20&lt;&gt;"",$I20,$H20)</f>
        <v/>
      </c>
      <c r="K20" s="22">
        <f>IF(OR($F20="",$J20="",$D$4=""),"",$F20/($J20*$D$4)-1)</f>
        <v/>
      </c>
      <c r="L20" s="56" t="n">
        <v>-0.1378</v>
      </c>
      <c r="M20" s="2" t="inlineStr">
        <is>
          <t>May 2025, raised ~HK$9.9bn (~US$1.3bn)</t>
        </is>
      </c>
    </row>
    <row r="21">
      <c r="A21" s="53" t="inlineStr">
        <is>
          <t>2603</t>
        </is>
      </c>
      <c r="B21" s="4" t="inlineStr">
        <is>
          <t>JIHONG CO</t>
        </is>
      </c>
      <c r="C21" s="4" t="inlineStr">
        <is>
          <t>Internet platform / e-commerce</t>
        </is>
      </c>
      <c r="D21" s="54">
        <f>BDP("2603 HK Equity","PX_LAST")</f>
        <v/>
      </c>
      <c r="E21" s="55" t="n"/>
      <c r="F21" s="54">
        <f>IF($E21&lt;&gt;"",$E21,$D21)</f>
        <v/>
      </c>
      <c r="G21" s="4" t="inlineStr">
        <is>
          <t>002803.SZ</t>
        </is>
      </c>
      <c r="H21" s="54">
        <f>BDP("002803 CH Equity","PX_LAST")</f>
        <v/>
      </c>
      <c r="I21" s="55" t="n"/>
      <c r="J21" s="54">
        <f>IF($I21&lt;&gt;"",$I21,$H21)</f>
        <v/>
      </c>
      <c r="K21" s="22">
        <f>IF(OR($F21="",$J21="",$D$4=""),"",$F21/($J21*$D$4)-1)</f>
        <v/>
      </c>
      <c r="L21" s="56" t="n">
        <v>-0.457</v>
      </c>
      <c r="M21" s="2" t="inlineStr">
        <is>
          <t>May 2025 H listing (packaging + cross-border e-commerce)</t>
        </is>
      </c>
    </row>
    <row r="22">
      <c r="A22" s="53" t="inlineStr">
        <is>
          <t>3288</t>
        </is>
      </c>
      <c r="B22" s="4" t="inlineStr">
        <is>
          <t>HAITIAN FLAV</t>
        </is>
      </c>
      <c r="C22" s="4" t="inlineStr">
        <is>
          <t>Beverages / packaged food</t>
        </is>
      </c>
      <c r="D22" s="54">
        <f>BDP("3288 HK Equity","PX_LAST")</f>
        <v/>
      </c>
      <c r="E22" s="55" t="n"/>
      <c r="F22" s="54">
        <f>IF($E22&lt;&gt;"",$E22,$D22)</f>
        <v/>
      </c>
      <c r="G22" s="4" t="inlineStr">
        <is>
          <t>603288.SS</t>
        </is>
      </c>
      <c r="H22" s="54">
        <f>BDP("603288 CH Equity","PX_LAST")</f>
        <v/>
      </c>
      <c r="I22" s="55" t="n"/>
      <c r="J22" s="54">
        <f>IF($I22&lt;&gt;"",$I22,$H22)</f>
        <v/>
      </c>
      <c r="K22" s="22">
        <f>IF(OR($F22="",$J22="",$D$4=""),"",$F22/($J22*$D$4)-1)</f>
        <v/>
      </c>
      <c r="L22" s="56" t="n">
        <v>-0.2285</v>
      </c>
      <c r="M22" s="2" t="inlineStr">
        <is>
          <t>Jun 2025, ~US$1.3bn; condiments leader</t>
        </is>
      </c>
    </row>
    <row r="23">
      <c r="A23" s="53" t="inlineStr">
        <is>
          <t>2050</t>
        </is>
      </c>
      <c r="B23" s="4" t="inlineStr">
        <is>
          <t>SANHUA</t>
        </is>
      </c>
      <c r="C23" s="4" t="inlineStr">
        <is>
          <t>Auto parts / supply chain</t>
        </is>
      </c>
      <c r="D23" s="54">
        <f>BDP("2050 HK Equity","PX_LAST")</f>
        <v/>
      </c>
      <c r="E23" s="55" t="n"/>
      <c r="F23" s="54">
        <f>IF($E23&lt;&gt;"",$E23,$D23)</f>
        <v/>
      </c>
      <c r="G23" s="4" t="inlineStr">
        <is>
          <t>002050.SZ</t>
        </is>
      </c>
      <c r="H23" s="54">
        <f>BDP("002050 CH Equity","PX_LAST")</f>
        <v/>
      </c>
      <c r="I23" s="55" t="n"/>
      <c r="J23" s="54">
        <f>IF($I23&lt;&gt;"",$I23,$H23)</f>
        <v/>
      </c>
      <c r="K23" s="22">
        <f>IF(OR($F23="",$J23="",$D$4=""),"",$F23/($J23*$D$4)-1)</f>
        <v/>
      </c>
      <c r="L23" s="56" t="n">
        <v>-0.4135</v>
      </c>
      <c r="M23" s="2" t="inlineStr">
        <is>
          <t>Jun 2025 H listing (thermal management/humanoid actuators)</t>
        </is>
      </c>
    </row>
    <row r="24">
      <c r="A24" s="53" t="inlineStr">
        <is>
          <t>2648</t>
        </is>
      </c>
      <c r="B24" s="4" t="inlineStr">
        <is>
          <t>ANJOY FOOD</t>
        </is>
      </c>
      <c r="C24" s="4" t="inlineStr">
        <is>
          <t>Beverages / packaged food</t>
        </is>
      </c>
      <c r="D24" s="54">
        <f>BDP("2648 HK Equity","PX_LAST")</f>
        <v/>
      </c>
      <c r="E24" s="55" t="n"/>
      <c r="F24" s="54">
        <f>IF($E24&lt;&gt;"",$E24,$D24)</f>
        <v/>
      </c>
      <c r="G24" s="4" t="inlineStr">
        <is>
          <t>603345.SS</t>
        </is>
      </c>
      <c r="H24" s="54">
        <f>BDP("603345 CH Equity","PX_LAST")</f>
        <v/>
      </c>
      <c r="I24" s="55" t="n"/>
      <c r="J24" s="54">
        <f>IF($I24&lt;&gt;"",$I24,$H24)</f>
        <v/>
      </c>
      <c r="K24" s="22">
        <f>IF(OR($F24="",$J24="",$D$4=""),"",$F24/($J24*$D$4)-1)</f>
        <v/>
      </c>
      <c r="L24" s="56" t="n">
        <v>-0.2882</v>
      </c>
      <c r="M24" s="2" t="inlineStr">
        <is>
          <t>Jul 2025 H listing (frozen foods)</t>
        </is>
      </c>
    </row>
    <row r="25">
      <c r="A25" s="53" t="inlineStr">
        <is>
          <t>1304</t>
        </is>
      </c>
      <c r="B25" s="4" t="inlineStr">
        <is>
          <t>FORTIOR</t>
        </is>
      </c>
      <c r="C25" s="4" t="inlineStr">
        <is>
          <t>AI chips &amp; semis</t>
        </is>
      </c>
      <c r="D25" s="54">
        <f>BDP("1304 HK Equity","PX_LAST")</f>
        <v/>
      </c>
      <c r="E25" s="55" t="n"/>
      <c r="F25" s="54">
        <f>IF($E25&lt;&gt;"",$E25,$D25)</f>
        <v/>
      </c>
      <c r="G25" s="4" t="inlineStr">
        <is>
          <t>688279.SS</t>
        </is>
      </c>
      <c r="H25" s="54">
        <f>BDP("688279 CH Equity","PX_LAST")</f>
        <v/>
      </c>
      <c r="I25" s="55" t="n"/>
      <c r="J25" s="54">
        <f>IF($I25&lt;&gt;"",$I25,$H25)</f>
        <v/>
      </c>
      <c r="K25" s="22">
        <f>IF(OR($F25="",$J25="",$D$4=""),"",$F25/($J25*$D$4)-1)</f>
        <v/>
      </c>
      <c r="L25" s="56" t="n">
        <v>-0.4318</v>
      </c>
      <c r="M25" s="2" t="inlineStr">
        <is>
          <t>Jul 2025 H listing (BLDC motor-driver chips)</t>
        </is>
      </c>
    </row>
    <row r="26">
      <c r="A26" s="53" t="inlineStr">
        <is>
          <t>6613</t>
        </is>
      </c>
      <c r="B26" s="4" t="inlineStr">
        <is>
          <t>LENS</t>
        </is>
      </c>
      <c r="C26" s="4" t="inlineStr">
        <is>
          <t>Smart hardware / consumer electronics</t>
        </is>
      </c>
      <c r="D26" s="54">
        <f>BDP("6613 HK Equity","PX_LAST")</f>
        <v/>
      </c>
      <c r="E26" s="55" t="n"/>
      <c r="F26" s="54">
        <f>IF($E26&lt;&gt;"",$E26,$D26)</f>
        <v/>
      </c>
      <c r="G26" s="4" t="inlineStr">
        <is>
          <t>300433.SZ</t>
        </is>
      </c>
      <c r="H26" s="54">
        <f>BDP("300433 CH Equity","PX_LAST")</f>
        <v/>
      </c>
      <c r="I26" s="55" t="n"/>
      <c r="J26" s="54">
        <f>IF($I26&lt;&gt;"",$I26,$H26)</f>
        <v/>
      </c>
      <c r="K26" s="22">
        <f>IF(OR($F26="",$J26="",$D$4=""),"",$F26/($J26*$D$4)-1)</f>
        <v/>
      </c>
      <c r="L26" s="56" t="n">
        <v>-0.4581</v>
      </c>
      <c r="M26" s="2" t="inlineStr">
        <is>
          <t>Jul 2025 H listing (cover glass, Apple chain)</t>
        </is>
      </c>
    </row>
    <row r="27">
      <c r="A27" s="53" t="inlineStr">
        <is>
          <t>2631</t>
        </is>
      </c>
      <c r="B27" s="4" t="inlineStr">
        <is>
          <t>SICC</t>
        </is>
      </c>
      <c r="C27" s="4" t="inlineStr">
        <is>
          <t>AI chips &amp; semis</t>
        </is>
      </c>
      <c r="D27" s="54">
        <f>BDP("2631 HK Equity","PX_LAST")</f>
        <v/>
      </c>
      <c r="E27" s="55" t="n"/>
      <c r="F27" s="54">
        <f>IF($E27&lt;&gt;"",$E27,$D27)</f>
        <v/>
      </c>
      <c r="G27" s="4" t="inlineStr">
        <is>
          <t>688234.SS</t>
        </is>
      </c>
      <c r="H27" s="54">
        <f>BDP("688234 CH Equity","PX_LAST")</f>
        <v/>
      </c>
      <c r="I27" s="55" t="n"/>
      <c r="J27" s="54">
        <f>IF($I27&lt;&gt;"",$I27,$H27)</f>
        <v/>
      </c>
      <c r="K27" s="22">
        <f>IF(OR($F27="",$J27="",$D$4=""),"",$F27/($J27*$D$4)-1)</f>
        <v/>
      </c>
      <c r="L27" s="56" t="n">
        <v>-0.368</v>
      </c>
      <c r="M27" s="2" t="inlineStr">
        <is>
          <t>Aug 2025 H listing (SiC substrates)</t>
        </is>
      </c>
    </row>
    <row r="28">
      <c r="A28" s="53" t="inlineStr">
        <is>
          <t>0638</t>
        </is>
      </c>
      <c r="B28" s="4" t="inlineStr">
        <is>
          <t>FIBOCOM</t>
        </is>
      </c>
      <c r="C28" s="4" t="inlineStr">
        <is>
          <t>Smart hardware / consumer electronics</t>
        </is>
      </c>
      <c r="D28" s="54">
        <f>BDP("638 HK Equity","PX_LAST")</f>
        <v/>
      </c>
      <c r="E28" s="55" t="n"/>
      <c r="F28" s="54">
        <f>IF($E28&lt;&gt;"",$E28,$D28)</f>
        <v/>
      </c>
      <c r="G28" s="4" t="inlineStr">
        <is>
          <t>300638.SZ</t>
        </is>
      </c>
      <c r="H28" s="54">
        <f>BDP("300638 CH Equity","PX_LAST")</f>
        <v/>
      </c>
      <c r="I28" s="55" t="n"/>
      <c r="J28" s="54">
        <f>IF($I28&lt;&gt;"",$I28,$H28)</f>
        <v/>
      </c>
      <c r="K28" s="22">
        <f>IF(OR($F28="",$J28="",$D$4=""),"",$F28/($J28*$D$4)-1)</f>
        <v/>
      </c>
      <c r="L28" s="56" t="n">
        <v>-0.6618000000000001</v>
      </c>
      <c r="M28" s="2" t="inlineStr">
        <is>
          <t>Oct 2025 H listing (IoT wireless modules)</t>
        </is>
      </c>
    </row>
    <row r="29">
      <c r="A29" s="53" t="inlineStr">
        <is>
          <t>6031</t>
        </is>
      </c>
      <c r="B29" s="4" t="inlineStr">
        <is>
          <t>SANY HEAVY IND</t>
        </is>
      </c>
      <c r="C29" s="4" t="inlineStr">
        <is>
          <t>Capital goods / machinery</t>
        </is>
      </c>
      <c r="D29" s="54">
        <f>BDP("6031 HK Equity","PX_LAST")</f>
        <v/>
      </c>
      <c r="E29" s="55" t="n"/>
      <c r="F29" s="54">
        <f>IF($E29&lt;&gt;"",$E29,$D29)</f>
        <v/>
      </c>
      <c r="G29" s="4" t="inlineStr">
        <is>
          <t>600031.SS</t>
        </is>
      </c>
      <c r="H29" s="54">
        <f>BDP("600031 CH Equity","PX_LAST")</f>
        <v/>
      </c>
      <c r="I29" s="55" t="n"/>
      <c r="J29" s="54">
        <f>IF($I29&lt;&gt;"",$I29,$H29)</f>
        <v/>
      </c>
      <c r="K29" s="22">
        <f>IF(OR($F29="",$J29="",$D$4=""),"",$F29/($J29*$D$4)-1)</f>
        <v/>
      </c>
      <c r="L29" s="56" t="n">
        <v>-0.1595</v>
      </c>
      <c r="M29" s="2" t="inlineStr">
        <is>
          <t>Oct 2025, ~US$1.72bn</t>
        </is>
      </c>
    </row>
    <row r="30">
      <c r="A30" s="53" t="inlineStr">
        <is>
          <t>6166</t>
        </is>
      </c>
      <c r="B30" s="4" t="inlineStr">
        <is>
          <t>CIG</t>
        </is>
      </c>
      <c r="C30" s="4" t="inlineStr">
        <is>
          <t>Smart hardware / consumer electronics</t>
        </is>
      </c>
      <c r="D30" s="54">
        <f>BDP("6166 HK Equity","PX_LAST")</f>
        <v/>
      </c>
      <c r="E30" s="55" t="n"/>
      <c r="F30" s="54">
        <f>IF($E30&lt;&gt;"",$E30,$D30)</f>
        <v/>
      </c>
      <c r="G30" s="4" t="inlineStr">
        <is>
          <t>603083.SS</t>
        </is>
      </c>
      <c r="H30" s="54">
        <f>BDP("603083 CH Equity","PX_LAST")</f>
        <v/>
      </c>
      <c r="I30" s="55" t="n"/>
      <c r="J30" s="54">
        <f>IF($I30&lt;&gt;"",$I30,$H30)</f>
        <v/>
      </c>
      <c r="K30" s="22">
        <f>IF(OR($F30="",$J30="",$D$4=""),"",$F30/($J30*$D$4)-1)</f>
        <v/>
      </c>
      <c r="L30" s="56" t="n">
        <v>-0.5368000000000001</v>
      </c>
      <c r="M30" s="2" t="inlineStr">
        <is>
          <t>Oct 2025 H listing (telecom/AI networking hardware)</t>
        </is>
      </c>
    </row>
    <row r="31">
      <c r="A31" s="53" t="inlineStr">
        <is>
          <t>9927</t>
        </is>
      </c>
      <c r="B31" s="4" t="inlineStr">
        <is>
          <t>SERES</t>
        </is>
      </c>
      <c r="C31" s="4" t="inlineStr">
        <is>
          <t>Autos (NEV OEM)</t>
        </is>
      </c>
      <c r="D31" s="54">
        <f>BDP("9927 HK Equity","PX_LAST")</f>
        <v/>
      </c>
      <c r="E31" s="55" t="n"/>
      <c r="F31" s="54">
        <f>IF($E31&lt;&gt;"",$E31,$D31)</f>
        <v/>
      </c>
      <c r="G31" s="4" t="inlineStr">
        <is>
          <t>601127.SS</t>
        </is>
      </c>
      <c r="H31" s="54">
        <f>BDP("601127 CH Equity","PX_LAST")</f>
        <v/>
      </c>
      <c r="I31" s="55" t="n"/>
      <c r="J31" s="54">
        <f>IF($I31&lt;&gt;"",$I31,$H31)</f>
        <v/>
      </c>
      <c r="K31" s="22">
        <f>IF(OR($F31="",$J31="",$D$4=""),"",$F31/($J31*$D$4)-1)</f>
        <v/>
      </c>
      <c r="L31" s="56" t="n">
        <v>-0.3297</v>
      </c>
      <c r="M31" s="2" t="inlineStr">
        <is>
          <t>Nov 2025, HK$14.28bn (~US$1.8bn) — 3rd-largest HK IPO of 2025; flat debut</t>
        </is>
      </c>
    </row>
    <row r="32">
      <c r="A32" s="53" t="inlineStr">
        <is>
          <t>0699</t>
        </is>
      </c>
      <c r="B32" s="4" t="inlineStr">
        <is>
          <t>JOYSON ELEC</t>
        </is>
      </c>
      <c r="C32" s="4" t="inlineStr">
        <is>
          <t>Auto parts / supply chain</t>
        </is>
      </c>
      <c r="D32" s="54">
        <f>BDP("699 HK Equity","PX_LAST")</f>
        <v/>
      </c>
      <c r="E32" s="55" t="n"/>
      <c r="F32" s="54">
        <f>IF($E32&lt;&gt;"",$E32,$D32)</f>
        <v/>
      </c>
      <c r="G32" s="4" t="inlineStr">
        <is>
          <t>600699.SS</t>
        </is>
      </c>
      <c r="H32" s="54">
        <f>BDP("600699 CH Equity","PX_LAST")</f>
        <v/>
      </c>
      <c r="I32" s="55" t="n"/>
      <c r="J32" s="54">
        <f>IF($I32&lt;&gt;"",$I32,$H32)</f>
        <v/>
      </c>
      <c r="K32" s="22">
        <f>IF(OR($F32="",$J32="",$D$4=""),"",$F32/($J32*$D$4)-1)</f>
        <v/>
      </c>
      <c r="L32" s="56" t="n">
        <v>-0.4566</v>
      </c>
      <c r="M32" s="2" t="inlineStr">
        <is>
          <t>Nov 2025 H listing (auto electronics/safety)</t>
        </is>
      </c>
    </row>
    <row r="33">
      <c r="A33" s="53" t="inlineStr">
        <is>
          <t>2579</t>
        </is>
      </c>
      <c r="B33" s="4" t="inlineStr">
        <is>
          <t>CNGR</t>
        </is>
      </c>
      <c r="C33" s="4" t="inlineStr">
        <is>
          <t>Batteries / energy storage</t>
        </is>
      </c>
      <c r="D33" s="54">
        <f>BDP("2579 HK Equity","PX_LAST")</f>
        <v/>
      </c>
      <c r="E33" s="55" t="n"/>
      <c r="F33" s="54">
        <f>IF($E33&lt;&gt;"",$E33,$D33)</f>
        <v/>
      </c>
      <c r="G33" s="4" t="inlineStr">
        <is>
          <t>300919.SZ</t>
        </is>
      </c>
      <c r="H33" s="54">
        <f>BDP("300919 CH Equity","PX_LAST")</f>
        <v/>
      </c>
      <c r="I33" s="55" t="n"/>
      <c r="J33" s="54">
        <f>IF($I33&lt;&gt;"",$I33,$H33)</f>
        <v/>
      </c>
      <c r="K33" s="22">
        <f>IF(OR($F33="",$J33="",$D$4=""),"",$F33/($J33*$D$4)-1)</f>
        <v/>
      </c>
      <c r="L33" s="56" t="n">
        <v>-0.4726</v>
      </c>
      <c r="M33" s="2" t="inlineStr">
        <is>
          <t>Nov 2025 H listing (battery precursor materials)</t>
        </is>
      </c>
    </row>
    <row r="34">
      <c r="A34" s="53" t="inlineStr">
        <is>
          <t>2676</t>
        </is>
      </c>
      <c r="B34" s="4" t="inlineStr">
        <is>
          <t>NOVOSENSE</t>
        </is>
      </c>
      <c r="C34" s="4" t="inlineStr">
        <is>
          <t>AI chips &amp; semis</t>
        </is>
      </c>
      <c r="D34" s="54">
        <f>BDP("2676 HK Equity","PX_LAST")</f>
        <v/>
      </c>
      <c r="E34" s="55" t="n"/>
      <c r="F34" s="54">
        <f>IF($E34&lt;&gt;"",$E34,$D34)</f>
        <v/>
      </c>
      <c r="G34" s="4" t="inlineStr">
        <is>
          <t>688052.SS</t>
        </is>
      </c>
      <c r="H34" s="54">
        <f>BDP("688052 CH Equity","PX_LAST")</f>
        <v/>
      </c>
      <c r="I34" s="55" t="n"/>
      <c r="J34" s="54">
        <f>IF($I34&lt;&gt;"",$I34,$H34)</f>
        <v/>
      </c>
      <c r="K34" s="22">
        <f>IF(OR($F34="",$J34="",$D$4=""),"",$F34/($J34*$D$4)-1)</f>
        <v/>
      </c>
      <c r="L34" s="56" t="n">
        <v>-0.4025</v>
      </c>
      <c r="M34" s="2" t="inlineStr">
        <is>
          <t>Dec 2025 H listing (analog/mixed-signal chips)</t>
        </is>
      </c>
    </row>
    <row r="35">
      <c r="A35" s="53" t="inlineStr">
        <is>
          <t>2691</t>
        </is>
      </c>
      <c r="B35" s="4" t="inlineStr">
        <is>
          <t>NANHUA FUTURES</t>
        </is>
      </c>
      <c r="C35" s="4" t="inlineStr">
        <is>
          <t>Brokers / asset management</t>
        </is>
      </c>
      <c r="D35" s="54">
        <f>BDP("2691 HK Equity","PX_LAST")</f>
        <v/>
      </c>
      <c r="E35" s="55" t="n"/>
      <c r="F35" s="54">
        <f>IF($E35&lt;&gt;"",$E35,$D35)</f>
        <v/>
      </c>
      <c r="G35" s="4" t="inlineStr">
        <is>
          <t>603093.SS</t>
        </is>
      </c>
      <c r="H35" s="54">
        <f>BDP("603093 CH Equity","PX_LAST")</f>
        <v/>
      </c>
      <c r="I35" s="55" t="n"/>
      <c r="J35" s="54">
        <f>IF($I35&lt;&gt;"",$I35,$H35)</f>
        <v/>
      </c>
      <c r="K35" s="22">
        <f>IF(OR($F35="",$J35="",$D$4=""),"",$F35/($J35*$D$4)-1)</f>
        <v/>
      </c>
      <c r="L35" s="56" t="n">
        <v>-0.5396</v>
      </c>
      <c r="M35" s="2" t="inlineStr">
        <is>
          <t>Dec 2025 H listing (futures broker)</t>
        </is>
      </c>
    </row>
    <row r="36">
      <c r="A36" s="53" t="inlineStr">
        <is>
          <t>0501</t>
        </is>
      </c>
      <c r="B36" s="4" t="inlineStr">
        <is>
          <t>OMNIVISION</t>
        </is>
      </c>
      <c r="C36" s="4" t="inlineStr">
        <is>
          <t>AI chips &amp; semis</t>
        </is>
      </c>
      <c r="D36" s="54">
        <f>BDP("501 HK Equity","PX_LAST")</f>
        <v/>
      </c>
      <c r="E36" s="55" t="n"/>
      <c r="F36" s="54">
        <f>IF($E36&lt;&gt;"",$E36,$D36)</f>
        <v/>
      </c>
      <c r="G36" s="4" t="inlineStr">
        <is>
          <t>603501.SS</t>
        </is>
      </c>
      <c r="H36" s="54">
        <f>BDP("603501 CH Equity","PX_LAST")</f>
        <v/>
      </c>
      <c r="I36" s="55" t="n"/>
      <c r="J36" s="54">
        <f>IF($I36&lt;&gt;"",$I36,$H36)</f>
        <v/>
      </c>
      <c r="K36" s="22">
        <f>IF(OR($F36="",$J36="",$D$4=""),"",$F36/($J36*$D$4)-1)</f>
        <v/>
      </c>
      <c r="L36" s="56" t="n">
        <v>-0.2679</v>
      </c>
      <c r="M36" s="2" t="inlineStr">
        <is>
          <t>Jan 2026, US$616m offering; rose on debut</t>
        </is>
      </c>
    </row>
    <row r="37">
      <c r="A37" s="53" t="inlineStr">
        <is>
          <t>3986</t>
        </is>
      </c>
      <c r="B37" s="4" t="inlineStr">
        <is>
          <t>GIGADEVICE</t>
        </is>
      </c>
      <c r="C37" s="4" t="inlineStr">
        <is>
          <t>AI chips &amp; semis</t>
        </is>
      </c>
      <c r="D37" s="54">
        <f>BDP("3986 HK Equity","PX_LAST")</f>
        <v/>
      </c>
      <c r="E37" s="55" t="n"/>
      <c r="F37" s="54">
        <f>IF($E37&lt;&gt;"",$E37,$D37)</f>
        <v/>
      </c>
      <c r="G37" s="4" t="inlineStr">
        <is>
          <t>603986.SS</t>
        </is>
      </c>
      <c r="H37" s="54">
        <f>BDP("603986 CH Equity","PX_LAST")</f>
        <v/>
      </c>
      <c r="I37" s="55" t="n"/>
      <c r="J37" s="54">
        <f>IF($I37&lt;&gt;"",$I37,$H37)</f>
        <v/>
      </c>
      <c r="K37" s="22">
        <f>IF(OR($F37="",$J37="",$D$4=""),"",$F37/($J37*$D$4)-1)</f>
        <v/>
      </c>
      <c r="L37" s="56" t="n">
        <v>0.0518</v>
      </c>
      <c r="M37" s="2" t="inlineStr">
        <is>
          <t>Jan 2026, ~US$600m at top of range; closed +37.5% on debut</t>
        </is>
      </c>
    </row>
    <row r="38">
      <c r="A38" s="53" t="inlineStr">
        <is>
          <t>9611</t>
        </is>
      </c>
      <c r="B38" s="4" t="inlineStr">
        <is>
          <t>LONGCHEER</t>
        </is>
      </c>
      <c r="C38" s="4" t="inlineStr">
        <is>
          <t>Smart hardware / consumer electronics</t>
        </is>
      </c>
      <c r="D38" s="54">
        <f>BDP("9611 HK Equity","PX_LAST")</f>
        <v/>
      </c>
      <c r="E38" s="55" t="n"/>
      <c r="F38" s="54">
        <f>IF($E38&lt;&gt;"",$E38,$D38)</f>
        <v/>
      </c>
      <c r="G38" s="4" t="inlineStr">
        <is>
          <t>603341.SS</t>
        </is>
      </c>
      <c r="H38" s="54">
        <f>BDP("603341 CH Equity","PX_LAST")</f>
        <v/>
      </c>
      <c r="I38" s="55" t="n"/>
      <c r="J38" s="54">
        <f>IF($I38&lt;&gt;"",$I38,$H38)</f>
        <v/>
      </c>
      <c r="K38" s="22">
        <f>IF(OR($F38="",$J38="",$D$4=""),"",$F38/($J38*$D$4)-1)</f>
        <v/>
      </c>
      <c r="L38" s="56" t="n">
        <v>-0.5021</v>
      </c>
      <c r="M38" s="2" t="inlineStr">
        <is>
          <t>Jan 2026 H listing (smart-device ODM)</t>
        </is>
      </c>
    </row>
    <row r="39">
      <c r="A39" s="53" t="inlineStr">
        <is>
          <t>9980</t>
        </is>
      </c>
      <c r="B39" s="4" t="inlineStr">
        <is>
          <t>EASTROC</t>
        </is>
      </c>
      <c r="C39" s="4" t="inlineStr">
        <is>
          <t>Beverages / packaged food</t>
        </is>
      </c>
      <c r="D39" s="54">
        <f>BDP("9980 HK Equity","PX_LAST")</f>
        <v/>
      </c>
      <c r="E39" s="55" t="n"/>
      <c r="F39" s="54">
        <f>IF($E39&lt;&gt;"",$E39,$D39)</f>
        <v/>
      </c>
      <c r="G39" s="4" t="inlineStr">
        <is>
          <t>605499.SS</t>
        </is>
      </c>
      <c r="H39" s="54">
        <f>BDP("605499 CH Equity","PX_LAST")</f>
        <v/>
      </c>
      <c r="I39" s="55" t="n"/>
      <c r="J39" s="54">
        <f>IF($I39&lt;&gt;"",$I39,$H39)</f>
        <v/>
      </c>
      <c r="K39" s="22">
        <f>IF(OR($F39="",$J39="",$D$4=""),"",$F39/($J39*$D$4)-1)</f>
        <v/>
      </c>
      <c r="L39" s="56" t="n">
        <v>-0.1807</v>
      </c>
      <c r="M39" s="2" t="inlineStr">
        <is>
          <t>Feb 2026, ~HK$10.1bn at HK$248/sh — largest HK IPO of early 2026</t>
        </is>
      </c>
    </row>
    <row r="40">
      <c r="A40" s="53" t="inlineStr">
        <is>
          <t>2768</t>
        </is>
      </c>
      <c r="B40" s="4" t="inlineStr">
        <is>
          <t>GON TECHNOLOGY</t>
        </is>
      </c>
      <c r="C40" s="4" t="inlineStr">
        <is>
          <t>Smart hardware / consumer electronics</t>
        </is>
      </c>
      <c r="D40" s="54">
        <f>BDP("2768 HK Equity","PX_LAST")</f>
        <v/>
      </c>
      <c r="E40" s="55" t="n"/>
      <c r="F40" s="54">
        <f>IF($E40&lt;&gt;"",$E40,$D40)</f>
        <v/>
      </c>
      <c r="G40" s="4" t="inlineStr">
        <is>
          <t>002768.SZ</t>
        </is>
      </c>
      <c r="H40" s="54">
        <f>BDP("002768 CH Equity","PX_LAST")</f>
        <v/>
      </c>
      <c r="I40" s="55" t="n"/>
      <c r="J40" s="54">
        <f>IF($I40&lt;&gt;"",$I40,$H40)</f>
        <v/>
      </c>
      <c r="K40" s="22">
        <f>IF(OR($F40="",$J40="",$D$4=""),"",$F40/($J40*$D$4)-1)</f>
        <v/>
      </c>
      <c r="L40" s="56" t="n">
        <v>-0.443</v>
      </c>
      <c r="M40" s="2" t="inlineStr">
        <is>
          <t>Feb 2026 H listing (polymer materials)</t>
        </is>
      </c>
    </row>
    <row r="41">
      <c r="A41" s="53" t="inlineStr">
        <is>
          <t>3200</t>
        </is>
      </c>
      <c r="B41" s="4" t="inlineStr">
        <is>
          <t>HANS CNC</t>
        </is>
      </c>
      <c r="C41" s="4" t="inlineStr">
        <is>
          <t>Capital goods / machinery</t>
        </is>
      </c>
      <c r="D41" s="54">
        <f>BDP("3200 HK Equity","PX_LAST")</f>
        <v/>
      </c>
      <c r="E41" s="55" t="n"/>
      <c r="F41" s="54">
        <f>IF($E41&lt;&gt;"",$E41,$D41)</f>
        <v/>
      </c>
      <c r="G41" s="4" t="inlineStr">
        <is>
          <t>301200.SZ</t>
        </is>
      </c>
      <c r="H41" s="54">
        <f>BDP("301200 CH Equity","PX_LAST")</f>
        <v/>
      </c>
      <c r="I41" s="55" t="n"/>
      <c r="J41" s="54">
        <f>IF($I41&lt;&gt;"",$I41,$H41)</f>
        <v/>
      </c>
      <c r="K41" s="22">
        <f>IF(OR($F41="",$J41="",$D$4=""),"",$F41/($J41*$D$4)-1)</f>
        <v/>
      </c>
      <c r="L41" s="56" t="n">
        <v>-0.6753</v>
      </c>
      <c r="M41" s="2" t="inlineStr">
        <is>
          <t>Feb 2026 H listing (PCB drilling equipment)</t>
        </is>
      </c>
    </row>
    <row r="42">
      <c r="A42" s="53" t="inlineStr">
        <is>
          <t>2714</t>
        </is>
      </c>
      <c r="B42" s="4" t="inlineStr">
        <is>
          <t>MUYUAN</t>
        </is>
      </c>
      <c r="C42" s="4" t="inlineStr">
        <is>
          <t>Beverages / packaged food</t>
        </is>
      </c>
      <c r="D42" s="54">
        <f>BDP("2714 HK Equity","PX_LAST")</f>
        <v/>
      </c>
      <c r="E42" s="55" t="n"/>
      <c r="F42" s="54">
        <f>IF($E42&lt;&gt;"",$E42,$D42)</f>
        <v/>
      </c>
      <c r="G42" s="4" t="inlineStr">
        <is>
          <t>002714.SZ</t>
        </is>
      </c>
      <c r="H42" s="54">
        <f>BDP("002714 CH Equity","PX_LAST")</f>
        <v/>
      </c>
      <c r="I42" s="55" t="n"/>
      <c r="J42" s="54">
        <f>IF($I42&lt;&gt;"",$I42,$H42)</f>
        <v/>
      </c>
      <c r="K42" s="22">
        <f>IF(OR($F42="",$J42="",$D$4=""),"",$F42/($J42*$D$4)-1)</f>
        <v/>
      </c>
      <c r="L42" s="56" t="n">
        <v>-0.2564</v>
      </c>
      <c r="M42" s="2" t="inlineStr">
        <is>
          <t>Feb 2026, net proceeds up to HK$12.0bn w/ greenshoe; subdued debut</t>
        </is>
      </c>
    </row>
    <row r="43">
      <c r="A43" s="53" t="inlineStr">
        <is>
          <t>6809</t>
        </is>
      </c>
      <c r="B43" s="4" t="inlineStr">
        <is>
          <t>MONTAGE TECH</t>
        </is>
      </c>
      <c r="C43" s="4" t="inlineStr">
        <is>
          <t>AI chips &amp; semis</t>
        </is>
      </c>
      <c r="D43" s="54">
        <f>BDP("6809 HK Equity","PX_LAST")</f>
        <v/>
      </c>
      <c r="E43" s="55" t="n"/>
      <c r="F43" s="54">
        <f>IF($E43&lt;&gt;"",$E43,$D43)</f>
        <v/>
      </c>
      <c r="G43" s="4" t="inlineStr">
        <is>
          <t>688008.SS</t>
        </is>
      </c>
      <c r="H43" s="54">
        <f>BDP("688008 CH Equity","PX_LAST")</f>
        <v/>
      </c>
      <c r="I43" s="55" t="n"/>
      <c r="J43" s="54">
        <f>IF($I43&lt;&gt;"",$I43,$H43)</f>
        <v/>
      </c>
      <c r="K43" s="22">
        <f>IF(OR($F43="",$J43="",$D$4=""),"",$F43/($J43*$D$4)-1)</f>
        <v/>
      </c>
      <c r="L43" s="56" t="n">
        <v>0.1508</v>
      </c>
      <c r="M43" s="2" t="inlineStr">
        <is>
          <t>Feb 2026 H listing (memory interface chips)</t>
        </is>
      </c>
    </row>
    <row r="44">
      <c r="A44" s="53" t="inlineStr">
        <is>
          <t>0470</t>
        </is>
      </c>
      <c r="B44" s="4" t="inlineStr">
        <is>
          <t>WUXI LEAD</t>
        </is>
      </c>
      <c r="C44" s="4" t="inlineStr">
        <is>
          <t>Capital goods / machinery</t>
        </is>
      </c>
      <c r="D44" s="54">
        <f>BDP("470 HK Equity","PX_LAST")</f>
        <v/>
      </c>
      <c r="E44" s="55" t="n"/>
      <c r="F44" s="54">
        <f>IF($E44&lt;&gt;"",$E44,$D44)</f>
        <v/>
      </c>
      <c r="G44" s="4" t="inlineStr">
        <is>
          <t>300450.SZ</t>
        </is>
      </c>
      <c r="H44" s="54">
        <f>BDP("300450 CH Equity","PX_LAST")</f>
        <v/>
      </c>
      <c r="I44" s="55" t="n"/>
      <c r="J44" s="54">
        <f>IF($I44&lt;&gt;"",$I44,$H44)</f>
        <v/>
      </c>
      <c r="K44" s="22">
        <f>IF(OR($F44="",$J44="",$D$4=""),"",$F44/($J44*$D$4)-1)</f>
        <v/>
      </c>
      <c r="L44" s="56" t="n">
        <v>-0.2128</v>
      </c>
      <c r="M44" s="2" t="inlineStr">
        <is>
          <t>Feb 2026 H listing (battery-making equipment)</t>
        </is>
      </c>
    </row>
    <row r="45">
      <c r="A45" s="53" t="inlineStr">
        <is>
          <t>9981</t>
        </is>
      </c>
      <c r="B45" s="4" t="inlineStr">
        <is>
          <t>WOER</t>
        </is>
      </c>
      <c r="C45" s="4" t="inlineStr">
        <is>
          <t>Chemicals</t>
        </is>
      </c>
      <c r="D45" s="54">
        <f>BDP("9981 HK Equity","PX_LAST")</f>
        <v/>
      </c>
      <c r="E45" s="55" t="n"/>
      <c r="F45" s="54">
        <f>IF($E45&lt;&gt;"",$E45,$D45)</f>
        <v/>
      </c>
      <c r="G45" s="4" t="inlineStr">
        <is>
          <t>002130.SZ</t>
        </is>
      </c>
      <c r="H45" s="54">
        <f>BDP("002130 CH Equity","PX_LAST")</f>
        <v/>
      </c>
      <c r="I45" s="55" t="n"/>
      <c r="J45" s="54">
        <f>IF($I45&lt;&gt;"",$I45,$H45)</f>
        <v/>
      </c>
      <c r="K45" s="22">
        <f>IF(OR($F45="",$J45="",$D$4=""),"",$F45/($J45*$D$4)-1)</f>
        <v/>
      </c>
      <c r="L45" s="56" t="n">
        <v>-0.4662</v>
      </c>
      <c r="M45" s="2" t="inlineStr">
        <is>
          <t>Feb 2026 H listing</t>
        </is>
      </c>
    </row>
    <row r="46">
      <c r="A46" s="53" t="inlineStr">
        <is>
          <t>2715</t>
        </is>
      </c>
      <c r="B46" s="4" t="inlineStr">
        <is>
          <t>ESTUN</t>
        </is>
      </c>
      <c r="C46" s="4" t="inlineStr">
        <is>
          <t>Robotics &amp; autonomous driving</t>
        </is>
      </c>
      <c r="D46" s="54">
        <f>BDP("2715 HK Equity","PX_LAST")</f>
        <v/>
      </c>
      <c r="E46" s="55" t="n"/>
      <c r="F46" s="54">
        <f>IF($E46&lt;&gt;"",$E46,$D46)</f>
        <v/>
      </c>
      <c r="G46" s="4" t="inlineStr">
        <is>
          <t>002747.SZ</t>
        </is>
      </c>
      <c r="H46" s="54">
        <f>BDP("002747 CH Equity","PX_LAST")</f>
        <v/>
      </c>
      <c r="I46" s="55" t="n"/>
      <c r="J46" s="54">
        <f>IF($I46&lt;&gt;"",$I46,$H46)</f>
        <v/>
      </c>
      <c r="K46" s="22">
        <f>IF(OR($F46="",$J46="",$D$4=""),"",$F46/($J46*$D$4)-1)</f>
        <v/>
      </c>
      <c r="L46" s="56" t="n">
        <v>-0.5494</v>
      </c>
      <c r="M46" s="2" t="inlineStr">
        <is>
          <t>Mar 2026 H listing (industrial robots)</t>
        </is>
      </c>
    </row>
    <row r="47">
      <c r="A47" s="53" t="inlineStr">
        <is>
          <t>2692</t>
        </is>
      </c>
      <c r="B47" s="4" t="inlineStr">
        <is>
          <t>ZHAOWEI</t>
        </is>
      </c>
      <c r="C47" s="4" t="inlineStr">
        <is>
          <t>Capital goods / machinery</t>
        </is>
      </c>
      <c r="D47" s="54">
        <f>BDP("2692 HK Equity","PX_LAST")</f>
        <v/>
      </c>
      <c r="E47" s="55" t="n"/>
      <c r="F47" s="54">
        <f>IF($E47&lt;&gt;"",$E47,$D47)</f>
        <v/>
      </c>
      <c r="G47" s="4" t="inlineStr">
        <is>
          <t>003021.SZ</t>
        </is>
      </c>
      <c r="H47" s="54">
        <f>BDP("003021 CH Equity","PX_LAST")</f>
        <v/>
      </c>
      <c r="I47" s="55" t="n"/>
      <c r="J47" s="54">
        <f>IF($I47&lt;&gt;"",$I47,$H47)</f>
        <v/>
      </c>
      <c r="K47" s="22">
        <f>IF(OR($F47="",$J47="",$D$4=""),"",$F47/($J47*$D$4)-1)</f>
        <v/>
      </c>
      <c r="L47" s="56" t="n">
        <v>-0.508</v>
      </c>
      <c r="M47" s="2" t="inlineStr">
        <is>
          <t>Mar 2026 H listing (micro drive systems/dexterous hands)</t>
        </is>
      </c>
    </row>
    <row r="48">
      <c r="A48" s="53" t="inlineStr">
        <is>
          <t>3268</t>
        </is>
      </c>
      <c r="B48" s="4" t="inlineStr">
        <is>
          <t>MEIG</t>
        </is>
      </c>
      <c r="C48" s="4" t="inlineStr">
        <is>
          <t>Smart hardware / consumer electronics</t>
        </is>
      </c>
      <c r="D48" s="54">
        <f>BDP("3268 HK Equity","PX_LAST")</f>
        <v/>
      </c>
      <c r="E48" s="55" t="n"/>
      <c r="F48" s="54">
        <f>IF($E48&lt;&gt;"",$E48,$D48)</f>
        <v/>
      </c>
      <c r="G48" s="4" t="inlineStr">
        <is>
          <t>002881.SZ</t>
        </is>
      </c>
      <c r="H48" s="54">
        <f>BDP("002881 CH Equity","PX_LAST")</f>
        <v/>
      </c>
      <c r="I48" s="55" t="n"/>
      <c r="J48" s="54">
        <f>IF($I48&lt;&gt;"",$I48,$H48)</f>
        <v/>
      </c>
      <c r="K48" s="22">
        <f>IF(OR($F48="",$J48="",$D$4=""),"",$F48/($J48*$D$4)-1)</f>
        <v/>
      </c>
      <c r="L48" s="56" t="n">
        <v>-0.6074000000000001</v>
      </c>
      <c r="M48" s="2" t="inlineStr">
        <is>
          <t>Mar 2026 H listing (IoT modules)</t>
        </is>
      </c>
    </row>
    <row r="49">
      <c r="A49" s="53" t="inlineStr">
        <is>
          <t>1989</t>
        </is>
      </c>
      <c r="B49" s="4" t="inlineStr">
        <is>
          <t>DELTON</t>
        </is>
      </c>
      <c r="C49" s="4" t="inlineStr">
        <is>
          <t>Smart hardware / consumer electronics</t>
        </is>
      </c>
      <c r="D49" s="54">
        <f>BDP("1989 HK Equity","PX_LAST")</f>
        <v/>
      </c>
      <c r="E49" s="55" t="n"/>
      <c r="F49" s="54">
        <f>IF($E49&lt;&gt;"",$E49,$D49)</f>
        <v/>
      </c>
      <c r="G49" s="4" t="inlineStr">
        <is>
          <t>001389.SZ</t>
        </is>
      </c>
      <c r="H49" s="54">
        <f>BDP("001389 CH Equity","PX_LAST")</f>
        <v/>
      </c>
      <c r="I49" s="55" t="n"/>
      <c r="J49" s="54">
        <f>IF($I49&lt;&gt;"",$I49,$H49)</f>
        <v/>
      </c>
      <c r="K49" s="22">
        <f>IF(OR($F49="",$J49="",$D$4=""),"",$F49/($J49*$D$4)-1)</f>
        <v/>
      </c>
      <c r="L49" s="56" t="n">
        <v>-0.2901</v>
      </c>
      <c r="M49" s="2" t="inlineStr">
        <is>
          <t>Mar 2026 H listing (PCB)</t>
        </is>
      </c>
    </row>
    <row r="50">
      <c r="A50" s="53" t="inlineStr">
        <is>
          <t>2701</t>
        </is>
      </c>
      <c r="B50" s="4" t="inlineStr">
        <is>
          <t>NSING TECH</t>
        </is>
      </c>
      <c r="C50" s="4" t="inlineStr">
        <is>
          <t>AI chips &amp; semis</t>
        </is>
      </c>
      <c r="D50" s="54">
        <f>BDP("2701 HK Equity","PX_LAST")</f>
        <v/>
      </c>
      <c r="E50" s="55" t="n"/>
      <c r="F50" s="54">
        <f>IF($E50&lt;&gt;"",$E50,$D50)</f>
        <v/>
      </c>
      <c r="G50" s="4" t="inlineStr">
        <is>
          <t>300077.SZ</t>
        </is>
      </c>
      <c r="H50" s="54">
        <f>BDP("300077 CH Equity","PX_LAST")</f>
        <v/>
      </c>
      <c r="I50" s="55" t="n"/>
      <c r="J50" s="54">
        <f>IF($I50&lt;&gt;"",$I50,$H50)</f>
        <v/>
      </c>
      <c r="K50" s="22">
        <f>IF(OR($F50="",$J50="",$D$4=""),"",$F50/($J50*$D$4)-1)</f>
        <v/>
      </c>
      <c r="L50" s="56" t="n">
        <v>-0.5963000000000001</v>
      </c>
      <c r="M50" s="2" t="inlineStr">
        <is>
          <t>Mar 2026 H listing (security/MCU chips)</t>
        </is>
      </c>
    </row>
    <row r="51">
      <c r="A51" s="53" t="inlineStr">
        <is>
          <t>2476</t>
        </is>
      </c>
      <c r="B51" s="4" t="inlineStr">
        <is>
          <t>VGT</t>
        </is>
      </c>
      <c r="C51" s="4" t="inlineStr">
        <is>
          <t>Smart hardware / consumer electronics</t>
        </is>
      </c>
      <c r="D51" s="54">
        <f>BDP("2476 HK Equity","PX_LAST")</f>
        <v/>
      </c>
      <c r="E51" s="55" t="n"/>
      <c r="F51" s="54">
        <f>IF($E51&lt;&gt;"",$E51,$D51)</f>
        <v/>
      </c>
      <c r="G51" s="4" t="inlineStr">
        <is>
          <t>300476.SZ</t>
        </is>
      </c>
      <c r="H51" s="54">
        <f>BDP("300476 CH Equity","PX_LAST")</f>
        <v/>
      </c>
      <c r="I51" s="55" t="n"/>
      <c r="J51" s="54">
        <f>IF($I51&lt;&gt;"",$I51,$H51)</f>
        <v/>
      </c>
      <c r="K51" s="22">
        <f>IF(OR($F51="",$J51="",$D$4=""),"",$F51/($J51*$D$4)-1)</f>
        <v/>
      </c>
      <c r="L51" s="56" t="n">
        <v>-0.2311</v>
      </c>
      <c r="M51" s="2" t="inlineStr">
        <is>
          <t>Apr 2026, HK$20.1bn (~US$2.57bn); +60% debut — Nvidia AI-PCB supplier</t>
        </is>
      </c>
    </row>
    <row r="52">
      <c r="A52" s="53" t="inlineStr">
        <is>
          <t>3296</t>
        </is>
      </c>
      <c r="B52" s="4" t="inlineStr">
        <is>
          <t>HUAQIN</t>
        </is>
      </c>
      <c r="C52" s="4" t="inlineStr">
        <is>
          <t>Smart hardware / consumer electronics</t>
        </is>
      </c>
      <c r="D52" s="54">
        <f>BDP("3296 HK Equity","PX_LAST")</f>
        <v/>
      </c>
      <c r="E52" s="55" t="n"/>
      <c r="F52" s="54">
        <f>IF($E52&lt;&gt;"",$E52,$D52)</f>
        <v/>
      </c>
      <c r="G52" s="4" t="inlineStr">
        <is>
          <t>603296.SS</t>
        </is>
      </c>
      <c r="H52" s="54">
        <f>BDP("603296 CH Equity","PX_LAST")</f>
        <v/>
      </c>
      <c r="I52" s="55" t="n"/>
      <c r="J52" s="54">
        <f>IF($I52&lt;&gt;"",$I52,$H52)</f>
        <v/>
      </c>
      <c r="K52" s="22">
        <f>IF(OR($F52="",$J52="",$D$4=""),"",$F52/($J52*$D$4)-1)</f>
        <v/>
      </c>
      <c r="L52" s="56" t="n">
        <v>-0.2428</v>
      </c>
      <c r="M52" s="2" t="inlineStr">
        <is>
          <t>Apr 2026 H listing (smart-hardware ODM)</t>
        </is>
      </c>
    </row>
    <row r="53">
      <c r="A53" s="53" t="inlineStr">
        <is>
          <t>2493</t>
        </is>
      </c>
      <c r="B53" s="4" t="inlineStr">
        <is>
          <t>MABWELL-B</t>
        </is>
      </c>
      <c r="C53" s="4" t="inlineStr">
        <is>
          <t>Biotech pre-revenue (18A)</t>
        </is>
      </c>
      <c r="D53" s="54">
        <f>BDP("2493 HK Equity","PX_LAST")</f>
        <v/>
      </c>
      <c r="E53" s="55" t="n"/>
      <c r="F53" s="54">
        <f>IF($E53&lt;&gt;"",$E53,$D53)</f>
        <v/>
      </c>
      <c r="G53" s="4" t="inlineStr">
        <is>
          <t>688062.SS</t>
        </is>
      </c>
      <c r="H53" s="54">
        <f>BDP("688062 CH Equity","PX_LAST")</f>
        <v/>
      </c>
      <c r="I53" s="55" t="n"/>
      <c r="J53" s="54">
        <f>IF($I53&lt;&gt;"",$I53,$H53)</f>
        <v/>
      </c>
      <c r="K53" s="22">
        <f>IF(OR($F53="",$J53="",$D$4=""),"",$F53/($J53*$D$4)-1)</f>
        <v/>
      </c>
      <c r="L53" s="56" t="n">
        <v>-0.4035</v>
      </c>
      <c r="M53" s="2" t="inlineStr">
        <is>
          <t>Apr 2026 H listing (ADC biotech); A+H on STAR</t>
        </is>
      </c>
    </row>
    <row r="54">
      <c r="A54" s="53" t="inlineStr">
        <is>
          <t>1187</t>
        </is>
      </c>
      <c r="B54" s="4" t="inlineStr">
        <is>
          <t>COFOE MEDICAL</t>
        </is>
      </c>
      <c r="C54" s="4" t="inlineStr">
        <is>
          <t>Medical devices</t>
        </is>
      </c>
      <c r="D54" s="54">
        <f>BDP("1187 HK Equity","PX_LAST")</f>
        <v/>
      </c>
      <c r="E54" s="55" t="n"/>
      <c r="F54" s="54">
        <f>IF($E54&lt;&gt;"",$E54,$D54)</f>
        <v/>
      </c>
      <c r="G54" s="4" t="inlineStr">
        <is>
          <t>301087.SZ</t>
        </is>
      </c>
      <c r="H54" s="54">
        <f>BDP("301087 CH Equity","PX_LAST")</f>
        <v/>
      </c>
      <c r="I54" s="55" t="n"/>
      <c r="J54" s="54">
        <f>IF($I54&lt;&gt;"",$I54,$H54)</f>
        <v/>
      </c>
      <c r="K54" s="22">
        <f>IF(OR($F54="",$J54="",$D$4=""),"",$F54/($J54*$D$4)-1)</f>
        <v/>
      </c>
      <c r="L54" s="56" t="n">
        <v>-0.4627</v>
      </c>
      <c r="M54" s="2" t="inlineStr">
        <is>
          <t>May 2026 H listing (home medical devices)</t>
        </is>
      </c>
    </row>
    <row r="55">
      <c r="A55" s="53" t="inlineStr">
        <is>
          <t>1081</t>
        </is>
      </c>
      <c r="B55" s="4" t="inlineStr">
        <is>
          <t>DAJIN</t>
        </is>
      </c>
      <c r="C55" s="4" t="inlineStr">
        <is>
          <t>Solar / wind supply chain</t>
        </is>
      </c>
      <c r="D55" s="54">
        <f>BDP("1081 HK Equity","PX_LAST")</f>
        <v/>
      </c>
      <c r="E55" s="55" t="n"/>
      <c r="F55" s="54">
        <f>IF($E55&lt;&gt;"",$E55,$D55)</f>
        <v/>
      </c>
      <c r="G55" s="4" t="inlineStr">
        <is>
          <t>002487.SZ</t>
        </is>
      </c>
      <c r="H55" s="54">
        <f>BDP("002487 CH Equity","PX_LAST")</f>
        <v/>
      </c>
      <c r="I55" s="55" t="n"/>
      <c r="J55" s="54">
        <f>IF($I55&lt;&gt;"",$I55,$H55)</f>
        <v/>
      </c>
      <c r="K55" s="22">
        <f>IF(OR($F55="",$J55="",$D$4=""),"",$F55/($J55*$D$4)-1)</f>
        <v/>
      </c>
      <c r="L55" s="56" t="n">
        <v>-0.2883</v>
      </c>
      <c r="M55" s="2" t="inlineStr">
        <is>
          <t>Jun 2026 H listing (offshore wind towers/monopiles)</t>
        </is>
      </c>
    </row>
    <row r="56">
      <c r="A56" s="53" t="inlineStr">
        <is>
          <t>6067</t>
        </is>
      </c>
      <c r="B56" s="4" t="inlineStr">
        <is>
          <t>SENIOR MATERIAL</t>
        </is>
      </c>
      <c r="C56" s="4" t="inlineStr">
        <is>
          <t>Batteries / energy storage</t>
        </is>
      </c>
      <c r="D56" s="54">
        <f>BDP("6067 HK Equity","PX_LAST")</f>
        <v/>
      </c>
      <c r="E56" s="55" t="n"/>
      <c r="F56" s="54">
        <f>IF($E56&lt;&gt;"",$E56,$D56)</f>
        <v/>
      </c>
      <c r="G56" s="4" t="inlineStr">
        <is>
          <t>300568.SZ</t>
        </is>
      </c>
      <c r="H56" s="54">
        <f>BDP("300568 CH Equity","PX_LAST")</f>
        <v/>
      </c>
      <c r="I56" s="55" t="n"/>
      <c r="J56" s="54">
        <f>IF($I56&lt;&gt;"",$I56,$H56)</f>
        <v/>
      </c>
      <c r="K56" s="22">
        <f>IF(OR($F56="",$J56="",$D$4=""),"",$F56/($J56*$D$4)-1)</f>
        <v/>
      </c>
      <c r="L56" s="56" t="n">
        <v>-0.531</v>
      </c>
      <c r="M56" s="2" t="inlineStr">
        <is>
          <t>Jun 2026 H listing (battery separators)</t>
        </is>
      </c>
    </row>
    <row r="57">
      <c r="A57" s="53" t="inlineStr">
        <is>
          <t>3661</t>
        </is>
      </c>
      <c r="B57" s="4" t="inlineStr">
        <is>
          <t>SG MICRO</t>
        </is>
      </c>
      <c r="C57" s="4" t="inlineStr">
        <is>
          <t>AI chips &amp; semis</t>
        </is>
      </c>
      <c r="D57" s="54">
        <f>BDP("3661 HK Equity","PX_LAST")</f>
        <v/>
      </c>
      <c r="E57" s="55" t="n"/>
      <c r="F57" s="54">
        <f>IF($E57&lt;&gt;"",$E57,$D57)</f>
        <v/>
      </c>
      <c r="G57" s="4" t="inlineStr">
        <is>
          <t>300661.SZ</t>
        </is>
      </c>
      <c r="H57" s="54">
        <f>BDP("300661 CH Equity","PX_LAST")</f>
        <v/>
      </c>
      <c r="I57" s="55" t="n"/>
      <c r="J57" s="54">
        <f>IF($I57&lt;&gt;"",$I57,$H57)</f>
        <v/>
      </c>
      <c r="K57" s="22">
        <f>IF(OR($F57="",$J57="",$D$4=""),"",$F57/($J57*$D$4)-1)</f>
        <v/>
      </c>
      <c r="L57" s="56" t="n">
        <v>-0.2769</v>
      </c>
      <c r="M57" s="2" t="inlineStr">
        <is>
          <t>Jun 2026 H listing (analog chips)</t>
        </is>
      </c>
    </row>
    <row r="58">
      <c r="A58" s="53" t="inlineStr">
        <is>
          <t>1688</t>
        </is>
      </c>
      <c r="B58" s="4" t="inlineStr">
        <is>
          <t>LINGYI ITECH</t>
        </is>
      </c>
      <c r="C58" s="4" t="inlineStr">
        <is>
          <t>Smart hardware / consumer electronics</t>
        </is>
      </c>
      <c r="D58" s="54">
        <f>BDP("1688 HK Equity","PX_LAST")</f>
        <v/>
      </c>
      <c r="E58" s="55" t="n"/>
      <c r="F58" s="54">
        <f>IF($E58&lt;&gt;"",$E58,$D58)</f>
        <v/>
      </c>
      <c r="G58" s="4" t="inlineStr">
        <is>
          <t>002600.SZ</t>
        </is>
      </c>
      <c r="H58" s="54">
        <f>BDP("002600 CH Equity","PX_LAST")</f>
        <v/>
      </c>
      <c r="I58" s="55" t="n"/>
      <c r="J58" s="54">
        <f>IF($I58&lt;&gt;"",$I58,$H58)</f>
        <v/>
      </c>
      <c r="K58" s="22">
        <f>IF(OR($F58="",$J58="",$D$4=""),"",$F58/($J58*$D$4)-1)</f>
        <v/>
      </c>
      <c r="L58" s="56" t="n">
        <v>-0.5659</v>
      </c>
      <c r="M58" s="2" t="inlineStr">
        <is>
          <t>Jun 2026 H listing (consumer-electronics precision parts)</t>
        </is>
      </c>
    </row>
    <row r="59">
      <c r="A59" s="53" t="inlineStr">
        <is>
          <t>9630</t>
        </is>
      </c>
      <c r="B59" s="4" t="inlineStr">
        <is>
          <t>CFMEE</t>
        </is>
      </c>
      <c r="C59" s="4" t="inlineStr">
        <is>
          <t>AI chips &amp; semis</t>
        </is>
      </c>
      <c r="D59" s="54">
        <f>BDP("9630 HK Equity","PX_LAST")</f>
        <v/>
      </c>
      <c r="E59" s="55" t="n"/>
      <c r="F59" s="54">
        <f>IF($E59&lt;&gt;"",$E59,$D59)</f>
        <v/>
      </c>
      <c r="G59" s="4" t="inlineStr">
        <is>
          <t>688630.SS</t>
        </is>
      </c>
      <c r="H59" s="54">
        <f>BDP("688630 CH Equity","PX_LAST")</f>
        <v/>
      </c>
      <c r="I59" s="55" t="n"/>
      <c r="J59" s="54">
        <f>IF($I59&lt;&gt;"",$I59,$H59)</f>
        <v/>
      </c>
      <c r="K59" s="22">
        <f>IF(OR($F59="",$J59="",$D$4=""),"",$F59/($J59*$D$4)-1)</f>
        <v/>
      </c>
      <c r="L59" s="56" t="n">
        <v>-0.3228</v>
      </c>
      <c r="M59" s="2" t="inlineStr">
        <is>
          <t>Jun 2026 H listing (direct-write lithography equipment)</t>
        </is>
      </c>
    </row>
    <row r="60">
      <c r="A60" s="53" t="inlineStr">
        <is>
          <t>0668</t>
        </is>
      </c>
      <c r="B60" s="4" t="inlineStr">
        <is>
          <t>ANKER</t>
        </is>
      </c>
      <c r="C60" s="4" t="inlineStr">
        <is>
          <t>Smart hardware / consumer electronics</t>
        </is>
      </c>
      <c r="D60" s="54">
        <f>BDP("668 HK Equity","PX_LAST")</f>
        <v/>
      </c>
      <c r="E60" s="55" t="n"/>
      <c r="F60" s="54">
        <f>IF($E60&lt;&gt;"",$E60,$D60)</f>
        <v/>
      </c>
      <c r="G60" s="4" t="inlineStr">
        <is>
          <t>300866.SZ</t>
        </is>
      </c>
      <c r="H60" s="54">
        <f>BDP("300866 CH Equity","PX_LAST")</f>
        <v/>
      </c>
      <c r="I60" s="55" t="n"/>
      <c r="J60" s="54">
        <f>IF($I60&lt;&gt;"",$I60,$H60)</f>
        <v/>
      </c>
      <c r="K60" s="22">
        <f>IF(OR($F60="",$J60="",$D$4=""),"",$F60/($J60*$D$4)-1)</f>
        <v/>
      </c>
      <c r="L60" s="56" t="n">
        <v>-0.1322</v>
      </c>
      <c r="M60" s="2" t="inlineStr">
        <is>
          <t>Jun 2026 H listing (consumer charging/power brands)</t>
        </is>
      </c>
    </row>
    <row r="61">
      <c r="A61" s="53" t="inlineStr">
        <is>
          <t>0537</t>
        </is>
      </c>
      <c r="B61" s="4" t="inlineStr">
        <is>
          <t>RIGOL</t>
        </is>
      </c>
      <c r="C61" s="4" t="inlineStr">
        <is>
          <t>Capital goods / machinery</t>
        </is>
      </c>
      <c r="D61" s="54">
        <f>BDP("537 HK Equity","PX_LAST")</f>
        <v/>
      </c>
      <c r="E61" s="55" t="n"/>
      <c r="F61" s="54">
        <f>IF($E61&lt;&gt;"",$E61,$D61)</f>
        <v/>
      </c>
      <c r="G61" s="4" t="inlineStr">
        <is>
          <t>688337.SS</t>
        </is>
      </c>
      <c r="H61" s="54">
        <f>BDP("688337 CH Equity","PX_LAST")</f>
        <v/>
      </c>
      <c r="I61" s="55" t="n"/>
      <c r="J61" s="54">
        <f>IF($I61&lt;&gt;"",$I61,$H61)</f>
        <v/>
      </c>
      <c r="K61" s="22">
        <f>IF(OR($F61="",$J61="",$D$4=""),"",$F61/($J61*$D$4)-1)</f>
        <v/>
      </c>
      <c r="L61" s="56" t="n">
        <v>-0.5108</v>
      </c>
      <c r="M61" s="2" t="inlineStr">
        <is>
          <t>Jul 2026 H listing (electronic test &amp; measurement)</t>
        </is>
      </c>
    </row>
    <row r="62">
      <c r="A62" s="53" t="inlineStr">
        <is>
          <t>2475</t>
        </is>
      </c>
      <c r="B62" s="4" t="inlineStr">
        <is>
          <t>LUXSHARE ICT</t>
        </is>
      </c>
      <c r="C62" s="4" t="inlineStr">
        <is>
          <t>Smart hardware / consumer electronics</t>
        </is>
      </c>
      <c r="D62" s="54">
        <f>BDP("2475 HK Equity","PX_LAST")</f>
        <v/>
      </c>
      <c r="E62" s="55" t="n"/>
      <c r="F62" s="54">
        <f>IF($E62&lt;&gt;"",$E62,$D62)</f>
        <v/>
      </c>
      <c r="G62" s="4" t="inlineStr">
        <is>
          <t>002475.SZ</t>
        </is>
      </c>
      <c r="H62" s="54">
        <f>BDP("002475 CH Equity","PX_LAST")</f>
        <v/>
      </c>
      <c r="I62" s="55" t="n"/>
      <c r="J62" s="54">
        <f>IF($I62&lt;&gt;"",$I62,$H62)</f>
        <v/>
      </c>
      <c r="K62" s="22">
        <f>IF(OR($F62="",$J62="",$D$4=""),"",$F62/($J62*$D$4)-1)</f>
        <v/>
      </c>
      <c r="L62" s="56" t="n">
        <v>-0.0827</v>
      </c>
      <c r="M62" s="2" t="inlineStr">
        <is>
          <t>Jul 2026, ~US$3.1bn — largest HK IPO of 2026 until Innolight</t>
        </is>
      </c>
    </row>
    <row r="63">
      <c r="A63" s="53" t="inlineStr">
        <is>
          <t>6951</t>
        </is>
      </c>
      <c r="B63" s="4" t="inlineStr">
        <is>
          <t>CCTC</t>
        </is>
      </c>
      <c r="C63" s="4" t="inlineStr">
        <is>
          <t>Smart hardware / consumer electronics</t>
        </is>
      </c>
      <c r="D63" s="54">
        <f>BDP("6951 HK Equity","PX_LAST")</f>
        <v/>
      </c>
      <c r="E63" s="55" t="n"/>
      <c r="F63" s="54">
        <f>IF($E63&lt;&gt;"",$E63,$D63)</f>
        <v/>
      </c>
      <c r="G63" s="4" t="inlineStr">
        <is>
          <t>300408.SZ</t>
        </is>
      </c>
      <c r="H63" s="54">
        <f>BDP("300408 CH Equity","PX_LAST")</f>
        <v/>
      </c>
      <c r="I63" s="55" t="n"/>
      <c r="J63" s="54">
        <f>IF($I63&lt;&gt;"",$I63,$H63)</f>
        <v/>
      </c>
      <c r="K63" s="22">
        <f>IF(OR($F63="",$J63="",$D$4=""),"",$F63/($J63*$D$4)-1)</f>
        <v/>
      </c>
      <c r="L63" s="56" t="n">
        <v>-0.1386</v>
      </c>
      <c r="M63" s="2" t="inlineStr">
        <is>
          <t>Jul 2026 H listing (ceramic components; targeted ~US$1bn)</t>
        </is>
      </c>
    </row>
    <row r="64">
      <c r="A64" s="53" t="inlineStr">
        <is>
          <t>1377</t>
        </is>
      </c>
      <c r="B64" s="4" t="inlineStr">
        <is>
          <t>DTECH</t>
        </is>
      </c>
      <c r="C64" s="4" t="inlineStr">
        <is>
          <t>Smart hardware / consumer electronics</t>
        </is>
      </c>
      <c r="D64" s="54">
        <f>BDP("1377 HK Equity","PX_LAST")</f>
        <v/>
      </c>
      <c r="E64" s="55" t="n"/>
      <c r="F64" s="54">
        <f>IF($E64&lt;&gt;"",$E64,$D64)</f>
        <v/>
      </c>
      <c r="G64" s="4" t="inlineStr">
        <is>
          <t>301377.SZ</t>
        </is>
      </c>
      <c r="H64" s="54">
        <f>BDP("301377 CH Equity","PX_LAST")</f>
        <v/>
      </c>
      <c r="I64" s="55" t="n"/>
      <c r="J64" s="54">
        <f>IF($I64&lt;&gt;"",$I64,$H64)</f>
        <v/>
      </c>
      <c r="K64" s="22">
        <f>IF(OR($F64="",$J64="",$D$4=""),"",$F64/($J64*$D$4)-1)</f>
        <v/>
      </c>
      <c r="L64" s="56" t="n">
        <v>-0.2946</v>
      </c>
      <c r="M64" s="2" t="inlineStr">
        <is>
          <t>Jul 2026 H listing (PCB drilling tools)</t>
        </is>
      </c>
    </row>
    <row r="65">
      <c r="A65" s="53" t="inlineStr">
        <is>
          <t>6745</t>
        </is>
      </c>
      <c r="B65" s="4" t="inlineStr">
        <is>
          <t>BEFAR GROUP</t>
        </is>
      </c>
      <c r="C65" s="4" t="inlineStr">
        <is>
          <t>Chemicals</t>
        </is>
      </c>
      <c r="D65" s="54">
        <f>BDP("6745 HK Equity","PX_LAST")</f>
        <v/>
      </c>
      <c r="E65" s="55" t="n"/>
      <c r="F65" s="54">
        <f>IF($E65&lt;&gt;"",$E65,$D65)</f>
        <v/>
      </c>
      <c r="G65" s="4" t="inlineStr">
        <is>
          <t>601678.SS</t>
        </is>
      </c>
      <c r="H65" s="54">
        <f>BDP("601678 CH Equity","PX_LAST")</f>
        <v/>
      </c>
      <c r="I65" s="55" t="n"/>
      <c r="J65" s="54">
        <f>IF($I65&lt;&gt;"",$I65,$H65)</f>
        <v/>
      </c>
      <c r="K65" s="22">
        <f>IF(OR($F65="",$J65="",$D$4=""),"",$F65/($J65*$D$4)-1)</f>
        <v/>
      </c>
      <c r="L65" s="56" t="n">
        <v>-0.6196</v>
      </c>
      <c r="M65" s="2" t="inlineStr">
        <is>
          <t>Jul 2026 H listing (chlor-alkali/chemicals)</t>
        </is>
      </c>
    </row>
    <row r="66">
      <c r="A66" s="53" t="inlineStr">
        <is>
          <t>2249</t>
        </is>
      </c>
      <c r="B66" s="4" t="inlineStr">
        <is>
          <t>NEXCHIP</t>
        </is>
      </c>
      <c r="C66" s="4" t="inlineStr">
        <is>
          <t>AI chips &amp; semis</t>
        </is>
      </c>
      <c r="D66" s="54">
        <f>BDP("2249 HK Equity","PX_LAST")</f>
        <v/>
      </c>
      <c r="E66" s="55" t="n"/>
      <c r="F66" s="54">
        <f>IF($E66&lt;&gt;"",$E66,$D66)</f>
        <v/>
      </c>
      <c r="G66" s="4" t="inlineStr">
        <is>
          <t>688249.SS</t>
        </is>
      </c>
      <c r="H66" s="54">
        <f>BDP("688249 CH Equity","PX_LAST")</f>
        <v/>
      </c>
      <c r="I66" s="55" t="n"/>
      <c r="J66" s="54">
        <f>IF($I66&lt;&gt;"",$I66,$H66)</f>
        <v/>
      </c>
      <c r="K66" s="22">
        <f>IF(OR($F66="",$J66="",$D$4=""),"",$F66/($J66*$D$4)-1)</f>
        <v/>
      </c>
      <c r="L66" s="56" t="n">
        <v>-0.258</v>
      </c>
      <c r="M66" s="2" t="inlineStr">
        <is>
          <t>Jul 2026 H listing (foundry)</t>
        </is>
      </c>
    </row>
    <row r="67">
      <c r="A67" s="53" t="inlineStr">
        <is>
          <t>3308</t>
        </is>
      </c>
      <c r="B67" s="4" t="inlineStr">
        <is>
          <t>ZJ INNOLIGHT</t>
        </is>
      </c>
      <c r="C67" s="4" t="inlineStr">
        <is>
          <t>Smart hardware / consumer electronics</t>
        </is>
      </c>
      <c r="D67" s="54">
        <f>BDP("3308 HK Equity","PX_LAST")</f>
        <v/>
      </c>
      <c r="E67" s="55" t="n"/>
      <c r="F67" s="54">
        <f>IF($E67&lt;&gt;"",$E67,$D67)</f>
        <v/>
      </c>
      <c r="G67" s="4" t="inlineStr">
        <is>
          <t>300308.SZ</t>
        </is>
      </c>
      <c r="H67" s="54">
        <f>BDP("300308 CH Equity","PX_LAST")</f>
        <v/>
      </c>
      <c r="I67" s="55" t="n"/>
      <c r="J67" s="54">
        <f>IF($I67&lt;&gt;"",$I67,$H67)</f>
        <v/>
      </c>
      <c r="K67" s="22">
        <f>IF(OR($F67="",$J67="",$D$4=""),"",$F67/($J67*$D$4)-1)</f>
        <v/>
      </c>
      <c r="L67" s="56" t="n">
        <v>0.0698</v>
      </c>
      <c r="M67" s="2" t="inlineStr">
        <is>
          <t>Jul 2026 — Hong Kong's largest IPO in seven years (optical transceivers for AI datacenters)</t>
        </is>
      </c>
    </row>
    <row r="68"/>
    <row r="69"/>
    <row r="70">
      <c r="A70" s="3" t="inlineStr">
        <is>
          <t>NO A-SHARE LINE — closest pure-A proxies</t>
        </is>
      </c>
    </row>
    <row r="71">
      <c r="A71" s="7" t="inlineStr">
        <is>
          <t>H code</t>
        </is>
      </c>
      <c r="B71" s="7" t="inlineStr">
        <is>
          <t>Name</t>
        </is>
      </c>
      <c r="C71" s="7" t="inlineStr">
        <is>
          <t>Proxy A code</t>
        </is>
      </c>
      <c r="D71" s="7" t="inlineStr">
        <is>
          <t>Proxy name</t>
        </is>
      </c>
      <c r="E71" s="7" t="inlineStr">
        <is>
          <t>Rationale</t>
        </is>
      </c>
    </row>
    <row r="72">
      <c r="A72" s="53" t="inlineStr">
        <is>
          <t>1024</t>
        </is>
      </c>
      <c r="B72" s="4" t="inlineStr">
        <is>
          <t>KUAISHOU-W</t>
        </is>
      </c>
      <c r="C72" s="4" t="inlineStr">
        <is>
          <t>300413.SZ</t>
        </is>
      </c>
      <c r="D72" s="4" t="inlineStr">
        <is>
          <t>Mango Excellent Media</t>
        </is>
      </c>
      <c r="E72" s="2" t="inlineStr">
        <is>
          <t>A-shares have no short-video platform; Mango (Hunan TV streaming/content) is the standard A-share video-platform traffic-and-ads proxy.</t>
        </is>
      </c>
    </row>
    <row r="73">
      <c r="A73" s="53" t="inlineStr">
        <is>
          <t>0020</t>
        </is>
      </c>
      <c r="B73" s="4" t="inlineStr">
        <is>
          <t>SENSETIME-W</t>
        </is>
      </c>
      <c r="C73" s="4" t="inlineStr">
        <is>
          <t>688327.SS</t>
        </is>
      </c>
      <c r="D73" s="4" t="inlineStr">
        <is>
          <t>CloudWalk Technology</t>
        </is>
      </c>
      <c r="E73" s="2" t="inlineStr">
        <is>
          <t>Pure A-share computer-vision AI platform ('AI four dragons' peer) — the direct A analogue.</t>
        </is>
      </c>
    </row>
    <row r="74">
      <c r="A74" s="53" t="inlineStr">
        <is>
          <t>6682</t>
        </is>
      </c>
      <c r="B74" s="4" t="inlineStr">
        <is>
          <t>FOURTH PARADIGM</t>
        </is>
      </c>
      <c r="C74" s="4" t="inlineStr">
        <is>
          <t>600588.SS</t>
        </is>
      </c>
      <c r="D74" s="4" t="inlineStr">
        <is>
          <t>Yonyou Network</t>
        </is>
      </c>
      <c r="E74" s="2" t="inlineStr">
        <is>
          <t>Enterprise-software platform embedding AI into corporate decision/ERP workflows — closest A-share enterprise-AI software exposure.</t>
        </is>
      </c>
    </row>
    <row r="75">
      <c r="A75" s="53" t="inlineStr">
        <is>
          <t>6181</t>
        </is>
      </c>
      <c r="B75" s="4" t="inlineStr">
        <is>
          <t>LAOPU GOLD</t>
        </is>
      </c>
      <c r="C75" s="4" t="inlineStr">
        <is>
          <t>002345.SZ</t>
        </is>
      </c>
      <c r="D75" s="4" t="inlineStr">
        <is>
          <t>Chow Hong Ji (CHJ Jewellery)</t>
        </is>
      </c>
      <c r="E75" s="2" t="inlineStr">
        <is>
          <t>A-listed fashion/heritage gold jewellery brand with craftsmanship positioning — nearest to Laopu's ancient-gold premium retail model (large-cap alternative: Lao Feng Xiang 600612.SS).</t>
        </is>
      </c>
    </row>
    <row r="76">
      <c r="A76" s="53" t="inlineStr">
        <is>
          <t>9660</t>
        </is>
      </c>
      <c r="B76" s="4" t="inlineStr">
        <is>
          <t>HORIZONROBOT-W</t>
        </is>
      </c>
      <c r="C76" s="4" t="inlineStr">
        <is>
          <t>002920.SZ</t>
        </is>
      </c>
      <c r="D76" s="4" t="inlineStr">
        <is>
          <t>Desay SV Automotive</t>
        </is>
      </c>
      <c r="E76" s="2" t="inlineStr">
        <is>
          <t>Leading A-share intelligent-driving domain-controller/ADAS tier-1 — the closest pure-A exposure to the China ADAS adoption curve that Horizon's Journey SoCs ride.</t>
        </is>
      </c>
    </row>
    <row r="77">
      <c r="A77" s="53" t="inlineStr">
        <is>
          <t>0325</t>
        </is>
      </c>
      <c r="B77" s="4" t="inlineStr">
        <is>
          <t>BLOKS</t>
        </is>
      </c>
      <c r="C77" s="4" t="inlineStr">
        <is>
          <t>002292.SZ</t>
        </is>
      </c>
      <c r="D77" s="4" t="inlineStr">
        <is>
          <t>Alpha Group</t>
        </is>
      </c>
      <c r="E77" s="2" t="inlineStr">
        <is>
          <t>Pop Mart/Bloks-style IP toys have no A pure-play; Alpha is the A-share IP toy and animation-merchandise name.</t>
        </is>
      </c>
    </row>
    <row r="78">
      <c r="A78" s="53" t="inlineStr">
        <is>
          <t>2097</t>
        </is>
      </c>
      <c r="B78" s="4" t="inlineStr">
        <is>
          <t>MIXUE GROUP</t>
        </is>
      </c>
      <c r="C78" s="4" t="inlineStr">
        <is>
          <t>603711.SS</t>
        </is>
      </c>
      <c r="D78" s="4" t="inlineStr">
        <is>
          <t>Xiangpiaopiao Food</t>
        </is>
      </c>
      <c r="E78" s="2" t="inlineStr">
        <is>
          <t>No A-listed freshly-made-drinks chain exists; Xiangpiaopiao is the A-share mass-market tea-drink franchise/brand play closest to Mixue's price point.</t>
        </is>
      </c>
    </row>
    <row r="79">
      <c r="A79" s="53" t="inlineStr">
        <is>
          <t>9678</t>
        </is>
      </c>
      <c r="B79" s="4" t="inlineStr">
        <is>
          <t>UNISOUND</t>
        </is>
      </c>
      <c r="C79" s="4" t="inlineStr">
        <is>
          <t>002230.SZ</t>
        </is>
      </c>
      <c r="D79" s="4" t="inlineStr">
        <is>
          <t>iFlytek</t>
        </is>
      </c>
      <c r="E79" s="2" t="inlineStr">
        <is>
          <t>Direct A-share competitor in voice AI and speech-centric LLMs (Spark model).</t>
        </is>
      </c>
    </row>
    <row r="80">
      <c r="A80" s="53" t="inlineStr">
        <is>
          <t>6082</t>
        </is>
      </c>
      <c r="B80" s="4" t="inlineStr">
        <is>
          <t>BIREN TECH</t>
        </is>
      </c>
      <c r="C80" s="4" t="inlineStr">
        <is>
          <t>688256.SS</t>
        </is>
      </c>
      <c r="D80" s="4" t="inlineStr">
        <is>
          <t>Cambricon Technologies</t>
        </is>
      </c>
      <c r="E80" s="2" t="inlineStr">
        <is>
          <t>The A-share domestic AI-compute (GPGPU/accelerator) pure-play — closest proxy for Biren's training-GPU story.</t>
        </is>
      </c>
    </row>
    <row r="81">
      <c r="A81" s="53" t="inlineStr">
        <is>
          <t>9903</t>
        </is>
      </c>
      <c r="B81" s="4" t="inlineStr">
        <is>
          <t>ILUVATAR COREX</t>
        </is>
      </c>
      <c r="C81" s="4" t="inlineStr">
        <is>
          <t>688256.SS</t>
        </is>
      </c>
      <c r="D81" s="4" t="inlineStr">
        <is>
          <t>Cambricon Technologies</t>
        </is>
      </c>
      <c r="E81" s="2" t="inlineStr">
        <is>
          <t>Same domestic AI-accelerator substitution theme; Cambricon is the only liquid A pure-play.</t>
        </is>
      </c>
    </row>
    <row r="82">
      <c r="A82" s="53" t="inlineStr">
        <is>
          <t>0100</t>
        </is>
      </c>
      <c r="B82" s="4" t="inlineStr">
        <is>
          <t>MINIMAX-WP</t>
        </is>
      </c>
      <c r="C82" s="4" t="inlineStr">
        <is>
          <t>300418.SZ</t>
        </is>
      </c>
      <c r="D82" s="4" t="inlineStr">
        <is>
          <t>Kunlun Tech</t>
        </is>
      </c>
      <c r="E82" s="2" t="inlineStr">
        <is>
          <t>Owns the in-house Skywork/Tiangong LLM family — the nearest A-share to a pure LLM-developer exposure.</t>
        </is>
      </c>
    </row>
    <row r="83">
      <c r="A83" s="53" t="inlineStr">
        <is>
          <t>0600</t>
        </is>
      </c>
      <c r="B83" s="4" t="inlineStr">
        <is>
          <t>AXERA</t>
        </is>
      </c>
      <c r="C83" s="4" t="inlineStr">
        <is>
          <t>603893.SS</t>
        </is>
      </c>
      <c r="D83" s="4" t="inlineStr">
        <is>
          <t>Rockchip Electronics</t>
        </is>
      </c>
      <c r="E83" s="2" t="inlineStr">
        <is>
          <t>A-share edge-AI SoC designer — nearest listed comp to Axera's smart-vision/edge inference chips.</t>
        </is>
      </c>
    </row>
    <row r="84">
      <c r="A84" s="53" t="inlineStr">
        <is>
          <t>1956</t>
        </is>
      </c>
      <c r="B84" s="4" t="inlineStr">
        <is>
          <t>WENGE AI</t>
        </is>
      </c>
      <c r="C84" s="4" t="inlineStr">
        <is>
          <t>300229.SZ</t>
        </is>
      </c>
      <c r="D84" s="4" t="inlineStr">
        <is>
          <t>TRS Information Technology</t>
        </is>
      </c>
      <c r="E84" s="2" t="inlineStr">
        <is>
          <t>A-share NLP/big-data software house serving media and government analytics — same niche as Wenge's decision-intelligence LLM stack.</t>
        </is>
      </c>
    </row>
  </sheetData>
  <conditionalFormatting sqref="K7:K67">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16"/>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s>
  <sheetData>
    <row r="1">
      <c r="A1" s="1" t="inlineStr">
        <is>
          <t>DAY-1 ANALOGS — what deals like this actually did</t>
        </is>
      </c>
    </row>
    <row r="2">
      <c r="A2" s="2" t="inlineStr">
        <is>
          <t>built from 511 deals with a listing-day price, 2021, 2022, 2023, 2024, 2025, 2026. 'Hit-rate' = % that closed above the offer price. Read n before trusting a cell.</t>
        </is>
      </c>
    </row>
    <row r="3"/>
    <row r="4">
      <c r="A4" s="3" t="inlineStr">
        <is>
          <t>BY SUBSCRIPTION LEVEL (all deals)</t>
        </is>
      </c>
    </row>
    <row r="5">
      <c r="A5" s="7" t="inlineStr">
        <is>
          <t>Subscription</t>
        </is>
      </c>
      <c r="B5" s="7" t="inlineStr">
        <is>
          <t>n</t>
        </is>
      </c>
      <c r="C5" s="7" t="inlineStr">
        <is>
          <t>Median day-1</t>
        </is>
      </c>
      <c r="D5" s="7" t="inlineStr">
        <is>
          <t>Hit-rate</t>
        </is>
      </c>
      <c r="E5" s="7" t="inlineStr">
        <is>
          <t>P25</t>
        </is>
      </c>
      <c r="F5" s="7" t="inlineStr">
        <is>
          <t>P75</t>
        </is>
      </c>
    </row>
    <row r="6">
      <c r="A6" s="4" t="inlineStr">
        <is>
          <t>&lt;10x</t>
        </is>
      </c>
      <c r="B6" s="50" t="n">
        <v>161</v>
      </c>
      <c r="C6" s="57" t="n">
        <v>0</v>
      </c>
      <c r="D6" s="58" t="n">
        <v>40</v>
      </c>
      <c r="E6" s="57" t="n">
        <v>-5.4</v>
      </c>
      <c r="F6" s="57" t="n">
        <v>2.6</v>
      </c>
    </row>
    <row r="7">
      <c r="A7" s="4" t="inlineStr">
        <is>
          <t>10-100x</t>
        </is>
      </c>
      <c r="B7" s="50" t="n">
        <v>124</v>
      </c>
      <c r="C7" s="57" t="n">
        <v>1.3</v>
      </c>
      <c r="D7" s="58" t="n">
        <v>56</v>
      </c>
      <c r="E7" s="57" t="n">
        <v>-11.4</v>
      </c>
      <c r="F7" s="57" t="n">
        <v>20</v>
      </c>
    </row>
    <row r="8">
      <c r="A8" s="4" t="inlineStr">
        <is>
          <t>100-1000x</t>
        </is>
      </c>
      <c r="B8" s="50" t="n">
        <v>114</v>
      </c>
      <c r="C8" s="57" t="n">
        <v>3</v>
      </c>
      <c r="D8" s="58" t="n">
        <v>57</v>
      </c>
      <c r="E8" s="57" t="n">
        <v>-11.5</v>
      </c>
      <c r="F8" s="57" t="n">
        <v>26.9</v>
      </c>
    </row>
    <row r="9">
      <c r="A9" s="4" t="inlineStr">
        <is>
          <t>&gt;=1000x</t>
        </is>
      </c>
      <c r="B9" s="50" t="n">
        <v>106</v>
      </c>
      <c r="C9" s="57" t="n">
        <v>76</v>
      </c>
      <c r="D9" s="58" t="n">
        <v>92</v>
      </c>
      <c r="E9" s="57" t="n">
        <v>21.3</v>
      </c>
      <c r="F9" s="57" t="n">
        <v>127.1</v>
      </c>
    </row>
    <row r="10"/>
    <row r="11">
      <c r="A11" s="3" t="inlineStr">
        <is>
          <t>BY SUBSECTOR x SUBSCRIPTION  (lookup key in col A)</t>
        </is>
      </c>
    </row>
    <row r="12">
      <c r="A12" s="7" t="inlineStr">
        <is>
          <t>Key</t>
        </is>
      </c>
      <c r="B12" s="7" t="inlineStr">
        <is>
          <t>Subsector</t>
        </is>
      </c>
      <c r="C12" s="7" t="inlineStr">
        <is>
          <t>Subscription</t>
        </is>
      </c>
      <c r="D12" s="7" t="inlineStr">
        <is>
          <t>n</t>
        </is>
      </c>
      <c r="E12" s="7" t="inlineStr">
        <is>
          <t>Median day-1</t>
        </is>
      </c>
      <c r="F12" s="7" t="inlineStr">
        <is>
          <t>Hit-rate</t>
        </is>
      </c>
    </row>
    <row r="13">
      <c r="A13" s="59" t="inlineStr">
        <is>
          <t>AI application / agent software|10-100x</t>
        </is>
      </c>
      <c r="B13" s="4" t="inlineStr">
        <is>
          <t>AI application / agent software</t>
        </is>
      </c>
      <c r="C13" s="4" t="inlineStr">
        <is>
          <t>10-100x</t>
        </is>
      </c>
      <c r="D13" s="50" t="n">
        <v>3</v>
      </c>
      <c r="E13" s="57" t="n">
        <v>5.2</v>
      </c>
      <c r="F13" s="58" t="n">
        <v>67</v>
      </c>
    </row>
    <row r="14">
      <c r="A14" s="59" t="inlineStr">
        <is>
          <t>AI application / agent software|100-1000x</t>
        </is>
      </c>
      <c r="B14" s="4" t="inlineStr">
        <is>
          <t>AI application / agent software</t>
        </is>
      </c>
      <c r="C14" s="4" t="inlineStr">
        <is>
          <t>100-1000x</t>
        </is>
      </c>
      <c r="D14" s="50" t="n">
        <v>2</v>
      </c>
      <c r="E14" s="57" t="n">
        <v>3.3</v>
      </c>
      <c r="F14" s="58" t="n">
        <v>50</v>
      </c>
    </row>
    <row r="15">
      <c r="A15" s="59" t="inlineStr">
        <is>
          <t>AI application / agent software|&lt;10x</t>
        </is>
      </c>
      <c r="B15" s="4" t="inlineStr">
        <is>
          <t>AI application / agent software</t>
        </is>
      </c>
      <c r="C15" s="4" t="inlineStr">
        <is>
          <t>&lt;10x</t>
        </is>
      </c>
      <c r="D15" s="50" t="n">
        <v>1</v>
      </c>
      <c r="E15" s="57" t="n">
        <v>7.3</v>
      </c>
      <c r="F15" s="58" t="n">
        <v>100</v>
      </c>
    </row>
    <row r="16">
      <c r="A16" s="59" t="inlineStr">
        <is>
          <t>AI application / agent software|&gt;=1000x</t>
        </is>
      </c>
      <c r="B16" s="4" t="inlineStr">
        <is>
          <t>AI application / agent software</t>
        </is>
      </c>
      <c r="C16" s="4" t="inlineStr">
        <is>
          <t>&gt;=1000x</t>
        </is>
      </c>
      <c r="D16" s="50" t="n">
        <v>10</v>
      </c>
      <c r="E16" s="57" t="n">
        <v>150.3</v>
      </c>
      <c r="F16" s="58" t="n">
        <v>90</v>
      </c>
    </row>
    <row r="17">
      <c r="A17" s="59" t="inlineStr">
        <is>
          <t>AI chips &amp; semis|10-100x</t>
        </is>
      </c>
      <c r="B17" s="4" t="inlineStr">
        <is>
          <t>AI chips &amp; semis</t>
        </is>
      </c>
      <c r="C17" s="4" t="inlineStr">
        <is>
          <t>10-100x</t>
        </is>
      </c>
      <c r="D17" s="50" t="n">
        <v>5</v>
      </c>
      <c r="E17" s="57" t="n">
        <v>2.8</v>
      </c>
      <c r="F17" s="58" t="n">
        <v>60</v>
      </c>
    </row>
    <row r="18">
      <c r="A18" s="59" t="inlineStr">
        <is>
          <t>AI chips &amp; semis|100-1000x</t>
        </is>
      </c>
      <c r="B18" s="4" t="inlineStr">
        <is>
          <t>AI chips &amp; semis</t>
        </is>
      </c>
      <c r="C18" s="4" t="inlineStr">
        <is>
          <t>100-1000x</t>
        </is>
      </c>
      <c r="D18" s="50" t="n">
        <v>8</v>
      </c>
      <c r="E18" s="57" t="n">
        <v>12.2</v>
      </c>
      <c r="F18" s="58" t="n">
        <v>75</v>
      </c>
    </row>
    <row r="19">
      <c r="A19" s="59" t="inlineStr">
        <is>
          <t>AI chips &amp; semis|&lt;10x</t>
        </is>
      </c>
      <c r="B19" s="4" t="inlineStr">
        <is>
          <t>AI chips &amp; semis</t>
        </is>
      </c>
      <c r="C19" s="4" t="inlineStr">
        <is>
          <t>&lt;10x</t>
        </is>
      </c>
      <c r="D19" s="50" t="n">
        <v>4</v>
      </c>
      <c r="E19" s="57" t="n">
        <v>-8.5</v>
      </c>
      <c r="F19" s="58" t="n">
        <v>50</v>
      </c>
    </row>
    <row r="20">
      <c r="A20" s="59" t="inlineStr">
        <is>
          <t>AI chips &amp; semis|&gt;=1000x</t>
        </is>
      </c>
      <c r="B20" s="4" t="inlineStr">
        <is>
          <t>AI chips &amp; semis</t>
        </is>
      </c>
      <c r="C20" s="4" t="inlineStr">
        <is>
          <t>&gt;=1000x</t>
        </is>
      </c>
      <c r="D20" s="50" t="n">
        <v>9</v>
      </c>
      <c r="E20" s="57" t="n">
        <v>75.8</v>
      </c>
      <c r="F20" s="58" t="n">
        <v>100</v>
      </c>
    </row>
    <row r="21">
      <c r="A21" s="59" t="inlineStr">
        <is>
          <t>Apparel / luxury|10-100x</t>
        </is>
      </c>
      <c r="B21" s="4" t="inlineStr">
        <is>
          <t>Apparel / luxury</t>
        </is>
      </c>
      <c r="C21" s="4" t="inlineStr">
        <is>
          <t>10-100x</t>
        </is>
      </c>
      <c r="D21" s="50" t="n">
        <v>1</v>
      </c>
      <c r="E21" s="57" t="n">
        <v>7.5</v>
      </c>
      <c r="F21" s="58" t="n">
        <v>100</v>
      </c>
    </row>
    <row r="22">
      <c r="A22" s="59" t="inlineStr">
        <is>
          <t>Apparel / luxury|100-1000x</t>
        </is>
      </c>
      <c r="B22" s="4" t="inlineStr">
        <is>
          <t>Apparel / luxury</t>
        </is>
      </c>
      <c r="C22" s="4" t="inlineStr">
        <is>
          <t>100-1000x</t>
        </is>
      </c>
      <c r="D22" s="50" t="n">
        <v>2</v>
      </c>
      <c r="E22" s="57" t="n">
        <v>48.9</v>
      </c>
      <c r="F22" s="58" t="n">
        <v>100</v>
      </c>
    </row>
    <row r="23">
      <c r="A23" s="59" t="inlineStr">
        <is>
          <t>Apparel / luxury|&lt;10x</t>
        </is>
      </c>
      <c r="B23" s="4" t="inlineStr">
        <is>
          <t>Apparel / luxury</t>
        </is>
      </c>
      <c r="C23" s="4" t="inlineStr">
        <is>
          <t>&lt;10x</t>
        </is>
      </c>
      <c r="D23" s="50" t="n">
        <v>1</v>
      </c>
      <c r="E23" s="57" t="n">
        <v>-0.1</v>
      </c>
      <c r="F23" s="58" t="n">
        <v>0</v>
      </c>
    </row>
    <row r="24">
      <c r="A24" s="59" t="inlineStr">
        <is>
          <t>Apparel / luxury|&gt;=1000x</t>
        </is>
      </c>
      <c r="B24" s="4" t="inlineStr">
        <is>
          <t>Apparel / luxury</t>
        </is>
      </c>
      <c r="C24" s="4" t="inlineStr">
        <is>
          <t>&gt;=1000x</t>
        </is>
      </c>
      <c r="D24" s="50" t="n">
        <v>1</v>
      </c>
      <c r="E24" s="57" t="n">
        <v>258.1</v>
      </c>
      <c r="F24" s="58" t="n">
        <v>100</v>
      </c>
    </row>
    <row r="25">
      <c r="A25" s="59" t="inlineStr">
        <is>
          <t>Auto parts / supply chain|10-100x</t>
        </is>
      </c>
      <c r="B25" s="4" t="inlineStr">
        <is>
          <t>Auto parts / supply chain</t>
        </is>
      </c>
      <c r="C25" s="4" t="inlineStr">
        <is>
          <t>10-100x</t>
        </is>
      </c>
      <c r="D25" s="50" t="n">
        <v>3</v>
      </c>
      <c r="E25" s="57" t="n">
        <v>-36.9</v>
      </c>
      <c r="F25" s="58" t="n">
        <v>33</v>
      </c>
    </row>
    <row r="26">
      <c r="A26" s="59" t="inlineStr">
        <is>
          <t>Auto parts / supply chain|100-1000x</t>
        </is>
      </c>
      <c r="B26" s="4" t="inlineStr">
        <is>
          <t>Auto parts / supply chain</t>
        </is>
      </c>
      <c r="C26" s="4" t="inlineStr">
        <is>
          <t>100-1000x</t>
        </is>
      </c>
      <c r="D26" s="50" t="n">
        <v>3</v>
      </c>
      <c r="E26" s="57" t="n">
        <v>-0.1</v>
      </c>
      <c r="F26" s="58" t="n">
        <v>33</v>
      </c>
    </row>
    <row r="27">
      <c r="A27" s="59" t="inlineStr">
        <is>
          <t>Auto parts / supply chain|&lt;10x</t>
        </is>
      </c>
      <c r="B27" s="4" t="inlineStr">
        <is>
          <t>Auto parts / supply chain</t>
        </is>
      </c>
      <c r="C27" s="4" t="inlineStr">
        <is>
          <t>&lt;10x</t>
        </is>
      </c>
      <c r="D27" s="50" t="n">
        <v>1</v>
      </c>
      <c r="E27" s="57" t="n">
        <v>2.1</v>
      </c>
      <c r="F27" s="58" t="n">
        <v>100</v>
      </c>
    </row>
    <row r="28">
      <c r="A28" s="59" t="inlineStr">
        <is>
          <t>Auto parts / supply chain|&gt;=1000x</t>
        </is>
      </c>
      <c r="B28" s="4" t="inlineStr">
        <is>
          <t>Auto parts / supply chain</t>
        </is>
      </c>
      <c r="C28" s="4" t="inlineStr">
        <is>
          <t>&gt;=1000x</t>
        </is>
      </c>
      <c r="D28" s="50" t="n">
        <v>2</v>
      </c>
      <c r="E28" s="57" t="n">
        <v>712.4</v>
      </c>
      <c r="F28" s="58" t="n">
        <v>100</v>
      </c>
    </row>
    <row r="29">
      <c r="A29" s="59" t="inlineStr">
        <is>
          <t>Autos (NEV OEM)|10-100x</t>
        </is>
      </c>
      <c r="B29" s="4" t="inlineStr">
        <is>
          <t>Autos (NEV OEM)</t>
        </is>
      </c>
      <c r="C29" s="4" t="inlineStr">
        <is>
          <t>10-100x</t>
        </is>
      </c>
      <c r="D29" s="50" t="n">
        <v>1</v>
      </c>
      <c r="E29" s="57" t="n">
        <v>0</v>
      </c>
      <c r="F29" s="58" t="n">
        <v>0</v>
      </c>
    </row>
    <row r="30">
      <c r="A30" s="59" t="inlineStr">
        <is>
          <t>Autos (NEV OEM)|100-1000x</t>
        </is>
      </c>
      <c r="B30" s="4" t="inlineStr">
        <is>
          <t>Autos (NEV OEM)</t>
        </is>
      </c>
      <c r="C30" s="4" t="inlineStr">
        <is>
          <t>100-1000x</t>
        </is>
      </c>
      <c r="D30" s="50" t="n">
        <v>2</v>
      </c>
      <c r="E30" s="57" t="n">
        <v>1.9</v>
      </c>
      <c r="F30" s="58" t="n">
        <v>50</v>
      </c>
    </row>
    <row r="31">
      <c r="A31" s="59" t="inlineStr">
        <is>
          <t>Autos (NEV OEM)|&lt;10x</t>
        </is>
      </c>
      <c r="B31" s="4" t="inlineStr">
        <is>
          <t>Autos (NEV OEM)</t>
        </is>
      </c>
      <c r="C31" s="4" t="inlineStr">
        <is>
          <t>&lt;10x</t>
        </is>
      </c>
      <c r="D31" s="50" t="n">
        <v>3</v>
      </c>
      <c r="E31" s="57" t="n">
        <v>-0.8</v>
      </c>
      <c r="F31" s="58" t="n">
        <v>33</v>
      </c>
    </row>
    <row r="32">
      <c r="A32" s="59" t="inlineStr">
        <is>
          <t>Banks|&lt;10x</t>
        </is>
      </c>
      <c r="B32" s="4" t="inlineStr">
        <is>
          <t>Banks</t>
        </is>
      </c>
      <c r="C32" s="4" t="inlineStr">
        <is>
          <t>&lt;10x</t>
        </is>
      </c>
      <c r="D32" s="50" t="n">
        <v>1</v>
      </c>
      <c r="E32" s="57" t="n">
        <v>0.8</v>
      </c>
      <c r="F32" s="58" t="n">
        <v>100</v>
      </c>
    </row>
    <row r="33">
      <c r="A33" s="59" t="inlineStr">
        <is>
          <t>Batteries / energy storage|10-100x</t>
        </is>
      </c>
      <c r="B33" s="4" t="inlineStr">
        <is>
          <t>Batteries / energy storage</t>
        </is>
      </c>
      <c r="C33" s="4" t="inlineStr">
        <is>
          <t>10-100x</t>
        </is>
      </c>
      <c r="D33" s="50" t="n">
        <v>2</v>
      </c>
      <c r="E33" s="57" t="n">
        <v>9.9</v>
      </c>
      <c r="F33" s="58" t="n">
        <v>50</v>
      </c>
    </row>
    <row r="34">
      <c r="A34" s="59" t="inlineStr">
        <is>
          <t>Batteries / energy storage|100-1000x</t>
        </is>
      </c>
      <c r="B34" s="4" t="inlineStr">
        <is>
          <t>Batteries / energy storage</t>
        </is>
      </c>
      <c r="C34" s="4" t="inlineStr">
        <is>
          <t>100-1000x</t>
        </is>
      </c>
      <c r="D34" s="50" t="n">
        <v>1</v>
      </c>
      <c r="E34" s="57" t="n">
        <v>16.4</v>
      </c>
      <c r="F34" s="58" t="n">
        <v>100</v>
      </c>
    </row>
    <row r="35">
      <c r="A35" s="59" t="inlineStr">
        <is>
          <t>Batteries / energy storage|&lt;10x</t>
        </is>
      </c>
      <c r="B35" s="4" t="inlineStr">
        <is>
          <t>Batteries / energy storage</t>
        </is>
      </c>
      <c r="C35" s="4" t="inlineStr">
        <is>
          <t>&lt;10x</t>
        </is>
      </c>
      <c r="D35" s="50" t="n">
        <v>7</v>
      </c>
      <c r="E35" s="57" t="n">
        <v>0.7</v>
      </c>
      <c r="F35" s="58" t="n">
        <v>71</v>
      </c>
    </row>
    <row r="36">
      <c r="A36" s="59" t="inlineStr">
        <is>
          <t>Batteries / energy storage|&gt;=1000x</t>
        </is>
      </c>
      <c r="B36" s="4" t="inlineStr">
        <is>
          <t>Batteries / energy storage</t>
        </is>
      </c>
      <c r="C36" s="4" t="inlineStr">
        <is>
          <t>&gt;=1000x</t>
        </is>
      </c>
      <c r="D36" s="50" t="n">
        <v>3</v>
      </c>
      <c r="E36" s="57" t="n">
        <v>31.3</v>
      </c>
      <c r="F36" s="58" t="n">
        <v>100</v>
      </c>
    </row>
    <row r="37">
      <c r="A37" s="59" t="inlineStr">
        <is>
          <t>Beauty / personal care|10-100x</t>
        </is>
      </c>
      <c r="B37" s="4" t="inlineStr">
        <is>
          <t>Beauty / personal care</t>
        </is>
      </c>
      <c r="C37" s="4" t="inlineStr">
        <is>
          <t>10-100x</t>
        </is>
      </c>
      <c r="D37" s="50" t="n">
        <v>2</v>
      </c>
      <c r="E37" s="57" t="n">
        <v>18.4</v>
      </c>
      <c r="F37" s="58" t="n">
        <v>50</v>
      </c>
    </row>
    <row r="38">
      <c r="A38" s="59" t="inlineStr">
        <is>
          <t>Beauty / personal care|100-1000x</t>
        </is>
      </c>
      <c r="B38" s="4" t="inlineStr">
        <is>
          <t>Beauty / personal care</t>
        </is>
      </c>
      <c r="C38" s="4" t="inlineStr">
        <is>
          <t>100-1000x</t>
        </is>
      </c>
      <c r="D38" s="50" t="n">
        <v>2</v>
      </c>
      <c r="E38" s="57" t="n">
        <v>31.7</v>
      </c>
      <c r="F38" s="58" t="n">
        <v>50</v>
      </c>
    </row>
    <row r="39">
      <c r="A39" s="59" t="inlineStr">
        <is>
          <t>Beauty / personal care|&lt;10x</t>
        </is>
      </c>
      <c r="B39" s="4" t="inlineStr">
        <is>
          <t>Beauty / personal care</t>
        </is>
      </c>
      <c r="C39" s="4" t="inlineStr">
        <is>
          <t>&lt;10x</t>
        </is>
      </c>
      <c r="D39" s="50" t="n">
        <v>2</v>
      </c>
      <c r="E39" s="57" t="n">
        <v>4.9</v>
      </c>
      <c r="F39" s="58" t="n">
        <v>50</v>
      </c>
    </row>
    <row r="40">
      <c r="A40" s="59" t="inlineStr">
        <is>
          <t>Beauty / personal care|&gt;=1000x</t>
        </is>
      </c>
      <c r="B40" s="4" t="inlineStr">
        <is>
          <t>Beauty / personal care</t>
        </is>
      </c>
      <c r="C40" s="4" t="inlineStr">
        <is>
          <t>&gt;=1000x</t>
        </is>
      </c>
      <c r="D40" s="50" t="n">
        <v>1</v>
      </c>
      <c r="E40" s="57" t="n">
        <v>9.300000000000001</v>
      </c>
      <c r="F40" s="58" t="n">
        <v>100</v>
      </c>
    </row>
    <row r="41">
      <c r="A41" s="59" t="inlineStr">
        <is>
          <t>Beverages / packaged food|10-100x</t>
        </is>
      </c>
      <c r="B41" s="4" t="inlineStr">
        <is>
          <t>Beverages / packaged food</t>
        </is>
      </c>
      <c r="C41" s="4" t="inlineStr">
        <is>
          <t>10-100x</t>
        </is>
      </c>
      <c r="D41" s="50" t="n">
        <v>9</v>
      </c>
      <c r="E41" s="57" t="n">
        <v>-5.1</v>
      </c>
      <c r="F41" s="58" t="n">
        <v>22</v>
      </c>
    </row>
    <row r="42">
      <c r="A42" s="59" t="inlineStr">
        <is>
          <t>Beverages / packaged food|100-1000x</t>
        </is>
      </c>
      <c r="B42" s="4" t="inlineStr">
        <is>
          <t>Beverages / packaged food</t>
        </is>
      </c>
      <c r="C42" s="4" t="inlineStr">
        <is>
          <t>100-1000x</t>
        </is>
      </c>
      <c r="D42" s="50" t="n">
        <v>4</v>
      </c>
      <c r="E42" s="57" t="n">
        <v>18.2</v>
      </c>
      <c r="F42" s="58" t="n">
        <v>100</v>
      </c>
    </row>
    <row r="43">
      <c r="A43" s="59" t="inlineStr">
        <is>
          <t>Beverages / packaged food|&lt;10x</t>
        </is>
      </c>
      <c r="B43" s="4" t="inlineStr">
        <is>
          <t>Beverages / packaged food</t>
        </is>
      </c>
      <c r="C43" s="4" t="inlineStr">
        <is>
          <t>&lt;10x</t>
        </is>
      </c>
      <c r="D43" s="50" t="n">
        <v>6</v>
      </c>
      <c r="E43" s="57" t="n">
        <v>0.5</v>
      </c>
      <c r="F43" s="58" t="n">
        <v>50</v>
      </c>
    </row>
    <row r="44">
      <c r="A44" s="59" t="inlineStr">
        <is>
          <t>Beverages / packaged food|&gt;=1000x</t>
        </is>
      </c>
      <c r="B44" s="4" t="inlineStr">
        <is>
          <t>Beverages / packaged food</t>
        </is>
      </c>
      <c r="C44" s="4" t="inlineStr">
        <is>
          <t>&gt;=1000x</t>
        </is>
      </c>
      <c r="D44" s="50" t="n">
        <v>5</v>
      </c>
      <c r="E44" s="57" t="n">
        <v>86.7</v>
      </c>
      <c r="F44" s="58" t="n">
        <v>100</v>
      </c>
    </row>
    <row r="45">
      <c r="A45" s="59" t="inlineStr">
        <is>
          <t>Biopharma commercial|10-100x</t>
        </is>
      </c>
      <c r="B45" s="4" t="inlineStr">
        <is>
          <t>Biopharma commercial</t>
        </is>
      </c>
      <c r="C45" s="4" t="inlineStr">
        <is>
          <t>10-100x</t>
        </is>
      </c>
      <c r="D45" s="50" t="n">
        <v>2</v>
      </c>
      <c r="E45" s="57" t="n">
        <v>122</v>
      </c>
      <c r="F45" s="58" t="n">
        <v>100</v>
      </c>
    </row>
    <row r="46">
      <c r="A46" s="59" t="inlineStr">
        <is>
          <t>Biopharma commercial|100-1000x</t>
        </is>
      </c>
      <c r="B46" s="4" t="inlineStr">
        <is>
          <t>Biopharma commercial</t>
        </is>
      </c>
      <c r="C46" s="4" t="inlineStr">
        <is>
          <t>100-1000x</t>
        </is>
      </c>
      <c r="D46" s="50" t="n">
        <v>3</v>
      </c>
      <c r="E46" s="57" t="n">
        <v>-12.7</v>
      </c>
      <c r="F46" s="58" t="n">
        <v>33</v>
      </c>
    </row>
    <row r="47">
      <c r="A47" s="59" t="inlineStr">
        <is>
          <t>Biopharma commercial|&lt;10x</t>
        </is>
      </c>
      <c r="B47" s="4" t="inlineStr">
        <is>
          <t>Biopharma commercial</t>
        </is>
      </c>
      <c r="C47" s="4" t="inlineStr">
        <is>
          <t>&lt;10x</t>
        </is>
      </c>
      <c r="D47" s="50" t="n">
        <v>1</v>
      </c>
      <c r="E47" s="57" t="n">
        <v>50.4</v>
      </c>
      <c r="F47" s="58" t="n">
        <v>100</v>
      </c>
    </row>
    <row r="48">
      <c r="A48" s="59" t="inlineStr">
        <is>
          <t>Biopharma commercial|&gt;=1000x</t>
        </is>
      </c>
      <c r="B48" s="4" t="inlineStr">
        <is>
          <t>Biopharma commercial</t>
        </is>
      </c>
      <c r="C48" s="4" t="inlineStr">
        <is>
          <t>&gt;=1000x</t>
        </is>
      </c>
      <c r="D48" s="50" t="n">
        <v>2</v>
      </c>
      <c r="E48" s="57" t="n">
        <v>90.8</v>
      </c>
      <c r="F48" s="58" t="n">
        <v>100</v>
      </c>
    </row>
    <row r="49">
      <c r="A49" s="59" t="inlineStr">
        <is>
          <t>Biotech pre-revenue (18A)|10-100x</t>
        </is>
      </c>
      <c r="B49" s="4" t="inlineStr">
        <is>
          <t>Biotech pre-revenue (18A)</t>
        </is>
      </c>
      <c r="C49" s="4" t="inlineStr">
        <is>
          <t>10-100x</t>
        </is>
      </c>
      <c r="D49" s="50" t="n">
        <v>10</v>
      </c>
      <c r="E49" s="57" t="n">
        <v>4.7</v>
      </c>
      <c r="F49" s="58" t="n">
        <v>60</v>
      </c>
    </row>
    <row r="50">
      <c r="A50" s="59" t="inlineStr">
        <is>
          <t>Biotech pre-revenue (18A)|100-1000x</t>
        </is>
      </c>
      <c r="B50" s="4" t="inlineStr">
        <is>
          <t>Biotech pre-revenue (18A)</t>
        </is>
      </c>
      <c r="C50" s="4" t="inlineStr">
        <is>
          <t>100-1000x</t>
        </is>
      </c>
      <c r="D50" s="50" t="n">
        <v>10</v>
      </c>
      <c r="E50" s="57" t="n">
        <v>13.4</v>
      </c>
      <c r="F50" s="58" t="n">
        <v>70</v>
      </c>
    </row>
    <row r="51">
      <c r="A51" s="59" t="inlineStr">
        <is>
          <t>Biotech pre-revenue (18A)|&lt;10x</t>
        </is>
      </c>
      <c r="B51" s="4" t="inlineStr">
        <is>
          <t>Biotech pre-revenue (18A)</t>
        </is>
      </c>
      <c r="C51" s="4" t="inlineStr">
        <is>
          <t>&lt;10x</t>
        </is>
      </c>
      <c r="D51" s="50" t="n">
        <v>13</v>
      </c>
      <c r="E51" s="57" t="n">
        <v>0.5</v>
      </c>
      <c r="F51" s="58" t="n">
        <v>62</v>
      </c>
    </row>
    <row r="52">
      <c r="A52" s="59" t="inlineStr">
        <is>
          <t>Biotech pre-revenue (18A)|&gt;=1000x</t>
        </is>
      </c>
      <c r="B52" s="4" t="inlineStr">
        <is>
          <t>Biotech pre-revenue (18A)</t>
        </is>
      </c>
      <c r="C52" s="4" t="inlineStr">
        <is>
          <t>&gt;=1000x</t>
        </is>
      </c>
      <c r="D52" s="50" t="n">
        <v>15</v>
      </c>
      <c r="E52" s="57" t="n">
        <v>108.3</v>
      </c>
      <c r="F52" s="58" t="n">
        <v>87</v>
      </c>
    </row>
    <row r="53">
      <c r="A53" s="59" t="inlineStr">
        <is>
          <t>Brokers / asset management|&lt;10x</t>
        </is>
      </c>
      <c r="B53" s="4" t="inlineStr">
        <is>
          <t>Brokers / asset management</t>
        </is>
      </c>
      <c r="C53" s="4" t="inlineStr">
        <is>
          <t>&lt;10x</t>
        </is>
      </c>
      <c r="D53" s="50" t="n">
        <v>4</v>
      </c>
      <c r="E53" s="57" t="n">
        <v>-14.3</v>
      </c>
      <c r="F53" s="58" t="n">
        <v>25</v>
      </c>
    </row>
    <row r="54">
      <c r="A54" s="59" t="inlineStr">
        <is>
          <t>CXO / pharma services|10-100x</t>
        </is>
      </c>
      <c r="B54" s="4" t="inlineStr">
        <is>
          <t>CXO / pharma services</t>
        </is>
      </c>
      <c r="C54" s="4" t="inlineStr">
        <is>
          <t>10-100x</t>
        </is>
      </c>
      <c r="D54" s="50" t="n">
        <v>1</v>
      </c>
      <c r="E54" s="57" t="n">
        <v>35.9</v>
      </c>
      <c r="F54" s="58" t="n">
        <v>100</v>
      </c>
    </row>
    <row r="55">
      <c r="A55" s="59" t="inlineStr">
        <is>
          <t>CXO / pharma services|100-1000x</t>
        </is>
      </c>
      <c r="B55" s="4" t="inlineStr">
        <is>
          <t>CXO / pharma services</t>
        </is>
      </c>
      <c r="C55" s="4" t="inlineStr">
        <is>
          <t>100-1000x</t>
        </is>
      </c>
      <c r="D55" s="50" t="n">
        <v>3</v>
      </c>
      <c r="E55" s="57" t="n">
        <v>-7.6</v>
      </c>
      <c r="F55" s="58" t="n">
        <v>33</v>
      </c>
    </row>
    <row r="56">
      <c r="A56" s="59" t="inlineStr">
        <is>
          <t>CXO / pharma services|&lt;10x</t>
        </is>
      </c>
      <c r="B56" s="4" t="inlineStr">
        <is>
          <t>CXO / pharma services</t>
        </is>
      </c>
      <c r="C56" s="4" t="inlineStr">
        <is>
          <t>&lt;10x</t>
        </is>
      </c>
      <c r="D56" s="50" t="n">
        <v>5</v>
      </c>
      <c r="E56" s="57" t="n">
        <v>1.1</v>
      </c>
      <c r="F56" s="58" t="n">
        <v>60</v>
      </c>
    </row>
    <row r="57">
      <c r="A57" s="59" t="inlineStr">
        <is>
          <t>Capital goods / machinery|10-100x</t>
        </is>
      </c>
      <c r="B57" s="4" t="inlineStr">
        <is>
          <t>Capital goods / machinery</t>
        </is>
      </c>
      <c r="C57" s="4" t="inlineStr">
        <is>
          <t>10-100x</t>
        </is>
      </c>
      <c r="D57" s="50" t="n">
        <v>7</v>
      </c>
      <c r="E57" s="57" t="n">
        <v>2.8</v>
      </c>
      <c r="F57" s="58" t="n">
        <v>71</v>
      </c>
    </row>
    <row r="58">
      <c r="A58" s="59" t="inlineStr">
        <is>
          <t>Capital goods / machinery|100-1000x</t>
        </is>
      </c>
      <c r="B58" s="4" t="inlineStr">
        <is>
          <t>Capital goods / machinery</t>
        </is>
      </c>
      <c r="C58" s="4" t="inlineStr">
        <is>
          <t>100-1000x</t>
        </is>
      </c>
      <c r="D58" s="50" t="n">
        <v>3</v>
      </c>
      <c r="E58" s="57" t="n">
        <v>14.8</v>
      </c>
      <c r="F58" s="58" t="n">
        <v>67</v>
      </c>
    </row>
    <row r="59">
      <c r="A59" s="59" t="inlineStr">
        <is>
          <t>Capital goods / machinery|&lt;10x</t>
        </is>
      </c>
      <c r="B59" s="4" t="inlineStr">
        <is>
          <t>Capital goods / machinery</t>
        </is>
      </c>
      <c r="C59" s="4" t="inlineStr">
        <is>
          <t>&lt;10x</t>
        </is>
      </c>
      <c r="D59" s="50" t="n">
        <v>5</v>
      </c>
      <c r="E59" s="57" t="n">
        <v>0</v>
      </c>
      <c r="F59" s="58" t="n">
        <v>40</v>
      </c>
    </row>
    <row r="60">
      <c r="A60" s="59" t="inlineStr">
        <is>
          <t>Capital goods / machinery|&gt;=1000x</t>
        </is>
      </c>
      <c r="B60" s="4" t="inlineStr">
        <is>
          <t>Capital goods / machinery</t>
        </is>
      </c>
      <c r="C60" s="4" t="inlineStr">
        <is>
          <t>&gt;=1000x</t>
        </is>
      </c>
      <c r="D60" s="50" t="n">
        <v>3</v>
      </c>
      <c r="E60" s="57" t="n">
        <v>2.4</v>
      </c>
      <c r="F60" s="58" t="n">
        <v>67</v>
      </c>
    </row>
    <row r="61">
      <c r="A61" s="59" t="inlineStr">
        <is>
          <t>Chemicals|10-100x</t>
        </is>
      </c>
      <c r="B61" s="4" t="inlineStr">
        <is>
          <t>Chemicals</t>
        </is>
      </c>
      <c r="C61" s="4" t="inlineStr">
        <is>
          <t>10-100x</t>
        </is>
      </c>
      <c r="D61" s="50" t="n">
        <v>4</v>
      </c>
      <c r="E61" s="57" t="n">
        <v>-13.8</v>
      </c>
      <c r="F61" s="58" t="n">
        <v>25</v>
      </c>
    </row>
    <row r="62">
      <c r="A62" s="59" t="inlineStr">
        <is>
          <t>Chemicals|100-1000x</t>
        </is>
      </c>
      <c r="B62" s="4" t="inlineStr">
        <is>
          <t>Chemicals</t>
        </is>
      </c>
      <c r="C62" s="4" t="inlineStr">
        <is>
          <t>100-1000x</t>
        </is>
      </c>
      <c r="D62" s="50" t="n">
        <v>4</v>
      </c>
      <c r="E62" s="57" t="n">
        <v>15.3</v>
      </c>
      <c r="F62" s="58" t="n">
        <v>75</v>
      </c>
    </row>
    <row r="63">
      <c r="A63" s="59" t="inlineStr">
        <is>
          <t>Chemicals|&lt;10x</t>
        </is>
      </c>
      <c r="B63" s="4" t="inlineStr">
        <is>
          <t>Chemicals</t>
        </is>
      </c>
      <c r="C63" s="4" t="inlineStr">
        <is>
          <t>&lt;10x</t>
        </is>
      </c>
      <c r="D63" s="50" t="n">
        <v>3</v>
      </c>
      <c r="E63" s="57" t="n">
        <v>-6.9</v>
      </c>
      <c r="F63" s="58" t="n">
        <v>33</v>
      </c>
    </row>
    <row r="64">
      <c r="A64" s="59" t="inlineStr">
        <is>
          <t>Chemicals|&gt;=1000x</t>
        </is>
      </c>
      <c r="B64" s="4" t="inlineStr">
        <is>
          <t>Chemicals</t>
        </is>
      </c>
      <c r="C64" s="4" t="inlineStr">
        <is>
          <t>&gt;=1000x</t>
        </is>
      </c>
      <c r="D64" s="50" t="n">
        <v>2</v>
      </c>
      <c r="E64" s="57" t="n">
        <v>10.6</v>
      </c>
      <c r="F64" s="58" t="n">
        <v>50</v>
      </c>
    </row>
    <row r="65">
      <c r="A65" s="59" t="inlineStr">
        <is>
          <t>Construction / engineering|10-100x</t>
        </is>
      </c>
      <c r="B65" s="4" t="inlineStr">
        <is>
          <t>Construction / engineering</t>
        </is>
      </c>
      <c r="C65" s="4" t="inlineStr">
        <is>
          <t>10-100x</t>
        </is>
      </c>
      <c r="D65" s="50" t="n">
        <v>9</v>
      </c>
      <c r="E65" s="57" t="n">
        <v>2.5</v>
      </c>
      <c r="F65" s="58" t="n">
        <v>56</v>
      </c>
    </row>
    <row r="66">
      <c r="A66" s="59" t="inlineStr">
        <is>
          <t>Construction / engineering|100-1000x</t>
        </is>
      </c>
      <c r="B66" s="4" t="inlineStr">
        <is>
          <t>Construction / engineering</t>
        </is>
      </c>
      <c r="C66" s="4" t="inlineStr">
        <is>
          <t>100-1000x</t>
        </is>
      </c>
      <c r="D66" s="50" t="n">
        <v>4</v>
      </c>
      <c r="E66" s="57" t="n">
        <v>-21.1</v>
      </c>
      <c r="F66" s="58" t="n">
        <v>25</v>
      </c>
    </row>
    <row r="67">
      <c r="A67" s="59" t="inlineStr">
        <is>
          <t>Construction / engineering|&lt;10x</t>
        </is>
      </c>
      <c r="B67" s="4" t="inlineStr">
        <is>
          <t>Construction / engineering</t>
        </is>
      </c>
      <c r="C67" s="4" t="inlineStr">
        <is>
          <t>&lt;10x</t>
        </is>
      </c>
      <c r="D67" s="50" t="n">
        <v>2</v>
      </c>
      <c r="E67" s="57" t="n">
        <v>5</v>
      </c>
      <c r="F67" s="58" t="n">
        <v>50</v>
      </c>
    </row>
    <row r="68">
      <c r="A68" s="59" t="inlineStr">
        <is>
          <t>Consumer services / education|10-100x</t>
        </is>
      </c>
      <c r="B68" s="4" t="inlineStr">
        <is>
          <t>Consumer services / education</t>
        </is>
      </c>
      <c r="C68" s="4" t="inlineStr">
        <is>
          <t>10-100x</t>
        </is>
      </c>
      <c r="D68" s="50" t="n">
        <v>2</v>
      </c>
      <c r="E68" s="57" t="n">
        <v>13.8</v>
      </c>
      <c r="F68" s="58" t="n">
        <v>100</v>
      </c>
    </row>
    <row r="69">
      <c r="A69" s="59" t="inlineStr">
        <is>
          <t>Consumer services / education|&lt;10x</t>
        </is>
      </c>
      <c r="B69" s="4" t="inlineStr">
        <is>
          <t>Consumer services / education</t>
        </is>
      </c>
      <c r="C69" s="4" t="inlineStr">
        <is>
          <t>&lt;10x</t>
        </is>
      </c>
      <c r="D69" s="50" t="n">
        <v>2</v>
      </c>
      <c r="E69" s="57" t="n">
        <v>-8.5</v>
      </c>
      <c r="F69" s="58" t="n">
        <v>0</v>
      </c>
    </row>
    <row r="70">
      <c r="A70" s="59" t="inlineStr">
        <is>
          <t>Data center / cloud infra|10-100x</t>
        </is>
      </c>
      <c r="B70" s="4" t="inlineStr">
        <is>
          <t>Data center / cloud infra</t>
        </is>
      </c>
      <c r="C70" s="4" t="inlineStr">
        <is>
          <t>10-100x</t>
        </is>
      </c>
      <c r="D70" s="50" t="n">
        <v>2</v>
      </c>
      <c r="E70" s="57" t="n">
        <v>-37.1</v>
      </c>
      <c r="F70" s="58" t="n">
        <v>0</v>
      </c>
    </row>
    <row r="71">
      <c r="A71" s="59" t="inlineStr">
        <is>
          <t>Developers|&lt;10x</t>
        </is>
      </c>
      <c r="B71" s="4" t="inlineStr">
        <is>
          <t>Developers</t>
        </is>
      </c>
      <c r="C71" s="4" t="inlineStr">
        <is>
          <t>&lt;10x</t>
        </is>
      </c>
      <c r="D71" s="50" t="n">
        <v>1</v>
      </c>
      <c r="E71" s="57" t="n">
        <v>0</v>
      </c>
      <c r="F71" s="58" t="n">
        <v>0</v>
      </c>
    </row>
    <row r="72">
      <c r="A72" s="59" t="inlineStr">
        <is>
          <t>Digital health|10-100x</t>
        </is>
      </c>
      <c r="B72" s="4" t="inlineStr">
        <is>
          <t>Digital health</t>
        </is>
      </c>
      <c r="C72" s="4" t="inlineStr">
        <is>
          <t>10-100x</t>
        </is>
      </c>
      <c r="D72" s="50" t="n">
        <v>3</v>
      </c>
      <c r="E72" s="57" t="n">
        <v>36.7</v>
      </c>
      <c r="F72" s="58" t="n">
        <v>67</v>
      </c>
    </row>
    <row r="73">
      <c r="A73" s="59" t="inlineStr">
        <is>
          <t>Digital health|100-1000x</t>
        </is>
      </c>
      <c r="B73" s="4" t="inlineStr">
        <is>
          <t>Digital health</t>
        </is>
      </c>
      <c r="C73" s="4" t="inlineStr">
        <is>
          <t>100-1000x</t>
        </is>
      </c>
      <c r="D73" s="50" t="n">
        <v>4</v>
      </c>
      <c r="E73" s="57" t="n">
        <v>20.1</v>
      </c>
      <c r="F73" s="58" t="n">
        <v>75</v>
      </c>
    </row>
    <row r="74">
      <c r="A74" s="59" t="inlineStr">
        <is>
          <t>Digital health|&lt;10x</t>
        </is>
      </c>
      <c r="B74" s="4" t="inlineStr">
        <is>
          <t>Digital health</t>
        </is>
      </c>
      <c r="C74" s="4" t="inlineStr">
        <is>
          <t>&lt;10x</t>
        </is>
      </c>
      <c r="D74" s="50" t="n">
        <v>8</v>
      </c>
      <c r="E74" s="57" t="n">
        <v>0</v>
      </c>
      <c r="F74" s="58" t="n">
        <v>38</v>
      </c>
    </row>
    <row r="75">
      <c r="A75" s="59" t="inlineStr">
        <is>
          <t>Digital health|&gt;=1000x</t>
        </is>
      </c>
      <c r="B75" s="4" t="inlineStr">
        <is>
          <t>Digital health</t>
        </is>
      </c>
      <c r="C75" s="4" t="inlineStr">
        <is>
          <t>&gt;=1000x</t>
        </is>
      </c>
      <c r="D75" s="50" t="n">
        <v>2</v>
      </c>
      <c r="E75" s="57" t="n">
        <v>80.59999999999999</v>
      </c>
      <c r="F75" s="58" t="n">
        <v>100</v>
      </c>
    </row>
    <row r="76">
      <c r="A76" s="59" t="inlineStr">
        <is>
          <t>F&amp;B chains / restaurants|10-100x</t>
        </is>
      </c>
      <c r="B76" s="4" t="inlineStr">
        <is>
          <t>F&amp;B chains / restaurants</t>
        </is>
      </c>
      <c r="C76" s="4" t="inlineStr">
        <is>
          <t>10-100x</t>
        </is>
      </c>
      <c r="D76" s="50" t="n">
        <v>1</v>
      </c>
      <c r="E76" s="57" t="n">
        <v>22.9</v>
      </c>
      <c r="F76" s="58" t="n">
        <v>100</v>
      </c>
    </row>
    <row r="77">
      <c r="A77" s="59" t="inlineStr">
        <is>
          <t>F&amp;B chains / restaurants|100-1000x</t>
        </is>
      </c>
      <c r="B77" s="4" t="inlineStr">
        <is>
          <t>F&amp;B chains / restaurants</t>
        </is>
      </c>
      <c r="C77" s="4" t="inlineStr">
        <is>
          <t>100-1000x</t>
        </is>
      </c>
      <c r="D77" s="50" t="n">
        <v>4</v>
      </c>
      <c r="E77" s="57" t="n">
        <v>-13</v>
      </c>
      <c r="F77" s="58" t="n">
        <v>0</v>
      </c>
    </row>
    <row r="78">
      <c r="A78" s="59" t="inlineStr">
        <is>
          <t>F&amp;B chains / restaurants|&lt;10x</t>
        </is>
      </c>
      <c r="B78" s="4" t="inlineStr">
        <is>
          <t>F&amp;B chains / restaurants</t>
        </is>
      </c>
      <c r="C78" s="4" t="inlineStr">
        <is>
          <t>&lt;10x</t>
        </is>
      </c>
      <c r="D78" s="50" t="n">
        <v>3</v>
      </c>
      <c r="E78" s="57" t="n">
        <v>-0.1</v>
      </c>
      <c r="F78" s="58" t="n">
        <v>33</v>
      </c>
    </row>
    <row r="79">
      <c r="A79" s="59" t="inlineStr">
        <is>
          <t>F&amp;B chains / restaurants|&gt;=1000x</t>
        </is>
      </c>
      <c r="B79" s="4" t="inlineStr">
        <is>
          <t>F&amp;B chains / restaurants</t>
        </is>
      </c>
      <c r="C79" s="4" t="inlineStr">
        <is>
          <t>&gt;=1000x</t>
        </is>
      </c>
      <c r="D79" s="50" t="n">
        <v>2</v>
      </c>
      <c r="E79" s="57" t="n">
        <v>41.6</v>
      </c>
      <c r="F79" s="58" t="n">
        <v>100</v>
      </c>
    </row>
    <row r="80">
      <c r="A80" s="59" t="inlineStr">
        <is>
          <t>Fintech platform|10-100x</t>
        </is>
      </c>
      <c r="B80" s="4" t="inlineStr">
        <is>
          <t>Fintech platform</t>
        </is>
      </c>
      <c r="C80" s="4" t="inlineStr">
        <is>
          <t>10-100x</t>
        </is>
      </c>
      <c r="D80" s="50" t="n">
        <v>2</v>
      </c>
      <c r="E80" s="57" t="n">
        <v>1.1</v>
      </c>
      <c r="F80" s="58" t="n">
        <v>50</v>
      </c>
    </row>
    <row r="81">
      <c r="A81" s="59" t="inlineStr">
        <is>
          <t>Fintech platform|100-1000x</t>
        </is>
      </c>
      <c r="B81" s="4" t="inlineStr">
        <is>
          <t>Fintech platform</t>
        </is>
      </c>
      <c r="C81" s="4" t="inlineStr">
        <is>
          <t>100-1000x</t>
        </is>
      </c>
      <c r="D81" s="50" t="n">
        <v>2</v>
      </c>
      <c r="E81" s="57" t="n">
        <v>-8.1</v>
      </c>
      <c r="F81" s="58" t="n">
        <v>0</v>
      </c>
    </row>
    <row r="82">
      <c r="A82" s="59" t="inlineStr">
        <is>
          <t>Fintech platform|&lt;10x</t>
        </is>
      </c>
      <c r="B82" s="4" t="inlineStr">
        <is>
          <t>Fintech platform</t>
        </is>
      </c>
      <c r="C82" s="4" t="inlineStr">
        <is>
          <t>&lt;10x</t>
        </is>
      </c>
      <c r="D82" s="50" t="n">
        <v>2</v>
      </c>
      <c r="E82" s="57" t="n">
        <v>-4</v>
      </c>
      <c r="F82" s="58" t="n">
        <v>50</v>
      </c>
    </row>
    <row r="83">
      <c r="A83" s="59" t="inlineStr">
        <is>
          <t>Gaming / entertainment tech|&lt;10x</t>
        </is>
      </c>
      <c r="B83" s="4" t="inlineStr">
        <is>
          <t>Gaming / entertainment tech</t>
        </is>
      </c>
      <c r="C83" s="4" t="inlineStr">
        <is>
          <t>&lt;10x</t>
        </is>
      </c>
      <c r="D83" s="50" t="n">
        <v>1</v>
      </c>
      <c r="E83" s="57" t="n">
        <v>-4.6</v>
      </c>
      <c r="F83" s="58" t="n">
        <v>0</v>
      </c>
    </row>
    <row r="84">
      <c r="A84" s="59" t="inlineStr">
        <is>
          <t>Hospitals / clinics|10-100x</t>
        </is>
      </c>
      <c r="B84" s="4" t="inlineStr">
        <is>
          <t>Hospitals / clinics</t>
        </is>
      </c>
      <c r="C84" s="4" t="inlineStr">
        <is>
          <t>10-100x</t>
        </is>
      </c>
      <c r="D84" s="50" t="n">
        <v>1</v>
      </c>
      <c r="E84" s="57" t="n">
        <v>-14.3</v>
      </c>
      <c r="F84" s="58" t="n">
        <v>0</v>
      </c>
    </row>
    <row r="85">
      <c r="A85" s="59" t="inlineStr">
        <is>
          <t>Hospitals / clinics|100-1000x</t>
        </is>
      </c>
      <c r="B85" s="4" t="inlineStr">
        <is>
          <t>Hospitals / clinics</t>
        </is>
      </c>
      <c r="C85" s="4" t="inlineStr">
        <is>
          <t>100-1000x</t>
        </is>
      </c>
      <c r="D85" s="50" t="n">
        <v>5</v>
      </c>
      <c r="E85" s="57" t="n">
        <v>5.1</v>
      </c>
      <c r="F85" s="58" t="n">
        <v>100</v>
      </c>
    </row>
    <row r="86">
      <c r="A86" s="59" t="inlineStr">
        <is>
          <t>Hospitals / clinics|&lt;10x</t>
        </is>
      </c>
      <c r="B86" s="4" t="inlineStr">
        <is>
          <t>Hospitals / clinics</t>
        </is>
      </c>
      <c r="C86" s="4" t="inlineStr">
        <is>
          <t>&lt;10x</t>
        </is>
      </c>
      <c r="D86" s="50" t="n">
        <v>3</v>
      </c>
      <c r="E86" s="57" t="n">
        <v>-5.6</v>
      </c>
      <c r="F86" s="58" t="n">
        <v>0</v>
      </c>
    </row>
    <row r="87">
      <c r="A87" s="59" t="inlineStr">
        <is>
          <t>Insurance|10-100x</t>
        </is>
      </c>
      <c r="B87" s="4" t="inlineStr">
        <is>
          <t>Insurance</t>
        </is>
      </c>
      <c r="C87" s="4" t="inlineStr">
        <is>
          <t>10-100x</t>
        </is>
      </c>
      <c r="D87" s="50" t="n">
        <v>2</v>
      </c>
      <c r="E87" s="57" t="n">
        <v>3</v>
      </c>
      <c r="F87" s="58" t="n">
        <v>100</v>
      </c>
    </row>
    <row r="88">
      <c r="A88" s="59" t="inlineStr">
        <is>
          <t>Insurance|100-1000x</t>
        </is>
      </c>
      <c r="B88" s="4" t="inlineStr">
        <is>
          <t>Insurance</t>
        </is>
      </c>
      <c r="C88" s="4" t="inlineStr">
        <is>
          <t>100-1000x</t>
        </is>
      </c>
      <c r="D88" s="50" t="n">
        <v>2</v>
      </c>
      <c r="E88" s="57" t="n">
        <v>174.9</v>
      </c>
      <c r="F88" s="58" t="n">
        <v>50</v>
      </c>
    </row>
    <row r="89">
      <c r="A89" s="59" t="inlineStr">
        <is>
          <t>Insurance|&lt;10x</t>
        </is>
      </c>
      <c r="B89" s="4" t="inlineStr">
        <is>
          <t>Insurance</t>
        </is>
      </c>
      <c r="C89" s="4" t="inlineStr">
        <is>
          <t>&lt;10x</t>
        </is>
      </c>
      <c r="D89" s="50" t="n">
        <v>2</v>
      </c>
      <c r="E89" s="57" t="n">
        <v>2.4</v>
      </c>
      <c r="F89" s="58" t="n">
        <v>50</v>
      </c>
    </row>
    <row r="90">
      <c r="A90" s="59" t="inlineStr">
        <is>
          <t>Insurance|&gt;=1000x</t>
        </is>
      </c>
      <c r="B90" s="4" t="inlineStr">
        <is>
          <t>Insurance</t>
        </is>
      </c>
      <c r="C90" s="4" t="inlineStr">
        <is>
          <t>&gt;=1000x</t>
        </is>
      </c>
      <c r="D90" s="50" t="n">
        <v>1</v>
      </c>
      <c r="E90" s="57" t="n">
        <v>158.8</v>
      </c>
      <c r="F90" s="58" t="n">
        <v>100</v>
      </c>
    </row>
    <row r="91">
      <c r="A91" s="59" t="inlineStr">
        <is>
          <t>Internet platform / e-commerce|10-100x</t>
        </is>
      </c>
      <c r="B91" s="4" t="inlineStr">
        <is>
          <t>Internet platform / e-commerce</t>
        </is>
      </c>
      <c r="C91" s="4" t="inlineStr">
        <is>
          <t>10-100x</t>
        </is>
      </c>
      <c r="D91" s="50" t="n">
        <v>8</v>
      </c>
      <c r="E91" s="57" t="n">
        <v>0.4</v>
      </c>
      <c r="F91" s="58" t="n">
        <v>50</v>
      </c>
    </row>
    <row r="92">
      <c r="A92" s="59" t="inlineStr">
        <is>
          <t>Internet platform / e-commerce|100-1000x</t>
        </is>
      </c>
      <c r="B92" s="4" t="inlineStr">
        <is>
          <t>Internet platform / e-commerce</t>
        </is>
      </c>
      <c r="C92" s="4" t="inlineStr">
        <is>
          <t>100-1000x</t>
        </is>
      </c>
      <c r="D92" s="50" t="n">
        <v>5</v>
      </c>
      <c r="E92" s="57" t="n">
        <v>-1</v>
      </c>
      <c r="F92" s="58" t="n">
        <v>20</v>
      </c>
    </row>
    <row r="93">
      <c r="A93" s="59" t="inlineStr">
        <is>
          <t>Internet platform / e-commerce|&lt;10x</t>
        </is>
      </c>
      <c r="B93" s="4" t="inlineStr">
        <is>
          <t>Internet platform / e-commerce</t>
        </is>
      </c>
      <c r="C93" s="4" t="inlineStr">
        <is>
          <t>&lt;10x</t>
        </is>
      </c>
      <c r="D93" s="50" t="n">
        <v>8</v>
      </c>
      <c r="E93" s="57" t="n">
        <v>2.6</v>
      </c>
      <c r="F93" s="58" t="n">
        <v>62</v>
      </c>
    </row>
    <row r="94">
      <c r="A94" s="59" t="inlineStr">
        <is>
          <t>Internet platform / e-commerce|&gt;=1000x</t>
        </is>
      </c>
      <c r="B94" s="4" t="inlineStr">
        <is>
          <t>Internet platform / e-commerce</t>
        </is>
      </c>
      <c r="C94" s="4" t="inlineStr">
        <is>
          <t>&gt;=1000x</t>
        </is>
      </c>
      <c r="D94" s="50" t="n">
        <v>2</v>
      </c>
      <c r="E94" s="57" t="n">
        <v>124.8</v>
      </c>
      <c r="F94" s="58" t="n">
        <v>100</v>
      </c>
    </row>
    <row r="95">
      <c r="A95" s="59" t="inlineStr">
        <is>
          <t>LLM / foundation model|&gt;=1000x</t>
        </is>
      </c>
      <c r="B95" s="4" t="inlineStr">
        <is>
          <t>LLM / foundation model</t>
        </is>
      </c>
      <c r="C95" s="4" t="inlineStr">
        <is>
          <t>&gt;=1000x</t>
        </is>
      </c>
      <c r="D95" s="50" t="n">
        <v>2</v>
      </c>
      <c r="E95" s="57" t="n">
        <v>61.1</v>
      </c>
      <c r="F95" s="58" t="n">
        <v>100</v>
      </c>
    </row>
    <row r="96">
      <c r="A96" s="59" t="inlineStr">
        <is>
          <t>Logistics|10-100x</t>
        </is>
      </c>
      <c r="B96" s="4" t="inlineStr">
        <is>
          <t>Logistics</t>
        </is>
      </c>
      <c r="C96" s="4" t="inlineStr">
        <is>
          <t>10-100x</t>
        </is>
      </c>
      <c r="D96" s="50" t="n">
        <v>4</v>
      </c>
      <c r="E96" s="57" t="n">
        <v>-1</v>
      </c>
      <c r="F96" s="58" t="n">
        <v>25</v>
      </c>
    </row>
    <row r="97">
      <c r="A97" s="59" t="inlineStr">
        <is>
          <t>Logistics|100-1000x</t>
        </is>
      </c>
      <c r="B97" s="4" t="inlineStr">
        <is>
          <t>Logistics</t>
        </is>
      </c>
      <c r="C97" s="4" t="inlineStr">
        <is>
          <t>100-1000x</t>
        </is>
      </c>
      <c r="D97" s="50" t="n">
        <v>3</v>
      </c>
      <c r="E97" s="57" t="n">
        <v>3.3</v>
      </c>
      <c r="F97" s="58" t="n">
        <v>67</v>
      </c>
    </row>
    <row r="98">
      <c r="A98" s="59" t="inlineStr">
        <is>
          <t>Logistics|&lt;10x</t>
        </is>
      </c>
      <c r="B98" s="4" t="inlineStr">
        <is>
          <t>Logistics</t>
        </is>
      </c>
      <c r="C98" s="4" t="inlineStr">
        <is>
          <t>&lt;10x</t>
        </is>
      </c>
      <c r="D98" s="50" t="n">
        <v>5</v>
      </c>
      <c r="E98" s="57" t="n">
        <v>-3.7</v>
      </c>
      <c r="F98" s="58" t="n">
        <v>0</v>
      </c>
    </row>
    <row r="99">
      <c r="A99" s="59" t="inlineStr">
        <is>
          <t>Logistics|&gt;=1000x</t>
        </is>
      </c>
      <c r="B99" s="4" t="inlineStr">
        <is>
          <t>Logistics</t>
        </is>
      </c>
      <c r="C99" s="4" t="inlineStr">
        <is>
          <t>&gt;=1000x</t>
        </is>
      </c>
      <c r="D99" s="50" t="n">
        <v>2</v>
      </c>
      <c r="E99" s="57" t="n">
        <v>-21.7</v>
      </c>
      <c r="F99" s="58" t="n">
        <v>50</v>
      </c>
    </row>
    <row r="100">
      <c r="A100" s="59" t="inlineStr">
        <is>
          <t>Media / advertising|10-100x</t>
        </is>
      </c>
      <c r="B100" s="4" t="inlineStr">
        <is>
          <t>Media / advertising</t>
        </is>
      </c>
      <c r="C100" s="4" t="inlineStr">
        <is>
          <t>10-100x</t>
        </is>
      </c>
      <c r="D100" s="50" t="n">
        <v>6</v>
      </c>
      <c r="E100" s="57" t="n">
        <v>30.1</v>
      </c>
      <c r="F100" s="58" t="n">
        <v>100</v>
      </c>
    </row>
    <row r="101">
      <c r="A101" s="59" t="inlineStr">
        <is>
          <t>Media / advertising|100-1000x</t>
        </is>
      </c>
      <c r="B101" s="4" t="inlineStr">
        <is>
          <t>Media / advertising</t>
        </is>
      </c>
      <c r="C101" s="4" t="inlineStr">
        <is>
          <t>100-1000x</t>
        </is>
      </c>
      <c r="D101" s="50" t="n">
        <v>2</v>
      </c>
      <c r="E101" s="57" t="n">
        <v>41.8</v>
      </c>
      <c r="F101" s="58" t="n">
        <v>50</v>
      </c>
    </row>
    <row r="102">
      <c r="A102" s="59" t="inlineStr">
        <is>
          <t>Media / advertising|&lt;10x</t>
        </is>
      </c>
      <c r="B102" s="4" t="inlineStr">
        <is>
          <t>Media / advertising</t>
        </is>
      </c>
      <c r="C102" s="4" t="inlineStr">
        <is>
          <t>&lt;10x</t>
        </is>
      </c>
      <c r="D102" s="50" t="n">
        <v>7</v>
      </c>
      <c r="E102" s="57" t="n">
        <v>-4.1</v>
      </c>
      <c r="F102" s="58" t="n">
        <v>29</v>
      </c>
    </row>
    <row r="103">
      <c r="A103" s="59" t="inlineStr">
        <is>
          <t>Media / advertising|&gt;=1000x</t>
        </is>
      </c>
      <c r="B103" s="4" t="inlineStr">
        <is>
          <t>Media / advertising</t>
        </is>
      </c>
      <c r="C103" s="4" t="inlineStr">
        <is>
          <t>&gt;=1000x</t>
        </is>
      </c>
      <c r="D103" s="50" t="n">
        <v>2</v>
      </c>
      <c r="E103" s="57" t="n">
        <v>-6.7</v>
      </c>
      <c r="F103" s="58" t="n">
        <v>50</v>
      </c>
    </row>
    <row r="104">
      <c r="A104" s="59" t="inlineStr">
        <is>
          <t>Medical devices|10-100x</t>
        </is>
      </c>
      <c r="B104" s="4" t="inlineStr">
        <is>
          <t>Medical devices</t>
        </is>
      </c>
      <c r="C104" s="4" t="inlineStr">
        <is>
          <t>10-100x</t>
        </is>
      </c>
      <c r="D104" s="50" t="n">
        <v>4</v>
      </c>
      <c r="E104" s="57" t="n">
        <v>1.6</v>
      </c>
      <c r="F104" s="58" t="n">
        <v>50</v>
      </c>
    </row>
    <row r="105">
      <c r="A105" s="59" t="inlineStr">
        <is>
          <t>Medical devices|100-1000x</t>
        </is>
      </c>
      <c r="B105" s="4" t="inlineStr">
        <is>
          <t>Medical devices</t>
        </is>
      </c>
      <c r="C105" s="4" t="inlineStr">
        <is>
          <t>100-1000x</t>
        </is>
      </c>
      <c r="D105" s="50" t="n">
        <v>6</v>
      </c>
      <c r="E105" s="57" t="n">
        <v>-12.8</v>
      </c>
      <c r="F105" s="58" t="n">
        <v>33</v>
      </c>
    </row>
    <row r="106">
      <c r="A106" s="59" t="inlineStr">
        <is>
          <t>Medical devices|&lt;10x</t>
        </is>
      </c>
      <c r="B106" s="4" t="inlineStr">
        <is>
          <t>Medical devices</t>
        </is>
      </c>
      <c r="C106" s="4" t="inlineStr">
        <is>
          <t>&lt;10x</t>
        </is>
      </c>
      <c r="D106" s="50" t="n">
        <v>9</v>
      </c>
      <c r="E106" s="57" t="n">
        <v>0</v>
      </c>
      <c r="F106" s="58" t="n">
        <v>33</v>
      </c>
    </row>
    <row r="107">
      <c r="A107" s="59" t="inlineStr">
        <is>
          <t>Medical devices|&gt;=1000x</t>
        </is>
      </c>
      <c r="B107" s="4" t="inlineStr">
        <is>
          <t>Medical devices</t>
        </is>
      </c>
      <c r="C107" s="4" t="inlineStr">
        <is>
          <t>&gt;=1000x</t>
        </is>
      </c>
      <c r="D107" s="50" t="n">
        <v>6</v>
      </c>
      <c r="E107" s="57" t="n">
        <v>115</v>
      </c>
      <c r="F107" s="58" t="n">
        <v>100</v>
      </c>
    </row>
    <row r="108">
      <c r="A108" s="59" t="inlineStr">
        <is>
          <t>Mining / metals|10-100x</t>
        </is>
      </c>
      <c r="B108" s="4" t="inlineStr">
        <is>
          <t>Mining / metals</t>
        </is>
      </c>
      <c r="C108" s="4" t="inlineStr">
        <is>
          <t>10-100x</t>
        </is>
      </c>
      <c r="D108" s="50" t="n">
        <v>1</v>
      </c>
      <c r="E108" s="57" t="n">
        <v>143.1</v>
      </c>
      <c r="F108" s="58" t="n">
        <v>100</v>
      </c>
    </row>
    <row r="109">
      <c r="A109" s="59" t="inlineStr">
        <is>
          <t>Mining / metals|100-1000x</t>
        </is>
      </c>
      <c r="B109" s="4" t="inlineStr">
        <is>
          <t>Mining / metals</t>
        </is>
      </c>
      <c r="C109" s="4" t="inlineStr">
        <is>
          <t>100-1000x</t>
        </is>
      </c>
      <c r="D109" s="50" t="n">
        <v>2</v>
      </c>
      <c r="E109" s="57" t="n">
        <v>47.2</v>
      </c>
      <c r="F109" s="58" t="n">
        <v>100</v>
      </c>
    </row>
    <row r="110">
      <c r="A110" s="59" t="inlineStr">
        <is>
          <t>Mining / metals|&lt;10x</t>
        </is>
      </c>
      <c r="B110" s="4" t="inlineStr">
        <is>
          <t>Mining / metals</t>
        </is>
      </c>
      <c r="C110" s="4" t="inlineStr">
        <is>
          <t>&lt;10x</t>
        </is>
      </c>
      <c r="D110" s="50" t="n">
        <v>6</v>
      </c>
      <c r="E110" s="57" t="n">
        <v>0</v>
      </c>
      <c r="F110" s="58" t="n">
        <v>17</v>
      </c>
    </row>
    <row r="111">
      <c r="A111" s="59" t="inlineStr">
        <is>
          <t>Mining / metals|&gt;=1000x</t>
        </is>
      </c>
      <c r="B111" s="4" t="inlineStr">
        <is>
          <t>Mining / metals</t>
        </is>
      </c>
      <c r="C111" s="4" t="inlineStr">
        <is>
          <t>&gt;=1000x</t>
        </is>
      </c>
      <c r="D111" s="50" t="n">
        <v>3</v>
      </c>
      <c r="E111" s="57" t="n">
        <v>90.7</v>
      </c>
      <c r="F111" s="58" t="n">
        <v>100</v>
      </c>
    </row>
    <row r="112">
      <c r="A112" s="59" t="inlineStr">
        <is>
          <t>Oil &amp; gas / utilities|10-100x</t>
        </is>
      </c>
      <c r="B112" s="4" t="inlineStr">
        <is>
          <t>Oil &amp; gas / utilities</t>
        </is>
      </c>
      <c r="C112" s="4" t="inlineStr">
        <is>
          <t>10-100x</t>
        </is>
      </c>
      <c r="D112" s="50" t="n">
        <v>2</v>
      </c>
      <c r="E112" s="57" t="n">
        <v>15.1</v>
      </c>
      <c r="F112" s="58" t="n">
        <v>50</v>
      </c>
    </row>
    <row r="113">
      <c r="A113" s="59" t="inlineStr">
        <is>
          <t>Oil &amp; gas / utilities|&lt;10x</t>
        </is>
      </c>
      <c r="B113" s="4" t="inlineStr">
        <is>
          <t>Oil &amp; gas / utilities</t>
        </is>
      </c>
      <c r="C113" s="4" t="inlineStr">
        <is>
          <t>&lt;10x</t>
        </is>
      </c>
      <c r="D113" s="50" t="n">
        <v>3</v>
      </c>
      <c r="E113" s="57" t="n">
        <v>0</v>
      </c>
      <c r="F113" s="58" t="n">
        <v>0</v>
      </c>
    </row>
    <row r="114">
      <c r="A114" s="59" t="inlineStr">
        <is>
          <t>Other / unclassified|10-100x</t>
        </is>
      </c>
      <c r="B114" s="4" t="inlineStr">
        <is>
          <t>Other / unclassified</t>
        </is>
      </c>
      <c r="C114" s="4" t="inlineStr">
        <is>
          <t>10-100x</t>
        </is>
      </c>
      <c r="D114" s="50" t="n">
        <v>2</v>
      </c>
      <c r="E114" s="57" t="n">
        <v>-2.2</v>
      </c>
      <c r="F114" s="58" t="n">
        <v>50</v>
      </c>
    </row>
    <row r="115">
      <c r="A115" s="59" t="inlineStr">
        <is>
          <t>Other / unclassified|100-1000x</t>
        </is>
      </c>
      <c r="B115" s="4" t="inlineStr">
        <is>
          <t>Other / unclassified</t>
        </is>
      </c>
      <c r="C115" s="4" t="inlineStr">
        <is>
          <t>100-1000x</t>
        </is>
      </c>
      <c r="D115" s="50" t="n">
        <v>1</v>
      </c>
      <c r="E115" s="57" t="n">
        <v>32.8</v>
      </c>
      <c r="F115" s="58" t="n">
        <v>100</v>
      </c>
    </row>
    <row r="116">
      <c r="A116" s="59" t="inlineStr">
        <is>
          <t>Other / unclassified|&lt;10x</t>
        </is>
      </c>
      <c r="B116" s="4" t="inlineStr">
        <is>
          <t>Other / unclassified</t>
        </is>
      </c>
      <c r="C116" s="4" t="inlineStr">
        <is>
          <t>&lt;10x</t>
        </is>
      </c>
      <c r="D116" s="50" t="n">
        <v>1</v>
      </c>
      <c r="E116" s="57" t="n">
        <v>38.1</v>
      </c>
      <c r="F116" s="58" t="n">
        <v>100</v>
      </c>
    </row>
    <row r="117">
      <c r="A117" s="59" t="inlineStr">
        <is>
          <t>Other / unclassified|&gt;=1000x</t>
        </is>
      </c>
      <c r="B117" s="4" t="inlineStr">
        <is>
          <t>Other / unclassified</t>
        </is>
      </c>
      <c r="C117" s="4" t="inlineStr">
        <is>
          <t>&gt;=1000x</t>
        </is>
      </c>
      <c r="D117" s="50" t="n">
        <v>4</v>
      </c>
      <c r="E117" s="57" t="n">
        <v>35</v>
      </c>
      <c r="F117" s="58" t="n">
        <v>100</v>
      </c>
    </row>
    <row r="118">
      <c r="A118" s="59" t="inlineStr">
        <is>
          <t>Payments / lending (non-platform)|10-100x</t>
        </is>
      </c>
      <c r="B118" s="4" t="inlineStr">
        <is>
          <t>Payments / lending (non-platform)</t>
        </is>
      </c>
      <c r="C118" s="4" t="inlineStr">
        <is>
          <t>10-100x</t>
        </is>
      </c>
      <c r="D118" s="50" t="n">
        <v>1</v>
      </c>
      <c r="E118" s="57" t="n">
        <v>-0.6</v>
      </c>
      <c r="F118" s="58" t="n">
        <v>0</v>
      </c>
    </row>
    <row r="119">
      <c r="A119" s="59" t="inlineStr">
        <is>
          <t>Property management|10-100x</t>
        </is>
      </c>
      <c r="B119" s="4" t="inlineStr">
        <is>
          <t>Property management</t>
        </is>
      </c>
      <c r="C119" s="4" t="inlineStr">
        <is>
          <t>10-100x</t>
        </is>
      </c>
      <c r="D119" s="50" t="n">
        <v>4</v>
      </c>
      <c r="E119" s="57" t="n">
        <v>-0.4</v>
      </c>
      <c r="F119" s="58" t="n">
        <v>50</v>
      </c>
    </row>
    <row r="120">
      <c r="A120" s="59" t="inlineStr">
        <is>
          <t>Property management|100-1000x</t>
        </is>
      </c>
      <c r="B120" s="4" t="inlineStr">
        <is>
          <t>Property management</t>
        </is>
      </c>
      <c r="C120" s="4" t="inlineStr">
        <is>
          <t>100-1000x</t>
        </is>
      </c>
      <c r="D120" s="50" t="n">
        <v>1</v>
      </c>
      <c r="E120" s="57" t="n">
        <v>-11.5</v>
      </c>
      <c r="F120" s="58" t="n">
        <v>0</v>
      </c>
    </row>
    <row r="121">
      <c r="A121" s="59" t="inlineStr">
        <is>
          <t>Property management|&lt;10x</t>
        </is>
      </c>
      <c r="B121" s="4" t="inlineStr">
        <is>
          <t>Property management</t>
        </is>
      </c>
      <c r="C121" s="4" t="inlineStr">
        <is>
          <t>&lt;10x</t>
        </is>
      </c>
      <c r="D121" s="50" t="n">
        <v>17</v>
      </c>
      <c r="E121" s="57" t="n">
        <v>0</v>
      </c>
      <c r="F121" s="58" t="n">
        <v>29</v>
      </c>
    </row>
    <row r="122">
      <c r="A122" s="59" t="inlineStr">
        <is>
          <t>Property management|&gt;=1000x</t>
        </is>
      </c>
      <c r="B122" s="4" t="inlineStr">
        <is>
          <t>Property management</t>
        </is>
      </c>
      <c r="C122" s="4" t="inlineStr">
        <is>
          <t>&gt;=1000x</t>
        </is>
      </c>
      <c r="D122" s="50" t="n">
        <v>2</v>
      </c>
      <c r="E122" s="57" t="n">
        <v>19.9</v>
      </c>
      <c r="F122" s="58" t="n">
        <v>100</v>
      </c>
    </row>
    <row r="123">
      <c r="A123" s="59" t="inlineStr">
        <is>
          <t>Retail / distribution|10-100x</t>
        </is>
      </c>
      <c r="B123" s="4" t="inlineStr">
        <is>
          <t>Retail / distribution</t>
        </is>
      </c>
      <c r="C123" s="4" t="inlineStr">
        <is>
          <t>10-100x</t>
        </is>
      </c>
      <c r="D123" s="50" t="n">
        <v>6</v>
      </c>
      <c r="E123" s="57" t="n">
        <v>16.1</v>
      </c>
      <c r="F123" s="58" t="n">
        <v>67</v>
      </c>
    </row>
    <row r="124">
      <c r="A124" s="59" t="inlineStr">
        <is>
          <t>Retail / distribution|100-1000x</t>
        </is>
      </c>
      <c r="B124" s="4" t="inlineStr">
        <is>
          <t>Retail / distribution</t>
        </is>
      </c>
      <c r="C124" s="4" t="inlineStr">
        <is>
          <t>100-1000x</t>
        </is>
      </c>
      <c r="D124" s="50" t="n">
        <v>2</v>
      </c>
      <c r="E124" s="57" t="n">
        <v>-9.4</v>
      </c>
      <c r="F124" s="58" t="n">
        <v>50</v>
      </c>
    </row>
    <row r="125">
      <c r="A125" s="59" t="inlineStr">
        <is>
          <t>Retail / distribution|&lt;10x</t>
        </is>
      </c>
      <c r="B125" s="4" t="inlineStr">
        <is>
          <t>Retail / distribution</t>
        </is>
      </c>
      <c r="C125" s="4" t="inlineStr">
        <is>
          <t>&lt;10x</t>
        </is>
      </c>
      <c r="D125" s="50" t="n">
        <v>4</v>
      </c>
      <c r="E125" s="57" t="n">
        <v>0</v>
      </c>
      <c r="F125" s="58" t="n">
        <v>0</v>
      </c>
    </row>
    <row r="126">
      <c r="A126" s="59" t="inlineStr">
        <is>
          <t>Retail / distribution|&gt;=1000x</t>
        </is>
      </c>
      <c r="B126" s="4" t="inlineStr">
        <is>
          <t>Retail / distribution</t>
        </is>
      </c>
      <c r="C126" s="4" t="inlineStr">
        <is>
          <t>&gt;=1000x</t>
        </is>
      </c>
      <c r="D126" s="50" t="n">
        <v>3</v>
      </c>
      <c r="E126" s="57" t="n">
        <v>58.3</v>
      </c>
      <c r="F126" s="58" t="n">
        <v>100</v>
      </c>
    </row>
    <row r="127">
      <c r="A127" s="59" t="inlineStr">
        <is>
          <t>Robotics &amp; autonomous driving|10-100x</t>
        </is>
      </c>
      <c r="B127" s="4" t="inlineStr">
        <is>
          <t>Robotics &amp; autonomous driving</t>
        </is>
      </c>
      <c r="C127" s="4" t="inlineStr">
        <is>
          <t>10-100x</t>
        </is>
      </c>
      <c r="D127" s="50" t="n">
        <v>4</v>
      </c>
      <c r="E127" s="57" t="n">
        <v>2.4</v>
      </c>
      <c r="F127" s="58" t="n">
        <v>50</v>
      </c>
    </row>
    <row r="128">
      <c r="A128" s="59" t="inlineStr">
        <is>
          <t>Robotics &amp; autonomous driving|100-1000x</t>
        </is>
      </c>
      <c r="B128" s="4" t="inlineStr">
        <is>
          <t>Robotics &amp; autonomous driving</t>
        </is>
      </c>
      <c r="C128" s="4" t="inlineStr">
        <is>
          <t>100-1000x</t>
        </is>
      </c>
      <c r="D128" s="50" t="n">
        <v>6</v>
      </c>
      <c r="E128" s="57" t="n">
        <v>7.7</v>
      </c>
      <c r="F128" s="58" t="n">
        <v>83</v>
      </c>
    </row>
    <row r="129">
      <c r="A129" s="59" t="inlineStr">
        <is>
          <t>Robotics &amp; autonomous driving|&lt;10x</t>
        </is>
      </c>
      <c r="B129" s="4" t="inlineStr">
        <is>
          <t>Robotics &amp; autonomous driving</t>
        </is>
      </c>
      <c r="C129" s="4" t="inlineStr">
        <is>
          <t>&lt;10x</t>
        </is>
      </c>
      <c r="D129" s="50" t="n">
        <v>4</v>
      </c>
      <c r="E129" s="57" t="n">
        <v>0.4</v>
      </c>
      <c r="F129" s="58" t="n">
        <v>50</v>
      </c>
    </row>
    <row r="130">
      <c r="A130" s="59" t="inlineStr">
        <is>
          <t>Robotics &amp; autonomous driving|&gt;=1000x</t>
        </is>
      </c>
      <c r="B130" s="4" t="inlineStr">
        <is>
          <t>Robotics &amp; autonomous driving</t>
        </is>
      </c>
      <c r="C130" s="4" t="inlineStr">
        <is>
          <t>&gt;=1000x</t>
        </is>
      </c>
      <c r="D130" s="50" t="n">
        <v>7</v>
      </c>
      <c r="E130" s="57" t="n">
        <v>26.1</v>
      </c>
      <c r="F130" s="58" t="n">
        <v>86</v>
      </c>
    </row>
    <row r="131">
      <c r="A131" s="59" t="inlineStr">
        <is>
          <t>SaaS / enterprise software|10-100x</t>
        </is>
      </c>
      <c r="B131" s="4" t="inlineStr">
        <is>
          <t>SaaS / enterprise software</t>
        </is>
      </c>
      <c r="C131" s="4" t="inlineStr">
        <is>
          <t>10-100x</t>
        </is>
      </c>
      <c r="D131" s="50" t="n">
        <v>7</v>
      </c>
      <c r="E131" s="57" t="n">
        <v>0.6</v>
      </c>
      <c r="F131" s="58" t="n">
        <v>71</v>
      </c>
    </row>
    <row r="132">
      <c r="A132" s="59" t="inlineStr">
        <is>
          <t>SaaS / enterprise software|100-1000x</t>
        </is>
      </c>
      <c r="B132" s="4" t="inlineStr">
        <is>
          <t>SaaS / enterprise software</t>
        </is>
      </c>
      <c r="C132" s="4" t="inlineStr">
        <is>
          <t>100-1000x</t>
        </is>
      </c>
      <c r="D132" s="50" t="n">
        <v>4</v>
      </c>
      <c r="E132" s="57" t="n">
        <v>1</v>
      </c>
      <c r="F132" s="58" t="n">
        <v>50</v>
      </c>
    </row>
    <row r="133">
      <c r="A133" s="59" t="inlineStr">
        <is>
          <t>SaaS / enterprise software|&lt;10x</t>
        </is>
      </c>
      <c r="B133" s="4" t="inlineStr">
        <is>
          <t>SaaS / enterprise software</t>
        </is>
      </c>
      <c r="C133" s="4" t="inlineStr">
        <is>
          <t>&lt;10x</t>
        </is>
      </c>
      <c r="D133" s="50" t="n">
        <v>8</v>
      </c>
      <c r="E133" s="57" t="n">
        <v>0.5</v>
      </c>
      <c r="F133" s="58" t="n">
        <v>50</v>
      </c>
    </row>
    <row r="134">
      <c r="A134" s="59" t="inlineStr">
        <is>
          <t>SaaS / enterprise software|&gt;=1000x</t>
        </is>
      </c>
      <c r="B134" s="4" t="inlineStr">
        <is>
          <t>SaaS / enterprise software</t>
        </is>
      </c>
      <c r="C134" s="4" t="inlineStr">
        <is>
          <t>&gt;=1000x</t>
        </is>
      </c>
      <c r="D134" s="50" t="n">
        <v>4</v>
      </c>
      <c r="E134" s="57" t="n">
        <v>131</v>
      </c>
      <c r="F134" s="58" t="n">
        <v>100</v>
      </c>
    </row>
    <row r="135">
      <c r="A135" s="59" t="inlineStr">
        <is>
          <t>Smart hardware / consumer electronics|10-100x</t>
        </is>
      </c>
      <c r="B135" s="4" t="inlineStr">
        <is>
          <t>Smart hardware / consumer electronics</t>
        </is>
      </c>
      <c r="C135" s="4" t="inlineStr">
        <is>
          <t>10-100x</t>
        </is>
      </c>
      <c r="D135" s="50" t="n">
        <v>3</v>
      </c>
      <c r="E135" s="57" t="n">
        <v>-2</v>
      </c>
      <c r="F135" s="58" t="n">
        <v>33</v>
      </c>
    </row>
    <row r="136">
      <c r="A136" s="59" t="inlineStr">
        <is>
          <t>Smart hardware / consumer electronics|100-1000x</t>
        </is>
      </c>
      <c r="B136" s="4" t="inlineStr">
        <is>
          <t>Smart hardware / consumer electronics</t>
        </is>
      </c>
      <c r="C136" s="4" t="inlineStr">
        <is>
          <t>100-1000x</t>
        </is>
      </c>
      <c r="D136" s="50" t="n">
        <v>11</v>
      </c>
      <c r="E136" s="57" t="n">
        <v>4.7</v>
      </c>
      <c r="F136" s="58" t="n">
        <v>64</v>
      </c>
    </row>
    <row r="137">
      <c r="A137" s="59" t="inlineStr">
        <is>
          <t>Smart hardware / consumer electronics|&lt;10x</t>
        </is>
      </c>
      <c r="B137" s="4" t="inlineStr">
        <is>
          <t>Smart hardware / consumer electronics</t>
        </is>
      </c>
      <c r="C137" s="4" t="inlineStr">
        <is>
          <t>&lt;10x</t>
        </is>
      </c>
      <c r="D137" s="50" t="n">
        <v>4</v>
      </c>
      <c r="E137" s="57" t="n">
        <v>-3.4</v>
      </c>
      <c r="F137" s="58" t="n">
        <v>25</v>
      </c>
    </row>
    <row r="138">
      <c r="A138" s="59" t="inlineStr">
        <is>
          <t>Smart hardware / consumer electronics|&gt;=1000x</t>
        </is>
      </c>
      <c r="B138" s="4" t="inlineStr">
        <is>
          <t>Smart hardware / consumer electronics</t>
        </is>
      </c>
      <c r="C138" s="4" t="inlineStr">
        <is>
          <t>&gt;=1000x</t>
        </is>
      </c>
      <c r="D138" s="50" t="n">
        <v>10</v>
      </c>
      <c r="E138" s="57" t="n">
        <v>18.1</v>
      </c>
      <c r="F138" s="58" t="n">
        <v>100</v>
      </c>
    </row>
    <row r="139">
      <c r="A139" s="59" t="inlineStr">
        <is>
          <t>Solar / wind supply chain|100-1000x</t>
        </is>
      </c>
      <c r="B139" s="4" t="inlineStr">
        <is>
          <t>Solar / wind supply chain</t>
        </is>
      </c>
      <c r="C139" s="4" t="inlineStr">
        <is>
          <t>100-1000x</t>
        </is>
      </c>
      <c r="D139" s="50" t="n">
        <v>1</v>
      </c>
      <c r="E139" s="57" t="n">
        <v>0</v>
      </c>
      <c r="F139" s="58" t="n">
        <v>0</v>
      </c>
    </row>
    <row r="140">
      <c r="A140" s="59" t="inlineStr">
        <is>
          <t>Solar / wind supply chain|&lt;10x</t>
        </is>
      </c>
      <c r="B140" s="4" t="inlineStr">
        <is>
          <t>Solar / wind supply chain</t>
        </is>
      </c>
      <c r="C140" s="4" t="inlineStr">
        <is>
          <t>&lt;10x</t>
        </is>
      </c>
      <c r="D140" s="50" t="n">
        <v>1</v>
      </c>
      <c r="E140" s="57" t="n">
        <v>20.1</v>
      </c>
      <c r="F140" s="58" t="n">
        <v>100</v>
      </c>
    </row>
    <row r="141">
      <c r="A141" s="59" t="inlineStr">
        <is>
          <t>TCM|100-1000x</t>
        </is>
      </c>
      <c r="B141" s="4" t="inlineStr">
        <is>
          <t>TCM</t>
        </is>
      </c>
      <c r="C141" s="4" t="inlineStr">
        <is>
          <t>100-1000x</t>
        </is>
      </c>
      <c r="D141" s="50" t="n">
        <v>1</v>
      </c>
      <c r="E141" s="57" t="n">
        <v>-39.1</v>
      </c>
      <c r="F141" s="58" t="n">
        <v>0</v>
      </c>
    </row>
    <row r="142">
      <c r="A142" s="59" t="inlineStr">
        <is>
          <t>TCM|&lt;10x</t>
        </is>
      </c>
      <c r="B142" s="4" t="inlineStr">
        <is>
          <t>TCM</t>
        </is>
      </c>
      <c r="C142" s="4" t="inlineStr">
        <is>
          <t>&lt;10x</t>
        </is>
      </c>
      <c r="D142" s="50" t="n">
        <v>2</v>
      </c>
      <c r="E142" s="57" t="n">
        <v>3.4</v>
      </c>
      <c r="F142" s="58" t="n">
        <v>50</v>
      </c>
    </row>
    <row r="143">
      <c r="A143" s="59" t="inlineStr">
        <is>
          <t>TCM|&gt;=1000x</t>
        </is>
      </c>
      <c r="B143" s="4" t="inlineStr">
        <is>
          <t>TCM</t>
        </is>
      </c>
      <c r="C143" s="4" t="inlineStr">
        <is>
          <t>&gt;=1000x</t>
        </is>
      </c>
      <c r="D143" s="50" t="n">
        <v>1</v>
      </c>
      <c r="E143" s="57" t="n">
        <v>10.4</v>
      </c>
      <c r="F143" s="58" t="n">
        <v>100</v>
      </c>
    </row>
    <row r="144">
      <c r="A144" s="59" t="inlineStr">
        <is>
          <t>Telecom|100-1000x</t>
        </is>
      </c>
      <c r="B144" s="4" t="inlineStr">
        <is>
          <t>Telecom</t>
        </is>
      </c>
      <c r="C144" s="4" t="inlineStr">
        <is>
          <t>100-1000x</t>
        </is>
      </c>
      <c r="D144" s="50" t="n">
        <v>1</v>
      </c>
      <c r="E144" s="57" t="n">
        <v>-46.4</v>
      </c>
      <c r="F144" s="58" t="n">
        <v>0</v>
      </c>
    </row>
    <row r="145">
      <c r="A145" s="59" t="inlineStr">
        <is>
          <t>Telecom|&lt;10x</t>
        </is>
      </c>
      <c r="B145" s="4" t="inlineStr">
        <is>
          <t>Telecom</t>
        </is>
      </c>
      <c r="C145" s="4" t="inlineStr">
        <is>
          <t>&lt;10x</t>
        </is>
      </c>
      <c r="D145" s="50" t="n">
        <v>1</v>
      </c>
      <c r="E145" s="57" t="n">
        <v>-11.2</v>
      </c>
      <c r="F145" s="58" t="n">
        <v>0</v>
      </c>
    </row>
    <row r="146"/>
    <row r="147">
      <c r="A147" s="3" t="inlineStr">
        <is>
          <t>BY SUBSECTOR (any subscription)</t>
        </is>
      </c>
    </row>
    <row r="148">
      <c r="A148" s="7" t="inlineStr">
        <is>
          <t>Subsector</t>
        </is>
      </c>
      <c r="B148" s="7" t="inlineStr">
        <is>
          <t>n</t>
        </is>
      </c>
      <c r="C148" s="7" t="inlineStr">
        <is>
          <t>Median day-1</t>
        </is>
      </c>
      <c r="D148" s="7" t="inlineStr">
        <is>
          <t>Hit-rate</t>
        </is>
      </c>
      <c r="E148" s="7" t="inlineStr">
        <is>
          <t>Median P/E</t>
        </is>
      </c>
      <c r="F148" s="7" t="inlineStr">
        <is>
          <t>Median P/S</t>
        </is>
      </c>
      <c r="G148" s="7" t="inlineStr">
        <is>
          <t>n P/E</t>
        </is>
      </c>
      <c r="H148" s="7" t="inlineStr">
        <is>
          <t>n P/S</t>
        </is>
      </c>
    </row>
    <row r="149">
      <c r="A149" s="4" t="inlineStr">
        <is>
          <t>AI application / agent software</t>
        </is>
      </c>
      <c r="B149" s="50" t="n">
        <v>16</v>
      </c>
      <c r="C149" s="57" t="n">
        <v>64.3</v>
      </c>
      <c r="D149" s="58" t="n">
        <v>81</v>
      </c>
      <c r="E149" s="60" t="n">
        <v>162.6</v>
      </c>
      <c r="F149" s="60" t="n">
        <v>15.9</v>
      </c>
      <c r="G149" s="50" t="n">
        <v>2</v>
      </c>
      <c r="H149" s="50" t="n">
        <v>12</v>
      </c>
    </row>
    <row r="150">
      <c r="A150" s="4" t="inlineStr">
        <is>
          <t>AI chips &amp; semis</t>
        </is>
      </c>
      <c r="B150" s="50" t="n">
        <v>26</v>
      </c>
      <c r="C150" s="57" t="n">
        <v>12.2</v>
      </c>
      <c r="D150" s="58" t="n">
        <v>77</v>
      </c>
      <c r="E150" s="60" t="n">
        <v>87.8</v>
      </c>
      <c r="F150" s="60" t="n">
        <v>19.8</v>
      </c>
      <c r="G150" s="50" t="n">
        <v>10</v>
      </c>
      <c r="H150" s="50" t="n">
        <v>17</v>
      </c>
    </row>
    <row r="151">
      <c r="A151" s="4" t="inlineStr">
        <is>
          <t>Apparel / luxury</t>
        </is>
      </c>
      <c r="B151" s="50" t="n">
        <v>5</v>
      </c>
      <c r="C151" s="57" t="n">
        <v>25</v>
      </c>
      <c r="D151" s="58" t="n">
        <v>80</v>
      </c>
      <c r="E151" s="60" t="n">
        <v>22.8</v>
      </c>
      <c r="F151" s="60" t="n">
        <v>1.8</v>
      </c>
      <c r="G151" s="50" t="n">
        <v>4</v>
      </c>
      <c r="H151" s="50" t="n">
        <v>4</v>
      </c>
    </row>
    <row r="152">
      <c r="A152" s="4" t="inlineStr">
        <is>
          <t>Auto parts / supply chain</t>
        </is>
      </c>
      <c r="B152" s="50" t="n">
        <v>9</v>
      </c>
      <c r="C152" s="57" t="n">
        <v>2.1</v>
      </c>
      <c r="D152" s="58" t="n">
        <v>56</v>
      </c>
      <c r="E152" s="60" t="n">
        <v>20.3</v>
      </c>
      <c r="F152" s="60" t="n">
        <v>3</v>
      </c>
      <c r="G152" s="50" t="n">
        <v>4</v>
      </c>
      <c r="H152" s="50" t="n">
        <v>7</v>
      </c>
    </row>
    <row r="153">
      <c r="A153" s="4" t="inlineStr">
        <is>
          <t>Autos (NEV OEM)</t>
        </is>
      </c>
      <c r="B153" s="50" t="n">
        <v>6</v>
      </c>
      <c r="C153" s="57" t="n">
        <v>0</v>
      </c>
      <c r="D153" s="58" t="n">
        <v>33</v>
      </c>
      <c r="E153" s="60" t="n">
        <v>15.6</v>
      </c>
      <c r="F153" s="60" t="n">
        <v>0.6</v>
      </c>
      <c r="G153" s="50" t="n">
        <v>2</v>
      </c>
      <c r="H153" s="50" t="n">
        <v>3</v>
      </c>
    </row>
    <row r="154">
      <c r="A154" s="4" t="inlineStr">
        <is>
          <t>Banks</t>
        </is>
      </c>
      <c r="B154" s="50" t="n">
        <v>2</v>
      </c>
      <c r="C154" s="57" t="n">
        <v>2.5</v>
      </c>
      <c r="D154" s="58" t="n">
        <v>100</v>
      </c>
      <c r="E154" s="60" t="n"/>
      <c r="F154" s="60" t="n"/>
      <c r="G154" s="50" t="n">
        <v>0</v>
      </c>
      <c r="H154" s="50" t="n">
        <v>0</v>
      </c>
    </row>
    <row r="155">
      <c r="A155" s="4" t="inlineStr">
        <is>
          <t>Batteries / energy storage</t>
        </is>
      </c>
      <c r="B155" s="50" t="n">
        <v>13</v>
      </c>
      <c r="C155" s="57" t="n">
        <v>2.6</v>
      </c>
      <c r="D155" s="58" t="n">
        <v>77</v>
      </c>
      <c r="E155" s="60" t="n">
        <v>17.8</v>
      </c>
      <c r="F155" s="60" t="n">
        <v>4.5</v>
      </c>
      <c r="G155" s="50" t="n">
        <v>4</v>
      </c>
      <c r="H155" s="50" t="n">
        <v>13</v>
      </c>
    </row>
    <row r="156">
      <c r="A156" s="4" t="inlineStr">
        <is>
          <t>Beauty / personal care</t>
        </is>
      </c>
      <c r="B156" s="50" t="n">
        <v>7</v>
      </c>
      <c r="C156" s="57" t="n">
        <v>9.300000000000001</v>
      </c>
      <c r="D156" s="58" t="n">
        <v>57</v>
      </c>
      <c r="E156" s="60" t="n">
        <v>19.4</v>
      </c>
      <c r="F156" s="60" t="n">
        <v>6.2</v>
      </c>
      <c r="G156" s="50" t="n">
        <v>5</v>
      </c>
      <c r="H156" s="50" t="n">
        <v>6</v>
      </c>
    </row>
    <row r="157">
      <c r="A157" s="4" t="inlineStr">
        <is>
          <t>Beverages / packaged food</t>
        </is>
      </c>
      <c r="B157" s="50" t="n">
        <v>24</v>
      </c>
      <c r="C157" s="57" t="n">
        <v>1.5</v>
      </c>
      <c r="D157" s="58" t="n">
        <v>58</v>
      </c>
      <c r="E157" s="60" t="n">
        <v>17.9</v>
      </c>
      <c r="F157" s="60" t="n">
        <v>2.3</v>
      </c>
      <c r="G157" s="50" t="n">
        <v>22</v>
      </c>
      <c r="H157" s="50" t="n">
        <v>21</v>
      </c>
    </row>
    <row r="158">
      <c r="A158" s="4" t="inlineStr">
        <is>
          <t>Biopharma commercial</t>
        </is>
      </c>
      <c r="B158" s="50" t="n">
        <v>9</v>
      </c>
      <c r="C158" s="57" t="n">
        <v>25.2</v>
      </c>
      <c r="D158" s="58" t="n">
        <v>78</v>
      </c>
      <c r="E158" s="60" t="n">
        <v>33.1</v>
      </c>
      <c r="F158" s="60" t="n">
        <v>11.3</v>
      </c>
      <c r="G158" s="50" t="n">
        <v>5</v>
      </c>
      <c r="H158" s="50" t="n">
        <v>7</v>
      </c>
    </row>
    <row r="159">
      <c r="A159" s="4" t="inlineStr">
        <is>
          <t>Biotech pre-revenue (18A)</t>
        </is>
      </c>
      <c r="B159" s="50" t="n">
        <v>49</v>
      </c>
      <c r="C159" s="57" t="n">
        <v>13.2</v>
      </c>
      <c r="D159" s="58" t="n">
        <v>71</v>
      </c>
      <c r="E159" s="60" t="n"/>
      <c r="F159" s="60" t="n">
        <v>31</v>
      </c>
      <c r="G159" s="50" t="n">
        <v>0</v>
      </c>
      <c r="H159" s="50" t="n">
        <v>8</v>
      </c>
    </row>
    <row r="160">
      <c r="A160" s="4" t="inlineStr">
        <is>
          <t>Brokers / asset management</t>
        </is>
      </c>
      <c r="B160" s="50" t="n">
        <v>4</v>
      </c>
      <c r="C160" s="57" t="n">
        <v>-14.3</v>
      </c>
      <c r="D160" s="58" t="n">
        <v>25</v>
      </c>
      <c r="E160" s="60" t="n">
        <v>30.9</v>
      </c>
      <c r="F160" s="60" t="n">
        <v>3.5</v>
      </c>
      <c r="G160" s="50" t="n">
        <v>3</v>
      </c>
      <c r="H160" s="50" t="n">
        <v>2</v>
      </c>
    </row>
    <row r="161">
      <c r="A161" s="4" t="inlineStr">
        <is>
          <t>CXO / pharma services</t>
        </is>
      </c>
      <c r="B161" s="50" t="n">
        <v>9</v>
      </c>
      <c r="C161" s="57" t="n">
        <v>0.7</v>
      </c>
      <c r="D161" s="58" t="n">
        <v>56</v>
      </c>
      <c r="E161" s="60" t="n">
        <v>66.7</v>
      </c>
      <c r="F161" s="60" t="n">
        <v>15.9</v>
      </c>
      <c r="G161" s="50" t="n">
        <v>5</v>
      </c>
      <c r="H161" s="50" t="n">
        <v>7</v>
      </c>
    </row>
    <row r="162">
      <c r="A162" s="4" t="inlineStr">
        <is>
          <t>Capital goods / machinery</t>
        </is>
      </c>
      <c r="B162" s="50" t="n">
        <v>18</v>
      </c>
      <c r="C162" s="57" t="n">
        <v>1.9</v>
      </c>
      <c r="D162" s="58" t="n">
        <v>61</v>
      </c>
      <c r="E162" s="60" t="n">
        <v>29.2</v>
      </c>
      <c r="F162" s="60" t="n">
        <v>6.1</v>
      </c>
      <c r="G162" s="50" t="n">
        <v>14</v>
      </c>
      <c r="H162" s="50" t="n">
        <v>14</v>
      </c>
    </row>
    <row r="163">
      <c r="A163" s="4" t="inlineStr">
        <is>
          <t>Chemicals</t>
        </is>
      </c>
      <c r="B163" s="50" t="n">
        <v>13</v>
      </c>
      <c r="C163" s="57" t="n">
        <v>0</v>
      </c>
      <c r="D163" s="58" t="n">
        <v>46</v>
      </c>
      <c r="E163" s="60" t="n">
        <v>13.6</v>
      </c>
      <c r="F163" s="60" t="n">
        <v>1.7</v>
      </c>
      <c r="G163" s="50" t="n">
        <v>9</v>
      </c>
      <c r="H163" s="50" t="n">
        <v>12</v>
      </c>
    </row>
    <row r="164">
      <c r="A164" s="4" t="inlineStr">
        <is>
          <t>Construction / engineering</t>
        </is>
      </c>
      <c r="B164" s="50" t="n">
        <v>16</v>
      </c>
      <c r="C164" s="57" t="n">
        <v>-7.5</v>
      </c>
      <c r="D164" s="58" t="n">
        <v>44</v>
      </c>
      <c r="E164" s="60" t="n">
        <v>12.2</v>
      </c>
      <c r="F164" s="60" t="n">
        <v>1.4</v>
      </c>
      <c r="G164" s="50" t="n">
        <v>15</v>
      </c>
      <c r="H164" s="50" t="n">
        <v>14</v>
      </c>
    </row>
    <row r="165">
      <c r="A165" s="4" t="inlineStr">
        <is>
          <t>Consumer services / education</t>
        </is>
      </c>
      <c r="B165" s="50" t="n">
        <v>4</v>
      </c>
      <c r="C165" s="57" t="n">
        <v>6.1</v>
      </c>
      <c r="D165" s="58" t="n">
        <v>50</v>
      </c>
      <c r="E165" s="60" t="n">
        <v>30.3</v>
      </c>
      <c r="F165" s="60" t="n">
        <v>7.1</v>
      </c>
      <c r="G165" s="50" t="n">
        <v>2</v>
      </c>
      <c r="H165" s="50" t="n">
        <v>1</v>
      </c>
    </row>
    <row r="166">
      <c r="A166" s="4" t="inlineStr">
        <is>
          <t>Data center / cloud infra</t>
        </is>
      </c>
      <c r="B166" s="50" t="n">
        <v>2</v>
      </c>
      <c r="C166" s="57" t="n">
        <v>-37.1</v>
      </c>
      <c r="D166" s="58" t="n">
        <v>0</v>
      </c>
      <c r="E166" s="60" t="n">
        <v>135.6</v>
      </c>
      <c r="F166" s="60" t="n">
        <v>3.2</v>
      </c>
      <c r="G166" s="50" t="n">
        <v>1</v>
      </c>
      <c r="H166" s="50" t="n">
        <v>2</v>
      </c>
    </row>
    <row r="167">
      <c r="A167" s="4" t="inlineStr">
        <is>
          <t>Developers</t>
        </is>
      </c>
      <c r="B167" s="50" t="n">
        <v>1</v>
      </c>
      <c r="C167" s="57" t="n">
        <v>0</v>
      </c>
      <c r="D167" s="58" t="n">
        <v>0</v>
      </c>
      <c r="E167" s="60" t="n">
        <v>6.9</v>
      </c>
      <c r="F167" s="60" t="n">
        <v>0.6</v>
      </c>
      <c r="G167" s="50" t="n">
        <v>1</v>
      </c>
      <c r="H167" s="50" t="n">
        <v>1</v>
      </c>
    </row>
    <row r="168">
      <c r="A168" s="4" t="inlineStr">
        <is>
          <t>Digital health</t>
        </is>
      </c>
      <c r="B168" s="50" t="n">
        <v>17</v>
      </c>
      <c r="C168" s="57" t="n">
        <v>5.5</v>
      </c>
      <c r="D168" s="58" t="n">
        <v>59</v>
      </c>
      <c r="E168" s="60" t="n">
        <v>69.8</v>
      </c>
      <c r="F168" s="60" t="n">
        <v>5.6</v>
      </c>
      <c r="G168" s="50" t="n">
        <v>4</v>
      </c>
      <c r="H168" s="50" t="n">
        <v>12</v>
      </c>
    </row>
    <row r="169">
      <c r="A169" s="4" t="inlineStr">
        <is>
          <t>F&amp;B chains / restaurants</t>
        </is>
      </c>
      <c r="B169" s="50" t="n">
        <v>10</v>
      </c>
      <c r="C169" s="57" t="n">
        <v>-3.3</v>
      </c>
      <c r="D169" s="58" t="n">
        <v>40</v>
      </c>
      <c r="E169" s="60" t="n">
        <v>19.4</v>
      </c>
      <c r="F169" s="60" t="n">
        <v>3</v>
      </c>
      <c r="G169" s="50" t="n">
        <v>7</v>
      </c>
      <c r="H169" s="50" t="n">
        <v>8</v>
      </c>
    </row>
    <row r="170">
      <c r="A170" s="4" t="inlineStr">
        <is>
          <t>Fintech platform</t>
        </is>
      </c>
      <c r="B170" s="50" t="n">
        <v>6</v>
      </c>
      <c r="C170" s="57" t="n">
        <v>-3.9</v>
      </c>
      <c r="D170" s="58" t="n">
        <v>33</v>
      </c>
      <c r="E170" s="60" t="n">
        <v>4.4</v>
      </c>
      <c r="F170" s="60" t="n">
        <v>26.5</v>
      </c>
      <c r="G170" s="50" t="n">
        <v>1</v>
      </c>
      <c r="H170" s="50" t="n">
        <v>3</v>
      </c>
    </row>
    <row r="171">
      <c r="A171" s="4" t="inlineStr">
        <is>
          <t>Gaming / entertainment tech</t>
        </is>
      </c>
      <c r="B171" s="50" t="n">
        <v>1</v>
      </c>
      <c r="C171" s="57" t="n">
        <v>-4.6</v>
      </c>
      <c r="D171" s="58" t="n">
        <v>0</v>
      </c>
      <c r="E171" s="60" t="n">
        <v>61.6</v>
      </c>
      <c r="F171" s="60" t="n">
        <v>5.7</v>
      </c>
      <c r="G171" s="50" t="n">
        <v>1</v>
      </c>
      <c r="H171" s="50" t="n">
        <v>1</v>
      </c>
    </row>
    <row r="172">
      <c r="A172" s="4" t="inlineStr">
        <is>
          <t>Hospitals / clinics</t>
        </is>
      </c>
      <c r="B172" s="50" t="n">
        <v>9</v>
      </c>
      <c r="C172" s="57" t="n">
        <v>0.1</v>
      </c>
      <c r="D172" s="58" t="n">
        <v>56</v>
      </c>
      <c r="E172" s="60" t="n">
        <v>39.1</v>
      </c>
      <c r="F172" s="60" t="n">
        <v>4.7</v>
      </c>
      <c r="G172" s="50" t="n">
        <v>5</v>
      </c>
      <c r="H172" s="50" t="n">
        <v>6</v>
      </c>
    </row>
    <row r="173">
      <c r="A173" s="4" t="inlineStr">
        <is>
          <t>Insurance</t>
        </is>
      </c>
      <c r="B173" s="50" t="n">
        <v>7</v>
      </c>
      <c r="C173" s="57" t="n">
        <v>4.7</v>
      </c>
      <c r="D173" s="58" t="n">
        <v>71</v>
      </c>
      <c r="E173" s="60" t="n">
        <v>16.1</v>
      </c>
      <c r="F173" s="60" t="n">
        <v>4.1</v>
      </c>
      <c r="G173" s="50" t="n">
        <v>2</v>
      </c>
      <c r="H173" s="50" t="n">
        <v>4</v>
      </c>
    </row>
    <row r="174">
      <c r="A174" s="4" t="inlineStr">
        <is>
          <t>Internet platform / e-commerce</t>
        </is>
      </c>
      <c r="B174" s="50" t="n">
        <v>23</v>
      </c>
      <c r="C174" s="57" t="n">
        <v>0.3</v>
      </c>
      <c r="D174" s="58" t="n">
        <v>52</v>
      </c>
      <c r="E174" s="60" t="n">
        <v>31.1</v>
      </c>
      <c r="F174" s="60" t="n">
        <v>3</v>
      </c>
      <c r="G174" s="50" t="n">
        <v>7</v>
      </c>
      <c r="H174" s="50" t="n">
        <v>16</v>
      </c>
    </row>
    <row r="175">
      <c r="A175" s="4" t="inlineStr">
        <is>
          <t>LLM / foundation model</t>
        </is>
      </c>
      <c r="B175" s="50" t="n">
        <v>2</v>
      </c>
      <c r="C175" s="57" t="n">
        <v>61.1</v>
      </c>
      <c r="D175" s="58" t="n">
        <v>100</v>
      </c>
      <c r="E175" s="60" t="n"/>
      <c r="F175" s="60" t="n"/>
      <c r="G175" s="50" t="n">
        <v>0</v>
      </c>
      <c r="H175" s="50" t="n">
        <v>0</v>
      </c>
    </row>
    <row r="176">
      <c r="A176" s="4" t="inlineStr">
        <is>
          <t>Logistics</t>
        </is>
      </c>
      <c r="B176" s="50" t="n">
        <v>15</v>
      </c>
      <c r="C176" s="57" t="n">
        <v>-1.9</v>
      </c>
      <c r="D176" s="58" t="n">
        <v>27</v>
      </c>
      <c r="E176" s="60" t="n">
        <v>13.2</v>
      </c>
      <c r="F176" s="60" t="n">
        <v>1</v>
      </c>
      <c r="G176" s="50" t="n">
        <v>9</v>
      </c>
      <c r="H176" s="50" t="n">
        <v>13</v>
      </c>
    </row>
    <row r="177">
      <c r="A177" s="4" t="inlineStr">
        <is>
          <t>Media / advertising</t>
        </is>
      </c>
      <c r="B177" s="50" t="n">
        <v>17</v>
      </c>
      <c r="C177" s="57" t="n">
        <v>16.6</v>
      </c>
      <c r="D177" s="58" t="n">
        <v>59</v>
      </c>
      <c r="E177" s="60" t="n">
        <v>23.4</v>
      </c>
      <c r="F177" s="60" t="n">
        <v>3.4</v>
      </c>
      <c r="G177" s="50" t="n">
        <v>16</v>
      </c>
      <c r="H177" s="50" t="n">
        <v>15</v>
      </c>
    </row>
    <row r="178">
      <c r="A178" s="4" t="inlineStr">
        <is>
          <t>Medical devices</t>
        </is>
      </c>
      <c r="B178" s="50" t="n">
        <v>25</v>
      </c>
      <c r="C178" s="57" t="n">
        <v>1.2</v>
      </c>
      <c r="D178" s="58" t="n">
        <v>52</v>
      </c>
      <c r="E178" s="60" t="n">
        <v>91.3</v>
      </c>
      <c r="F178" s="60" t="n">
        <v>12.2</v>
      </c>
      <c r="G178" s="50" t="n">
        <v>6</v>
      </c>
      <c r="H178" s="50" t="n">
        <v>7</v>
      </c>
    </row>
    <row r="179">
      <c r="A179" s="4" t="inlineStr">
        <is>
          <t>Mining / metals</t>
        </is>
      </c>
      <c r="B179" s="50" t="n">
        <v>12</v>
      </c>
      <c r="C179" s="57" t="n">
        <v>2</v>
      </c>
      <c r="D179" s="58" t="n">
        <v>58</v>
      </c>
      <c r="E179" s="60" t="n">
        <v>18.2</v>
      </c>
      <c r="F179" s="60" t="n">
        <v>3</v>
      </c>
      <c r="G179" s="50" t="n">
        <v>8</v>
      </c>
      <c r="H179" s="50" t="n">
        <v>9</v>
      </c>
    </row>
    <row r="180">
      <c r="A180" s="4" t="inlineStr">
        <is>
          <t>Oil &amp; gas / utilities</t>
        </is>
      </c>
      <c r="B180" s="50" t="n">
        <v>5</v>
      </c>
      <c r="C180" s="57" t="n">
        <v>0</v>
      </c>
      <c r="D180" s="58" t="n">
        <v>20</v>
      </c>
      <c r="E180" s="60" t="n">
        <v>9.300000000000001</v>
      </c>
      <c r="F180" s="60" t="n">
        <v>0.7</v>
      </c>
      <c r="G180" s="50" t="n">
        <v>5</v>
      </c>
      <c r="H180" s="50" t="n">
        <v>5</v>
      </c>
    </row>
    <row r="181">
      <c r="A181" s="4" t="inlineStr">
        <is>
          <t>Other / unclassified</t>
        </is>
      </c>
      <c r="B181" s="50" t="n">
        <v>8</v>
      </c>
      <c r="C181" s="57" t="n">
        <v>35.5</v>
      </c>
      <c r="D181" s="58" t="n">
        <v>88</v>
      </c>
      <c r="E181" s="60" t="n">
        <v>19.9</v>
      </c>
      <c r="F181" s="60" t="n">
        <v>3.4</v>
      </c>
      <c r="G181" s="50" t="n">
        <v>7</v>
      </c>
      <c r="H181" s="50" t="n">
        <v>8</v>
      </c>
    </row>
    <row r="182">
      <c r="A182" s="4" t="inlineStr">
        <is>
          <t>Payments / lending (non-platform)</t>
        </is>
      </c>
      <c r="B182" s="50" t="n">
        <v>1</v>
      </c>
      <c r="C182" s="57" t="n">
        <v>-0.6</v>
      </c>
      <c r="D182" s="58" t="n">
        <v>0</v>
      </c>
      <c r="E182" s="60" t="n"/>
      <c r="F182" s="60" t="n"/>
      <c r="G182" s="50" t="n">
        <v>0</v>
      </c>
      <c r="H182" s="50" t="n">
        <v>0</v>
      </c>
    </row>
    <row r="183">
      <c r="A183" s="4" t="inlineStr">
        <is>
          <t>Property management</t>
        </is>
      </c>
      <c r="B183" s="50" t="n">
        <v>24</v>
      </c>
      <c r="C183" s="57" t="n">
        <v>0</v>
      </c>
      <c r="D183" s="58" t="n">
        <v>38</v>
      </c>
      <c r="E183" s="60" t="n">
        <v>15.8</v>
      </c>
      <c r="F183" s="60" t="n">
        <v>2.5</v>
      </c>
      <c r="G183" s="50" t="n">
        <v>20</v>
      </c>
      <c r="H183" s="50" t="n">
        <v>22</v>
      </c>
    </row>
    <row r="184">
      <c r="A184" s="4" t="inlineStr">
        <is>
          <t>REITs / asset-light</t>
        </is>
      </c>
      <c r="B184" s="50" t="n">
        <v>1</v>
      </c>
      <c r="C184" s="57" t="n">
        <v>-16.5</v>
      </c>
      <c r="D184" s="58" t="n">
        <v>0</v>
      </c>
      <c r="E184" s="60" t="n">
        <v>153.5</v>
      </c>
      <c r="F184" s="60" t="n">
        <v>14.8</v>
      </c>
      <c r="G184" s="50" t="n">
        <v>1</v>
      </c>
      <c r="H184" s="50" t="n">
        <v>1</v>
      </c>
    </row>
    <row r="185">
      <c r="A185" s="4" t="inlineStr">
        <is>
          <t>Retail / distribution</t>
        </is>
      </c>
      <c r="B185" s="50" t="n">
        <v>15</v>
      </c>
      <c r="C185" s="57" t="n">
        <v>7.1</v>
      </c>
      <c r="D185" s="58" t="n">
        <v>53</v>
      </c>
      <c r="E185" s="60" t="n">
        <v>14.8</v>
      </c>
      <c r="F185" s="60" t="n">
        <v>1.1</v>
      </c>
      <c r="G185" s="50" t="n">
        <v>10</v>
      </c>
      <c r="H185" s="50" t="n">
        <v>14</v>
      </c>
    </row>
    <row r="186">
      <c r="A186" s="4" t="inlineStr">
        <is>
          <t>Robotics &amp; autonomous driving</t>
        </is>
      </c>
      <c r="B186" s="50" t="n">
        <v>21</v>
      </c>
      <c r="C186" s="57" t="n">
        <v>5.4</v>
      </c>
      <c r="D186" s="58" t="n">
        <v>71</v>
      </c>
      <c r="E186" s="60" t="n"/>
      <c r="F186" s="60" t="n">
        <v>11.5</v>
      </c>
      <c r="G186" s="50" t="n">
        <v>0</v>
      </c>
      <c r="H186" s="50" t="n">
        <v>13</v>
      </c>
    </row>
    <row r="187">
      <c r="A187" s="4" t="inlineStr">
        <is>
          <t>SaaS / enterprise software</t>
        </is>
      </c>
      <c r="B187" s="50" t="n">
        <v>23</v>
      </c>
      <c r="C187" s="57" t="n">
        <v>2.6</v>
      </c>
      <c r="D187" s="58" t="n">
        <v>65</v>
      </c>
      <c r="E187" s="60" t="n">
        <v>29.6</v>
      </c>
      <c r="F187" s="60" t="n">
        <v>6.2</v>
      </c>
      <c r="G187" s="50" t="n">
        <v>11</v>
      </c>
      <c r="H187" s="50" t="n">
        <v>22</v>
      </c>
    </row>
    <row r="188">
      <c r="A188" s="4" t="inlineStr">
        <is>
          <t>Smart hardware / consumer electronics</t>
        </is>
      </c>
      <c r="B188" s="50" t="n">
        <v>28</v>
      </c>
      <c r="C188" s="57" t="n">
        <v>8.5</v>
      </c>
      <c r="D188" s="58" t="n">
        <v>68</v>
      </c>
      <c r="E188" s="60" t="n">
        <v>25.4</v>
      </c>
      <c r="F188" s="60" t="n">
        <v>2.2</v>
      </c>
      <c r="G188" s="50" t="n">
        <v>21</v>
      </c>
      <c r="H188" s="50" t="n">
        <v>20</v>
      </c>
    </row>
    <row r="189">
      <c r="A189" s="4" t="inlineStr">
        <is>
          <t>Solar / wind supply chain</t>
        </is>
      </c>
      <c r="B189" s="50" t="n">
        <v>2</v>
      </c>
      <c r="C189" s="57" t="n">
        <v>10</v>
      </c>
      <c r="D189" s="58" t="n">
        <v>50</v>
      </c>
      <c r="E189" s="60" t="n">
        <v>40.4</v>
      </c>
      <c r="F189" s="60" t="n">
        <v>7.2</v>
      </c>
      <c r="G189" s="50" t="n">
        <v>1</v>
      </c>
      <c r="H189" s="50" t="n">
        <v>1</v>
      </c>
    </row>
    <row r="190">
      <c r="A190" s="4" t="inlineStr">
        <is>
          <t>TCM</t>
        </is>
      </c>
      <c r="B190" s="50" t="n">
        <v>4</v>
      </c>
      <c r="C190" s="57" t="n">
        <v>3.4</v>
      </c>
      <c r="D190" s="58" t="n">
        <v>50</v>
      </c>
      <c r="E190" s="60" t="n">
        <v>40.7</v>
      </c>
      <c r="F190" s="60" t="n">
        <v>2.7</v>
      </c>
      <c r="G190" s="50" t="n">
        <v>2</v>
      </c>
      <c r="H190" s="50" t="n">
        <v>4</v>
      </c>
    </row>
    <row r="191">
      <c r="A191" s="4" t="inlineStr">
        <is>
          <t>Telecom</t>
        </is>
      </c>
      <c r="B191" s="50" t="n">
        <v>2</v>
      </c>
      <c r="C191" s="57" t="n">
        <v>-28.8</v>
      </c>
      <c r="D191" s="58" t="n">
        <v>0</v>
      </c>
      <c r="E191" s="60" t="n">
        <v>10.6</v>
      </c>
      <c r="F191" s="60" t="n">
        <v>5.3</v>
      </c>
      <c r="G191" s="50" t="n">
        <v>1</v>
      </c>
      <c r="H191" s="50" t="n">
        <v>2</v>
      </c>
    </row>
    <row r="192"/>
    <row r="193">
      <c r="A193" s="3" t="inlineStr">
        <is>
          <t>BY YEAR x SUBSCRIPTION — does the edge survive a bad tape?</t>
        </is>
      </c>
    </row>
    <row r="194">
      <c r="A194" s="7" t="inlineStr">
        <is>
          <t>Year</t>
        </is>
      </c>
      <c r="B194" s="7" t="inlineStr">
        <is>
          <t>Subscription</t>
        </is>
      </c>
      <c r="C194" s="7" t="inlineStr">
        <is>
          <t>n</t>
        </is>
      </c>
      <c r="D194" s="7" t="inlineStr">
        <is>
          <t>Median day-1</t>
        </is>
      </c>
      <c r="E194" s="7" t="inlineStr">
        <is>
          <t>Hit-rate</t>
        </is>
      </c>
    </row>
    <row r="195">
      <c r="A195" s="4" t="inlineStr">
        <is>
          <t>2021</t>
        </is>
      </c>
      <c r="B195" s="4" t="inlineStr">
        <is>
          <t>10-100x</t>
        </is>
      </c>
      <c r="C195" s="50" t="n">
        <v>24</v>
      </c>
      <c r="D195" s="57" t="n">
        <v>1.1</v>
      </c>
      <c r="E195" s="58" t="n">
        <v>50</v>
      </c>
    </row>
    <row r="196">
      <c r="A196" s="4" t="inlineStr">
        <is>
          <t>2021</t>
        </is>
      </c>
      <c r="B196" s="4" t="inlineStr">
        <is>
          <t>100-1000x</t>
        </is>
      </c>
      <c r="C196" s="50" t="n">
        <v>23</v>
      </c>
      <c r="D196" s="57" t="n">
        <v>-1</v>
      </c>
      <c r="E196" s="58" t="n">
        <v>43</v>
      </c>
    </row>
    <row r="197">
      <c r="A197" s="4" t="inlineStr">
        <is>
          <t>2021</t>
        </is>
      </c>
      <c r="B197" s="4" t="inlineStr">
        <is>
          <t>&lt;10x</t>
        </is>
      </c>
      <c r="C197" s="50" t="n">
        <v>35</v>
      </c>
      <c r="D197" s="57" t="n">
        <v>0</v>
      </c>
      <c r="E197" s="58" t="n">
        <v>31</v>
      </c>
    </row>
    <row r="198">
      <c r="A198" s="4" t="inlineStr">
        <is>
          <t>2021</t>
        </is>
      </c>
      <c r="B198" s="4" t="inlineStr">
        <is>
          <t>&gt;=1000x</t>
        </is>
      </c>
      <c r="C198" s="50" t="n">
        <v>6</v>
      </c>
      <c r="D198" s="57" t="n">
        <v>86.2</v>
      </c>
      <c r="E198" s="58" t="n">
        <v>100</v>
      </c>
    </row>
    <row r="199">
      <c r="A199" s="4" t="inlineStr">
        <is>
          <t>2022</t>
        </is>
      </c>
      <c r="B199" s="4" t="inlineStr">
        <is>
          <t>10-100x</t>
        </is>
      </c>
      <c r="C199" s="50" t="n">
        <v>16</v>
      </c>
      <c r="D199" s="57" t="n">
        <v>0.3</v>
      </c>
      <c r="E199" s="58" t="n">
        <v>50</v>
      </c>
    </row>
    <row r="200">
      <c r="A200" s="4" t="inlineStr">
        <is>
          <t>2022</t>
        </is>
      </c>
      <c r="B200" s="4" t="inlineStr">
        <is>
          <t>100-1000x</t>
        </is>
      </c>
      <c r="C200" s="50" t="n">
        <v>1</v>
      </c>
      <c r="D200" s="57" t="n">
        <v>-27.1</v>
      </c>
      <c r="E200" s="58" t="n">
        <v>0</v>
      </c>
    </row>
    <row r="201">
      <c r="A201" s="4" t="inlineStr">
        <is>
          <t>2022</t>
        </is>
      </c>
      <c r="B201" s="4" t="inlineStr">
        <is>
          <t>&lt;10x</t>
        </is>
      </c>
      <c r="C201" s="50" t="n">
        <v>54</v>
      </c>
      <c r="D201" s="57" t="n">
        <v>0</v>
      </c>
      <c r="E201" s="58" t="n">
        <v>30</v>
      </c>
    </row>
    <row r="202">
      <c r="A202" s="4" t="inlineStr">
        <is>
          <t>2023</t>
        </is>
      </c>
      <c r="B202" s="4" t="inlineStr">
        <is>
          <t>10-100x</t>
        </is>
      </c>
      <c r="C202" s="50" t="n">
        <v>27</v>
      </c>
      <c r="D202" s="57" t="n">
        <v>7.7</v>
      </c>
      <c r="E202" s="58" t="n">
        <v>70</v>
      </c>
    </row>
    <row r="203">
      <c r="A203" s="4" t="inlineStr">
        <is>
          <t>2023</t>
        </is>
      </c>
      <c r="B203" s="4" t="inlineStr">
        <is>
          <t>100-1000x</t>
        </is>
      </c>
      <c r="C203" s="50" t="n">
        <v>1</v>
      </c>
      <c r="D203" s="57" t="n">
        <v>0</v>
      </c>
      <c r="E203" s="58" t="n">
        <v>0</v>
      </c>
    </row>
    <row r="204">
      <c r="A204" s="4" t="inlineStr">
        <is>
          <t>2023</t>
        </is>
      </c>
      <c r="B204" s="4" t="inlineStr">
        <is>
          <t>&lt;10x</t>
        </is>
      </c>
      <c r="C204" s="50" t="n">
        <v>39</v>
      </c>
      <c r="D204" s="57" t="n">
        <v>0</v>
      </c>
      <c r="E204" s="58" t="n">
        <v>49</v>
      </c>
    </row>
    <row r="205">
      <c r="A205" s="4" t="inlineStr">
        <is>
          <t>2024</t>
        </is>
      </c>
      <c r="B205" s="4" t="inlineStr">
        <is>
          <t>10-100x</t>
        </is>
      </c>
      <c r="C205" s="50" t="n">
        <v>24</v>
      </c>
      <c r="D205" s="57" t="n">
        <v>7.5</v>
      </c>
      <c r="E205" s="58" t="n">
        <v>67</v>
      </c>
    </row>
    <row r="206">
      <c r="A206" s="4" t="inlineStr">
        <is>
          <t>2024</t>
        </is>
      </c>
      <c r="B206" s="4" t="inlineStr">
        <is>
          <t>100-1000x</t>
        </is>
      </c>
      <c r="C206" s="50" t="n">
        <v>20</v>
      </c>
      <c r="D206" s="57" t="n">
        <v>5</v>
      </c>
      <c r="E206" s="58" t="n">
        <v>55</v>
      </c>
    </row>
    <row r="207">
      <c r="A207" s="4" t="inlineStr">
        <is>
          <t>2024</t>
        </is>
      </c>
      <c r="B207" s="4" t="inlineStr">
        <is>
          <t>&lt;10x</t>
        </is>
      </c>
      <c r="C207" s="50" t="n">
        <v>20</v>
      </c>
      <c r="D207" s="57" t="n">
        <v>0.2</v>
      </c>
      <c r="E207" s="58" t="n">
        <v>55</v>
      </c>
    </row>
    <row r="208">
      <c r="A208" s="4" t="inlineStr">
        <is>
          <t>2024</t>
        </is>
      </c>
      <c r="B208" s="4" t="inlineStr">
        <is>
          <t>&gt;=1000x</t>
        </is>
      </c>
      <c r="C208" s="50" t="n">
        <v>3</v>
      </c>
      <c r="D208" s="57" t="n">
        <v>47.6</v>
      </c>
      <c r="E208" s="58" t="n">
        <v>100</v>
      </c>
    </row>
    <row r="209">
      <c r="A209" s="4" t="inlineStr">
        <is>
          <t>2025</t>
        </is>
      </c>
      <c r="B209" s="4" t="inlineStr">
        <is>
          <t>10-100x</t>
        </is>
      </c>
      <c r="C209" s="50" t="n">
        <v>24</v>
      </c>
      <c r="D209" s="57" t="n">
        <v>0</v>
      </c>
      <c r="E209" s="58" t="n">
        <v>46</v>
      </c>
    </row>
    <row r="210">
      <c r="A210" s="4" t="inlineStr">
        <is>
          <t>2025</t>
        </is>
      </c>
      <c r="B210" s="4" t="inlineStr">
        <is>
          <t>100-1000x</t>
        </is>
      </c>
      <c r="C210" s="50" t="n">
        <v>40</v>
      </c>
      <c r="D210" s="57" t="n">
        <v>6.5</v>
      </c>
      <c r="E210" s="58" t="n">
        <v>65</v>
      </c>
    </row>
    <row r="211">
      <c r="A211" s="4" t="inlineStr">
        <is>
          <t>2025</t>
        </is>
      </c>
      <c r="B211" s="4" t="inlineStr">
        <is>
          <t>&lt;10x</t>
        </is>
      </c>
      <c r="C211" s="50" t="n">
        <v>9</v>
      </c>
      <c r="D211" s="57" t="n">
        <v>0.8</v>
      </c>
      <c r="E211" s="58" t="n">
        <v>56</v>
      </c>
    </row>
    <row r="212">
      <c r="A212" s="4" t="inlineStr">
        <is>
          <t>2025</t>
        </is>
      </c>
      <c r="B212" s="4" t="inlineStr">
        <is>
          <t>&gt;=1000x</t>
        </is>
      </c>
      <c r="C212" s="50" t="n">
        <v>39</v>
      </c>
      <c r="D212" s="57" t="n">
        <v>78.7</v>
      </c>
      <c r="E212" s="58" t="n">
        <v>92</v>
      </c>
    </row>
    <row r="213">
      <c r="A213" s="4" t="inlineStr">
        <is>
          <t>2026</t>
        </is>
      </c>
      <c r="B213" s="4" t="inlineStr">
        <is>
          <t>10-100x</t>
        </is>
      </c>
      <c r="C213" s="50" t="n">
        <v>9</v>
      </c>
      <c r="D213" s="57" t="n">
        <v>-2</v>
      </c>
      <c r="E213" s="58" t="n">
        <v>33</v>
      </c>
    </row>
    <row r="214">
      <c r="A214" s="4" t="inlineStr">
        <is>
          <t>2026</t>
        </is>
      </c>
      <c r="B214" s="4" t="inlineStr">
        <is>
          <t>100-1000x</t>
        </is>
      </c>
      <c r="C214" s="50" t="n">
        <v>29</v>
      </c>
      <c r="D214" s="57" t="n">
        <v>4.2</v>
      </c>
      <c r="E214" s="58" t="n">
        <v>62</v>
      </c>
    </row>
    <row r="215">
      <c r="A215" s="4" t="inlineStr">
        <is>
          <t>2026</t>
        </is>
      </c>
      <c r="B215" s="4" t="inlineStr">
        <is>
          <t>&lt;10x</t>
        </is>
      </c>
      <c r="C215" s="50" t="n">
        <v>4</v>
      </c>
      <c r="D215" s="57" t="n">
        <v>1.2</v>
      </c>
      <c r="E215" s="58" t="n">
        <v>50</v>
      </c>
    </row>
    <row r="216">
      <c r="A216" s="4" t="inlineStr">
        <is>
          <t>2026</t>
        </is>
      </c>
      <c r="B216" s="4" t="inlineStr">
        <is>
          <t>&gt;=1000x</t>
        </is>
      </c>
      <c r="C216" s="50" t="n">
        <v>58</v>
      </c>
      <c r="D216" s="57" t="n">
        <v>78.09999999999999</v>
      </c>
      <c r="E216" s="58" t="n">
        <v>91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bucket thresholds are INPUT-BLUE (README weights section explains) — counts recompute</t>
        </is>
      </c>
    </row>
    <row r="3"/>
    <row r="4">
      <c r="A4" s="3" t="inlineStr">
        <is>
          <t>Bucket</t>
        </is>
      </c>
      <c r="B4" s="3" t="inlineStr">
        <is>
          <t>Min HK$m</t>
        </is>
      </c>
      <c r="D4" s="7" t="inlineStr">
        <is>
          <t>Year</t>
        </is>
      </c>
      <c r="E4" s="7" t="inlineStr">
        <is>
          <t>Mega</t>
        </is>
      </c>
      <c r="F4" s="7" t="inlineStr">
        <is>
          <t>Large</t>
        </is>
      </c>
      <c r="G4" s="7" t="inlineStr">
        <is>
          <t>Mid</t>
        </is>
      </c>
      <c r="H4" s="7" t="inlineStr">
        <is>
          <t>Small</t>
        </is>
      </c>
      <c r="I4" s="7" t="inlineStr">
        <is>
          <t>Sum HK$bn</t>
        </is>
      </c>
    </row>
    <row r="5">
      <c r="A5" s="4" t="inlineStr">
        <is>
          <t>Mega</t>
        </is>
      </c>
      <c r="B5" s="10" t="n">
        <v>20000</v>
      </c>
      <c r="D5" s="61" t="inlineStr">
        <is>
          <t>2021</t>
        </is>
      </c>
      <c r="E5" s="23">
        <f>COUNTIFS(Database!$G$5:$G$515,"&gt;="&amp;DATE(2021,1,1),Database!$G$5:$G$515,"&lt;="&amp;DATE(2021,12,31),Database!$H$5:$H$515,"&gt;="&amp;$B$5)</f>
        <v/>
      </c>
      <c r="F5" s="23">
        <f>COUNTIFS(Database!$G$5:$G$515,"&gt;="&amp;DATE(2021,1,1),Database!$G$5:$G$515,"&lt;="&amp;DATE(2021,12,31),Database!$H$5:$H$515,"&gt;="&amp;$B$6,Database!$H$5:$H$515,"&lt;"&amp;$B$5)</f>
        <v/>
      </c>
      <c r="G5" s="23">
        <f>COUNTIFS(Database!$G$5:$G$515,"&gt;="&amp;DATE(2021,1,1),Database!$G$5:$G$515,"&lt;="&amp;DATE(2021,12,31),Database!$H$5:$H$515,"&gt;="&amp;$B$7,Database!$H$5:$H$515,"&lt;"&amp;$B$6)</f>
        <v/>
      </c>
      <c r="H5" s="23">
        <f>COUNTIFS(Database!$G$5:$G$515,"&gt;="&amp;DATE(2021,1,1),Database!$G$5:$G$515,"&lt;="&amp;DATE(2021,12,31),Database!$H$5:$H$515,"&gt;="&amp;$B$8,Database!$H$5:$H$515,"&lt;"&amp;$B$7)</f>
        <v/>
      </c>
      <c r="I5" s="14">
        <f>SUMIFS(Database!$H$5:$H$515,Database!$G$5:$G$515,"&gt;="&amp;DATE(2021,1,1),Database!$G$5:$G$515,"&lt;="&amp;DATE(2021,12,31))/1000</f>
        <v/>
      </c>
    </row>
    <row r="6">
      <c r="A6" s="4" t="inlineStr">
        <is>
          <t>Large</t>
        </is>
      </c>
      <c r="B6" s="10" t="n">
        <v>5000</v>
      </c>
      <c r="D6" s="61" t="inlineStr">
        <is>
          <t>2022</t>
        </is>
      </c>
      <c r="E6" s="23">
        <f>COUNTIFS(Database!$G$5:$G$515,"&gt;="&amp;DATE(2022,1,1),Database!$G$5:$G$515,"&lt;="&amp;DATE(2022,12,31),Database!$H$5:$H$515,"&gt;="&amp;$B$5)</f>
        <v/>
      </c>
      <c r="F6" s="23">
        <f>COUNTIFS(Database!$G$5:$G$515,"&gt;="&amp;DATE(2022,1,1),Database!$G$5:$G$515,"&lt;="&amp;DATE(2022,12,31),Database!$H$5:$H$515,"&gt;="&amp;$B$6,Database!$H$5:$H$515,"&lt;"&amp;$B$5)</f>
        <v/>
      </c>
      <c r="G6" s="23">
        <f>COUNTIFS(Database!$G$5:$G$515,"&gt;="&amp;DATE(2022,1,1),Database!$G$5:$G$515,"&lt;="&amp;DATE(2022,12,31),Database!$H$5:$H$515,"&gt;="&amp;$B$7,Database!$H$5:$H$515,"&lt;"&amp;$B$6)</f>
        <v/>
      </c>
      <c r="H6" s="23">
        <f>COUNTIFS(Database!$G$5:$G$515,"&gt;="&amp;DATE(2022,1,1),Database!$G$5:$G$515,"&lt;="&amp;DATE(2022,12,31),Database!$H$5:$H$515,"&gt;="&amp;$B$8,Database!$H$5:$H$515,"&lt;"&amp;$B$7)</f>
        <v/>
      </c>
      <c r="I6" s="14">
        <f>SUMIFS(Database!$H$5:$H$515,Database!$G$5:$G$515,"&gt;="&amp;DATE(2022,1,1),Database!$G$5:$G$515,"&lt;="&amp;DATE(2022,12,31))/1000</f>
        <v/>
      </c>
    </row>
    <row r="7">
      <c r="A7" s="4" t="inlineStr">
        <is>
          <t>Mid</t>
        </is>
      </c>
      <c r="B7" s="10" t="n">
        <v>1000</v>
      </c>
      <c r="D7" s="61" t="inlineStr">
        <is>
          <t>2023</t>
        </is>
      </c>
      <c r="E7" s="23">
        <f>COUNTIFS(Database!$G$5:$G$515,"&gt;="&amp;DATE(2023,1,1),Database!$G$5:$G$515,"&lt;="&amp;DATE(2023,12,31),Database!$H$5:$H$515,"&gt;="&amp;$B$5)</f>
        <v/>
      </c>
      <c r="F7" s="23">
        <f>COUNTIFS(Database!$G$5:$G$515,"&gt;="&amp;DATE(2023,1,1),Database!$G$5:$G$515,"&lt;="&amp;DATE(2023,12,31),Database!$H$5:$H$515,"&gt;="&amp;$B$6,Database!$H$5:$H$515,"&lt;"&amp;$B$5)</f>
        <v/>
      </c>
      <c r="G7" s="23">
        <f>COUNTIFS(Database!$G$5:$G$515,"&gt;="&amp;DATE(2023,1,1),Database!$G$5:$G$515,"&lt;="&amp;DATE(2023,12,31),Database!$H$5:$H$515,"&gt;="&amp;$B$7,Database!$H$5:$H$515,"&lt;"&amp;$B$6)</f>
        <v/>
      </c>
      <c r="H7" s="23">
        <f>COUNTIFS(Database!$G$5:$G$515,"&gt;="&amp;DATE(2023,1,1),Database!$G$5:$G$515,"&lt;="&amp;DATE(2023,12,31),Database!$H$5:$H$515,"&gt;="&amp;$B$8,Database!$H$5:$H$515,"&lt;"&amp;$B$7)</f>
        <v/>
      </c>
      <c r="I7" s="14">
        <f>SUMIFS(Database!$H$5:$H$515,Database!$G$5:$G$515,"&gt;="&amp;DATE(2023,1,1),Database!$G$5:$G$515,"&lt;="&amp;DATE(2023,12,31))/1000</f>
        <v/>
      </c>
    </row>
    <row r="8">
      <c r="A8" s="4" t="inlineStr">
        <is>
          <t>Small</t>
        </is>
      </c>
      <c r="B8" s="10" t="n">
        <v>0</v>
      </c>
      <c r="D8" s="61" t="inlineStr">
        <is>
          <t>2024</t>
        </is>
      </c>
      <c r="E8" s="23">
        <f>COUNTIFS(Database!$G$5:$G$515,"&gt;="&amp;DATE(2024,1,1),Database!$G$5:$G$515,"&lt;="&amp;DATE(2024,12,31),Database!$H$5:$H$515,"&gt;="&amp;$B$5)</f>
        <v/>
      </c>
      <c r="F8" s="23">
        <f>COUNTIFS(Database!$G$5:$G$515,"&gt;="&amp;DATE(2024,1,1),Database!$G$5:$G$515,"&lt;="&amp;DATE(2024,12,31),Database!$H$5:$H$515,"&gt;="&amp;$B$6,Database!$H$5:$H$515,"&lt;"&amp;$B$5)</f>
        <v/>
      </c>
      <c r="G8" s="23">
        <f>COUNTIFS(Database!$G$5:$G$515,"&gt;="&amp;DATE(2024,1,1),Database!$G$5:$G$515,"&lt;="&amp;DATE(2024,12,31),Database!$H$5:$H$515,"&gt;="&amp;$B$7,Database!$H$5:$H$515,"&lt;"&amp;$B$6)</f>
        <v/>
      </c>
      <c r="H8" s="23">
        <f>COUNTIFS(Database!$G$5:$G$515,"&gt;="&amp;DATE(2024,1,1),Database!$G$5:$G$515,"&lt;="&amp;DATE(2024,12,31),Database!$H$5:$H$515,"&gt;="&amp;$B$8,Database!$H$5:$H$515,"&lt;"&amp;$B$7)</f>
        <v/>
      </c>
      <c r="I8" s="14">
        <f>SUMIFS(Database!$H$5:$H$515,Database!$G$5:$G$515,"&gt;="&amp;DATE(2024,1,1),Database!$G$5:$G$515,"&lt;="&amp;DATE(2024,12,31))/1000</f>
        <v/>
      </c>
    </row>
    <row r="9">
      <c r="D9" s="61" t="inlineStr">
        <is>
          <t>2025</t>
        </is>
      </c>
      <c r="E9" s="23">
        <f>COUNTIFS(Database!$G$5:$G$515,"&gt;="&amp;DATE(2025,1,1),Database!$G$5:$G$515,"&lt;="&amp;DATE(2025,12,31),Database!$H$5:$H$515,"&gt;="&amp;$B$5)</f>
        <v/>
      </c>
      <c r="F9" s="23">
        <f>COUNTIFS(Database!$G$5:$G$515,"&gt;="&amp;DATE(2025,1,1),Database!$G$5:$G$515,"&lt;="&amp;DATE(2025,12,31),Database!$H$5:$H$515,"&gt;="&amp;$B$6,Database!$H$5:$H$515,"&lt;"&amp;$B$5)</f>
        <v/>
      </c>
      <c r="G9" s="23">
        <f>COUNTIFS(Database!$G$5:$G$515,"&gt;="&amp;DATE(2025,1,1),Database!$G$5:$G$515,"&lt;="&amp;DATE(2025,12,31),Database!$H$5:$H$515,"&gt;="&amp;$B$7,Database!$H$5:$H$515,"&lt;"&amp;$B$6)</f>
        <v/>
      </c>
      <c r="H9" s="23">
        <f>COUNTIFS(Database!$G$5:$G$515,"&gt;="&amp;DATE(2025,1,1),Database!$G$5:$G$515,"&lt;="&amp;DATE(2025,12,31),Database!$H$5:$H$515,"&gt;="&amp;$B$8,Database!$H$5:$H$515,"&lt;"&amp;$B$7)</f>
        <v/>
      </c>
      <c r="I9" s="14">
        <f>SUMIFS(Database!$H$5:$H$515,Database!$G$5:$G$515,"&gt;="&amp;DATE(2025,1,1),Database!$G$5:$G$515,"&lt;="&amp;DATE(2025,12,31))/1000</f>
        <v/>
      </c>
    </row>
    <row r="10">
      <c r="D10" s="61" t="inlineStr">
        <is>
          <t>2026</t>
        </is>
      </c>
      <c r="E10" s="23">
        <f>COUNTIFS(Database!$G$5:$G$515,"&gt;="&amp;DATE(2026,1,1),Database!$G$5:$G$515,"&lt;="&amp;DATE(2026,12,31),Database!$H$5:$H$515,"&gt;="&amp;$B$5)</f>
        <v/>
      </c>
      <c r="F10" s="23">
        <f>COUNTIFS(Database!$G$5:$G$515,"&gt;="&amp;DATE(2026,1,1),Database!$G$5:$G$515,"&lt;="&amp;DATE(2026,12,31),Database!$H$5:$H$515,"&gt;="&amp;$B$6,Database!$H$5:$H$515,"&lt;"&amp;$B$5)</f>
        <v/>
      </c>
      <c r="G10" s="23">
        <f>COUNTIFS(Database!$G$5:$G$515,"&gt;="&amp;DATE(2026,1,1),Database!$G$5:$G$515,"&lt;="&amp;DATE(2026,12,31),Database!$H$5:$H$515,"&gt;="&amp;$B$7,Database!$H$5:$H$515,"&lt;"&amp;$B$6)</f>
        <v/>
      </c>
      <c r="H10" s="23">
        <f>COUNTIFS(Database!$G$5:$G$515,"&gt;="&amp;DATE(2026,1,1),Database!$G$5:$G$515,"&lt;="&amp;DATE(2026,12,31),Database!$H$5:$H$515,"&gt;="&amp;$B$8,Database!$H$5:$H$515,"&lt;"&amp;$B$7)</f>
        <v/>
      </c>
      <c r="I10" s="14">
        <f>SUMIFS(Database!$H$5:$H$515,Database!$G$5:$G$515,"&gt;="&amp;DATE(2026,1,1),Database!$G$5:$G$515,"&lt;="&amp;DATE(2026,12,31))/1000</f>
        <v/>
      </c>
    </row>
    <row r="11"/>
    <row r="12">
      <c r="A12" s="3" t="inlineStr">
        <is>
          <t>MEGA-DEAL PRECEDENTS (top 15 by proceeds)</t>
        </is>
      </c>
    </row>
    <row r="13">
      <c r="A13" s="7" t="inlineStr">
        <is>
          <t>Code</t>
        </is>
      </c>
      <c r="B13" s="7" t="inlineStr">
        <is>
          <t>Name</t>
        </is>
      </c>
      <c r="C13" s="7" t="inlineStr">
        <is>
          <t>IPO date</t>
        </is>
      </c>
      <c r="D13" s="7" t="inlineStr">
        <is>
          <t>HK$m</t>
        </is>
      </c>
      <c r="E13" s="7" t="inlineStr">
        <is>
          <t>Subsector</t>
        </is>
      </c>
    </row>
    <row r="14">
      <c r="A14" s="53" t="inlineStr">
        <is>
          <t>3308</t>
        </is>
      </c>
      <c r="B14" s="4" t="inlineStr">
        <is>
          <t>ZJ INNOLIGHT</t>
        </is>
      </c>
      <c r="C14" s="62" t="inlineStr">
        <is>
          <t>2026-07-30</t>
        </is>
      </c>
      <c r="D14" s="63" t="n">
        <v>53410</v>
      </c>
      <c r="E14" s="4" t="inlineStr">
        <is>
          <t>Smart hardware / consumer electronics</t>
        </is>
      </c>
    </row>
    <row r="15">
      <c r="A15" s="53" t="inlineStr">
        <is>
          <t>1024</t>
        </is>
      </c>
      <c r="B15" s="4" t="inlineStr">
        <is>
          <t>KUAISHOU-W</t>
        </is>
      </c>
      <c r="C15" s="62" t="inlineStr">
        <is>
          <t>2021-02-05</t>
        </is>
      </c>
      <c r="D15" s="63" t="n">
        <v>42000.1</v>
      </c>
      <c r="E15" s="4" t="inlineStr">
        <is>
          <t>Internet platform / e-commerce</t>
        </is>
      </c>
    </row>
    <row r="16">
      <c r="A16" s="53" t="inlineStr">
        <is>
          <t>3750</t>
        </is>
      </c>
      <c r="B16" s="4" t="inlineStr">
        <is>
          <t>CATL</t>
        </is>
      </c>
      <c r="C16" s="62" t="inlineStr">
        <is>
          <t>2025-05-20</t>
        </is>
      </c>
      <c r="D16" s="63" t="n">
        <v>35657.2</v>
      </c>
      <c r="E16" s="4" t="inlineStr">
        <is>
          <t>Batteries / energy storage</t>
        </is>
      </c>
    </row>
    <row r="17">
      <c r="A17" s="53" t="inlineStr">
        <is>
          <t>0300</t>
        </is>
      </c>
      <c r="B17" s="4" t="inlineStr">
        <is>
          <t>MIDEA GROUP</t>
        </is>
      </c>
      <c r="C17" s="62" t="inlineStr">
        <is>
          <t>2024-09-17</t>
        </is>
      </c>
      <c r="D17" s="63" t="n">
        <v>31014</v>
      </c>
      <c r="E17" s="4" t="inlineStr">
        <is>
          <t>Smart hardware / consumer electronics</t>
        </is>
      </c>
    </row>
    <row r="18">
      <c r="A18" s="53" t="inlineStr">
        <is>
          <t>2259</t>
        </is>
      </c>
      <c r="B18" s="4" t="inlineStr">
        <is>
          <t>ZIJIN GOLD INTL</t>
        </is>
      </c>
      <c r="C18" s="62" t="inlineStr">
        <is>
          <t>2025-09-30</t>
        </is>
      </c>
      <c r="D18" s="63" t="n">
        <v>24984.2</v>
      </c>
      <c r="E18" s="4" t="inlineStr">
        <is>
          <t>Mining / metals</t>
        </is>
      </c>
    </row>
    <row r="19">
      <c r="A19" s="53" t="inlineStr">
        <is>
          <t>2475</t>
        </is>
      </c>
      <c r="B19" s="4" t="inlineStr">
        <is>
          <t>LUXSHARE ICT</t>
        </is>
      </c>
      <c r="C19" s="62" t="inlineStr">
        <is>
          <t>2026-07-09</t>
        </is>
      </c>
      <c r="D19" s="63" t="n">
        <v>24266.2</v>
      </c>
      <c r="E19" s="4" t="inlineStr">
        <is>
          <t>Smart hardware / consumer electronics</t>
        </is>
      </c>
    </row>
    <row r="20">
      <c r="A20" s="53" t="inlineStr">
        <is>
          <t>9888</t>
        </is>
      </c>
      <c r="B20" s="4" t="inlineStr">
        <is>
          <t>BIDU-SW</t>
        </is>
      </c>
      <c r="C20" s="62" t="inlineStr">
        <is>
          <t>2021-03-23</t>
        </is>
      </c>
      <c r="D20" s="63" t="n">
        <v>23940</v>
      </c>
      <c r="E20" s="4" t="inlineStr">
        <is>
          <t>Internet platform / e-commerce</t>
        </is>
      </c>
    </row>
    <row r="21">
      <c r="A21" s="53" t="inlineStr">
        <is>
          <t>9626</t>
        </is>
      </c>
      <c r="B21" s="4" t="inlineStr">
        <is>
          <t>BILIBILI-SW</t>
        </is>
      </c>
      <c r="C21" s="62" t="inlineStr">
        <is>
          <t>2021-03-27</t>
        </is>
      </c>
      <c r="D21" s="63" t="n">
        <v>20200</v>
      </c>
      <c r="E21" s="4" t="inlineStr">
        <is>
          <t>Internet platform / e-commerce</t>
        </is>
      </c>
    </row>
    <row r="22">
      <c r="A22" s="53" t="inlineStr">
        <is>
          <t>2476</t>
        </is>
      </c>
      <c r="B22" s="4" t="inlineStr">
        <is>
          <t>VGT</t>
        </is>
      </c>
      <c r="C22" s="62" t="inlineStr">
        <is>
          <t>2026-04-21</t>
        </is>
      </c>
      <c r="D22" s="63" t="n">
        <v>20117</v>
      </c>
      <c r="E22" s="4" t="inlineStr">
        <is>
          <t>Smart hardware / consumer electronics</t>
        </is>
      </c>
    </row>
    <row r="23">
      <c r="A23" s="53" t="inlineStr">
        <is>
          <t>2378</t>
        </is>
      </c>
      <c r="B23" s="4" t="inlineStr">
        <is>
          <t>PRU</t>
        </is>
      </c>
      <c r="C23" s="62" t="inlineStr">
        <is>
          <t>2021-10-04</t>
        </is>
      </c>
      <c r="D23" s="63" t="n">
        <v>18500</v>
      </c>
      <c r="E23" s="4" t="inlineStr">
        <is>
          <t>Insurance</t>
        </is>
      </c>
    </row>
    <row r="24">
      <c r="A24" s="53" t="inlineStr">
        <is>
          <t>1880</t>
        </is>
      </c>
      <c r="B24" s="4" t="inlineStr">
        <is>
          <t>CTG DUTY-FREE</t>
        </is>
      </c>
      <c r="C24" s="62" t="inlineStr">
        <is>
          <t>2022-08-25</t>
        </is>
      </c>
      <c r="D24" s="63" t="n">
        <v>16236.4</v>
      </c>
      <c r="E24" s="4" t="inlineStr">
        <is>
          <t>Retail / distribution</t>
        </is>
      </c>
    </row>
    <row r="25">
      <c r="A25" s="53" t="inlineStr">
        <is>
          <t>9927</t>
        </is>
      </c>
      <c r="B25" s="4" t="inlineStr">
        <is>
          <t>SERES</t>
        </is>
      </c>
      <c r="C25" s="62" t="inlineStr">
        <is>
          <t>2025-11-05</t>
        </is>
      </c>
      <c r="D25" s="63" t="n">
        <v>14283.4</v>
      </c>
      <c r="E25" s="4" t="inlineStr">
        <is>
          <t>Autos (NEV OEM)</t>
        </is>
      </c>
    </row>
    <row r="26">
      <c r="A26" s="53" t="inlineStr">
        <is>
          <t>9868</t>
        </is>
      </c>
      <c r="B26" s="4" t="inlineStr">
        <is>
          <t>XPENG-W</t>
        </is>
      </c>
      <c r="C26" s="62" t="inlineStr">
        <is>
          <t>2021-07-07</t>
        </is>
      </c>
      <c r="D26" s="63" t="n">
        <v>14025</v>
      </c>
      <c r="E26" s="4" t="inlineStr">
        <is>
          <t>Autos (NEV OEM)</t>
        </is>
      </c>
    </row>
    <row r="27">
      <c r="A27" s="53" t="inlineStr">
        <is>
          <t>9696</t>
        </is>
      </c>
      <c r="B27" s="4" t="inlineStr">
        <is>
          <t>TIANQI LITHIUM</t>
        </is>
      </c>
      <c r="C27" s="62" t="inlineStr">
        <is>
          <t>2022-07-13</t>
        </is>
      </c>
      <c r="D27" s="63" t="n">
        <v>13458</v>
      </c>
      <c r="E27" s="4" t="inlineStr">
        <is>
          <t>Mining / metals</t>
        </is>
      </c>
    </row>
    <row r="28">
      <c r="A28" s="53" t="inlineStr">
        <is>
          <t>6031</t>
        </is>
      </c>
      <c r="B28" s="4" t="inlineStr">
        <is>
          <t>SANY HEAVY IND</t>
        </is>
      </c>
      <c r="C28" s="62" t="inlineStr">
        <is>
          <t>2025-10-28</t>
        </is>
      </c>
      <c r="D28" s="63" t="n">
        <v>13453.1</v>
      </c>
      <c r="E28" s="4" t="inlineStr">
        <is>
          <t>Capital goods / machinery</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5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c r="A1" s="1" t="inlineStr">
        <is>
          <t>BLOOMBERG CROSS-CHECK — terminal only</t>
        </is>
      </c>
    </row>
    <row r="2">
      <c r="A2" s="2" t="inlineStr">
        <is>
          <t>Column B pulls each deal's Bloomberg IPO order ID (EQUITY_OFFERINGS); the columns after it feed off that ID. Compare against the scraped columns pulled in from the Database. 511 BDS calls are heavy — let it run once, then Paste-Special values if you want it static.</t>
        </is>
      </c>
    </row>
    <row r="3"/>
    <row r="4">
      <c r="A4" s="7" t="inlineStr">
        <is>
          <t>Code / Name</t>
        </is>
      </c>
      <c r="B4" s="7" t="inlineStr">
        <is>
          <t>BBG IPO order ID</t>
        </is>
      </c>
      <c r="C4" s="7" t="inlineStr">
        <is>
          <t>Retail o/sub CP036</t>
        </is>
      </c>
      <c r="D4" s="7" t="inlineStr">
        <is>
          <t>Scraped public sub</t>
        </is>
      </c>
      <c r="E4" s="7" t="inlineStr">
        <is>
          <t>Instn o/sub CP037</t>
        </is>
      </c>
      <c r="F4" s="7" t="inlineStr">
        <is>
          <t>Scraped intl sub</t>
        </is>
      </c>
      <c r="G4" s="7" t="inlineStr">
        <is>
          <t>Greenshoe facility</t>
        </is>
      </c>
      <c r="H4" s="7" t="inlineStr">
        <is>
          <t>Shoe exercised (BBG)</t>
        </is>
      </c>
      <c r="I4" s="7" t="inlineStr">
        <is>
          <t>Shoe outcome (scraped)</t>
        </is>
      </c>
      <c r="J4" s="7" t="inlineStr">
        <is>
          <t>Current P/E (BBG)</t>
        </is>
      </c>
      <c r="K4" s="7" t="inlineStr">
        <is>
          <t>A/H conversion (BBG)</t>
        </is>
      </c>
      <c r="L4" s="7" t="inlineStr">
        <is>
          <t>A-share (scraped)</t>
        </is>
      </c>
      <c r="M4" s="7" t="inlineStr">
        <is>
          <t>Mkt cap at listing (BBG)</t>
        </is>
      </c>
      <c r="N4" s="7" t="inlineStr">
        <is>
          <t>Mkt cap (scraped)</t>
        </is>
      </c>
      <c r="O4" s="7" t="inlineStr">
        <is>
          <t>P/E at listing (BBG)</t>
        </is>
      </c>
      <c r="P4" s="7" t="inlineStr">
        <is>
          <t>P/E at IPO (scraped)</t>
        </is>
      </c>
    </row>
    <row r="5">
      <c r="A5" s="4">
        <f>Database!A5&amp;"  "&amp;Database!B5</f>
        <v/>
      </c>
      <c r="B5" s="6">
        <f>IFERROR(INDEX(BDS(Database!$A5&amp;" HK Equity","EQUITY_OFFERINGS","array=t","endcol=1"),MATCH("IPO",BDS(Database!$A5&amp;" HK Equity","EQUITY_OFFERINGS","array=t","startcol=2","endcol=2"),0)),"")</f>
        <v/>
      </c>
      <c r="C5" s="64">
        <f>IF($B5="","",IFERROR(BDP($B5&amp;" Action","CP036"),""))</f>
        <v/>
      </c>
      <c r="D5" s="65">
        <f>Database!Q5</f>
        <v/>
      </c>
      <c r="E5" s="64">
        <f>IF($B5="","",IFERROR(BDP($B5&amp;" Action","CP037"),""))</f>
        <v/>
      </c>
      <c r="F5" s="65">
        <f>Database!R5</f>
        <v/>
      </c>
      <c r="G5" s="64">
        <f>IF($B5="","",IFERROR(BDP($B5&amp;" Action","GREENSHOE_FACILITY"),""))</f>
        <v/>
      </c>
      <c r="H5" s="64">
        <f>IF($B5="","",IFERROR(BDP($B5&amp;" Action","OFFERING_GREENSHOE_SHARES_EX"),""))</f>
        <v/>
      </c>
      <c r="I5" s="4">
        <f>Database!V5</f>
        <v/>
      </c>
      <c r="J5" s="21">
        <f>IFERROR(BDP(Database!$A5&amp;" HK Equity","PE_RATIO"),"")</f>
        <v/>
      </c>
      <c r="K5" s="6">
        <f>IFERROR(BDP(Database!$A5&amp;" HK Equity","A/H_SHARE_CONVERSION"),"")</f>
        <v/>
      </c>
      <c r="L5" s="4">
        <f>IF(Database!AL5="","(none found)",Database!AL5)</f>
        <v/>
      </c>
      <c r="M5" s="9">
        <f>IFERROR(BDH(Database!$A5&amp;" HK Equity","CUR_MKT_CAP",Database!$G5,Database!$G5)/1000000,"")</f>
        <v/>
      </c>
      <c r="N5" s="63">
        <f>Database!O5</f>
        <v/>
      </c>
      <c r="O5" s="21">
        <f>IFERROR(BDH(Database!$A5&amp;" HK Equity","PE_RATIO",Database!$G5,Database!$G5),"")</f>
        <v/>
      </c>
      <c r="P5" s="60">
        <f>IF(Database!AI5="","(n/m or not derivable)",Database!AI5)</f>
        <v/>
      </c>
    </row>
    <row r="6">
      <c r="A6" s="4">
        <f>Database!A6&amp;"  "&amp;Database!B6</f>
        <v/>
      </c>
      <c r="B6" s="6">
        <f>IFERROR(INDEX(BDS(Database!$A6&amp;" HK Equity","EQUITY_OFFERINGS","array=t","endcol=1"),MATCH("IPO",BDS(Database!$A6&amp;" HK Equity","EQUITY_OFFERINGS","array=t","startcol=2","endcol=2"),0)),"")</f>
        <v/>
      </c>
      <c r="C6" s="64">
        <f>IF($B6="","",IFERROR(BDP($B6&amp;" Action","CP036"),""))</f>
        <v/>
      </c>
      <c r="D6" s="65">
        <f>Database!Q6</f>
        <v/>
      </c>
      <c r="E6" s="64">
        <f>IF($B6="","",IFERROR(BDP($B6&amp;" Action","CP037"),""))</f>
        <v/>
      </c>
      <c r="F6" s="65">
        <f>Database!R6</f>
        <v/>
      </c>
      <c r="G6" s="64">
        <f>IF($B6="","",IFERROR(BDP($B6&amp;" Action","GREENSHOE_FACILITY"),""))</f>
        <v/>
      </c>
      <c r="H6" s="64">
        <f>IF($B6="","",IFERROR(BDP($B6&amp;" Action","OFFERING_GREENSHOE_SHARES_EX"),""))</f>
        <v/>
      </c>
      <c r="I6" s="4">
        <f>Database!V6</f>
        <v/>
      </c>
      <c r="J6" s="21">
        <f>IFERROR(BDP(Database!$A6&amp;" HK Equity","PE_RATIO"),"")</f>
        <v/>
      </c>
      <c r="K6" s="6">
        <f>IFERROR(BDP(Database!$A6&amp;" HK Equity","A/H_SHARE_CONVERSION"),"")</f>
        <v/>
      </c>
      <c r="L6" s="4">
        <f>IF(Database!AL6="","(none found)",Database!AL6)</f>
        <v/>
      </c>
      <c r="M6" s="9">
        <f>IFERROR(BDH(Database!$A6&amp;" HK Equity","CUR_MKT_CAP",Database!$G6,Database!$G6)/1000000,"")</f>
        <v/>
      </c>
      <c r="N6" s="63">
        <f>Database!O6</f>
        <v/>
      </c>
      <c r="O6" s="21">
        <f>IFERROR(BDH(Database!$A6&amp;" HK Equity","PE_RATIO",Database!$G6,Database!$G6),"")</f>
        <v/>
      </c>
      <c r="P6" s="60">
        <f>IF(Database!AI6="","(n/m or not derivable)",Database!AI6)</f>
        <v/>
      </c>
    </row>
    <row r="7">
      <c r="A7" s="4">
        <f>Database!A7&amp;"  "&amp;Database!B7</f>
        <v/>
      </c>
      <c r="B7" s="6">
        <f>IFERROR(INDEX(BDS(Database!$A7&amp;" HK Equity","EQUITY_OFFERINGS","array=t","endcol=1"),MATCH("IPO",BDS(Database!$A7&amp;" HK Equity","EQUITY_OFFERINGS","array=t","startcol=2","endcol=2"),0)),"")</f>
        <v/>
      </c>
      <c r="C7" s="64">
        <f>IF($B7="","",IFERROR(BDP($B7&amp;" Action","CP036"),""))</f>
        <v/>
      </c>
      <c r="D7" s="65">
        <f>Database!Q7</f>
        <v/>
      </c>
      <c r="E7" s="64">
        <f>IF($B7="","",IFERROR(BDP($B7&amp;" Action","CP037"),""))</f>
        <v/>
      </c>
      <c r="F7" s="65">
        <f>Database!R7</f>
        <v/>
      </c>
      <c r="G7" s="64">
        <f>IF($B7="","",IFERROR(BDP($B7&amp;" Action","GREENSHOE_FACILITY"),""))</f>
        <v/>
      </c>
      <c r="H7" s="64">
        <f>IF($B7="","",IFERROR(BDP($B7&amp;" Action","OFFERING_GREENSHOE_SHARES_EX"),""))</f>
        <v/>
      </c>
      <c r="I7" s="4">
        <f>Database!V7</f>
        <v/>
      </c>
      <c r="J7" s="21">
        <f>IFERROR(BDP(Database!$A7&amp;" HK Equity","PE_RATIO"),"")</f>
        <v/>
      </c>
      <c r="K7" s="6">
        <f>IFERROR(BDP(Database!$A7&amp;" HK Equity","A/H_SHARE_CONVERSION"),"")</f>
        <v/>
      </c>
      <c r="L7" s="4">
        <f>IF(Database!AL7="","(none found)",Database!AL7)</f>
        <v/>
      </c>
      <c r="M7" s="9">
        <f>IFERROR(BDH(Database!$A7&amp;" HK Equity","CUR_MKT_CAP",Database!$G7,Database!$G7)/1000000,"")</f>
        <v/>
      </c>
      <c r="N7" s="63">
        <f>Database!O7</f>
        <v/>
      </c>
      <c r="O7" s="21">
        <f>IFERROR(BDH(Database!$A7&amp;" HK Equity","PE_RATIO",Database!$G7,Database!$G7),"")</f>
        <v/>
      </c>
      <c r="P7" s="60">
        <f>IF(Database!AI7="","(n/m or not derivable)",Database!AI7)</f>
        <v/>
      </c>
    </row>
    <row r="8">
      <c r="A8" s="4">
        <f>Database!A8&amp;"  "&amp;Database!B8</f>
        <v/>
      </c>
      <c r="B8" s="6">
        <f>IFERROR(INDEX(BDS(Database!$A8&amp;" HK Equity","EQUITY_OFFERINGS","array=t","endcol=1"),MATCH("IPO",BDS(Database!$A8&amp;" HK Equity","EQUITY_OFFERINGS","array=t","startcol=2","endcol=2"),0)),"")</f>
        <v/>
      </c>
      <c r="C8" s="64">
        <f>IF($B8="","",IFERROR(BDP($B8&amp;" Action","CP036"),""))</f>
        <v/>
      </c>
      <c r="D8" s="65">
        <f>Database!Q8</f>
        <v/>
      </c>
      <c r="E8" s="64">
        <f>IF($B8="","",IFERROR(BDP($B8&amp;" Action","CP037"),""))</f>
        <v/>
      </c>
      <c r="F8" s="65">
        <f>Database!R8</f>
        <v/>
      </c>
      <c r="G8" s="64">
        <f>IF($B8="","",IFERROR(BDP($B8&amp;" Action","GREENSHOE_FACILITY"),""))</f>
        <v/>
      </c>
      <c r="H8" s="64">
        <f>IF($B8="","",IFERROR(BDP($B8&amp;" Action","OFFERING_GREENSHOE_SHARES_EX"),""))</f>
        <v/>
      </c>
      <c r="I8" s="4">
        <f>Database!V8</f>
        <v/>
      </c>
      <c r="J8" s="21">
        <f>IFERROR(BDP(Database!$A8&amp;" HK Equity","PE_RATIO"),"")</f>
        <v/>
      </c>
      <c r="K8" s="6">
        <f>IFERROR(BDP(Database!$A8&amp;" HK Equity","A/H_SHARE_CONVERSION"),"")</f>
        <v/>
      </c>
      <c r="L8" s="4">
        <f>IF(Database!AL8="","(none found)",Database!AL8)</f>
        <v/>
      </c>
      <c r="M8" s="9">
        <f>IFERROR(BDH(Database!$A8&amp;" HK Equity","CUR_MKT_CAP",Database!$G8,Database!$G8)/1000000,"")</f>
        <v/>
      </c>
      <c r="N8" s="63">
        <f>Database!O8</f>
        <v/>
      </c>
      <c r="O8" s="21">
        <f>IFERROR(BDH(Database!$A8&amp;" HK Equity","PE_RATIO",Database!$G8,Database!$G8),"")</f>
        <v/>
      </c>
      <c r="P8" s="60">
        <f>IF(Database!AI8="","(n/m or not derivable)",Database!AI8)</f>
        <v/>
      </c>
    </row>
    <row r="9">
      <c r="A9" s="4">
        <f>Database!A9&amp;"  "&amp;Database!B9</f>
        <v/>
      </c>
      <c r="B9" s="6">
        <f>IFERROR(INDEX(BDS(Database!$A9&amp;" HK Equity","EQUITY_OFFERINGS","array=t","endcol=1"),MATCH("IPO",BDS(Database!$A9&amp;" HK Equity","EQUITY_OFFERINGS","array=t","startcol=2","endcol=2"),0)),"")</f>
        <v/>
      </c>
      <c r="C9" s="64">
        <f>IF($B9="","",IFERROR(BDP($B9&amp;" Action","CP036"),""))</f>
        <v/>
      </c>
      <c r="D9" s="65">
        <f>Database!Q9</f>
        <v/>
      </c>
      <c r="E9" s="64">
        <f>IF($B9="","",IFERROR(BDP($B9&amp;" Action","CP037"),""))</f>
        <v/>
      </c>
      <c r="F9" s="65">
        <f>Database!R9</f>
        <v/>
      </c>
      <c r="G9" s="64">
        <f>IF($B9="","",IFERROR(BDP($B9&amp;" Action","GREENSHOE_FACILITY"),""))</f>
        <v/>
      </c>
      <c r="H9" s="64">
        <f>IF($B9="","",IFERROR(BDP($B9&amp;" Action","OFFERING_GREENSHOE_SHARES_EX"),""))</f>
        <v/>
      </c>
      <c r="I9" s="4">
        <f>Database!V9</f>
        <v/>
      </c>
      <c r="J9" s="21">
        <f>IFERROR(BDP(Database!$A9&amp;" HK Equity","PE_RATIO"),"")</f>
        <v/>
      </c>
      <c r="K9" s="6">
        <f>IFERROR(BDP(Database!$A9&amp;" HK Equity","A/H_SHARE_CONVERSION"),"")</f>
        <v/>
      </c>
      <c r="L9" s="4">
        <f>IF(Database!AL9="","(none found)",Database!AL9)</f>
        <v/>
      </c>
      <c r="M9" s="9">
        <f>IFERROR(BDH(Database!$A9&amp;" HK Equity","CUR_MKT_CAP",Database!$G9,Database!$G9)/1000000,"")</f>
        <v/>
      </c>
      <c r="N9" s="63">
        <f>Database!O9</f>
        <v/>
      </c>
      <c r="O9" s="21">
        <f>IFERROR(BDH(Database!$A9&amp;" HK Equity","PE_RATIO",Database!$G9,Database!$G9),"")</f>
        <v/>
      </c>
      <c r="P9" s="60">
        <f>IF(Database!AI9="","(n/m or not derivable)",Database!AI9)</f>
        <v/>
      </c>
    </row>
    <row r="10">
      <c r="A10" s="4">
        <f>Database!A10&amp;"  "&amp;Database!B10</f>
        <v/>
      </c>
      <c r="B10" s="6">
        <f>IFERROR(INDEX(BDS(Database!$A10&amp;" HK Equity","EQUITY_OFFERINGS","array=t","endcol=1"),MATCH("IPO",BDS(Database!$A10&amp;" HK Equity","EQUITY_OFFERINGS","array=t","startcol=2","endcol=2"),0)),"")</f>
        <v/>
      </c>
      <c r="C10" s="64">
        <f>IF($B10="","",IFERROR(BDP($B10&amp;" Action","CP036"),""))</f>
        <v/>
      </c>
      <c r="D10" s="65">
        <f>Database!Q10</f>
        <v/>
      </c>
      <c r="E10" s="64">
        <f>IF($B10="","",IFERROR(BDP($B10&amp;" Action","CP037"),""))</f>
        <v/>
      </c>
      <c r="F10" s="65">
        <f>Database!R10</f>
        <v/>
      </c>
      <c r="G10" s="64">
        <f>IF($B10="","",IFERROR(BDP($B10&amp;" Action","GREENSHOE_FACILITY"),""))</f>
        <v/>
      </c>
      <c r="H10" s="64">
        <f>IF($B10="","",IFERROR(BDP($B10&amp;" Action","OFFERING_GREENSHOE_SHARES_EX"),""))</f>
        <v/>
      </c>
      <c r="I10" s="4">
        <f>Database!V10</f>
        <v/>
      </c>
      <c r="J10" s="21">
        <f>IFERROR(BDP(Database!$A10&amp;" HK Equity","PE_RATIO"),"")</f>
        <v/>
      </c>
      <c r="K10" s="6">
        <f>IFERROR(BDP(Database!$A10&amp;" HK Equity","A/H_SHARE_CONVERSION"),"")</f>
        <v/>
      </c>
      <c r="L10" s="4">
        <f>IF(Database!AL10="","(none found)",Database!AL10)</f>
        <v/>
      </c>
      <c r="M10" s="9">
        <f>IFERROR(BDH(Database!$A10&amp;" HK Equity","CUR_MKT_CAP",Database!$G10,Database!$G10)/1000000,"")</f>
        <v/>
      </c>
      <c r="N10" s="63">
        <f>Database!O10</f>
        <v/>
      </c>
      <c r="O10" s="21">
        <f>IFERROR(BDH(Database!$A10&amp;" HK Equity","PE_RATIO",Database!$G10,Database!$G10),"")</f>
        <v/>
      </c>
      <c r="P10" s="60">
        <f>IF(Database!AI10="","(n/m or not derivable)",Database!AI10)</f>
        <v/>
      </c>
    </row>
    <row r="11">
      <c r="A11" s="4">
        <f>Database!A11&amp;"  "&amp;Database!B11</f>
        <v/>
      </c>
      <c r="B11" s="6">
        <f>IFERROR(INDEX(BDS(Database!$A11&amp;" HK Equity","EQUITY_OFFERINGS","array=t","endcol=1"),MATCH("IPO",BDS(Database!$A11&amp;" HK Equity","EQUITY_OFFERINGS","array=t","startcol=2","endcol=2"),0)),"")</f>
        <v/>
      </c>
      <c r="C11" s="64">
        <f>IF($B11="","",IFERROR(BDP($B11&amp;" Action","CP036"),""))</f>
        <v/>
      </c>
      <c r="D11" s="65">
        <f>Database!Q11</f>
        <v/>
      </c>
      <c r="E11" s="64">
        <f>IF($B11="","",IFERROR(BDP($B11&amp;" Action","CP037"),""))</f>
        <v/>
      </c>
      <c r="F11" s="65">
        <f>Database!R11</f>
        <v/>
      </c>
      <c r="G11" s="64">
        <f>IF($B11="","",IFERROR(BDP($B11&amp;" Action","GREENSHOE_FACILITY"),""))</f>
        <v/>
      </c>
      <c r="H11" s="64">
        <f>IF($B11="","",IFERROR(BDP($B11&amp;" Action","OFFERING_GREENSHOE_SHARES_EX"),""))</f>
        <v/>
      </c>
      <c r="I11" s="4">
        <f>Database!V11</f>
        <v/>
      </c>
      <c r="J11" s="21">
        <f>IFERROR(BDP(Database!$A11&amp;" HK Equity","PE_RATIO"),"")</f>
        <v/>
      </c>
      <c r="K11" s="6">
        <f>IFERROR(BDP(Database!$A11&amp;" HK Equity","A/H_SHARE_CONVERSION"),"")</f>
        <v/>
      </c>
      <c r="L11" s="4">
        <f>IF(Database!AL11="","(none found)",Database!AL11)</f>
        <v/>
      </c>
      <c r="M11" s="9">
        <f>IFERROR(BDH(Database!$A11&amp;" HK Equity","CUR_MKT_CAP",Database!$G11,Database!$G11)/1000000,"")</f>
        <v/>
      </c>
      <c r="N11" s="63">
        <f>Database!O11</f>
        <v/>
      </c>
      <c r="O11" s="21">
        <f>IFERROR(BDH(Database!$A11&amp;" HK Equity","PE_RATIO",Database!$G11,Database!$G11),"")</f>
        <v/>
      </c>
      <c r="P11" s="60">
        <f>IF(Database!AI11="","(n/m or not derivable)",Database!AI11)</f>
        <v/>
      </c>
    </row>
    <row r="12">
      <c r="A12" s="4">
        <f>Database!A12&amp;"  "&amp;Database!B12</f>
        <v/>
      </c>
      <c r="B12" s="6">
        <f>IFERROR(INDEX(BDS(Database!$A12&amp;" HK Equity","EQUITY_OFFERINGS","array=t","endcol=1"),MATCH("IPO",BDS(Database!$A12&amp;" HK Equity","EQUITY_OFFERINGS","array=t","startcol=2","endcol=2"),0)),"")</f>
        <v/>
      </c>
      <c r="C12" s="64">
        <f>IF($B12="","",IFERROR(BDP($B12&amp;" Action","CP036"),""))</f>
        <v/>
      </c>
      <c r="D12" s="65">
        <f>Database!Q12</f>
        <v/>
      </c>
      <c r="E12" s="64">
        <f>IF($B12="","",IFERROR(BDP($B12&amp;" Action","CP037"),""))</f>
        <v/>
      </c>
      <c r="F12" s="65">
        <f>Database!R12</f>
        <v/>
      </c>
      <c r="G12" s="64">
        <f>IF($B12="","",IFERROR(BDP($B12&amp;" Action","GREENSHOE_FACILITY"),""))</f>
        <v/>
      </c>
      <c r="H12" s="64">
        <f>IF($B12="","",IFERROR(BDP($B12&amp;" Action","OFFERING_GREENSHOE_SHARES_EX"),""))</f>
        <v/>
      </c>
      <c r="I12" s="4">
        <f>Database!V12</f>
        <v/>
      </c>
      <c r="J12" s="21">
        <f>IFERROR(BDP(Database!$A12&amp;" HK Equity","PE_RATIO"),"")</f>
        <v/>
      </c>
      <c r="K12" s="6">
        <f>IFERROR(BDP(Database!$A12&amp;" HK Equity","A/H_SHARE_CONVERSION"),"")</f>
        <v/>
      </c>
      <c r="L12" s="4">
        <f>IF(Database!AL12="","(none found)",Database!AL12)</f>
        <v/>
      </c>
      <c r="M12" s="9">
        <f>IFERROR(BDH(Database!$A12&amp;" HK Equity","CUR_MKT_CAP",Database!$G12,Database!$G12)/1000000,"")</f>
        <v/>
      </c>
      <c r="N12" s="63">
        <f>Database!O12</f>
        <v/>
      </c>
      <c r="O12" s="21">
        <f>IFERROR(BDH(Database!$A12&amp;" HK Equity","PE_RATIO",Database!$G12,Database!$G12),"")</f>
        <v/>
      </c>
      <c r="P12" s="60">
        <f>IF(Database!AI12="","(n/m or not derivable)",Database!AI12)</f>
        <v/>
      </c>
    </row>
    <row r="13">
      <c r="A13" s="4">
        <f>Database!A13&amp;"  "&amp;Database!B13</f>
        <v/>
      </c>
      <c r="B13" s="6">
        <f>IFERROR(INDEX(BDS(Database!$A13&amp;" HK Equity","EQUITY_OFFERINGS","array=t","endcol=1"),MATCH("IPO",BDS(Database!$A13&amp;" HK Equity","EQUITY_OFFERINGS","array=t","startcol=2","endcol=2"),0)),"")</f>
        <v/>
      </c>
      <c r="C13" s="64">
        <f>IF($B13="","",IFERROR(BDP($B13&amp;" Action","CP036"),""))</f>
        <v/>
      </c>
      <c r="D13" s="65">
        <f>Database!Q13</f>
        <v/>
      </c>
      <c r="E13" s="64">
        <f>IF($B13="","",IFERROR(BDP($B13&amp;" Action","CP037"),""))</f>
        <v/>
      </c>
      <c r="F13" s="65">
        <f>Database!R13</f>
        <v/>
      </c>
      <c r="G13" s="64">
        <f>IF($B13="","",IFERROR(BDP($B13&amp;" Action","GREENSHOE_FACILITY"),""))</f>
        <v/>
      </c>
      <c r="H13" s="64">
        <f>IF($B13="","",IFERROR(BDP($B13&amp;" Action","OFFERING_GREENSHOE_SHARES_EX"),""))</f>
        <v/>
      </c>
      <c r="I13" s="4">
        <f>Database!V13</f>
        <v/>
      </c>
      <c r="J13" s="21">
        <f>IFERROR(BDP(Database!$A13&amp;" HK Equity","PE_RATIO"),"")</f>
        <v/>
      </c>
      <c r="K13" s="6">
        <f>IFERROR(BDP(Database!$A13&amp;" HK Equity","A/H_SHARE_CONVERSION"),"")</f>
        <v/>
      </c>
      <c r="L13" s="4">
        <f>IF(Database!AL13="","(none found)",Database!AL13)</f>
        <v/>
      </c>
      <c r="M13" s="9">
        <f>IFERROR(BDH(Database!$A13&amp;" HK Equity","CUR_MKT_CAP",Database!$G13,Database!$G13)/1000000,"")</f>
        <v/>
      </c>
      <c r="N13" s="63">
        <f>Database!O13</f>
        <v/>
      </c>
      <c r="O13" s="21">
        <f>IFERROR(BDH(Database!$A13&amp;" HK Equity","PE_RATIO",Database!$G13,Database!$G13),"")</f>
        <v/>
      </c>
      <c r="P13" s="60">
        <f>IF(Database!AI13="","(n/m or not derivable)",Database!AI13)</f>
        <v/>
      </c>
    </row>
    <row r="14">
      <c r="A14" s="4">
        <f>Database!A14&amp;"  "&amp;Database!B14</f>
        <v/>
      </c>
      <c r="B14" s="6">
        <f>IFERROR(INDEX(BDS(Database!$A14&amp;" HK Equity","EQUITY_OFFERINGS","array=t","endcol=1"),MATCH("IPO",BDS(Database!$A14&amp;" HK Equity","EQUITY_OFFERINGS","array=t","startcol=2","endcol=2"),0)),"")</f>
        <v/>
      </c>
      <c r="C14" s="64">
        <f>IF($B14="","",IFERROR(BDP($B14&amp;" Action","CP036"),""))</f>
        <v/>
      </c>
      <c r="D14" s="65">
        <f>Database!Q14</f>
        <v/>
      </c>
      <c r="E14" s="64">
        <f>IF($B14="","",IFERROR(BDP($B14&amp;" Action","CP037"),""))</f>
        <v/>
      </c>
      <c r="F14" s="65">
        <f>Database!R14</f>
        <v/>
      </c>
      <c r="G14" s="64">
        <f>IF($B14="","",IFERROR(BDP($B14&amp;" Action","GREENSHOE_FACILITY"),""))</f>
        <v/>
      </c>
      <c r="H14" s="64">
        <f>IF($B14="","",IFERROR(BDP($B14&amp;" Action","OFFERING_GREENSHOE_SHARES_EX"),""))</f>
        <v/>
      </c>
      <c r="I14" s="4">
        <f>Database!V14</f>
        <v/>
      </c>
      <c r="J14" s="21">
        <f>IFERROR(BDP(Database!$A14&amp;" HK Equity","PE_RATIO"),"")</f>
        <v/>
      </c>
      <c r="K14" s="6">
        <f>IFERROR(BDP(Database!$A14&amp;" HK Equity","A/H_SHARE_CONVERSION"),"")</f>
        <v/>
      </c>
      <c r="L14" s="4">
        <f>IF(Database!AL14="","(none found)",Database!AL14)</f>
        <v/>
      </c>
      <c r="M14" s="9">
        <f>IFERROR(BDH(Database!$A14&amp;" HK Equity","CUR_MKT_CAP",Database!$G14,Database!$G14)/1000000,"")</f>
        <v/>
      </c>
      <c r="N14" s="63">
        <f>Database!O14</f>
        <v/>
      </c>
      <c r="O14" s="21">
        <f>IFERROR(BDH(Database!$A14&amp;" HK Equity","PE_RATIO",Database!$G14,Database!$G14),"")</f>
        <v/>
      </c>
      <c r="P14" s="60">
        <f>IF(Database!AI14="","(n/m or not derivable)",Database!AI14)</f>
        <v/>
      </c>
    </row>
    <row r="15">
      <c r="A15" s="4">
        <f>Database!A15&amp;"  "&amp;Database!B15</f>
        <v/>
      </c>
      <c r="B15" s="6">
        <f>IFERROR(INDEX(BDS(Database!$A15&amp;" HK Equity","EQUITY_OFFERINGS","array=t","endcol=1"),MATCH("IPO",BDS(Database!$A15&amp;" HK Equity","EQUITY_OFFERINGS","array=t","startcol=2","endcol=2"),0)),"")</f>
        <v/>
      </c>
      <c r="C15" s="64">
        <f>IF($B15="","",IFERROR(BDP($B15&amp;" Action","CP036"),""))</f>
        <v/>
      </c>
      <c r="D15" s="65">
        <f>Database!Q15</f>
        <v/>
      </c>
      <c r="E15" s="64">
        <f>IF($B15="","",IFERROR(BDP($B15&amp;" Action","CP037"),""))</f>
        <v/>
      </c>
      <c r="F15" s="65">
        <f>Database!R15</f>
        <v/>
      </c>
      <c r="G15" s="64">
        <f>IF($B15="","",IFERROR(BDP($B15&amp;" Action","GREENSHOE_FACILITY"),""))</f>
        <v/>
      </c>
      <c r="H15" s="64">
        <f>IF($B15="","",IFERROR(BDP($B15&amp;" Action","OFFERING_GREENSHOE_SHARES_EX"),""))</f>
        <v/>
      </c>
      <c r="I15" s="4">
        <f>Database!V15</f>
        <v/>
      </c>
      <c r="J15" s="21">
        <f>IFERROR(BDP(Database!$A15&amp;" HK Equity","PE_RATIO"),"")</f>
        <v/>
      </c>
      <c r="K15" s="6">
        <f>IFERROR(BDP(Database!$A15&amp;" HK Equity","A/H_SHARE_CONVERSION"),"")</f>
        <v/>
      </c>
      <c r="L15" s="4">
        <f>IF(Database!AL15="","(none found)",Database!AL15)</f>
        <v/>
      </c>
      <c r="M15" s="9">
        <f>IFERROR(BDH(Database!$A15&amp;" HK Equity","CUR_MKT_CAP",Database!$G15,Database!$G15)/1000000,"")</f>
        <v/>
      </c>
      <c r="N15" s="63">
        <f>Database!O15</f>
        <v/>
      </c>
      <c r="O15" s="21">
        <f>IFERROR(BDH(Database!$A15&amp;" HK Equity","PE_RATIO",Database!$G15,Database!$G15),"")</f>
        <v/>
      </c>
      <c r="P15" s="60">
        <f>IF(Database!AI15="","(n/m or not derivable)",Database!AI15)</f>
        <v/>
      </c>
    </row>
    <row r="16">
      <c r="A16" s="4">
        <f>Database!A16&amp;"  "&amp;Database!B16</f>
        <v/>
      </c>
      <c r="B16" s="6">
        <f>IFERROR(INDEX(BDS(Database!$A16&amp;" HK Equity","EQUITY_OFFERINGS","array=t","endcol=1"),MATCH("IPO",BDS(Database!$A16&amp;" HK Equity","EQUITY_OFFERINGS","array=t","startcol=2","endcol=2"),0)),"")</f>
        <v/>
      </c>
      <c r="C16" s="64">
        <f>IF($B16="","",IFERROR(BDP($B16&amp;" Action","CP036"),""))</f>
        <v/>
      </c>
      <c r="D16" s="65">
        <f>Database!Q16</f>
        <v/>
      </c>
      <c r="E16" s="64">
        <f>IF($B16="","",IFERROR(BDP($B16&amp;" Action","CP037"),""))</f>
        <v/>
      </c>
      <c r="F16" s="65">
        <f>Database!R16</f>
        <v/>
      </c>
      <c r="G16" s="64">
        <f>IF($B16="","",IFERROR(BDP($B16&amp;" Action","GREENSHOE_FACILITY"),""))</f>
        <v/>
      </c>
      <c r="H16" s="64">
        <f>IF($B16="","",IFERROR(BDP($B16&amp;" Action","OFFERING_GREENSHOE_SHARES_EX"),""))</f>
        <v/>
      </c>
      <c r="I16" s="4">
        <f>Database!V16</f>
        <v/>
      </c>
      <c r="J16" s="21">
        <f>IFERROR(BDP(Database!$A16&amp;" HK Equity","PE_RATIO"),"")</f>
        <v/>
      </c>
      <c r="K16" s="6">
        <f>IFERROR(BDP(Database!$A16&amp;" HK Equity","A/H_SHARE_CONVERSION"),"")</f>
        <v/>
      </c>
      <c r="L16" s="4">
        <f>IF(Database!AL16="","(none found)",Database!AL16)</f>
        <v/>
      </c>
      <c r="M16" s="9">
        <f>IFERROR(BDH(Database!$A16&amp;" HK Equity","CUR_MKT_CAP",Database!$G16,Database!$G16)/1000000,"")</f>
        <v/>
      </c>
      <c r="N16" s="63">
        <f>Database!O16</f>
        <v/>
      </c>
      <c r="O16" s="21">
        <f>IFERROR(BDH(Database!$A16&amp;" HK Equity","PE_RATIO",Database!$G16,Database!$G16),"")</f>
        <v/>
      </c>
      <c r="P16" s="60">
        <f>IF(Database!AI16="","(n/m or not derivable)",Database!AI16)</f>
        <v/>
      </c>
    </row>
    <row r="17">
      <c r="A17" s="4">
        <f>Database!A17&amp;"  "&amp;Database!B17</f>
        <v/>
      </c>
      <c r="B17" s="6">
        <f>IFERROR(INDEX(BDS(Database!$A17&amp;" HK Equity","EQUITY_OFFERINGS","array=t","endcol=1"),MATCH("IPO",BDS(Database!$A17&amp;" HK Equity","EQUITY_OFFERINGS","array=t","startcol=2","endcol=2"),0)),"")</f>
        <v/>
      </c>
      <c r="C17" s="64">
        <f>IF($B17="","",IFERROR(BDP($B17&amp;" Action","CP036"),""))</f>
        <v/>
      </c>
      <c r="D17" s="65">
        <f>Database!Q17</f>
        <v/>
      </c>
      <c r="E17" s="64">
        <f>IF($B17="","",IFERROR(BDP($B17&amp;" Action","CP037"),""))</f>
        <v/>
      </c>
      <c r="F17" s="65">
        <f>Database!R17</f>
        <v/>
      </c>
      <c r="G17" s="64">
        <f>IF($B17="","",IFERROR(BDP($B17&amp;" Action","GREENSHOE_FACILITY"),""))</f>
        <v/>
      </c>
      <c r="H17" s="64">
        <f>IF($B17="","",IFERROR(BDP($B17&amp;" Action","OFFERING_GREENSHOE_SHARES_EX"),""))</f>
        <v/>
      </c>
      <c r="I17" s="4">
        <f>Database!V17</f>
        <v/>
      </c>
      <c r="J17" s="21">
        <f>IFERROR(BDP(Database!$A17&amp;" HK Equity","PE_RATIO"),"")</f>
        <v/>
      </c>
      <c r="K17" s="6">
        <f>IFERROR(BDP(Database!$A17&amp;" HK Equity","A/H_SHARE_CONVERSION"),"")</f>
        <v/>
      </c>
      <c r="L17" s="4">
        <f>IF(Database!AL17="","(none found)",Database!AL17)</f>
        <v/>
      </c>
      <c r="M17" s="9">
        <f>IFERROR(BDH(Database!$A17&amp;" HK Equity","CUR_MKT_CAP",Database!$G17,Database!$G17)/1000000,"")</f>
        <v/>
      </c>
      <c r="N17" s="63">
        <f>Database!O17</f>
        <v/>
      </c>
      <c r="O17" s="21">
        <f>IFERROR(BDH(Database!$A17&amp;" HK Equity","PE_RATIO",Database!$G17,Database!$G17),"")</f>
        <v/>
      </c>
      <c r="P17" s="60">
        <f>IF(Database!AI17="","(n/m or not derivable)",Database!AI17)</f>
        <v/>
      </c>
    </row>
    <row r="18">
      <c r="A18" s="4">
        <f>Database!A18&amp;"  "&amp;Database!B18</f>
        <v/>
      </c>
      <c r="B18" s="6">
        <f>IFERROR(INDEX(BDS(Database!$A18&amp;" HK Equity","EQUITY_OFFERINGS","array=t","endcol=1"),MATCH("IPO",BDS(Database!$A18&amp;" HK Equity","EQUITY_OFFERINGS","array=t","startcol=2","endcol=2"),0)),"")</f>
        <v/>
      </c>
      <c r="C18" s="64">
        <f>IF($B18="","",IFERROR(BDP($B18&amp;" Action","CP036"),""))</f>
        <v/>
      </c>
      <c r="D18" s="65">
        <f>Database!Q18</f>
        <v/>
      </c>
      <c r="E18" s="64">
        <f>IF($B18="","",IFERROR(BDP($B18&amp;" Action","CP037"),""))</f>
        <v/>
      </c>
      <c r="F18" s="65">
        <f>Database!R18</f>
        <v/>
      </c>
      <c r="G18" s="64">
        <f>IF($B18="","",IFERROR(BDP($B18&amp;" Action","GREENSHOE_FACILITY"),""))</f>
        <v/>
      </c>
      <c r="H18" s="64">
        <f>IF($B18="","",IFERROR(BDP($B18&amp;" Action","OFFERING_GREENSHOE_SHARES_EX"),""))</f>
        <v/>
      </c>
      <c r="I18" s="4">
        <f>Database!V18</f>
        <v/>
      </c>
      <c r="J18" s="21">
        <f>IFERROR(BDP(Database!$A18&amp;" HK Equity","PE_RATIO"),"")</f>
        <v/>
      </c>
      <c r="K18" s="6">
        <f>IFERROR(BDP(Database!$A18&amp;" HK Equity","A/H_SHARE_CONVERSION"),"")</f>
        <v/>
      </c>
      <c r="L18" s="4">
        <f>IF(Database!AL18="","(none found)",Database!AL18)</f>
        <v/>
      </c>
      <c r="M18" s="9">
        <f>IFERROR(BDH(Database!$A18&amp;" HK Equity","CUR_MKT_CAP",Database!$G18,Database!$G18)/1000000,"")</f>
        <v/>
      </c>
      <c r="N18" s="63">
        <f>Database!O18</f>
        <v/>
      </c>
      <c r="O18" s="21">
        <f>IFERROR(BDH(Database!$A18&amp;" HK Equity","PE_RATIO",Database!$G18,Database!$G18),"")</f>
        <v/>
      </c>
      <c r="P18" s="60">
        <f>IF(Database!AI18="","(n/m or not derivable)",Database!AI18)</f>
        <v/>
      </c>
    </row>
    <row r="19">
      <c r="A19" s="4">
        <f>Database!A19&amp;"  "&amp;Database!B19</f>
        <v/>
      </c>
      <c r="B19" s="6">
        <f>IFERROR(INDEX(BDS(Database!$A19&amp;" HK Equity","EQUITY_OFFERINGS","array=t","endcol=1"),MATCH("IPO",BDS(Database!$A19&amp;" HK Equity","EQUITY_OFFERINGS","array=t","startcol=2","endcol=2"),0)),"")</f>
        <v/>
      </c>
      <c r="C19" s="64">
        <f>IF($B19="","",IFERROR(BDP($B19&amp;" Action","CP036"),""))</f>
        <v/>
      </c>
      <c r="D19" s="65">
        <f>Database!Q19</f>
        <v/>
      </c>
      <c r="E19" s="64">
        <f>IF($B19="","",IFERROR(BDP($B19&amp;" Action","CP037"),""))</f>
        <v/>
      </c>
      <c r="F19" s="65">
        <f>Database!R19</f>
        <v/>
      </c>
      <c r="G19" s="64">
        <f>IF($B19="","",IFERROR(BDP($B19&amp;" Action","GREENSHOE_FACILITY"),""))</f>
        <v/>
      </c>
      <c r="H19" s="64">
        <f>IF($B19="","",IFERROR(BDP($B19&amp;" Action","OFFERING_GREENSHOE_SHARES_EX"),""))</f>
        <v/>
      </c>
      <c r="I19" s="4">
        <f>Database!V19</f>
        <v/>
      </c>
      <c r="J19" s="21">
        <f>IFERROR(BDP(Database!$A19&amp;" HK Equity","PE_RATIO"),"")</f>
        <v/>
      </c>
      <c r="K19" s="6">
        <f>IFERROR(BDP(Database!$A19&amp;" HK Equity","A/H_SHARE_CONVERSION"),"")</f>
        <v/>
      </c>
      <c r="L19" s="4">
        <f>IF(Database!AL19="","(none found)",Database!AL19)</f>
        <v/>
      </c>
      <c r="M19" s="9">
        <f>IFERROR(BDH(Database!$A19&amp;" HK Equity","CUR_MKT_CAP",Database!$G19,Database!$G19)/1000000,"")</f>
        <v/>
      </c>
      <c r="N19" s="63">
        <f>Database!O19</f>
        <v/>
      </c>
      <c r="O19" s="21">
        <f>IFERROR(BDH(Database!$A19&amp;" HK Equity","PE_RATIO",Database!$G19,Database!$G19),"")</f>
        <v/>
      </c>
      <c r="P19" s="60">
        <f>IF(Database!AI19="","(n/m or not derivable)",Database!AI19)</f>
        <v/>
      </c>
    </row>
    <row r="20">
      <c r="A20" s="4">
        <f>Database!A20&amp;"  "&amp;Database!B20</f>
        <v/>
      </c>
      <c r="B20" s="6">
        <f>IFERROR(INDEX(BDS(Database!$A20&amp;" HK Equity","EQUITY_OFFERINGS","array=t","endcol=1"),MATCH("IPO",BDS(Database!$A20&amp;" HK Equity","EQUITY_OFFERINGS","array=t","startcol=2","endcol=2"),0)),"")</f>
        <v/>
      </c>
      <c r="C20" s="64">
        <f>IF($B20="","",IFERROR(BDP($B20&amp;" Action","CP036"),""))</f>
        <v/>
      </c>
      <c r="D20" s="65">
        <f>Database!Q20</f>
        <v/>
      </c>
      <c r="E20" s="64">
        <f>IF($B20="","",IFERROR(BDP($B20&amp;" Action","CP037"),""))</f>
        <v/>
      </c>
      <c r="F20" s="65">
        <f>Database!R20</f>
        <v/>
      </c>
      <c r="G20" s="64">
        <f>IF($B20="","",IFERROR(BDP($B20&amp;" Action","GREENSHOE_FACILITY"),""))</f>
        <v/>
      </c>
      <c r="H20" s="64">
        <f>IF($B20="","",IFERROR(BDP($B20&amp;" Action","OFFERING_GREENSHOE_SHARES_EX"),""))</f>
        <v/>
      </c>
      <c r="I20" s="4">
        <f>Database!V20</f>
        <v/>
      </c>
      <c r="J20" s="21">
        <f>IFERROR(BDP(Database!$A20&amp;" HK Equity","PE_RATIO"),"")</f>
        <v/>
      </c>
      <c r="K20" s="6">
        <f>IFERROR(BDP(Database!$A20&amp;" HK Equity","A/H_SHARE_CONVERSION"),"")</f>
        <v/>
      </c>
      <c r="L20" s="4">
        <f>IF(Database!AL20="","(none found)",Database!AL20)</f>
        <v/>
      </c>
      <c r="M20" s="9">
        <f>IFERROR(BDH(Database!$A20&amp;" HK Equity","CUR_MKT_CAP",Database!$G20,Database!$G20)/1000000,"")</f>
        <v/>
      </c>
      <c r="N20" s="63">
        <f>Database!O20</f>
        <v/>
      </c>
      <c r="O20" s="21">
        <f>IFERROR(BDH(Database!$A20&amp;" HK Equity","PE_RATIO",Database!$G20,Database!$G20),"")</f>
        <v/>
      </c>
      <c r="P20" s="60">
        <f>IF(Database!AI20="","(n/m or not derivable)",Database!AI20)</f>
        <v/>
      </c>
    </row>
    <row r="21">
      <c r="A21" s="4">
        <f>Database!A21&amp;"  "&amp;Database!B21</f>
        <v/>
      </c>
      <c r="B21" s="6">
        <f>IFERROR(INDEX(BDS(Database!$A21&amp;" HK Equity","EQUITY_OFFERINGS","array=t","endcol=1"),MATCH("IPO",BDS(Database!$A21&amp;" HK Equity","EQUITY_OFFERINGS","array=t","startcol=2","endcol=2"),0)),"")</f>
        <v/>
      </c>
      <c r="C21" s="64">
        <f>IF($B21="","",IFERROR(BDP($B21&amp;" Action","CP036"),""))</f>
        <v/>
      </c>
      <c r="D21" s="65">
        <f>Database!Q21</f>
        <v/>
      </c>
      <c r="E21" s="64">
        <f>IF($B21="","",IFERROR(BDP($B21&amp;" Action","CP037"),""))</f>
        <v/>
      </c>
      <c r="F21" s="65">
        <f>Database!R21</f>
        <v/>
      </c>
      <c r="G21" s="64">
        <f>IF($B21="","",IFERROR(BDP($B21&amp;" Action","GREENSHOE_FACILITY"),""))</f>
        <v/>
      </c>
      <c r="H21" s="64">
        <f>IF($B21="","",IFERROR(BDP($B21&amp;" Action","OFFERING_GREENSHOE_SHARES_EX"),""))</f>
        <v/>
      </c>
      <c r="I21" s="4">
        <f>Database!V21</f>
        <v/>
      </c>
      <c r="J21" s="21">
        <f>IFERROR(BDP(Database!$A21&amp;" HK Equity","PE_RATIO"),"")</f>
        <v/>
      </c>
      <c r="K21" s="6">
        <f>IFERROR(BDP(Database!$A21&amp;" HK Equity","A/H_SHARE_CONVERSION"),"")</f>
        <v/>
      </c>
      <c r="L21" s="4">
        <f>IF(Database!AL21="","(none found)",Database!AL21)</f>
        <v/>
      </c>
      <c r="M21" s="9">
        <f>IFERROR(BDH(Database!$A21&amp;" HK Equity","CUR_MKT_CAP",Database!$G21,Database!$G21)/1000000,"")</f>
        <v/>
      </c>
      <c r="N21" s="63">
        <f>Database!O21</f>
        <v/>
      </c>
      <c r="O21" s="21">
        <f>IFERROR(BDH(Database!$A21&amp;" HK Equity","PE_RATIO",Database!$G21,Database!$G21),"")</f>
        <v/>
      </c>
      <c r="P21" s="60">
        <f>IF(Database!AI21="","(n/m or not derivable)",Database!AI21)</f>
        <v/>
      </c>
    </row>
    <row r="22">
      <c r="A22" s="4">
        <f>Database!A22&amp;"  "&amp;Database!B22</f>
        <v/>
      </c>
      <c r="B22" s="6">
        <f>IFERROR(INDEX(BDS(Database!$A22&amp;" HK Equity","EQUITY_OFFERINGS","array=t","endcol=1"),MATCH("IPO",BDS(Database!$A22&amp;" HK Equity","EQUITY_OFFERINGS","array=t","startcol=2","endcol=2"),0)),"")</f>
        <v/>
      </c>
      <c r="C22" s="64">
        <f>IF($B22="","",IFERROR(BDP($B22&amp;" Action","CP036"),""))</f>
        <v/>
      </c>
      <c r="D22" s="65">
        <f>Database!Q22</f>
        <v/>
      </c>
      <c r="E22" s="64">
        <f>IF($B22="","",IFERROR(BDP($B22&amp;" Action","CP037"),""))</f>
        <v/>
      </c>
      <c r="F22" s="65">
        <f>Database!R22</f>
        <v/>
      </c>
      <c r="G22" s="64">
        <f>IF($B22="","",IFERROR(BDP($B22&amp;" Action","GREENSHOE_FACILITY"),""))</f>
        <v/>
      </c>
      <c r="H22" s="64">
        <f>IF($B22="","",IFERROR(BDP($B22&amp;" Action","OFFERING_GREENSHOE_SHARES_EX"),""))</f>
        <v/>
      </c>
      <c r="I22" s="4">
        <f>Database!V22</f>
        <v/>
      </c>
      <c r="J22" s="21">
        <f>IFERROR(BDP(Database!$A22&amp;" HK Equity","PE_RATIO"),"")</f>
        <v/>
      </c>
      <c r="K22" s="6">
        <f>IFERROR(BDP(Database!$A22&amp;" HK Equity","A/H_SHARE_CONVERSION"),"")</f>
        <v/>
      </c>
      <c r="L22" s="4">
        <f>IF(Database!AL22="","(none found)",Database!AL22)</f>
        <v/>
      </c>
      <c r="M22" s="9">
        <f>IFERROR(BDH(Database!$A22&amp;" HK Equity","CUR_MKT_CAP",Database!$G22,Database!$G22)/1000000,"")</f>
        <v/>
      </c>
      <c r="N22" s="63">
        <f>Database!O22</f>
        <v/>
      </c>
      <c r="O22" s="21">
        <f>IFERROR(BDH(Database!$A22&amp;" HK Equity","PE_RATIO",Database!$G22,Database!$G22),"")</f>
        <v/>
      </c>
      <c r="P22" s="60">
        <f>IF(Database!AI22="","(n/m or not derivable)",Database!AI22)</f>
        <v/>
      </c>
    </row>
    <row r="23">
      <c r="A23" s="4">
        <f>Database!A23&amp;"  "&amp;Database!B23</f>
        <v/>
      </c>
      <c r="B23" s="6">
        <f>IFERROR(INDEX(BDS(Database!$A23&amp;" HK Equity","EQUITY_OFFERINGS","array=t","endcol=1"),MATCH("IPO",BDS(Database!$A23&amp;" HK Equity","EQUITY_OFFERINGS","array=t","startcol=2","endcol=2"),0)),"")</f>
        <v/>
      </c>
      <c r="C23" s="64">
        <f>IF($B23="","",IFERROR(BDP($B23&amp;" Action","CP036"),""))</f>
        <v/>
      </c>
      <c r="D23" s="65">
        <f>Database!Q23</f>
        <v/>
      </c>
      <c r="E23" s="64">
        <f>IF($B23="","",IFERROR(BDP($B23&amp;" Action","CP037"),""))</f>
        <v/>
      </c>
      <c r="F23" s="65">
        <f>Database!R23</f>
        <v/>
      </c>
      <c r="G23" s="64">
        <f>IF($B23="","",IFERROR(BDP($B23&amp;" Action","GREENSHOE_FACILITY"),""))</f>
        <v/>
      </c>
      <c r="H23" s="64">
        <f>IF($B23="","",IFERROR(BDP($B23&amp;" Action","OFFERING_GREENSHOE_SHARES_EX"),""))</f>
        <v/>
      </c>
      <c r="I23" s="4">
        <f>Database!V23</f>
        <v/>
      </c>
      <c r="J23" s="21">
        <f>IFERROR(BDP(Database!$A23&amp;" HK Equity","PE_RATIO"),"")</f>
        <v/>
      </c>
      <c r="K23" s="6">
        <f>IFERROR(BDP(Database!$A23&amp;" HK Equity","A/H_SHARE_CONVERSION"),"")</f>
        <v/>
      </c>
      <c r="L23" s="4">
        <f>IF(Database!AL23="","(none found)",Database!AL23)</f>
        <v/>
      </c>
      <c r="M23" s="9">
        <f>IFERROR(BDH(Database!$A23&amp;" HK Equity","CUR_MKT_CAP",Database!$G23,Database!$G23)/1000000,"")</f>
        <v/>
      </c>
      <c r="N23" s="63">
        <f>Database!O23</f>
        <v/>
      </c>
      <c r="O23" s="21">
        <f>IFERROR(BDH(Database!$A23&amp;" HK Equity","PE_RATIO",Database!$G23,Database!$G23),"")</f>
        <v/>
      </c>
      <c r="P23" s="60">
        <f>IF(Database!AI23="","(n/m or not derivable)",Database!AI23)</f>
        <v/>
      </c>
    </row>
    <row r="24">
      <c r="A24" s="4">
        <f>Database!A24&amp;"  "&amp;Database!B24</f>
        <v/>
      </c>
      <c r="B24" s="6">
        <f>IFERROR(INDEX(BDS(Database!$A24&amp;" HK Equity","EQUITY_OFFERINGS","array=t","endcol=1"),MATCH("IPO",BDS(Database!$A24&amp;" HK Equity","EQUITY_OFFERINGS","array=t","startcol=2","endcol=2"),0)),"")</f>
        <v/>
      </c>
      <c r="C24" s="64">
        <f>IF($B24="","",IFERROR(BDP($B24&amp;" Action","CP036"),""))</f>
        <v/>
      </c>
      <c r="D24" s="65">
        <f>Database!Q24</f>
        <v/>
      </c>
      <c r="E24" s="64">
        <f>IF($B24="","",IFERROR(BDP($B24&amp;" Action","CP037"),""))</f>
        <v/>
      </c>
      <c r="F24" s="65">
        <f>Database!R24</f>
        <v/>
      </c>
      <c r="G24" s="64">
        <f>IF($B24="","",IFERROR(BDP($B24&amp;" Action","GREENSHOE_FACILITY"),""))</f>
        <v/>
      </c>
      <c r="H24" s="64">
        <f>IF($B24="","",IFERROR(BDP($B24&amp;" Action","OFFERING_GREENSHOE_SHARES_EX"),""))</f>
        <v/>
      </c>
      <c r="I24" s="4">
        <f>Database!V24</f>
        <v/>
      </c>
      <c r="J24" s="21">
        <f>IFERROR(BDP(Database!$A24&amp;" HK Equity","PE_RATIO"),"")</f>
        <v/>
      </c>
      <c r="K24" s="6">
        <f>IFERROR(BDP(Database!$A24&amp;" HK Equity","A/H_SHARE_CONVERSION"),"")</f>
        <v/>
      </c>
      <c r="L24" s="4">
        <f>IF(Database!AL24="","(none found)",Database!AL24)</f>
        <v/>
      </c>
      <c r="M24" s="9">
        <f>IFERROR(BDH(Database!$A24&amp;" HK Equity","CUR_MKT_CAP",Database!$G24,Database!$G24)/1000000,"")</f>
        <v/>
      </c>
      <c r="N24" s="63">
        <f>Database!O24</f>
        <v/>
      </c>
      <c r="O24" s="21">
        <f>IFERROR(BDH(Database!$A24&amp;" HK Equity","PE_RATIO",Database!$G24,Database!$G24),"")</f>
        <v/>
      </c>
      <c r="P24" s="60">
        <f>IF(Database!AI24="","(n/m or not derivable)",Database!AI24)</f>
        <v/>
      </c>
    </row>
    <row r="25">
      <c r="A25" s="4">
        <f>Database!A25&amp;"  "&amp;Database!B25</f>
        <v/>
      </c>
      <c r="B25" s="6">
        <f>IFERROR(INDEX(BDS(Database!$A25&amp;" HK Equity","EQUITY_OFFERINGS","array=t","endcol=1"),MATCH("IPO",BDS(Database!$A25&amp;" HK Equity","EQUITY_OFFERINGS","array=t","startcol=2","endcol=2"),0)),"")</f>
        <v/>
      </c>
      <c r="C25" s="64">
        <f>IF($B25="","",IFERROR(BDP($B25&amp;" Action","CP036"),""))</f>
        <v/>
      </c>
      <c r="D25" s="65">
        <f>Database!Q25</f>
        <v/>
      </c>
      <c r="E25" s="64">
        <f>IF($B25="","",IFERROR(BDP($B25&amp;" Action","CP037"),""))</f>
        <v/>
      </c>
      <c r="F25" s="65">
        <f>Database!R25</f>
        <v/>
      </c>
      <c r="G25" s="64">
        <f>IF($B25="","",IFERROR(BDP($B25&amp;" Action","GREENSHOE_FACILITY"),""))</f>
        <v/>
      </c>
      <c r="H25" s="64">
        <f>IF($B25="","",IFERROR(BDP($B25&amp;" Action","OFFERING_GREENSHOE_SHARES_EX"),""))</f>
        <v/>
      </c>
      <c r="I25" s="4">
        <f>Database!V25</f>
        <v/>
      </c>
      <c r="J25" s="21">
        <f>IFERROR(BDP(Database!$A25&amp;" HK Equity","PE_RATIO"),"")</f>
        <v/>
      </c>
      <c r="K25" s="6">
        <f>IFERROR(BDP(Database!$A25&amp;" HK Equity","A/H_SHARE_CONVERSION"),"")</f>
        <v/>
      </c>
      <c r="L25" s="4">
        <f>IF(Database!AL25="","(none found)",Database!AL25)</f>
        <v/>
      </c>
      <c r="M25" s="9">
        <f>IFERROR(BDH(Database!$A25&amp;" HK Equity","CUR_MKT_CAP",Database!$G25,Database!$G25)/1000000,"")</f>
        <v/>
      </c>
      <c r="N25" s="63">
        <f>Database!O25</f>
        <v/>
      </c>
      <c r="O25" s="21">
        <f>IFERROR(BDH(Database!$A25&amp;" HK Equity","PE_RATIO",Database!$G25,Database!$G25),"")</f>
        <v/>
      </c>
      <c r="P25" s="60">
        <f>IF(Database!AI25="","(n/m or not derivable)",Database!AI25)</f>
        <v/>
      </c>
    </row>
    <row r="26">
      <c r="A26" s="4">
        <f>Database!A26&amp;"  "&amp;Database!B26</f>
        <v/>
      </c>
      <c r="B26" s="6">
        <f>IFERROR(INDEX(BDS(Database!$A26&amp;" HK Equity","EQUITY_OFFERINGS","array=t","endcol=1"),MATCH("IPO",BDS(Database!$A26&amp;" HK Equity","EQUITY_OFFERINGS","array=t","startcol=2","endcol=2"),0)),"")</f>
        <v/>
      </c>
      <c r="C26" s="64">
        <f>IF($B26="","",IFERROR(BDP($B26&amp;" Action","CP036"),""))</f>
        <v/>
      </c>
      <c r="D26" s="65">
        <f>Database!Q26</f>
        <v/>
      </c>
      <c r="E26" s="64">
        <f>IF($B26="","",IFERROR(BDP($B26&amp;" Action","CP037"),""))</f>
        <v/>
      </c>
      <c r="F26" s="65">
        <f>Database!R26</f>
        <v/>
      </c>
      <c r="G26" s="64">
        <f>IF($B26="","",IFERROR(BDP($B26&amp;" Action","GREENSHOE_FACILITY"),""))</f>
        <v/>
      </c>
      <c r="H26" s="64">
        <f>IF($B26="","",IFERROR(BDP($B26&amp;" Action","OFFERING_GREENSHOE_SHARES_EX"),""))</f>
        <v/>
      </c>
      <c r="I26" s="4">
        <f>Database!V26</f>
        <v/>
      </c>
      <c r="J26" s="21">
        <f>IFERROR(BDP(Database!$A26&amp;" HK Equity","PE_RATIO"),"")</f>
        <v/>
      </c>
      <c r="K26" s="6">
        <f>IFERROR(BDP(Database!$A26&amp;" HK Equity","A/H_SHARE_CONVERSION"),"")</f>
        <v/>
      </c>
      <c r="L26" s="4">
        <f>IF(Database!AL26="","(none found)",Database!AL26)</f>
        <v/>
      </c>
      <c r="M26" s="9">
        <f>IFERROR(BDH(Database!$A26&amp;" HK Equity","CUR_MKT_CAP",Database!$G26,Database!$G26)/1000000,"")</f>
        <v/>
      </c>
      <c r="N26" s="63">
        <f>Database!O26</f>
        <v/>
      </c>
      <c r="O26" s="21">
        <f>IFERROR(BDH(Database!$A26&amp;" HK Equity","PE_RATIO",Database!$G26,Database!$G26),"")</f>
        <v/>
      </c>
      <c r="P26" s="60">
        <f>IF(Database!AI26="","(n/m or not derivable)",Database!AI26)</f>
        <v/>
      </c>
    </row>
    <row r="27">
      <c r="A27" s="4">
        <f>Database!A27&amp;"  "&amp;Database!B27</f>
        <v/>
      </c>
      <c r="B27" s="6">
        <f>IFERROR(INDEX(BDS(Database!$A27&amp;" HK Equity","EQUITY_OFFERINGS","array=t","endcol=1"),MATCH("IPO",BDS(Database!$A27&amp;" HK Equity","EQUITY_OFFERINGS","array=t","startcol=2","endcol=2"),0)),"")</f>
        <v/>
      </c>
      <c r="C27" s="64">
        <f>IF($B27="","",IFERROR(BDP($B27&amp;" Action","CP036"),""))</f>
        <v/>
      </c>
      <c r="D27" s="65">
        <f>Database!Q27</f>
        <v/>
      </c>
      <c r="E27" s="64">
        <f>IF($B27="","",IFERROR(BDP($B27&amp;" Action","CP037"),""))</f>
        <v/>
      </c>
      <c r="F27" s="65">
        <f>Database!R27</f>
        <v/>
      </c>
      <c r="G27" s="64">
        <f>IF($B27="","",IFERROR(BDP($B27&amp;" Action","GREENSHOE_FACILITY"),""))</f>
        <v/>
      </c>
      <c r="H27" s="64">
        <f>IF($B27="","",IFERROR(BDP($B27&amp;" Action","OFFERING_GREENSHOE_SHARES_EX"),""))</f>
        <v/>
      </c>
      <c r="I27" s="4">
        <f>Database!V27</f>
        <v/>
      </c>
      <c r="J27" s="21">
        <f>IFERROR(BDP(Database!$A27&amp;" HK Equity","PE_RATIO"),"")</f>
        <v/>
      </c>
      <c r="K27" s="6">
        <f>IFERROR(BDP(Database!$A27&amp;" HK Equity","A/H_SHARE_CONVERSION"),"")</f>
        <v/>
      </c>
      <c r="L27" s="4">
        <f>IF(Database!AL27="","(none found)",Database!AL27)</f>
        <v/>
      </c>
      <c r="M27" s="9">
        <f>IFERROR(BDH(Database!$A27&amp;" HK Equity","CUR_MKT_CAP",Database!$G27,Database!$G27)/1000000,"")</f>
        <v/>
      </c>
      <c r="N27" s="63">
        <f>Database!O27</f>
        <v/>
      </c>
      <c r="O27" s="21">
        <f>IFERROR(BDH(Database!$A27&amp;" HK Equity","PE_RATIO",Database!$G27,Database!$G27),"")</f>
        <v/>
      </c>
      <c r="P27" s="60">
        <f>IF(Database!AI27="","(n/m or not derivable)",Database!AI27)</f>
        <v/>
      </c>
    </row>
    <row r="28">
      <c r="A28" s="4">
        <f>Database!A28&amp;"  "&amp;Database!B28</f>
        <v/>
      </c>
      <c r="B28" s="6">
        <f>IFERROR(INDEX(BDS(Database!$A28&amp;" HK Equity","EQUITY_OFFERINGS","array=t","endcol=1"),MATCH("IPO",BDS(Database!$A28&amp;" HK Equity","EQUITY_OFFERINGS","array=t","startcol=2","endcol=2"),0)),"")</f>
        <v/>
      </c>
      <c r="C28" s="64">
        <f>IF($B28="","",IFERROR(BDP($B28&amp;" Action","CP036"),""))</f>
        <v/>
      </c>
      <c r="D28" s="65">
        <f>Database!Q28</f>
        <v/>
      </c>
      <c r="E28" s="64">
        <f>IF($B28="","",IFERROR(BDP($B28&amp;" Action","CP037"),""))</f>
        <v/>
      </c>
      <c r="F28" s="65">
        <f>Database!R28</f>
        <v/>
      </c>
      <c r="G28" s="64">
        <f>IF($B28="","",IFERROR(BDP($B28&amp;" Action","GREENSHOE_FACILITY"),""))</f>
        <v/>
      </c>
      <c r="H28" s="64">
        <f>IF($B28="","",IFERROR(BDP($B28&amp;" Action","OFFERING_GREENSHOE_SHARES_EX"),""))</f>
        <v/>
      </c>
      <c r="I28" s="4">
        <f>Database!V28</f>
        <v/>
      </c>
      <c r="J28" s="21">
        <f>IFERROR(BDP(Database!$A28&amp;" HK Equity","PE_RATIO"),"")</f>
        <v/>
      </c>
      <c r="K28" s="6">
        <f>IFERROR(BDP(Database!$A28&amp;" HK Equity","A/H_SHARE_CONVERSION"),"")</f>
        <v/>
      </c>
      <c r="L28" s="4">
        <f>IF(Database!AL28="","(none found)",Database!AL28)</f>
        <v/>
      </c>
      <c r="M28" s="9">
        <f>IFERROR(BDH(Database!$A28&amp;" HK Equity","CUR_MKT_CAP",Database!$G28,Database!$G28)/1000000,"")</f>
        <v/>
      </c>
      <c r="N28" s="63">
        <f>Database!O28</f>
        <v/>
      </c>
      <c r="O28" s="21">
        <f>IFERROR(BDH(Database!$A28&amp;" HK Equity","PE_RATIO",Database!$G28,Database!$G28),"")</f>
        <v/>
      </c>
      <c r="P28" s="60">
        <f>IF(Database!AI28="","(n/m or not derivable)",Database!AI28)</f>
        <v/>
      </c>
    </row>
    <row r="29">
      <c r="A29" s="4">
        <f>Database!A29&amp;"  "&amp;Database!B29</f>
        <v/>
      </c>
      <c r="B29" s="6">
        <f>IFERROR(INDEX(BDS(Database!$A29&amp;" HK Equity","EQUITY_OFFERINGS","array=t","endcol=1"),MATCH("IPO",BDS(Database!$A29&amp;" HK Equity","EQUITY_OFFERINGS","array=t","startcol=2","endcol=2"),0)),"")</f>
        <v/>
      </c>
      <c r="C29" s="64">
        <f>IF($B29="","",IFERROR(BDP($B29&amp;" Action","CP036"),""))</f>
        <v/>
      </c>
      <c r="D29" s="65">
        <f>Database!Q29</f>
        <v/>
      </c>
      <c r="E29" s="64">
        <f>IF($B29="","",IFERROR(BDP($B29&amp;" Action","CP037"),""))</f>
        <v/>
      </c>
      <c r="F29" s="65">
        <f>Database!R29</f>
        <v/>
      </c>
      <c r="G29" s="64">
        <f>IF($B29="","",IFERROR(BDP($B29&amp;" Action","GREENSHOE_FACILITY"),""))</f>
        <v/>
      </c>
      <c r="H29" s="64">
        <f>IF($B29="","",IFERROR(BDP($B29&amp;" Action","OFFERING_GREENSHOE_SHARES_EX"),""))</f>
        <v/>
      </c>
      <c r="I29" s="4">
        <f>Database!V29</f>
        <v/>
      </c>
      <c r="J29" s="21">
        <f>IFERROR(BDP(Database!$A29&amp;" HK Equity","PE_RATIO"),"")</f>
        <v/>
      </c>
      <c r="K29" s="6">
        <f>IFERROR(BDP(Database!$A29&amp;" HK Equity","A/H_SHARE_CONVERSION"),"")</f>
        <v/>
      </c>
      <c r="L29" s="4">
        <f>IF(Database!AL29="","(none found)",Database!AL29)</f>
        <v/>
      </c>
      <c r="M29" s="9">
        <f>IFERROR(BDH(Database!$A29&amp;" HK Equity","CUR_MKT_CAP",Database!$G29,Database!$G29)/1000000,"")</f>
        <v/>
      </c>
      <c r="N29" s="63">
        <f>Database!O29</f>
        <v/>
      </c>
      <c r="O29" s="21">
        <f>IFERROR(BDH(Database!$A29&amp;" HK Equity","PE_RATIO",Database!$G29,Database!$G29),"")</f>
        <v/>
      </c>
      <c r="P29" s="60">
        <f>IF(Database!AI29="","(n/m or not derivable)",Database!AI29)</f>
        <v/>
      </c>
    </row>
    <row r="30">
      <c r="A30" s="4">
        <f>Database!A30&amp;"  "&amp;Database!B30</f>
        <v/>
      </c>
      <c r="B30" s="6">
        <f>IFERROR(INDEX(BDS(Database!$A30&amp;" HK Equity","EQUITY_OFFERINGS","array=t","endcol=1"),MATCH("IPO",BDS(Database!$A30&amp;" HK Equity","EQUITY_OFFERINGS","array=t","startcol=2","endcol=2"),0)),"")</f>
        <v/>
      </c>
      <c r="C30" s="64">
        <f>IF($B30="","",IFERROR(BDP($B30&amp;" Action","CP036"),""))</f>
        <v/>
      </c>
      <c r="D30" s="65">
        <f>Database!Q30</f>
        <v/>
      </c>
      <c r="E30" s="64">
        <f>IF($B30="","",IFERROR(BDP($B30&amp;" Action","CP037"),""))</f>
        <v/>
      </c>
      <c r="F30" s="65">
        <f>Database!R30</f>
        <v/>
      </c>
      <c r="G30" s="64">
        <f>IF($B30="","",IFERROR(BDP($B30&amp;" Action","GREENSHOE_FACILITY"),""))</f>
        <v/>
      </c>
      <c r="H30" s="64">
        <f>IF($B30="","",IFERROR(BDP($B30&amp;" Action","OFFERING_GREENSHOE_SHARES_EX"),""))</f>
        <v/>
      </c>
      <c r="I30" s="4">
        <f>Database!V30</f>
        <v/>
      </c>
      <c r="J30" s="21">
        <f>IFERROR(BDP(Database!$A30&amp;" HK Equity","PE_RATIO"),"")</f>
        <v/>
      </c>
      <c r="K30" s="6">
        <f>IFERROR(BDP(Database!$A30&amp;" HK Equity","A/H_SHARE_CONVERSION"),"")</f>
        <v/>
      </c>
      <c r="L30" s="4">
        <f>IF(Database!AL30="","(none found)",Database!AL30)</f>
        <v/>
      </c>
      <c r="M30" s="9">
        <f>IFERROR(BDH(Database!$A30&amp;" HK Equity","CUR_MKT_CAP",Database!$G30,Database!$G30)/1000000,"")</f>
        <v/>
      </c>
      <c r="N30" s="63">
        <f>Database!O30</f>
        <v/>
      </c>
      <c r="O30" s="21">
        <f>IFERROR(BDH(Database!$A30&amp;" HK Equity","PE_RATIO",Database!$G30,Database!$G30),"")</f>
        <v/>
      </c>
      <c r="P30" s="60">
        <f>IF(Database!AI30="","(n/m or not derivable)",Database!AI30)</f>
        <v/>
      </c>
    </row>
    <row r="31">
      <c r="A31" s="4">
        <f>Database!A31&amp;"  "&amp;Database!B31</f>
        <v/>
      </c>
      <c r="B31" s="6">
        <f>IFERROR(INDEX(BDS(Database!$A31&amp;" HK Equity","EQUITY_OFFERINGS","array=t","endcol=1"),MATCH("IPO",BDS(Database!$A31&amp;" HK Equity","EQUITY_OFFERINGS","array=t","startcol=2","endcol=2"),0)),"")</f>
        <v/>
      </c>
      <c r="C31" s="64">
        <f>IF($B31="","",IFERROR(BDP($B31&amp;" Action","CP036"),""))</f>
        <v/>
      </c>
      <c r="D31" s="65">
        <f>Database!Q31</f>
        <v/>
      </c>
      <c r="E31" s="64">
        <f>IF($B31="","",IFERROR(BDP($B31&amp;" Action","CP037"),""))</f>
        <v/>
      </c>
      <c r="F31" s="65">
        <f>Database!R31</f>
        <v/>
      </c>
      <c r="G31" s="64">
        <f>IF($B31="","",IFERROR(BDP($B31&amp;" Action","GREENSHOE_FACILITY"),""))</f>
        <v/>
      </c>
      <c r="H31" s="64">
        <f>IF($B31="","",IFERROR(BDP($B31&amp;" Action","OFFERING_GREENSHOE_SHARES_EX"),""))</f>
        <v/>
      </c>
      <c r="I31" s="4">
        <f>Database!V31</f>
        <v/>
      </c>
      <c r="J31" s="21">
        <f>IFERROR(BDP(Database!$A31&amp;" HK Equity","PE_RATIO"),"")</f>
        <v/>
      </c>
      <c r="K31" s="6">
        <f>IFERROR(BDP(Database!$A31&amp;" HK Equity","A/H_SHARE_CONVERSION"),"")</f>
        <v/>
      </c>
      <c r="L31" s="4">
        <f>IF(Database!AL31="","(none found)",Database!AL31)</f>
        <v/>
      </c>
      <c r="M31" s="9">
        <f>IFERROR(BDH(Database!$A31&amp;" HK Equity","CUR_MKT_CAP",Database!$G31,Database!$G31)/1000000,"")</f>
        <v/>
      </c>
      <c r="N31" s="63">
        <f>Database!O31</f>
        <v/>
      </c>
      <c r="O31" s="21">
        <f>IFERROR(BDH(Database!$A31&amp;" HK Equity","PE_RATIO",Database!$G31,Database!$G31),"")</f>
        <v/>
      </c>
      <c r="P31" s="60">
        <f>IF(Database!AI31="","(n/m or not derivable)",Database!AI31)</f>
        <v/>
      </c>
    </row>
    <row r="32">
      <c r="A32" s="4">
        <f>Database!A32&amp;"  "&amp;Database!B32</f>
        <v/>
      </c>
      <c r="B32" s="6">
        <f>IFERROR(INDEX(BDS(Database!$A32&amp;" HK Equity","EQUITY_OFFERINGS","array=t","endcol=1"),MATCH("IPO",BDS(Database!$A32&amp;" HK Equity","EQUITY_OFFERINGS","array=t","startcol=2","endcol=2"),0)),"")</f>
        <v/>
      </c>
      <c r="C32" s="64">
        <f>IF($B32="","",IFERROR(BDP($B32&amp;" Action","CP036"),""))</f>
        <v/>
      </c>
      <c r="D32" s="65">
        <f>Database!Q32</f>
        <v/>
      </c>
      <c r="E32" s="64">
        <f>IF($B32="","",IFERROR(BDP($B32&amp;" Action","CP037"),""))</f>
        <v/>
      </c>
      <c r="F32" s="65">
        <f>Database!R32</f>
        <v/>
      </c>
      <c r="G32" s="64">
        <f>IF($B32="","",IFERROR(BDP($B32&amp;" Action","GREENSHOE_FACILITY"),""))</f>
        <v/>
      </c>
      <c r="H32" s="64">
        <f>IF($B32="","",IFERROR(BDP($B32&amp;" Action","OFFERING_GREENSHOE_SHARES_EX"),""))</f>
        <v/>
      </c>
      <c r="I32" s="4">
        <f>Database!V32</f>
        <v/>
      </c>
      <c r="J32" s="21">
        <f>IFERROR(BDP(Database!$A32&amp;" HK Equity","PE_RATIO"),"")</f>
        <v/>
      </c>
      <c r="K32" s="6">
        <f>IFERROR(BDP(Database!$A32&amp;" HK Equity","A/H_SHARE_CONVERSION"),"")</f>
        <v/>
      </c>
      <c r="L32" s="4">
        <f>IF(Database!AL32="","(none found)",Database!AL32)</f>
        <v/>
      </c>
      <c r="M32" s="9">
        <f>IFERROR(BDH(Database!$A32&amp;" HK Equity","CUR_MKT_CAP",Database!$G32,Database!$G32)/1000000,"")</f>
        <v/>
      </c>
      <c r="N32" s="63">
        <f>Database!O32</f>
        <v/>
      </c>
      <c r="O32" s="21">
        <f>IFERROR(BDH(Database!$A32&amp;" HK Equity","PE_RATIO",Database!$G32,Database!$G32),"")</f>
        <v/>
      </c>
      <c r="P32" s="60">
        <f>IF(Database!AI32="","(n/m or not derivable)",Database!AI32)</f>
        <v/>
      </c>
    </row>
    <row r="33">
      <c r="A33" s="4">
        <f>Database!A33&amp;"  "&amp;Database!B33</f>
        <v/>
      </c>
      <c r="B33" s="6">
        <f>IFERROR(INDEX(BDS(Database!$A33&amp;" HK Equity","EQUITY_OFFERINGS","array=t","endcol=1"),MATCH("IPO",BDS(Database!$A33&amp;" HK Equity","EQUITY_OFFERINGS","array=t","startcol=2","endcol=2"),0)),"")</f>
        <v/>
      </c>
      <c r="C33" s="64">
        <f>IF($B33="","",IFERROR(BDP($B33&amp;" Action","CP036"),""))</f>
        <v/>
      </c>
      <c r="D33" s="65">
        <f>Database!Q33</f>
        <v/>
      </c>
      <c r="E33" s="64">
        <f>IF($B33="","",IFERROR(BDP($B33&amp;" Action","CP037"),""))</f>
        <v/>
      </c>
      <c r="F33" s="65">
        <f>Database!R33</f>
        <v/>
      </c>
      <c r="G33" s="64">
        <f>IF($B33="","",IFERROR(BDP($B33&amp;" Action","GREENSHOE_FACILITY"),""))</f>
        <v/>
      </c>
      <c r="H33" s="64">
        <f>IF($B33="","",IFERROR(BDP($B33&amp;" Action","OFFERING_GREENSHOE_SHARES_EX"),""))</f>
        <v/>
      </c>
      <c r="I33" s="4">
        <f>Database!V33</f>
        <v/>
      </c>
      <c r="J33" s="21">
        <f>IFERROR(BDP(Database!$A33&amp;" HK Equity","PE_RATIO"),"")</f>
        <v/>
      </c>
      <c r="K33" s="6">
        <f>IFERROR(BDP(Database!$A33&amp;" HK Equity","A/H_SHARE_CONVERSION"),"")</f>
        <v/>
      </c>
      <c r="L33" s="4">
        <f>IF(Database!AL33="","(none found)",Database!AL33)</f>
        <v/>
      </c>
      <c r="M33" s="9">
        <f>IFERROR(BDH(Database!$A33&amp;" HK Equity","CUR_MKT_CAP",Database!$G33,Database!$G33)/1000000,"")</f>
        <v/>
      </c>
      <c r="N33" s="63">
        <f>Database!O33</f>
        <v/>
      </c>
      <c r="O33" s="21">
        <f>IFERROR(BDH(Database!$A33&amp;" HK Equity","PE_RATIO",Database!$G33,Database!$G33),"")</f>
        <v/>
      </c>
      <c r="P33" s="60">
        <f>IF(Database!AI33="","(n/m or not derivable)",Database!AI33)</f>
        <v/>
      </c>
    </row>
    <row r="34">
      <c r="A34" s="4">
        <f>Database!A34&amp;"  "&amp;Database!B34</f>
        <v/>
      </c>
      <c r="B34" s="6">
        <f>IFERROR(INDEX(BDS(Database!$A34&amp;" HK Equity","EQUITY_OFFERINGS","array=t","endcol=1"),MATCH("IPO",BDS(Database!$A34&amp;" HK Equity","EQUITY_OFFERINGS","array=t","startcol=2","endcol=2"),0)),"")</f>
        <v/>
      </c>
      <c r="C34" s="64">
        <f>IF($B34="","",IFERROR(BDP($B34&amp;" Action","CP036"),""))</f>
        <v/>
      </c>
      <c r="D34" s="65">
        <f>Database!Q34</f>
        <v/>
      </c>
      <c r="E34" s="64">
        <f>IF($B34="","",IFERROR(BDP($B34&amp;" Action","CP037"),""))</f>
        <v/>
      </c>
      <c r="F34" s="65">
        <f>Database!R34</f>
        <v/>
      </c>
      <c r="G34" s="64">
        <f>IF($B34="","",IFERROR(BDP($B34&amp;" Action","GREENSHOE_FACILITY"),""))</f>
        <v/>
      </c>
      <c r="H34" s="64">
        <f>IF($B34="","",IFERROR(BDP($B34&amp;" Action","OFFERING_GREENSHOE_SHARES_EX"),""))</f>
        <v/>
      </c>
      <c r="I34" s="4">
        <f>Database!V34</f>
        <v/>
      </c>
      <c r="J34" s="21">
        <f>IFERROR(BDP(Database!$A34&amp;" HK Equity","PE_RATIO"),"")</f>
        <v/>
      </c>
      <c r="K34" s="6">
        <f>IFERROR(BDP(Database!$A34&amp;" HK Equity","A/H_SHARE_CONVERSION"),"")</f>
        <v/>
      </c>
      <c r="L34" s="4">
        <f>IF(Database!AL34="","(none found)",Database!AL34)</f>
        <v/>
      </c>
      <c r="M34" s="9">
        <f>IFERROR(BDH(Database!$A34&amp;" HK Equity","CUR_MKT_CAP",Database!$G34,Database!$G34)/1000000,"")</f>
        <v/>
      </c>
      <c r="N34" s="63">
        <f>Database!O34</f>
        <v/>
      </c>
      <c r="O34" s="21">
        <f>IFERROR(BDH(Database!$A34&amp;" HK Equity","PE_RATIO",Database!$G34,Database!$G34),"")</f>
        <v/>
      </c>
      <c r="P34" s="60">
        <f>IF(Database!AI34="","(n/m or not derivable)",Database!AI34)</f>
        <v/>
      </c>
    </row>
    <row r="35">
      <c r="A35" s="4">
        <f>Database!A35&amp;"  "&amp;Database!B35</f>
        <v/>
      </c>
      <c r="B35" s="6">
        <f>IFERROR(INDEX(BDS(Database!$A35&amp;" HK Equity","EQUITY_OFFERINGS","array=t","endcol=1"),MATCH("IPO",BDS(Database!$A35&amp;" HK Equity","EQUITY_OFFERINGS","array=t","startcol=2","endcol=2"),0)),"")</f>
        <v/>
      </c>
      <c r="C35" s="64">
        <f>IF($B35="","",IFERROR(BDP($B35&amp;" Action","CP036"),""))</f>
        <v/>
      </c>
      <c r="D35" s="65">
        <f>Database!Q35</f>
        <v/>
      </c>
      <c r="E35" s="64">
        <f>IF($B35="","",IFERROR(BDP($B35&amp;" Action","CP037"),""))</f>
        <v/>
      </c>
      <c r="F35" s="65">
        <f>Database!R35</f>
        <v/>
      </c>
      <c r="G35" s="64">
        <f>IF($B35="","",IFERROR(BDP($B35&amp;" Action","GREENSHOE_FACILITY"),""))</f>
        <v/>
      </c>
      <c r="H35" s="64">
        <f>IF($B35="","",IFERROR(BDP($B35&amp;" Action","OFFERING_GREENSHOE_SHARES_EX"),""))</f>
        <v/>
      </c>
      <c r="I35" s="4">
        <f>Database!V35</f>
        <v/>
      </c>
      <c r="J35" s="21">
        <f>IFERROR(BDP(Database!$A35&amp;" HK Equity","PE_RATIO"),"")</f>
        <v/>
      </c>
      <c r="K35" s="6">
        <f>IFERROR(BDP(Database!$A35&amp;" HK Equity","A/H_SHARE_CONVERSION"),"")</f>
        <v/>
      </c>
      <c r="L35" s="4">
        <f>IF(Database!AL35="","(none found)",Database!AL35)</f>
        <v/>
      </c>
      <c r="M35" s="9">
        <f>IFERROR(BDH(Database!$A35&amp;" HK Equity","CUR_MKT_CAP",Database!$G35,Database!$G35)/1000000,"")</f>
        <v/>
      </c>
      <c r="N35" s="63">
        <f>Database!O35</f>
        <v/>
      </c>
      <c r="O35" s="21">
        <f>IFERROR(BDH(Database!$A35&amp;" HK Equity","PE_RATIO",Database!$G35,Database!$G35),"")</f>
        <v/>
      </c>
      <c r="P35" s="60">
        <f>IF(Database!AI35="","(n/m or not derivable)",Database!AI35)</f>
        <v/>
      </c>
    </row>
    <row r="36">
      <c r="A36" s="4">
        <f>Database!A36&amp;"  "&amp;Database!B36</f>
        <v/>
      </c>
      <c r="B36" s="6">
        <f>IFERROR(INDEX(BDS(Database!$A36&amp;" HK Equity","EQUITY_OFFERINGS","array=t","endcol=1"),MATCH("IPO",BDS(Database!$A36&amp;" HK Equity","EQUITY_OFFERINGS","array=t","startcol=2","endcol=2"),0)),"")</f>
        <v/>
      </c>
      <c r="C36" s="64">
        <f>IF($B36="","",IFERROR(BDP($B36&amp;" Action","CP036"),""))</f>
        <v/>
      </c>
      <c r="D36" s="65">
        <f>Database!Q36</f>
        <v/>
      </c>
      <c r="E36" s="64">
        <f>IF($B36="","",IFERROR(BDP($B36&amp;" Action","CP037"),""))</f>
        <v/>
      </c>
      <c r="F36" s="65">
        <f>Database!R36</f>
        <v/>
      </c>
      <c r="G36" s="64">
        <f>IF($B36="","",IFERROR(BDP($B36&amp;" Action","GREENSHOE_FACILITY"),""))</f>
        <v/>
      </c>
      <c r="H36" s="64">
        <f>IF($B36="","",IFERROR(BDP($B36&amp;" Action","OFFERING_GREENSHOE_SHARES_EX"),""))</f>
        <v/>
      </c>
      <c r="I36" s="4">
        <f>Database!V36</f>
        <v/>
      </c>
      <c r="J36" s="21">
        <f>IFERROR(BDP(Database!$A36&amp;" HK Equity","PE_RATIO"),"")</f>
        <v/>
      </c>
      <c r="K36" s="6">
        <f>IFERROR(BDP(Database!$A36&amp;" HK Equity","A/H_SHARE_CONVERSION"),"")</f>
        <v/>
      </c>
      <c r="L36" s="4">
        <f>IF(Database!AL36="","(none found)",Database!AL36)</f>
        <v/>
      </c>
      <c r="M36" s="9">
        <f>IFERROR(BDH(Database!$A36&amp;" HK Equity","CUR_MKT_CAP",Database!$G36,Database!$G36)/1000000,"")</f>
        <v/>
      </c>
      <c r="N36" s="63">
        <f>Database!O36</f>
        <v/>
      </c>
      <c r="O36" s="21">
        <f>IFERROR(BDH(Database!$A36&amp;" HK Equity","PE_RATIO",Database!$G36,Database!$G36),"")</f>
        <v/>
      </c>
      <c r="P36" s="60">
        <f>IF(Database!AI36="","(n/m or not derivable)",Database!AI36)</f>
        <v/>
      </c>
    </row>
    <row r="37">
      <c r="A37" s="4">
        <f>Database!A37&amp;"  "&amp;Database!B37</f>
        <v/>
      </c>
      <c r="B37" s="6">
        <f>IFERROR(INDEX(BDS(Database!$A37&amp;" HK Equity","EQUITY_OFFERINGS","array=t","endcol=1"),MATCH("IPO",BDS(Database!$A37&amp;" HK Equity","EQUITY_OFFERINGS","array=t","startcol=2","endcol=2"),0)),"")</f>
        <v/>
      </c>
      <c r="C37" s="64">
        <f>IF($B37="","",IFERROR(BDP($B37&amp;" Action","CP036"),""))</f>
        <v/>
      </c>
      <c r="D37" s="65">
        <f>Database!Q37</f>
        <v/>
      </c>
      <c r="E37" s="64">
        <f>IF($B37="","",IFERROR(BDP($B37&amp;" Action","CP037"),""))</f>
        <v/>
      </c>
      <c r="F37" s="65">
        <f>Database!R37</f>
        <v/>
      </c>
      <c r="G37" s="64">
        <f>IF($B37="","",IFERROR(BDP($B37&amp;" Action","GREENSHOE_FACILITY"),""))</f>
        <v/>
      </c>
      <c r="H37" s="64">
        <f>IF($B37="","",IFERROR(BDP($B37&amp;" Action","OFFERING_GREENSHOE_SHARES_EX"),""))</f>
        <v/>
      </c>
      <c r="I37" s="4">
        <f>Database!V37</f>
        <v/>
      </c>
      <c r="J37" s="21">
        <f>IFERROR(BDP(Database!$A37&amp;" HK Equity","PE_RATIO"),"")</f>
        <v/>
      </c>
      <c r="K37" s="6">
        <f>IFERROR(BDP(Database!$A37&amp;" HK Equity","A/H_SHARE_CONVERSION"),"")</f>
        <v/>
      </c>
      <c r="L37" s="4">
        <f>IF(Database!AL37="","(none found)",Database!AL37)</f>
        <v/>
      </c>
      <c r="M37" s="9">
        <f>IFERROR(BDH(Database!$A37&amp;" HK Equity","CUR_MKT_CAP",Database!$G37,Database!$G37)/1000000,"")</f>
        <v/>
      </c>
      <c r="N37" s="63">
        <f>Database!O37</f>
        <v/>
      </c>
      <c r="O37" s="21">
        <f>IFERROR(BDH(Database!$A37&amp;" HK Equity","PE_RATIO",Database!$G37,Database!$G37),"")</f>
        <v/>
      </c>
      <c r="P37" s="60">
        <f>IF(Database!AI37="","(n/m or not derivable)",Database!AI37)</f>
        <v/>
      </c>
    </row>
    <row r="38">
      <c r="A38" s="4">
        <f>Database!A38&amp;"  "&amp;Database!B38</f>
        <v/>
      </c>
      <c r="B38" s="6">
        <f>IFERROR(INDEX(BDS(Database!$A38&amp;" HK Equity","EQUITY_OFFERINGS","array=t","endcol=1"),MATCH("IPO",BDS(Database!$A38&amp;" HK Equity","EQUITY_OFFERINGS","array=t","startcol=2","endcol=2"),0)),"")</f>
        <v/>
      </c>
      <c r="C38" s="64">
        <f>IF($B38="","",IFERROR(BDP($B38&amp;" Action","CP036"),""))</f>
        <v/>
      </c>
      <c r="D38" s="65">
        <f>Database!Q38</f>
        <v/>
      </c>
      <c r="E38" s="64">
        <f>IF($B38="","",IFERROR(BDP($B38&amp;" Action","CP037"),""))</f>
        <v/>
      </c>
      <c r="F38" s="65">
        <f>Database!R38</f>
        <v/>
      </c>
      <c r="G38" s="64">
        <f>IF($B38="","",IFERROR(BDP($B38&amp;" Action","GREENSHOE_FACILITY"),""))</f>
        <v/>
      </c>
      <c r="H38" s="64">
        <f>IF($B38="","",IFERROR(BDP($B38&amp;" Action","OFFERING_GREENSHOE_SHARES_EX"),""))</f>
        <v/>
      </c>
      <c r="I38" s="4">
        <f>Database!V38</f>
        <v/>
      </c>
      <c r="J38" s="21">
        <f>IFERROR(BDP(Database!$A38&amp;" HK Equity","PE_RATIO"),"")</f>
        <v/>
      </c>
      <c r="K38" s="6">
        <f>IFERROR(BDP(Database!$A38&amp;" HK Equity","A/H_SHARE_CONVERSION"),"")</f>
        <v/>
      </c>
      <c r="L38" s="4">
        <f>IF(Database!AL38="","(none found)",Database!AL38)</f>
        <v/>
      </c>
      <c r="M38" s="9">
        <f>IFERROR(BDH(Database!$A38&amp;" HK Equity","CUR_MKT_CAP",Database!$G38,Database!$G38)/1000000,"")</f>
        <v/>
      </c>
      <c r="N38" s="63">
        <f>Database!O38</f>
        <v/>
      </c>
      <c r="O38" s="21">
        <f>IFERROR(BDH(Database!$A38&amp;" HK Equity","PE_RATIO",Database!$G38,Database!$G38),"")</f>
        <v/>
      </c>
      <c r="P38" s="60">
        <f>IF(Database!AI38="","(n/m or not derivable)",Database!AI38)</f>
        <v/>
      </c>
    </row>
    <row r="39">
      <c r="A39" s="4">
        <f>Database!A39&amp;"  "&amp;Database!B39</f>
        <v/>
      </c>
      <c r="B39" s="6">
        <f>IFERROR(INDEX(BDS(Database!$A39&amp;" HK Equity","EQUITY_OFFERINGS","array=t","endcol=1"),MATCH("IPO",BDS(Database!$A39&amp;" HK Equity","EQUITY_OFFERINGS","array=t","startcol=2","endcol=2"),0)),"")</f>
        <v/>
      </c>
      <c r="C39" s="64">
        <f>IF($B39="","",IFERROR(BDP($B39&amp;" Action","CP036"),""))</f>
        <v/>
      </c>
      <c r="D39" s="65">
        <f>Database!Q39</f>
        <v/>
      </c>
      <c r="E39" s="64">
        <f>IF($B39="","",IFERROR(BDP($B39&amp;" Action","CP037"),""))</f>
        <v/>
      </c>
      <c r="F39" s="65">
        <f>Database!R39</f>
        <v/>
      </c>
      <c r="G39" s="64">
        <f>IF($B39="","",IFERROR(BDP($B39&amp;" Action","GREENSHOE_FACILITY"),""))</f>
        <v/>
      </c>
      <c r="H39" s="64">
        <f>IF($B39="","",IFERROR(BDP($B39&amp;" Action","OFFERING_GREENSHOE_SHARES_EX"),""))</f>
        <v/>
      </c>
      <c r="I39" s="4">
        <f>Database!V39</f>
        <v/>
      </c>
      <c r="J39" s="21">
        <f>IFERROR(BDP(Database!$A39&amp;" HK Equity","PE_RATIO"),"")</f>
        <v/>
      </c>
      <c r="K39" s="6">
        <f>IFERROR(BDP(Database!$A39&amp;" HK Equity","A/H_SHARE_CONVERSION"),"")</f>
        <v/>
      </c>
      <c r="L39" s="4">
        <f>IF(Database!AL39="","(none found)",Database!AL39)</f>
        <v/>
      </c>
      <c r="M39" s="9">
        <f>IFERROR(BDH(Database!$A39&amp;" HK Equity","CUR_MKT_CAP",Database!$G39,Database!$G39)/1000000,"")</f>
        <v/>
      </c>
      <c r="N39" s="63">
        <f>Database!O39</f>
        <v/>
      </c>
      <c r="O39" s="21">
        <f>IFERROR(BDH(Database!$A39&amp;" HK Equity","PE_RATIO",Database!$G39,Database!$G39),"")</f>
        <v/>
      </c>
      <c r="P39" s="60">
        <f>IF(Database!AI39="","(n/m or not derivable)",Database!AI39)</f>
        <v/>
      </c>
    </row>
    <row r="40">
      <c r="A40" s="4">
        <f>Database!A40&amp;"  "&amp;Database!B40</f>
        <v/>
      </c>
      <c r="B40" s="6">
        <f>IFERROR(INDEX(BDS(Database!$A40&amp;" HK Equity","EQUITY_OFFERINGS","array=t","endcol=1"),MATCH("IPO",BDS(Database!$A40&amp;" HK Equity","EQUITY_OFFERINGS","array=t","startcol=2","endcol=2"),0)),"")</f>
        <v/>
      </c>
      <c r="C40" s="64">
        <f>IF($B40="","",IFERROR(BDP($B40&amp;" Action","CP036"),""))</f>
        <v/>
      </c>
      <c r="D40" s="65">
        <f>Database!Q40</f>
        <v/>
      </c>
      <c r="E40" s="64">
        <f>IF($B40="","",IFERROR(BDP($B40&amp;" Action","CP037"),""))</f>
        <v/>
      </c>
      <c r="F40" s="65">
        <f>Database!R40</f>
        <v/>
      </c>
      <c r="G40" s="64">
        <f>IF($B40="","",IFERROR(BDP($B40&amp;" Action","GREENSHOE_FACILITY"),""))</f>
        <v/>
      </c>
      <c r="H40" s="64">
        <f>IF($B40="","",IFERROR(BDP($B40&amp;" Action","OFFERING_GREENSHOE_SHARES_EX"),""))</f>
        <v/>
      </c>
      <c r="I40" s="4">
        <f>Database!V40</f>
        <v/>
      </c>
      <c r="J40" s="21">
        <f>IFERROR(BDP(Database!$A40&amp;" HK Equity","PE_RATIO"),"")</f>
        <v/>
      </c>
      <c r="K40" s="6">
        <f>IFERROR(BDP(Database!$A40&amp;" HK Equity","A/H_SHARE_CONVERSION"),"")</f>
        <v/>
      </c>
      <c r="L40" s="4">
        <f>IF(Database!AL40="","(none found)",Database!AL40)</f>
        <v/>
      </c>
      <c r="M40" s="9">
        <f>IFERROR(BDH(Database!$A40&amp;" HK Equity","CUR_MKT_CAP",Database!$G40,Database!$G40)/1000000,"")</f>
        <v/>
      </c>
      <c r="N40" s="63">
        <f>Database!O40</f>
        <v/>
      </c>
      <c r="O40" s="21">
        <f>IFERROR(BDH(Database!$A40&amp;" HK Equity","PE_RATIO",Database!$G40,Database!$G40),"")</f>
        <v/>
      </c>
      <c r="P40" s="60">
        <f>IF(Database!AI40="","(n/m or not derivable)",Database!AI40)</f>
        <v/>
      </c>
    </row>
    <row r="41">
      <c r="A41" s="4">
        <f>Database!A41&amp;"  "&amp;Database!B41</f>
        <v/>
      </c>
      <c r="B41" s="6">
        <f>IFERROR(INDEX(BDS(Database!$A41&amp;" HK Equity","EQUITY_OFFERINGS","array=t","endcol=1"),MATCH("IPO",BDS(Database!$A41&amp;" HK Equity","EQUITY_OFFERINGS","array=t","startcol=2","endcol=2"),0)),"")</f>
        <v/>
      </c>
      <c r="C41" s="64">
        <f>IF($B41="","",IFERROR(BDP($B41&amp;" Action","CP036"),""))</f>
        <v/>
      </c>
      <c r="D41" s="65">
        <f>Database!Q41</f>
        <v/>
      </c>
      <c r="E41" s="64">
        <f>IF($B41="","",IFERROR(BDP($B41&amp;" Action","CP037"),""))</f>
        <v/>
      </c>
      <c r="F41" s="65">
        <f>Database!R41</f>
        <v/>
      </c>
      <c r="G41" s="64">
        <f>IF($B41="","",IFERROR(BDP($B41&amp;" Action","GREENSHOE_FACILITY"),""))</f>
        <v/>
      </c>
      <c r="H41" s="64">
        <f>IF($B41="","",IFERROR(BDP($B41&amp;" Action","OFFERING_GREENSHOE_SHARES_EX"),""))</f>
        <v/>
      </c>
      <c r="I41" s="4">
        <f>Database!V41</f>
        <v/>
      </c>
      <c r="J41" s="21">
        <f>IFERROR(BDP(Database!$A41&amp;" HK Equity","PE_RATIO"),"")</f>
        <v/>
      </c>
      <c r="K41" s="6">
        <f>IFERROR(BDP(Database!$A41&amp;" HK Equity","A/H_SHARE_CONVERSION"),"")</f>
        <v/>
      </c>
      <c r="L41" s="4">
        <f>IF(Database!AL41="","(none found)",Database!AL41)</f>
        <v/>
      </c>
      <c r="M41" s="9">
        <f>IFERROR(BDH(Database!$A41&amp;" HK Equity","CUR_MKT_CAP",Database!$G41,Database!$G41)/1000000,"")</f>
        <v/>
      </c>
      <c r="N41" s="63">
        <f>Database!O41</f>
        <v/>
      </c>
      <c r="O41" s="21">
        <f>IFERROR(BDH(Database!$A41&amp;" HK Equity","PE_RATIO",Database!$G41,Database!$G41),"")</f>
        <v/>
      </c>
      <c r="P41" s="60">
        <f>IF(Database!AI41="","(n/m or not derivable)",Database!AI41)</f>
        <v/>
      </c>
    </row>
    <row r="42">
      <c r="A42" s="4">
        <f>Database!A42&amp;"  "&amp;Database!B42</f>
        <v/>
      </c>
      <c r="B42" s="6">
        <f>IFERROR(INDEX(BDS(Database!$A42&amp;" HK Equity","EQUITY_OFFERINGS","array=t","endcol=1"),MATCH("IPO",BDS(Database!$A42&amp;" HK Equity","EQUITY_OFFERINGS","array=t","startcol=2","endcol=2"),0)),"")</f>
        <v/>
      </c>
      <c r="C42" s="64">
        <f>IF($B42="","",IFERROR(BDP($B42&amp;" Action","CP036"),""))</f>
        <v/>
      </c>
      <c r="D42" s="65">
        <f>Database!Q42</f>
        <v/>
      </c>
      <c r="E42" s="64">
        <f>IF($B42="","",IFERROR(BDP($B42&amp;" Action","CP037"),""))</f>
        <v/>
      </c>
      <c r="F42" s="65">
        <f>Database!R42</f>
        <v/>
      </c>
      <c r="G42" s="64">
        <f>IF($B42="","",IFERROR(BDP($B42&amp;" Action","GREENSHOE_FACILITY"),""))</f>
        <v/>
      </c>
      <c r="H42" s="64">
        <f>IF($B42="","",IFERROR(BDP($B42&amp;" Action","OFFERING_GREENSHOE_SHARES_EX"),""))</f>
        <v/>
      </c>
      <c r="I42" s="4">
        <f>Database!V42</f>
        <v/>
      </c>
      <c r="J42" s="21">
        <f>IFERROR(BDP(Database!$A42&amp;" HK Equity","PE_RATIO"),"")</f>
        <v/>
      </c>
      <c r="K42" s="6">
        <f>IFERROR(BDP(Database!$A42&amp;" HK Equity","A/H_SHARE_CONVERSION"),"")</f>
        <v/>
      </c>
      <c r="L42" s="4">
        <f>IF(Database!AL42="","(none found)",Database!AL42)</f>
        <v/>
      </c>
      <c r="M42" s="9">
        <f>IFERROR(BDH(Database!$A42&amp;" HK Equity","CUR_MKT_CAP",Database!$G42,Database!$G42)/1000000,"")</f>
        <v/>
      </c>
      <c r="N42" s="63">
        <f>Database!O42</f>
        <v/>
      </c>
      <c r="O42" s="21">
        <f>IFERROR(BDH(Database!$A42&amp;" HK Equity","PE_RATIO",Database!$G42,Database!$G42),"")</f>
        <v/>
      </c>
      <c r="P42" s="60">
        <f>IF(Database!AI42="","(n/m or not derivable)",Database!AI42)</f>
        <v/>
      </c>
    </row>
    <row r="43">
      <c r="A43" s="4">
        <f>Database!A43&amp;"  "&amp;Database!B43</f>
        <v/>
      </c>
      <c r="B43" s="6">
        <f>IFERROR(INDEX(BDS(Database!$A43&amp;" HK Equity","EQUITY_OFFERINGS","array=t","endcol=1"),MATCH("IPO",BDS(Database!$A43&amp;" HK Equity","EQUITY_OFFERINGS","array=t","startcol=2","endcol=2"),0)),"")</f>
        <v/>
      </c>
      <c r="C43" s="64">
        <f>IF($B43="","",IFERROR(BDP($B43&amp;" Action","CP036"),""))</f>
        <v/>
      </c>
      <c r="D43" s="65">
        <f>Database!Q43</f>
        <v/>
      </c>
      <c r="E43" s="64">
        <f>IF($B43="","",IFERROR(BDP($B43&amp;" Action","CP037"),""))</f>
        <v/>
      </c>
      <c r="F43" s="65">
        <f>Database!R43</f>
        <v/>
      </c>
      <c r="G43" s="64">
        <f>IF($B43="","",IFERROR(BDP($B43&amp;" Action","GREENSHOE_FACILITY"),""))</f>
        <v/>
      </c>
      <c r="H43" s="64">
        <f>IF($B43="","",IFERROR(BDP($B43&amp;" Action","OFFERING_GREENSHOE_SHARES_EX"),""))</f>
        <v/>
      </c>
      <c r="I43" s="4">
        <f>Database!V43</f>
        <v/>
      </c>
      <c r="J43" s="21">
        <f>IFERROR(BDP(Database!$A43&amp;" HK Equity","PE_RATIO"),"")</f>
        <v/>
      </c>
      <c r="K43" s="6">
        <f>IFERROR(BDP(Database!$A43&amp;" HK Equity","A/H_SHARE_CONVERSION"),"")</f>
        <v/>
      </c>
      <c r="L43" s="4">
        <f>IF(Database!AL43="","(none found)",Database!AL43)</f>
        <v/>
      </c>
      <c r="M43" s="9">
        <f>IFERROR(BDH(Database!$A43&amp;" HK Equity","CUR_MKT_CAP",Database!$G43,Database!$G43)/1000000,"")</f>
        <v/>
      </c>
      <c r="N43" s="63">
        <f>Database!O43</f>
        <v/>
      </c>
      <c r="O43" s="21">
        <f>IFERROR(BDH(Database!$A43&amp;" HK Equity","PE_RATIO",Database!$G43,Database!$G43),"")</f>
        <v/>
      </c>
      <c r="P43" s="60">
        <f>IF(Database!AI43="","(n/m or not derivable)",Database!AI43)</f>
        <v/>
      </c>
    </row>
    <row r="44">
      <c r="A44" s="4">
        <f>Database!A44&amp;"  "&amp;Database!B44</f>
        <v/>
      </c>
      <c r="B44" s="6">
        <f>IFERROR(INDEX(BDS(Database!$A44&amp;" HK Equity","EQUITY_OFFERINGS","array=t","endcol=1"),MATCH("IPO",BDS(Database!$A44&amp;" HK Equity","EQUITY_OFFERINGS","array=t","startcol=2","endcol=2"),0)),"")</f>
        <v/>
      </c>
      <c r="C44" s="64">
        <f>IF($B44="","",IFERROR(BDP($B44&amp;" Action","CP036"),""))</f>
        <v/>
      </c>
      <c r="D44" s="65">
        <f>Database!Q44</f>
        <v/>
      </c>
      <c r="E44" s="64">
        <f>IF($B44="","",IFERROR(BDP($B44&amp;" Action","CP037"),""))</f>
        <v/>
      </c>
      <c r="F44" s="65">
        <f>Database!R44</f>
        <v/>
      </c>
      <c r="G44" s="64">
        <f>IF($B44="","",IFERROR(BDP($B44&amp;" Action","GREENSHOE_FACILITY"),""))</f>
        <v/>
      </c>
      <c r="H44" s="64">
        <f>IF($B44="","",IFERROR(BDP($B44&amp;" Action","OFFERING_GREENSHOE_SHARES_EX"),""))</f>
        <v/>
      </c>
      <c r="I44" s="4">
        <f>Database!V44</f>
        <v/>
      </c>
      <c r="J44" s="21">
        <f>IFERROR(BDP(Database!$A44&amp;" HK Equity","PE_RATIO"),"")</f>
        <v/>
      </c>
      <c r="K44" s="6">
        <f>IFERROR(BDP(Database!$A44&amp;" HK Equity","A/H_SHARE_CONVERSION"),"")</f>
        <v/>
      </c>
      <c r="L44" s="4">
        <f>IF(Database!AL44="","(none found)",Database!AL44)</f>
        <v/>
      </c>
      <c r="M44" s="9">
        <f>IFERROR(BDH(Database!$A44&amp;" HK Equity","CUR_MKT_CAP",Database!$G44,Database!$G44)/1000000,"")</f>
        <v/>
      </c>
      <c r="N44" s="63">
        <f>Database!O44</f>
        <v/>
      </c>
      <c r="O44" s="21">
        <f>IFERROR(BDH(Database!$A44&amp;" HK Equity","PE_RATIO",Database!$G44,Database!$G44),"")</f>
        <v/>
      </c>
      <c r="P44" s="60">
        <f>IF(Database!AI44="","(n/m or not derivable)",Database!AI44)</f>
        <v/>
      </c>
    </row>
    <row r="45">
      <c r="A45" s="4">
        <f>Database!A45&amp;"  "&amp;Database!B45</f>
        <v/>
      </c>
      <c r="B45" s="6">
        <f>IFERROR(INDEX(BDS(Database!$A45&amp;" HK Equity","EQUITY_OFFERINGS","array=t","endcol=1"),MATCH("IPO",BDS(Database!$A45&amp;" HK Equity","EQUITY_OFFERINGS","array=t","startcol=2","endcol=2"),0)),"")</f>
        <v/>
      </c>
      <c r="C45" s="64">
        <f>IF($B45="","",IFERROR(BDP($B45&amp;" Action","CP036"),""))</f>
        <v/>
      </c>
      <c r="D45" s="65">
        <f>Database!Q45</f>
        <v/>
      </c>
      <c r="E45" s="64">
        <f>IF($B45="","",IFERROR(BDP($B45&amp;" Action","CP037"),""))</f>
        <v/>
      </c>
      <c r="F45" s="65">
        <f>Database!R45</f>
        <v/>
      </c>
      <c r="G45" s="64">
        <f>IF($B45="","",IFERROR(BDP($B45&amp;" Action","GREENSHOE_FACILITY"),""))</f>
        <v/>
      </c>
      <c r="H45" s="64">
        <f>IF($B45="","",IFERROR(BDP($B45&amp;" Action","OFFERING_GREENSHOE_SHARES_EX"),""))</f>
        <v/>
      </c>
      <c r="I45" s="4">
        <f>Database!V45</f>
        <v/>
      </c>
      <c r="J45" s="21">
        <f>IFERROR(BDP(Database!$A45&amp;" HK Equity","PE_RATIO"),"")</f>
        <v/>
      </c>
      <c r="K45" s="6">
        <f>IFERROR(BDP(Database!$A45&amp;" HK Equity","A/H_SHARE_CONVERSION"),"")</f>
        <v/>
      </c>
      <c r="L45" s="4">
        <f>IF(Database!AL45="","(none found)",Database!AL45)</f>
        <v/>
      </c>
      <c r="M45" s="9">
        <f>IFERROR(BDH(Database!$A45&amp;" HK Equity","CUR_MKT_CAP",Database!$G45,Database!$G45)/1000000,"")</f>
        <v/>
      </c>
      <c r="N45" s="63">
        <f>Database!O45</f>
        <v/>
      </c>
      <c r="O45" s="21">
        <f>IFERROR(BDH(Database!$A45&amp;" HK Equity","PE_RATIO",Database!$G45,Database!$G45),"")</f>
        <v/>
      </c>
      <c r="P45" s="60">
        <f>IF(Database!AI45="","(n/m or not derivable)",Database!AI45)</f>
        <v/>
      </c>
    </row>
    <row r="46">
      <c r="A46" s="4">
        <f>Database!A46&amp;"  "&amp;Database!B46</f>
        <v/>
      </c>
      <c r="B46" s="6">
        <f>IFERROR(INDEX(BDS(Database!$A46&amp;" HK Equity","EQUITY_OFFERINGS","array=t","endcol=1"),MATCH("IPO",BDS(Database!$A46&amp;" HK Equity","EQUITY_OFFERINGS","array=t","startcol=2","endcol=2"),0)),"")</f>
        <v/>
      </c>
      <c r="C46" s="64">
        <f>IF($B46="","",IFERROR(BDP($B46&amp;" Action","CP036"),""))</f>
        <v/>
      </c>
      <c r="D46" s="65">
        <f>Database!Q46</f>
        <v/>
      </c>
      <c r="E46" s="64">
        <f>IF($B46="","",IFERROR(BDP($B46&amp;" Action","CP037"),""))</f>
        <v/>
      </c>
      <c r="F46" s="65">
        <f>Database!R46</f>
        <v/>
      </c>
      <c r="G46" s="64">
        <f>IF($B46="","",IFERROR(BDP($B46&amp;" Action","GREENSHOE_FACILITY"),""))</f>
        <v/>
      </c>
      <c r="H46" s="64">
        <f>IF($B46="","",IFERROR(BDP($B46&amp;" Action","OFFERING_GREENSHOE_SHARES_EX"),""))</f>
        <v/>
      </c>
      <c r="I46" s="4">
        <f>Database!V46</f>
        <v/>
      </c>
      <c r="J46" s="21">
        <f>IFERROR(BDP(Database!$A46&amp;" HK Equity","PE_RATIO"),"")</f>
        <v/>
      </c>
      <c r="K46" s="6">
        <f>IFERROR(BDP(Database!$A46&amp;" HK Equity","A/H_SHARE_CONVERSION"),"")</f>
        <v/>
      </c>
      <c r="L46" s="4">
        <f>IF(Database!AL46="","(none found)",Database!AL46)</f>
        <v/>
      </c>
      <c r="M46" s="9">
        <f>IFERROR(BDH(Database!$A46&amp;" HK Equity","CUR_MKT_CAP",Database!$G46,Database!$G46)/1000000,"")</f>
        <v/>
      </c>
      <c r="N46" s="63">
        <f>Database!O46</f>
        <v/>
      </c>
      <c r="O46" s="21">
        <f>IFERROR(BDH(Database!$A46&amp;" HK Equity","PE_RATIO",Database!$G46,Database!$G46),"")</f>
        <v/>
      </c>
      <c r="P46" s="60">
        <f>IF(Database!AI46="","(n/m or not derivable)",Database!AI46)</f>
        <v/>
      </c>
    </row>
    <row r="47">
      <c r="A47" s="4">
        <f>Database!A47&amp;"  "&amp;Database!B47</f>
        <v/>
      </c>
      <c r="B47" s="6">
        <f>IFERROR(INDEX(BDS(Database!$A47&amp;" HK Equity","EQUITY_OFFERINGS","array=t","endcol=1"),MATCH("IPO",BDS(Database!$A47&amp;" HK Equity","EQUITY_OFFERINGS","array=t","startcol=2","endcol=2"),0)),"")</f>
        <v/>
      </c>
      <c r="C47" s="64">
        <f>IF($B47="","",IFERROR(BDP($B47&amp;" Action","CP036"),""))</f>
        <v/>
      </c>
      <c r="D47" s="65">
        <f>Database!Q47</f>
        <v/>
      </c>
      <c r="E47" s="64">
        <f>IF($B47="","",IFERROR(BDP($B47&amp;" Action","CP037"),""))</f>
        <v/>
      </c>
      <c r="F47" s="65">
        <f>Database!R47</f>
        <v/>
      </c>
      <c r="G47" s="64">
        <f>IF($B47="","",IFERROR(BDP($B47&amp;" Action","GREENSHOE_FACILITY"),""))</f>
        <v/>
      </c>
      <c r="H47" s="64">
        <f>IF($B47="","",IFERROR(BDP($B47&amp;" Action","OFFERING_GREENSHOE_SHARES_EX"),""))</f>
        <v/>
      </c>
      <c r="I47" s="4">
        <f>Database!V47</f>
        <v/>
      </c>
      <c r="J47" s="21">
        <f>IFERROR(BDP(Database!$A47&amp;" HK Equity","PE_RATIO"),"")</f>
        <v/>
      </c>
      <c r="K47" s="6">
        <f>IFERROR(BDP(Database!$A47&amp;" HK Equity","A/H_SHARE_CONVERSION"),"")</f>
        <v/>
      </c>
      <c r="L47" s="4">
        <f>IF(Database!AL47="","(none found)",Database!AL47)</f>
        <v/>
      </c>
      <c r="M47" s="9">
        <f>IFERROR(BDH(Database!$A47&amp;" HK Equity","CUR_MKT_CAP",Database!$G47,Database!$G47)/1000000,"")</f>
        <v/>
      </c>
      <c r="N47" s="63">
        <f>Database!O47</f>
        <v/>
      </c>
      <c r="O47" s="21">
        <f>IFERROR(BDH(Database!$A47&amp;" HK Equity","PE_RATIO",Database!$G47,Database!$G47),"")</f>
        <v/>
      </c>
      <c r="P47" s="60">
        <f>IF(Database!AI47="","(n/m or not derivable)",Database!AI47)</f>
        <v/>
      </c>
    </row>
    <row r="48">
      <c r="A48" s="4">
        <f>Database!A48&amp;"  "&amp;Database!B48</f>
        <v/>
      </c>
      <c r="B48" s="6">
        <f>IFERROR(INDEX(BDS(Database!$A48&amp;" HK Equity","EQUITY_OFFERINGS","array=t","endcol=1"),MATCH("IPO",BDS(Database!$A48&amp;" HK Equity","EQUITY_OFFERINGS","array=t","startcol=2","endcol=2"),0)),"")</f>
        <v/>
      </c>
      <c r="C48" s="64">
        <f>IF($B48="","",IFERROR(BDP($B48&amp;" Action","CP036"),""))</f>
        <v/>
      </c>
      <c r="D48" s="65">
        <f>Database!Q48</f>
        <v/>
      </c>
      <c r="E48" s="64">
        <f>IF($B48="","",IFERROR(BDP($B48&amp;" Action","CP037"),""))</f>
        <v/>
      </c>
      <c r="F48" s="65">
        <f>Database!R48</f>
        <v/>
      </c>
      <c r="G48" s="64">
        <f>IF($B48="","",IFERROR(BDP($B48&amp;" Action","GREENSHOE_FACILITY"),""))</f>
        <v/>
      </c>
      <c r="H48" s="64">
        <f>IF($B48="","",IFERROR(BDP($B48&amp;" Action","OFFERING_GREENSHOE_SHARES_EX"),""))</f>
        <v/>
      </c>
      <c r="I48" s="4">
        <f>Database!V48</f>
        <v/>
      </c>
      <c r="J48" s="21">
        <f>IFERROR(BDP(Database!$A48&amp;" HK Equity","PE_RATIO"),"")</f>
        <v/>
      </c>
      <c r="K48" s="6">
        <f>IFERROR(BDP(Database!$A48&amp;" HK Equity","A/H_SHARE_CONVERSION"),"")</f>
        <v/>
      </c>
      <c r="L48" s="4">
        <f>IF(Database!AL48="","(none found)",Database!AL48)</f>
        <v/>
      </c>
      <c r="M48" s="9">
        <f>IFERROR(BDH(Database!$A48&amp;" HK Equity","CUR_MKT_CAP",Database!$G48,Database!$G48)/1000000,"")</f>
        <v/>
      </c>
      <c r="N48" s="63">
        <f>Database!O48</f>
        <v/>
      </c>
      <c r="O48" s="21">
        <f>IFERROR(BDH(Database!$A48&amp;" HK Equity","PE_RATIO",Database!$G48,Database!$G48),"")</f>
        <v/>
      </c>
      <c r="P48" s="60">
        <f>IF(Database!AI48="","(n/m or not derivable)",Database!AI48)</f>
        <v/>
      </c>
    </row>
    <row r="49">
      <c r="A49" s="4">
        <f>Database!A49&amp;"  "&amp;Database!B49</f>
        <v/>
      </c>
      <c r="B49" s="6">
        <f>IFERROR(INDEX(BDS(Database!$A49&amp;" HK Equity","EQUITY_OFFERINGS","array=t","endcol=1"),MATCH("IPO",BDS(Database!$A49&amp;" HK Equity","EQUITY_OFFERINGS","array=t","startcol=2","endcol=2"),0)),"")</f>
        <v/>
      </c>
      <c r="C49" s="64">
        <f>IF($B49="","",IFERROR(BDP($B49&amp;" Action","CP036"),""))</f>
        <v/>
      </c>
      <c r="D49" s="65">
        <f>Database!Q49</f>
        <v/>
      </c>
      <c r="E49" s="64">
        <f>IF($B49="","",IFERROR(BDP($B49&amp;" Action","CP037"),""))</f>
        <v/>
      </c>
      <c r="F49" s="65">
        <f>Database!R49</f>
        <v/>
      </c>
      <c r="G49" s="64">
        <f>IF($B49="","",IFERROR(BDP($B49&amp;" Action","GREENSHOE_FACILITY"),""))</f>
        <v/>
      </c>
      <c r="H49" s="64">
        <f>IF($B49="","",IFERROR(BDP($B49&amp;" Action","OFFERING_GREENSHOE_SHARES_EX"),""))</f>
        <v/>
      </c>
      <c r="I49" s="4">
        <f>Database!V49</f>
        <v/>
      </c>
      <c r="J49" s="21">
        <f>IFERROR(BDP(Database!$A49&amp;" HK Equity","PE_RATIO"),"")</f>
        <v/>
      </c>
      <c r="K49" s="6">
        <f>IFERROR(BDP(Database!$A49&amp;" HK Equity","A/H_SHARE_CONVERSION"),"")</f>
        <v/>
      </c>
      <c r="L49" s="4">
        <f>IF(Database!AL49="","(none found)",Database!AL49)</f>
        <v/>
      </c>
      <c r="M49" s="9">
        <f>IFERROR(BDH(Database!$A49&amp;" HK Equity","CUR_MKT_CAP",Database!$G49,Database!$G49)/1000000,"")</f>
        <v/>
      </c>
      <c r="N49" s="63">
        <f>Database!O49</f>
        <v/>
      </c>
      <c r="O49" s="21">
        <f>IFERROR(BDH(Database!$A49&amp;" HK Equity","PE_RATIO",Database!$G49,Database!$G49),"")</f>
        <v/>
      </c>
      <c r="P49" s="60">
        <f>IF(Database!AI49="","(n/m or not derivable)",Database!AI49)</f>
        <v/>
      </c>
    </row>
    <row r="50">
      <c r="A50" s="4">
        <f>Database!A50&amp;"  "&amp;Database!B50</f>
        <v/>
      </c>
      <c r="B50" s="6">
        <f>IFERROR(INDEX(BDS(Database!$A50&amp;" HK Equity","EQUITY_OFFERINGS","array=t","endcol=1"),MATCH("IPO",BDS(Database!$A50&amp;" HK Equity","EQUITY_OFFERINGS","array=t","startcol=2","endcol=2"),0)),"")</f>
        <v/>
      </c>
      <c r="C50" s="64">
        <f>IF($B50="","",IFERROR(BDP($B50&amp;" Action","CP036"),""))</f>
        <v/>
      </c>
      <c r="D50" s="65">
        <f>Database!Q50</f>
        <v/>
      </c>
      <c r="E50" s="64">
        <f>IF($B50="","",IFERROR(BDP($B50&amp;" Action","CP037"),""))</f>
        <v/>
      </c>
      <c r="F50" s="65">
        <f>Database!R50</f>
        <v/>
      </c>
      <c r="G50" s="64">
        <f>IF($B50="","",IFERROR(BDP($B50&amp;" Action","GREENSHOE_FACILITY"),""))</f>
        <v/>
      </c>
      <c r="H50" s="64">
        <f>IF($B50="","",IFERROR(BDP($B50&amp;" Action","OFFERING_GREENSHOE_SHARES_EX"),""))</f>
        <v/>
      </c>
      <c r="I50" s="4">
        <f>Database!V50</f>
        <v/>
      </c>
      <c r="J50" s="21">
        <f>IFERROR(BDP(Database!$A50&amp;" HK Equity","PE_RATIO"),"")</f>
        <v/>
      </c>
      <c r="K50" s="6">
        <f>IFERROR(BDP(Database!$A50&amp;" HK Equity","A/H_SHARE_CONVERSION"),"")</f>
        <v/>
      </c>
      <c r="L50" s="4">
        <f>IF(Database!AL50="","(none found)",Database!AL50)</f>
        <v/>
      </c>
      <c r="M50" s="9">
        <f>IFERROR(BDH(Database!$A50&amp;" HK Equity","CUR_MKT_CAP",Database!$G50,Database!$G50)/1000000,"")</f>
        <v/>
      </c>
      <c r="N50" s="63">
        <f>Database!O50</f>
        <v/>
      </c>
      <c r="O50" s="21">
        <f>IFERROR(BDH(Database!$A50&amp;" HK Equity","PE_RATIO",Database!$G50,Database!$G50),"")</f>
        <v/>
      </c>
      <c r="P50" s="60">
        <f>IF(Database!AI50="","(n/m or not derivable)",Database!AI50)</f>
        <v/>
      </c>
    </row>
    <row r="51">
      <c r="A51" s="4">
        <f>Database!A51&amp;"  "&amp;Database!B51</f>
        <v/>
      </c>
      <c r="B51" s="6">
        <f>IFERROR(INDEX(BDS(Database!$A51&amp;" HK Equity","EQUITY_OFFERINGS","array=t","endcol=1"),MATCH("IPO",BDS(Database!$A51&amp;" HK Equity","EQUITY_OFFERINGS","array=t","startcol=2","endcol=2"),0)),"")</f>
        <v/>
      </c>
      <c r="C51" s="64">
        <f>IF($B51="","",IFERROR(BDP($B51&amp;" Action","CP036"),""))</f>
        <v/>
      </c>
      <c r="D51" s="65">
        <f>Database!Q51</f>
        <v/>
      </c>
      <c r="E51" s="64">
        <f>IF($B51="","",IFERROR(BDP($B51&amp;" Action","CP037"),""))</f>
        <v/>
      </c>
      <c r="F51" s="65">
        <f>Database!R51</f>
        <v/>
      </c>
      <c r="G51" s="64">
        <f>IF($B51="","",IFERROR(BDP($B51&amp;" Action","GREENSHOE_FACILITY"),""))</f>
        <v/>
      </c>
      <c r="H51" s="64">
        <f>IF($B51="","",IFERROR(BDP($B51&amp;" Action","OFFERING_GREENSHOE_SHARES_EX"),""))</f>
        <v/>
      </c>
      <c r="I51" s="4">
        <f>Database!V51</f>
        <v/>
      </c>
      <c r="J51" s="21">
        <f>IFERROR(BDP(Database!$A51&amp;" HK Equity","PE_RATIO"),"")</f>
        <v/>
      </c>
      <c r="K51" s="6">
        <f>IFERROR(BDP(Database!$A51&amp;" HK Equity","A/H_SHARE_CONVERSION"),"")</f>
        <v/>
      </c>
      <c r="L51" s="4">
        <f>IF(Database!AL51="","(none found)",Database!AL51)</f>
        <v/>
      </c>
      <c r="M51" s="9">
        <f>IFERROR(BDH(Database!$A51&amp;" HK Equity","CUR_MKT_CAP",Database!$G51,Database!$G51)/1000000,"")</f>
        <v/>
      </c>
      <c r="N51" s="63">
        <f>Database!O51</f>
        <v/>
      </c>
      <c r="O51" s="21">
        <f>IFERROR(BDH(Database!$A51&amp;" HK Equity","PE_RATIO",Database!$G51,Database!$G51),"")</f>
        <v/>
      </c>
      <c r="P51" s="60">
        <f>IF(Database!AI51="","(n/m or not derivable)",Database!AI51)</f>
        <v/>
      </c>
    </row>
    <row r="52">
      <c r="A52" s="4">
        <f>Database!A52&amp;"  "&amp;Database!B52</f>
        <v/>
      </c>
      <c r="B52" s="6">
        <f>IFERROR(INDEX(BDS(Database!$A52&amp;" HK Equity","EQUITY_OFFERINGS","array=t","endcol=1"),MATCH("IPO",BDS(Database!$A52&amp;" HK Equity","EQUITY_OFFERINGS","array=t","startcol=2","endcol=2"),0)),"")</f>
        <v/>
      </c>
      <c r="C52" s="64">
        <f>IF($B52="","",IFERROR(BDP($B52&amp;" Action","CP036"),""))</f>
        <v/>
      </c>
      <c r="D52" s="65">
        <f>Database!Q52</f>
        <v/>
      </c>
      <c r="E52" s="64">
        <f>IF($B52="","",IFERROR(BDP($B52&amp;" Action","CP037"),""))</f>
        <v/>
      </c>
      <c r="F52" s="65">
        <f>Database!R52</f>
        <v/>
      </c>
      <c r="G52" s="64">
        <f>IF($B52="","",IFERROR(BDP($B52&amp;" Action","GREENSHOE_FACILITY"),""))</f>
        <v/>
      </c>
      <c r="H52" s="64">
        <f>IF($B52="","",IFERROR(BDP($B52&amp;" Action","OFFERING_GREENSHOE_SHARES_EX"),""))</f>
        <v/>
      </c>
      <c r="I52" s="4">
        <f>Database!V52</f>
        <v/>
      </c>
      <c r="J52" s="21">
        <f>IFERROR(BDP(Database!$A52&amp;" HK Equity","PE_RATIO"),"")</f>
        <v/>
      </c>
      <c r="K52" s="6">
        <f>IFERROR(BDP(Database!$A52&amp;" HK Equity","A/H_SHARE_CONVERSION"),"")</f>
        <v/>
      </c>
      <c r="L52" s="4">
        <f>IF(Database!AL52="","(none found)",Database!AL52)</f>
        <v/>
      </c>
      <c r="M52" s="9">
        <f>IFERROR(BDH(Database!$A52&amp;" HK Equity","CUR_MKT_CAP",Database!$G52,Database!$G52)/1000000,"")</f>
        <v/>
      </c>
      <c r="N52" s="63">
        <f>Database!O52</f>
        <v/>
      </c>
      <c r="O52" s="21">
        <f>IFERROR(BDH(Database!$A52&amp;" HK Equity","PE_RATIO",Database!$G52,Database!$G52),"")</f>
        <v/>
      </c>
      <c r="P52" s="60">
        <f>IF(Database!AI52="","(n/m or not derivable)",Database!AI52)</f>
        <v/>
      </c>
    </row>
    <row r="53">
      <c r="A53" s="4">
        <f>Database!A53&amp;"  "&amp;Database!B53</f>
        <v/>
      </c>
      <c r="B53" s="6">
        <f>IFERROR(INDEX(BDS(Database!$A53&amp;" HK Equity","EQUITY_OFFERINGS","array=t","endcol=1"),MATCH("IPO",BDS(Database!$A53&amp;" HK Equity","EQUITY_OFFERINGS","array=t","startcol=2","endcol=2"),0)),"")</f>
        <v/>
      </c>
      <c r="C53" s="64">
        <f>IF($B53="","",IFERROR(BDP($B53&amp;" Action","CP036"),""))</f>
        <v/>
      </c>
      <c r="D53" s="65">
        <f>Database!Q53</f>
        <v/>
      </c>
      <c r="E53" s="64">
        <f>IF($B53="","",IFERROR(BDP($B53&amp;" Action","CP037"),""))</f>
        <v/>
      </c>
      <c r="F53" s="65">
        <f>Database!R53</f>
        <v/>
      </c>
      <c r="G53" s="64">
        <f>IF($B53="","",IFERROR(BDP($B53&amp;" Action","GREENSHOE_FACILITY"),""))</f>
        <v/>
      </c>
      <c r="H53" s="64">
        <f>IF($B53="","",IFERROR(BDP($B53&amp;" Action","OFFERING_GREENSHOE_SHARES_EX"),""))</f>
        <v/>
      </c>
      <c r="I53" s="4">
        <f>Database!V53</f>
        <v/>
      </c>
      <c r="J53" s="21">
        <f>IFERROR(BDP(Database!$A53&amp;" HK Equity","PE_RATIO"),"")</f>
        <v/>
      </c>
      <c r="K53" s="6">
        <f>IFERROR(BDP(Database!$A53&amp;" HK Equity","A/H_SHARE_CONVERSION"),"")</f>
        <v/>
      </c>
      <c r="L53" s="4">
        <f>IF(Database!AL53="","(none found)",Database!AL53)</f>
        <v/>
      </c>
      <c r="M53" s="9">
        <f>IFERROR(BDH(Database!$A53&amp;" HK Equity","CUR_MKT_CAP",Database!$G53,Database!$G53)/1000000,"")</f>
        <v/>
      </c>
      <c r="N53" s="63">
        <f>Database!O53</f>
        <v/>
      </c>
      <c r="O53" s="21">
        <f>IFERROR(BDH(Database!$A53&amp;" HK Equity","PE_RATIO",Database!$G53,Database!$G53),"")</f>
        <v/>
      </c>
      <c r="P53" s="60">
        <f>IF(Database!AI53="","(n/m or not derivable)",Database!AI53)</f>
        <v/>
      </c>
    </row>
    <row r="54">
      <c r="A54" s="4">
        <f>Database!A54&amp;"  "&amp;Database!B54</f>
        <v/>
      </c>
      <c r="B54" s="6">
        <f>IFERROR(INDEX(BDS(Database!$A54&amp;" HK Equity","EQUITY_OFFERINGS","array=t","endcol=1"),MATCH("IPO",BDS(Database!$A54&amp;" HK Equity","EQUITY_OFFERINGS","array=t","startcol=2","endcol=2"),0)),"")</f>
        <v/>
      </c>
      <c r="C54" s="64">
        <f>IF($B54="","",IFERROR(BDP($B54&amp;" Action","CP036"),""))</f>
        <v/>
      </c>
      <c r="D54" s="65">
        <f>Database!Q54</f>
        <v/>
      </c>
      <c r="E54" s="64">
        <f>IF($B54="","",IFERROR(BDP($B54&amp;" Action","CP037"),""))</f>
        <v/>
      </c>
      <c r="F54" s="65">
        <f>Database!R54</f>
        <v/>
      </c>
      <c r="G54" s="64">
        <f>IF($B54="","",IFERROR(BDP($B54&amp;" Action","GREENSHOE_FACILITY"),""))</f>
        <v/>
      </c>
      <c r="H54" s="64">
        <f>IF($B54="","",IFERROR(BDP($B54&amp;" Action","OFFERING_GREENSHOE_SHARES_EX"),""))</f>
        <v/>
      </c>
      <c r="I54" s="4">
        <f>Database!V54</f>
        <v/>
      </c>
      <c r="J54" s="21">
        <f>IFERROR(BDP(Database!$A54&amp;" HK Equity","PE_RATIO"),"")</f>
        <v/>
      </c>
      <c r="K54" s="6">
        <f>IFERROR(BDP(Database!$A54&amp;" HK Equity","A/H_SHARE_CONVERSION"),"")</f>
        <v/>
      </c>
      <c r="L54" s="4">
        <f>IF(Database!AL54="","(none found)",Database!AL54)</f>
        <v/>
      </c>
      <c r="M54" s="9">
        <f>IFERROR(BDH(Database!$A54&amp;" HK Equity","CUR_MKT_CAP",Database!$G54,Database!$G54)/1000000,"")</f>
        <v/>
      </c>
      <c r="N54" s="63">
        <f>Database!O54</f>
        <v/>
      </c>
      <c r="O54" s="21">
        <f>IFERROR(BDH(Database!$A54&amp;" HK Equity","PE_RATIO",Database!$G54,Database!$G54),"")</f>
        <v/>
      </c>
      <c r="P54" s="60">
        <f>IF(Database!AI54="","(n/m or not derivable)",Database!AI54)</f>
        <v/>
      </c>
    </row>
    <row r="55">
      <c r="A55" s="4">
        <f>Database!A55&amp;"  "&amp;Database!B55</f>
        <v/>
      </c>
      <c r="B55" s="6">
        <f>IFERROR(INDEX(BDS(Database!$A55&amp;" HK Equity","EQUITY_OFFERINGS","array=t","endcol=1"),MATCH("IPO",BDS(Database!$A55&amp;" HK Equity","EQUITY_OFFERINGS","array=t","startcol=2","endcol=2"),0)),"")</f>
        <v/>
      </c>
      <c r="C55" s="64">
        <f>IF($B55="","",IFERROR(BDP($B55&amp;" Action","CP036"),""))</f>
        <v/>
      </c>
      <c r="D55" s="65">
        <f>Database!Q55</f>
        <v/>
      </c>
      <c r="E55" s="64">
        <f>IF($B55="","",IFERROR(BDP($B55&amp;" Action","CP037"),""))</f>
        <v/>
      </c>
      <c r="F55" s="65">
        <f>Database!R55</f>
        <v/>
      </c>
      <c r="G55" s="64">
        <f>IF($B55="","",IFERROR(BDP($B55&amp;" Action","GREENSHOE_FACILITY"),""))</f>
        <v/>
      </c>
      <c r="H55" s="64">
        <f>IF($B55="","",IFERROR(BDP($B55&amp;" Action","OFFERING_GREENSHOE_SHARES_EX"),""))</f>
        <v/>
      </c>
      <c r="I55" s="4">
        <f>Database!V55</f>
        <v/>
      </c>
      <c r="J55" s="21">
        <f>IFERROR(BDP(Database!$A55&amp;" HK Equity","PE_RATIO"),"")</f>
        <v/>
      </c>
      <c r="K55" s="6">
        <f>IFERROR(BDP(Database!$A55&amp;" HK Equity","A/H_SHARE_CONVERSION"),"")</f>
        <v/>
      </c>
      <c r="L55" s="4">
        <f>IF(Database!AL55="","(none found)",Database!AL55)</f>
        <v/>
      </c>
      <c r="M55" s="9">
        <f>IFERROR(BDH(Database!$A55&amp;" HK Equity","CUR_MKT_CAP",Database!$G55,Database!$G55)/1000000,"")</f>
        <v/>
      </c>
      <c r="N55" s="63">
        <f>Database!O55</f>
        <v/>
      </c>
      <c r="O55" s="21">
        <f>IFERROR(BDH(Database!$A55&amp;" HK Equity","PE_RATIO",Database!$G55,Database!$G55),"")</f>
        <v/>
      </c>
      <c r="P55" s="60">
        <f>IF(Database!AI55="","(n/m or not derivable)",Database!AI55)</f>
        <v/>
      </c>
    </row>
    <row r="56">
      <c r="A56" s="4">
        <f>Database!A56&amp;"  "&amp;Database!B56</f>
        <v/>
      </c>
      <c r="B56" s="6">
        <f>IFERROR(INDEX(BDS(Database!$A56&amp;" HK Equity","EQUITY_OFFERINGS","array=t","endcol=1"),MATCH("IPO",BDS(Database!$A56&amp;" HK Equity","EQUITY_OFFERINGS","array=t","startcol=2","endcol=2"),0)),"")</f>
        <v/>
      </c>
      <c r="C56" s="64">
        <f>IF($B56="","",IFERROR(BDP($B56&amp;" Action","CP036"),""))</f>
        <v/>
      </c>
      <c r="D56" s="65">
        <f>Database!Q56</f>
        <v/>
      </c>
      <c r="E56" s="64">
        <f>IF($B56="","",IFERROR(BDP($B56&amp;" Action","CP037"),""))</f>
        <v/>
      </c>
      <c r="F56" s="65">
        <f>Database!R56</f>
        <v/>
      </c>
      <c r="G56" s="64">
        <f>IF($B56="","",IFERROR(BDP($B56&amp;" Action","GREENSHOE_FACILITY"),""))</f>
        <v/>
      </c>
      <c r="H56" s="64">
        <f>IF($B56="","",IFERROR(BDP($B56&amp;" Action","OFFERING_GREENSHOE_SHARES_EX"),""))</f>
        <v/>
      </c>
      <c r="I56" s="4">
        <f>Database!V56</f>
        <v/>
      </c>
      <c r="J56" s="21">
        <f>IFERROR(BDP(Database!$A56&amp;" HK Equity","PE_RATIO"),"")</f>
        <v/>
      </c>
      <c r="K56" s="6">
        <f>IFERROR(BDP(Database!$A56&amp;" HK Equity","A/H_SHARE_CONVERSION"),"")</f>
        <v/>
      </c>
      <c r="L56" s="4">
        <f>IF(Database!AL56="","(none found)",Database!AL56)</f>
        <v/>
      </c>
      <c r="M56" s="9">
        <f>IFERROR(BDH(Database!$A56&amp;" HK Equity","CUR_MKT_CAP",Database!$G56,Database!$G56)/1000000,"")</f>
        <v/>
      </c>
      <c r="N56" s="63">
        <f>Database!O56</f>
        <v/>
      </c>
      <c r="O56" s="21">
        <f>IFERROR(BDH(Database!$A56&amp;" HK Equity","PE_RATIO",Database!$G56,Database!$G56),"")</f>
        <v/>
      </c>
      <c r="P56" s="60">
        <f>IF(Database!AI56="","(n/m or not derivable)",Database!AI56)</f>
        <v/>
      </c>
    </row>
    <row r="57">
      <c r="A57" s="4">
        <f>Database!A57&amp;"  "&amp;Database!B57</f>
        <v/>
      </c>
      <c r="B57" s="6">
        <f>IFERROR(INDEX(BDS(Database!$A57&amp;" HK Equity","EQUITY_OFFERINGS","array=t","endcol=1"),MATCH("IPO",BDS(Database!$A57&amp;" HK Equity","EQUITY_OFFERINGS","array=t","startcol=2","endcol=2"),0)),"")</f>
        <v/>
      </c>
      <c r="C57" s="64">
        <f>IF($B57="","",IFERROR(BDP($B57&amp;" Action","CP036"),""))</f>
        <v/>
      </c>
      <c r="D57" s="65">
        <f>Database!Q57</f>
        <v/>
      </c>
      <c r="E57" s="64">
        <f>IF($B57="","",IFERROR(BDP($B57&amp;" Action","CP037"),""))</f>
        <v/>
      </c>
      <c r="F57" s="65">
        <f>Database!R57</f>
        <v/>
      </c>
      <c r="G57" s="64">
        <f>IF($B57="","",IFERROR(BDP($B57&amp;" Action","GREENSHOE_FACILITY"),""))</f>
        <v/>
      </c>
      <c r="H57" s="64">
        <f>IF($B57="","",IFERROR(BDP($B57&amp;" Action","OFFERING_GREENSHOE_SHARES_EX"),""))</f>
        <v/>
      </c>
      <c r="I57" s="4">
        <f>Database!V57</f>
        <v/>
      </c>
      <c r="J57" s="21">
        <f>IFERROR(BDP(Database!$A57&amp;" HK Equity","PE_RATIO"),"")</f>
        <v/>
      </c>
      <c r="K57" s="6">
        <f>IFERROR(BDP(Database!$A57&amp;" HK Equity","A/H_SHARE_CONVERSION"),"")</f>
        <v/>
      </c>
      <c r="L57" s="4">
        <f>IF(Database!AL57="","(none found)",Database!AL57)</f>
        <v/>
      </c>
      <c r="M57" s="9">
        <f>IFERROR(BDH(Database!$A57&amp;" HK Equity","CUR_MKT_CAP",Database!$G57,Database!$G57)/1000000,"")</f>
        <v/>
      </c>
      <c r="N57" s="63">
        <f>Database!O57</f>
        <v/>
      </c>
      <c r="O57" s="21">
        <f>IFERROR(BDH(Database!$A57&amp;" HK Equity","PE_RATIO",Database!$G57,Database!$G57),"")</f>
        <v/>
      </c>
      <c r="P57" s="60">
        <f>IF(Database!AI57="","(n/m or not derivable)",Database!AI57)</f>
        <v/>
      </c>
    </row>
    <row r="58">
      <c r="A58" s="4">
        <f>Database!A58&amp;"  "&amp;Database!B58</f>
        <v/>
      </c>
      <c r="B58" s="6">
        <f>IFERROR(INDEX(BDS(Database!$A58&amp;" HK Equity","EQUITY_OFFERINGS","array=t","endcol=1"),MATCH("IPO",BDS(Database!$A58&amp;" HK Equity","EQUITY_OFFERINGS","array=t","startcol=2","endcol=2"),0)),"")</f>
        <v/>
      </c>
      <c r="C58" s="64">
        <f>IF($B58="","",IFERROR(BDP($B58&amp;" Action","CP036"),""))</f>
        <v/>
      </c>
      <c r="D58" s="65">
        <f>Database!Q58</f>
        <v/>
      </c>
      <c r="E58" s="64">
        <f>IF($B58="","",IFERROR(BDP($B58&amp;" Action","CP037"),""))</f>
        <v/>
      </c>
      <c r="F58" s="65">
        <f>Database!R58</f>
        <v/>
      </c>
      <c r="G58" s="64">
        <f>IF($B58="","",IFERROR(BDP($B58&amp;" Action","GREENSHOE_FACILITY"),""))</f>
        <v/>
      </c>
      <c r="H58" s="64">
        <f>IF($B58="","",IFERROR(BDP($B58&amp;" Action","OFFERING_GREENSHOE_SHARES_EX"),""))</f>
        <v/>
      </c>
      <c r="I58" s="4">
        <f>Database!V58</f>
        <v/>
      </c>
      <c r="J58" s="21">
        <f>IFERROR(BDP(Database!$A58&amp;" HK Equity","PE_RATIO"),"")</f>
        <v/>
      </c>
      <c r="K58" s="6">
        <f>IFERROR(BDP(Database!$A58&amp;" HK Equity","A/H_SHARE_CONVERSION"),"")</f>
        <v/>
      </c>
      <c r="L58" s="4">
        <f>IF(Database!AL58="","(none found)",Database!AL58)</f>
        <v/>
      </c>
      <c r="M58" s="9">
        <f>IFERROR(BDH(Database!$A58&amp;" HK Equity","CUR_MKT_CAP",Database!$G58,Database!$G58)/1000000,"")</f>
        <v/>
      </c>
      <c r="N58" s="63">
        <f>Database!O58</f>
        <v/>
      </c>
      <c r="O58" s="21">
        <f>IFERROR(BDH(Database!$A58&amp;" HK Equity","PE_RATIO",Database!$G58,Database!$G58),"")</f>
        <v/>
      </c>
      <c r="P58" s="60">
        <f>IF(Database!AI58="","(n/m or not derivable)",Database!AI58)</f>
        <v/>
      </c>
    </row>
    <row r="59">
      <c r="A59" s="4">
        <f>Database!A59&amp;"  "&amp;Database!B59</f>
        <v/>
      </c>
      <c r="B59" s="6">
        <f>IFERROR(INDEX(BDS(Database!$A59&amp;" HK Equity","EQUITY_OFFERINGS","array=t","endcol=1"),MATCH("IPO",BDS(Database!$A59&amp;" HK Equity","EQUITY_OFFERINGS","array=t","startcol=2","endcol=2"),0)),"")</f>
        <v/>
      </c>
      <c r="C59" s="64">
        <f>IF($B59="","",IFERROR(BDP($B59&amp;" Action","CP036"),""))</f>
        <v/>
      </c>
      <c r="D59" s="65">
        <f>Database!Q59</f>
        <v/>
      </c>
      <c r="E59" s="64">
        <f>IF($B59="","",IFERROR(BDP($B59&amp;" Action","CP037"),""))</f>
        <v/>
      </c>
      <c r="F59" s="65">
        <f>Database!R59</f>
        <v/>
      </c>
      <c r="G59" s="64">
        <f>IF($B59="","",IFERROR(BDP($B59&amp;" Action","GREENSHOE_FACILITY"),""))</f>
        <v/>
      </c>
      <c r="H59" s="64">
        <f>IF($B59="","",IFERROR(BDP($B59&amp;" Action","OFFERING_GREENSHOE_SHARES_EX"),""))</f>
        <v/>
      </c>
      <c r="I59" s="4">
        <f>Database!V59</f>
        <v/>
      </c>
      <c r="J59" s="21">
        <f>IFERROR(BDP(Database!$A59&amp;" HK Equity","PE_RATIO"),"")</f>
        <v/>
      </c>
      <c r="K59" s="6">
        <f>IFERROR(BDP(Database!$A59&amp;" HK Equity","A/H_SHARE_CONVERSION"),"")</f>
        <v/>
      </c>
      <c r="L59" s="4">
        <f>IF(Database!AL59="","(none found)",Database!AL59)</f>
        <v/>
      </c>
      <c r="M59" s="9">
        <f>IFERROR(BDH(Database!$A59&amp;" HK Equity","CUR_MKT_CAP",Database!$G59,Database!$G59)/1000000,"")</f>
        <v/>
      </c>
      <c r="N59" s="63">
        <f>Database!O59</f>
        <v/>
      </c>
      <c r="O59" s="21">
        <f>IFERROR(BDH(Database!$A59&amp;" HK Equity","PE_RATIO",Database!$G59,Database!$G59),"")</f>
        <v/>
      </c>
      <c r="P59" s="60">
        <f>IF(Database!AI59="","(n/m or not derivable)",Database!AI59)</f>
        <v/>
      </c>
    </row>
    <row r="60">
      <c r="A60" s="4">
        <f>Database!A60&amp;"  "&amp;Database!B60</f>
        <v/>
      </c>
      <c r="B60" s="6">
        <f>IFERROR(INDEX(BDS(Database!$A60&amp;" HK Equity","EQUITY_OFFERINGS","array=t","endcol=1"),MATCH("IPO",BDS(Database!$A60&amp;" HK Equity","EQUITY_OFFERINGS","array=t","startcol=2","endcol=2"),0)),"")</f>
        <v/>
      </c>
      <c r="C60" s="64">
        <f>IF($B60="","",IFERROR(BDP($B60&amp;" Action","CP036"),""))</f>
        <v/>
      </c>
      <c r="D60" s="65">
        <f>Database!Q60</f>
        <v/>
      </c>
      <c r="E60" s="64">
        <f>IF($B60="","",IFERROR(BDP($B60&amp;" Action","CP037"),""))</f>
        <v/>
      </c>
      <c r="F60" s="65">
        <f>Database!R60</f>
        <v/>
      </c>
      <c r="G60" s="64">
        <f>IF($B60="","",IFERROR(BDP($B60&amp;" Action","GREENSHOE_FACILITY"),""))</f>
        <v/>
      </c>
      <c r="H60" s="64">
        <f>IF($B60="","",IFERROR(BDP($B60&amp;" Action","OFFERING_GREENSHOE_SHARES_EX"),""))</f>
        <v/>
      </c>
      <c r="I60" s="4">
        <f>Database!V60</f>
        <v/>
      </c>
      <c r="J60" s="21">
        <f>IFERROR(BDP(Database!$A60&amp;" HK Equity","PE_RATIO"),"")</f>
        <v/>
      </c>
      <c r="K60" s="6">
        <f>IFERROR(BDP(Database!$A60&amp;" HK Equity","A/H_SHARE_CONVERSION"),"")</f>
        <v/>
      </c>
      <c r="L60" s="4">
        <f>IF(Database!AL60="","(none found)",Database!AL60)</f>
        <v/>
      </c>
      <c r="M60" s="9">
        <f>IFERROR(BDH(Database!$A60&amp;" HK Equity","CUR_MKT_CAP",Database!$G60,Database!$G60)/1000000,"")</f>
        <v/>
      </c>
      <c r="N60" s="63">
        <f>Database!O60</f>
        <v/>
      </c>
      <c r="O60" s="21">
        <f>IFERROR(BDH(Database!$A60&amp;" HK Equity","PE_RATIO",Database!$G60,Database!$G60),"")</f>
        <v/>
      </c>
      <c r="P60" s="60">
        <f>IF(Database!AI60="","(n/m or not derivable)",Database!AI60)</f>
        <v/>
      </c>
    </row>
    <row r="61">
      <c r="A61" s="4">
        <f>Database!A61&amp;"  "&amp;Database!B61</f>
        <v/>
      </c>
      <c r="B61" s="6">
        <f>IFERROR(INDEX(BDS(Database!$A61&amp;" HK Equity","EQUITY_OFFERINGS","array=t","endcol=1"),MATCH("IPO",BDS(Database!$A61&amp;" HK Equity","EQUITY_OFFERINGS","array=t","startcol=2","endcol=2"),0)),"")</f>
        <v/>
      </c>
      <c r="C61" s="64">
        <f>IF($B61="","",IFERROR(BDP($B61&amp;" Action","CP036"),""))</f>
        <v/>
      </c>
      <c r="D61" s="65">
        <f>Database!Q61</f>
        <v/>
      </c>
      <c r="E61" s="64">
        <f>IF($B61="","",IFERROR(BDP($B61&amp;" Action","CP037"),""))</f>
        <v/>
      </c>
      <c r="F61" s="65">
        <f>Database!R61</f>
        <v/>
      </c>
      <c r="G61" s="64">
        <f>IF($B61="","",IFERROR(BDP($B61&amp;" Action","GREENSHOE_FACILITY"),""))</f>
        <v/>
      </c>
      <c r="H61" s="64">
        <f>IF($B61="","",IFERROR(BDP($B61&amp;" Action","OFFERING_GREENSHOE_SHARES_EX"),""))</f>
        <v/>
      </c>
      <c r="I61" s="4">
        <f>Database!V61</f>
        <v/>
      </c>
      <c r="J61" s="21">
        <f>IFERROR(BDP(Database!$A61&amp;" HK Equity","PE_RATIO"),"")</f>
        <v/>
      </c>
      <c r="K61" s="6">
        <f>IFERROR(BDP(Database!$A61&amp;" HK Equity","A/H_SHARE_CONVERSION"),"")</f>
        <v/>
      </c>
      <c r="L61" s="4">
        <f>IF(Database!AL61="","(none found)",Database!AL61)</f>
        <v/>
      </c>
      <c r="M61" s="9">
        <f>IFERROR(BDH(Database!$A61&amp;" HK Equity","CUR_MKT_CAP",Database!$G61,Database!$G61)/1000000,"")</f>
        <v/>
      </c>
      <c r="N61" s="63">
        <f>Database!O61</f>
        <v/>
      </c>
      <c r="O61" s="21">
        <f>IFERROR(BDH(Database!$A61&amp;" HK Equity","PE_RATIO",Database!$G61,Database!$G61),"")</f>
        <v/>
      </c>
      <c r="P61" s="60">
        <f>IF(Database!AI61="","(n/m or not derivable)",Database!AI61)</f>
        <v/>
      </c>
    </row>
    <row r="62">
      <c r="A62" s="4">
        <f>Database!A62&amp;"  "&amp;Database!B62</f>
        <v/>
      </c>
      <c r="B62" s="6">
        <f>IFERROR(INDEX(BDS(Database!$A62&amp;" HK Equity","EQUITY_OFFERINGS","array=t","endcol=1"),MATCH("IPO",BDS(Database!$A62&amp;" HK Equity","EQUITY_OFFERINGS","array=t","startcol=2","endcol=2"),0)),"")</f>
        <v/>
      </c>
      <c r="C62" s="64">
        <f>IF($B62="","",IFERROR(BDP($B62&amp;" Action","CP036"),""))</f>
        <v/>
      </c>
      <c r="D62" s="65">
        <f>Database!Q62</f>
        <v/>
      </c>
      <c r="E62" s="64">
        <f>IF($B62="","",IFERROR(BDP($B62&amp;" Action","CP037"),""))</f>
        <v/>
      </c>
      <c r="F62" s="65">
        <f>Database!R62</f>
        <v/>
      </c>
      <c r="G62" s="64">
        <f>IF($B62="","",IFERROR(BDP($B62&amp;" Action","GREENSHOE_FACILITY"),""))</f>
        <v/>
      </c>
      <c r="H62" s="64">
        <f>IF($B62="","",IFERROR(BDP($B62&amp;" Action","OFFERING_GREENSHOE_SHARES_EX"),""))</f>
        <v/>
      </c>
      <c r="I62" s="4">
        <f>Database!V62</f>
        <v/>
      </c>
      <c r="J62" s="21">
        <f>IFERROR(BDP(Database!$A62&amp;" HK Equity","PE_RATIO"),"")</f>
        <v/>
      </c>
      <c r="K62" s="6">
        <f>IFERROR(BDP(Database!$A62&amp;" HK Equity","A/H_SHARE_CONVERSION"),"")</f>
        <v/>
      </c>
      <c r="L62" s="4">
        <f>IF(Database!AL62="","(none found)",Database!AL62)</f>
        <v/>
      </c>
      <c r="M62" s="9">
        <f>IFERROR(BDH(Database!$A62&amp;" HK Equity","CUR_MKT_CAP",Database!$G62,Database!$G62)/1000000,"")</f>
        <v/>
      </c>
      <c r="N62" s="63">
        <f>Database!O62</f>
        <v/>
      </c>
      <c r="O62" s="21">
        <f>IFERROR(BDH(Database!$A62&amp;" HK Equity","PE_RATIO",Database!$G62,Database!$G62),"")</f>
        <v/>
      </c>
      <c r="P62" s="60">
        <f>IF(Database!AI62="","(n/m or not derivable)",Database!AI62)</f>
        <v/>
      </c>
    </row>
    <row r="63">
      <c r="A63" s="4">
        <f>Database!A63&amp;"  "&amp;Database!B63</f>
        <v/>
      </c>
      <c r="B63" s="6">
        <f>IFERROR(INDEX(BDS(Database!$A63&amp;" HK Equity","EQUITY_OFFERINGS","array=t","endcol=1"),MATCH("IPO",BDS(Database!$A63&amp;" HK Equity","EQUITY_OFFERINGS","array=t","startcol=2","endcol=2"),0)),"")</f>
        <v/>
      </c>
      <c r="C63" s="64">
        <f>IF($B63="","",IFERROR(BDP($B63&amp;" Action","CP036"),""))</f>
        <v/>
      </c>
      <c r="D63" s="65">
        <f>Database!Q63</f>
        <v/>
      </c>
      <c r="E63" s="64">
        <f>IF($B63="","",IFERROR(BDP($B63&amp;" Action","CP037"),""))</f>
        <v/>
      </c>
      <c r="F63" s="65">
        <f>Database!R63</f>
        <v/>
      </c>
      <c r="G63" s="64">
        <f>IF($B63="","",IFERROR(BDP($B63&amp;" Action","GREENSHOE_FACILITY"),""))</f>
        <v/>
      </c>
      <c r="H63" s="64">
        <f>IF($B63="","",IFERROR(BDP($B63&amp;" Action","OFFERING_GREENSHOE_SHARES_EX"),""))</f>
        <v/>
      </c>
      <c r="I63" s="4">
        <f>Database!V63</f>
        <v/>
      </c>
      <c r="J63" s="21">
        <f>IFERROR(BDP(Database!$A63&amp;" HK Equity","PE_RATIO"),"")</f>
        <v/>
      </c>
      <c r="K63" s="6">
        <f>IFERROR(BDP(Database!$A63&amp;" HK Equity","A/H_SHARE_CONVERSION"),"")</f>
        <v/>
      </c>
      <c r="L63" s="4">
        <f>IF(Database!AL63="","(none found)",Database!AL63)</f>
        <v/>
      </c>
      <c r="M63" s="9">
        <f>IFERROR(BDH(Database!$A63&amp;" HK Equity","CUR_MKT_CAP",Database!$G63,Database!$G63)/1000000,"")</f>
        <v/>
      </c>
      <c r="N63" s="63">
        <f>Database!O63</f>
        <v/>
      </c>
      <c r="O63" s="21">
        <f>IFERROR(BDH(Database!$A63&amp;" HK Equity","PE_RATIO",Database!$G63,Database!$G63),"")</f>
        <v/>
      </c>
      <c r="P63" s="60">
        <f>IF(Database!AI63="","(n/m or not derivable)",Database!AI63)</f>
        <v/>
      </c>
    </row>
    <row r="64">
      <c r="A64" s="4">
        <f>Database!A64&amp;"  "&amp;Database!B64</f>
        <v/>
      </c>
      <c r="B64" s="6">
        <f>IFERROR(INDEX(BDS(Database!$A64&amp;" HK Equity","EQUITY_OFFERINGS","array=t","endcol=1"),MATCH("IPO",BDS(Database!$A64&amp;" HK Equity","EQUITY_OFFERINGS","array=t","startcol=2","endcol=2"),0)),"")</f>
        <v/>
      </c>
      <c r="C64" s="64">
        <f>IF($B64="","",IFERROR(BDP($B64&amp;" Action","CP036"),""))</f>
        <v/>
      </c>
      <c r="D64" s="65">
        <f>Database!Q64</f>
        <v/>
      </c>
      <c r="E64" s="64">
        <f>IF($B64="","",IFERROR(BDP($B64&amp;" Action","CP037"),""))</f>
        <v/>
      </c>
      <c r="F64" s="65">
        <f>Database!R64</f>
        <v/>
      </c>
      <c r="G64" s="64">
        <f>IF($B64="","",IFERROR(BDP($B64&amp;" Action","GREENSHOE_FACILITY"),""))</f>
        <v/>
      </c>
      <c r="H64" s="64">
        <f>IF($B64="","",IFERROR(BDP($B64&amp;" Action","OFFERING_GREENSHOE_SHARES_EX"),""))</f>
        <v/>
      </c>
      <c r="I64" s="4">
        <f>Database!V64</f>
        <v/>
      </c>
      <c r="J64" s="21">
        <f>IFERROR(BDP(Database!$A64&amp;" HK Equity","PE_RATIO"),"")</f>
        <v/>
      </c>
      <c r="K64" s="6">
        <f>IFERROR(BDP(Database!$A64&amp;" HK Equity","A/H_SHARE_CONVERSION"),"")</f>
        <v/>
      </c>
      <c r="L64" s="4">
        <f>IF(Database!AL64="","(none found)",Database!AL64)</f>
        <v/>
      </c>
      <c r="M64" s="9">
        <f>IFERROR(BDH(Database!$A64&amp;" HK Equity","CUR_MKT_CAP",Database!$G64,Database!$G64)/1000000,"")</f>
        <v/>
      </c>
      <c r="N64" s="63">
        <f>Database!O64</f>
        <v/>
      </c>
      <c r="O64" s="21">
        <f>IFERROR(BDH(Database!$A64&amp;" HK Equity","PE_RATIO",Database!$G64,Database!$G64),"")</f>
        <v/>
      </c>
      <c r="P64" s="60">
        <f>IF(Database!AI64="","(n/m or not derivable)",Database!AI64)</f>
        <v/>
      </c>
    </row>
    <row r="65">
      <c r="A65" s="4">
        <f>Database!A65&amp;"  "&amp;Database!B65</f>
        <v/>
      </c>
      <c r="B65" s="6">
        <f>IFERROR(INDEX(BDS(Database!$A65&amp;" HK Equity","EQUITY_OFFERINGS","array=t","endcol=1"),MATCH("IPO",BDS(Database!$A65&amp;" HK Equity","EQUITY_OFFERINGS","array=t","startcol=2","endcol=2"),0)),"")</f>
        <v/>
      </c>
      <c r="C65" s="64">
        <f>IF($B65="","",IFERROR(BDP($B65&amp;" Action","CP036"),""))</f>
        <v/>
      </c>
      <c r="D65" s="65">
        <f>Database!Q65</f>
        <v/>
      </c>
      <c r="E65" s="64">
        <f>IF($B65="","",IFERROR(BDP($B65&amp;" Action","CP037"),""))</f>
        <v/>
      </c>
      <c r="F65" s="65">
        <f>Database!R65</f>
        <v/>
      </c>
      <c r="G65" s="64">
        <f>IF($B65="","",IFERROR(BDP($B65&amp;" Action","GREENSHOE_FACILITY"),""))</f>
        <v/>
      </c>
      <c r="H65" s="64">
        <f>IF($B65="","",IFERROR(BDP($B65&amp;" Action","OFFERING_GREENSHOE_SHARES_EX"),""))</f>
        <v/>
      </c>
      <c r="I65" s="4">
        <f>Database!V65</f>
        <v/>
      </c>
      <c r="J65" s="21">
        <f>IFERROR(BDP(Database!$A65&amp;" HK Equity","PE_RATIO"),"")</f>
        <v/>
      </c>
      <c r="K65" s="6">
        <f>IFERROR(BDP(Database!$A65&amp;" HK Equity","A/H_SHARE_CONVERSION"),"")</f>
        <v/>
      </c>
      <c r="L65" s="4">
        <f>IF(Database!AL65="","(none found)",Database!AL65)</f>
        <v/>
      </c>
      <c r="M65" s="9">
        <f>IFERROR(BDH(Database!$A65&amp;" HK Equity","CUR_MKT_CAP",Database!$G65,Database!$G65)/1000000,"")</f>
        <v/>
      </c>
      <c r="N65" s="63">
        <f>Database!O65</f>
        <v/>
      </c>
      <c r="O65" s="21">
        <f>IFERROR(BDH(Database!$A65&amp;" HK Equity","PE_RATIO",Database!$G65,Database!$G65),"")</f>
        <v/>
      </c>
      <c r="P65" s="60">
        <f>IF(Database!AI65="","(n/m or not derivable)",Database!AI65)</f>
        <v/>
      </c>
    </row>
    <row r="66">
      <c r="A66" s="4">
        <f>Database!A66&amp;"  "&amp;Database!B66</f>
        <v/>
      </c>
      <c r="B66" s="6">
        <f>IFERROR(INDEX(BDS(Database!$A66&amp;" HK Equity","EQUITY_OFFERINGS","array=t","endcol=1"),MATCH("IPO",BDS(Database!$A66&amp;" HK Equity","EQUITY_OFFERINGS","array=t","startcol=2","endcol=2"),0)),"")</f>
        <v/>
      </c>
      <c r="C66" s="64">
        <f>IF($B66="","",IFERROR(BDP($B66&amp;" Action","CP036"),""))</f>
        <v/>
      </c>
      <c r="D66" s="65">
        <f>Database!Q66</f>
        <v/>
      </c>
      <c r="E66" s="64">
        <f>IF($B66="","",IFERROR(BDP($B66&amp;" Action","CP037"),""))</f>
        <v/>
      </c>
      <c r="F66" s="65">
        <f>Database!R66</f>
        <v/>
      </c>
      <c r="G66" s="64">
        <f>IF($B66="","",IFERROR(BDP($B66&amp;" Action","GREENSHOE_FACILITY"),""))</f>
        <v/>
      </c>
      <c r="H66" s="64">
        <f>IF($B66="","",IFERROR(BDP($B66&amp;" Action","OFFERING_GREENSHOE_SHARES_EX"),""))</f>
        <v/>
      </c>
      <c r="I66" s="4">
        <f>Database!V66</f>
        <v/>
      </c>
      <c r="J66" s="21">
        <f>IFERROR(BDP(Database!$A66&amp;" HK Equity","PE_RATIO"),"")</f>
        <v/>
      </c>
      <c r="K66" s="6">
        <f>IFERROR(BDP(Database!$A66&amp;" HK Equity","A/H_SHARE_CONVERSION"),"")</f>
        <v/>
      </c>
      <c r="L66" s="4">
        <f>IF(Database!AL66="","(none found)",Database!AL66)</f>
        <v/>
      </c>
      <c r="M66" s="9">
        <f>IFERROR(BDH(Database!$A66&amp;" HK Equity","CUR_MKT_CAP",Database!$G66,Database!$G66)/1000000,"")</f>
        <v/>
      </c>
      <c r="N66" s="63">
        <f>Database!O66</f>
        <v/>
      </c>
      <c r="O66" s="21">
        <f>IFERROR(BDH(Database!$A66&amp;" HK Equity","PE_RATIO",Database!$G66,Database!$G66),"")</f>
        <v/>
      </c>
      <c r="P66" s="60">
        <f>IF(Database!AI66="","(n/m or not derivable)",Database!AI66)</f>
        <v/>
      </c>
    </row>
    <row r="67">
      <c r="A67" s="4">
        <f>Database!A67&amp;"  "&amp;Database!B67</f>
        <v/>
      </c>
      <c r="B67" s="6">
        <f>IFERROR(INDEX(BDS(Database!$A67&amp;" HK Equity","EQUITY_OFFERINGS","array=t","endcol=1"),MATCH("IPO",BDS(Database!$A67&amp;" HK Equity","EQUITY_OFFERINGS","array=t","startcol=2","endcol=2"),0)),"")</f>
        <v/>
      </c>
      <c r="C67" s="64">
        <f>IF($B67="","",IFERROR(BDP($B67&amp;" Action","CP036"),""))</f>
        <v/>
      </c>
      <c r="D67" s="65">
        <f>Database!Q67</f>
        <v/>
      </c>
      <c r="E67" s="64">
        <f>IF($B67="","",IFERROR(BDP($B67&amp;" Action","CP037"),""))</f>
        <v/>
      </c>
      <c r="F67" s="65">
        <f>Database!R67</f>
        <v/>
      </c>
      <c r="G67" s="64">
        <f>IF($B67="","",IFERROR(BDP($B67&amp;" Action","GREENSHOE_FACILITY"),""))</f>
        <v/>
      </c>
      <c r="H67" s="64">
        <f>IF($B67="","",IFERROR(BDP($B67&amp;" Action","OFFERING_GREENSHOE_SHARES_EX"),""))</f>
        <v/>
      </c>
      <c r="I67" s="4">
        <f>Database!V67</f>
        <v/>
      </c>
      <c r="J67" s="21">
        <f>IFERROR(BDP(Database!$A67&amp;" HK Equity","PE_RATIO"),"")</f>
        <v/>
      </c>
      <c r="K67" s="6">
        <f>IFERROR(BDP(Database!$A67&amp;" HK Equity","A/H_SHARE_CONVERSION"),"")</f>
        <v/>
      </c>
      <c r="L67" s="4">
        <f>IF(Database!AL67="","(none found)",Database!AL67)</f>
        <v/>
      </c>
      <c r="M67" s="9">
        <f>IFERROR(BDH(Database!$A67&amp;" HK Equity","CUR_MKT_CAP",Database!$G67,Database!$G67)/1000000,"")</f>
        <v/>
      </c>
      <c r="N67" s="63">
        <f>Database!O67</f>
        <v/>
      </c>
      <c r="O67" s="21">
        <f>IFERROR(BDH(Database!$A67&amp;" HK Equity","PE_RATIO",Database!$G67,Database!$G67),"")</f>
        <v/>
      </c>
      <c r="P67" s="60">
        <f>IF(Database!AI67="","(n/m or not derivable)",Database!AI67)</f>
        <v/>
      </c>
    </row>
    <row r="68">
      <c r="A68" s="4">
        <f>Database!A68&amp;"  "&amp;Database!B68</f>
        <v/>
      </c>
      <c r="B68" s="6">
        <f>IFERROR(INDEX(BDS(Database!$A68&amp;" HK Equity","EQUITY_OFFERINGS","array=t","endcol=1"),MATCH("IPO",BDS(Database!$A68&amp;" HK Equity","EQUITY_OFFERINGS","array=t","startcol=2","endcol=2"),0)),"")</f>
        <v/>
      </c>
      <c r="C68" s="64">
        <f>IF($B68="","",IFERROR(BDP($B68&amp;" Action","CP036"),""))</f>
        <v/>
      </c>
      <c r="D68" s="65">
        <f>Database!Q68</f>
        <v/>
      </c>
      <c r="E68" s="64">
        <f>IF($B68="","",IFERROR(BDP($B68&amp;" Action","CP037"),""))</f>
        <v/>
      </c>
      <c r="F68" s="65">
        <f>Database!R68</f>
        <v/>
      </c>
      <c r="G68" s="64">
        <f>IF($B68="","",IFERROR(BDP($B68&amp;" Action","GREENSHOE_FACILITY"),""))</f>
        <v/>
      </c>
      <c r="H68" s="64">
        <f>IF($B68="","",IFERROR(BDP($B68&amp;" Action","OFFERING_GREENSHOE_SHARES_EX"),""))</f>
        <v/>
      </c>
      <c r="I68" s="4">
        <f>Database!V68</f>
        <v/>
      </c>
      <c r="J68" s="21">
        <f>IFERROR(BDP(Database!$A68&amp;" HK Equity","PE_RATIO"),"")</f>
        <v/>
      </c>
      <c r="K68" s="6">
        <f>IFERROR(BDP(Database!$A68&amp;" HK Equity","A/H_SHARE_CONVERSION"),"")</f>
        <v/>
      </c>
      <c r="L68" s="4">
        <f>IF(Database!AL68="","(none found)",Database!AL68)</f>
        <v/>
      </c>
      <c r="M68" s="9">
        <f>IFERROR(BDH(Database!$A68&amp;" HK Equity","CUR_MKT_CAP",Database!$G68,Database!$G68)/1000000,"")</f>
        <v/>
      </c>
      <c r="N68" s="63">
        <f>Database!O68</f>
        <v/>
      </c>
      <c r="O68" s="21">
        <f>IFERROR(BDH(Database!$A68&amp;" HK Equity","PE_RATIO",Database!$G68,Database!$G68),"")</f>
        <v/>
      </c>
      <c r="P68" s="60">
        <f>IF(Database!AI68="","(n/m or not derivable)",Database!AI68)</f>
        <v/>
      </c>
    </row>
    <row r="69">
      <c r="A69" s="4">
        <f>Database!A69&amp;"  "&amp;Database!B69</f>
        <v/>
      </c>
      <c r="B69" s="6">
        <f>IFERROR(INDEX(BDS(Database!$A69&amp;" HK Equity","EQUITY_OFFERINGS","array=t","endcol=1"),MATCH("IPO",BDS(Database!$A69&amp;" HK Equity","EQUITY_OFFERINGS","array=t","startcol=2","endcol=2"),0)),"")</f>
        <v/>
      </c>
      <c r="C69" s="64">
        <f>IF($B69="","",IFERROR(BDP($B69&amp;" Action","CP036"),""))</f>
        <v/>
      </c>
      <c r="D69" s="65">
        <f>Database!Q69</f>
        <v/>
      </c>
      <c r="E69" s="64">
        <f>IF($B69="","",IFERROR(BDP($B69&amp;" Action","CP037"),""))</f>
        <v/>
      </c>
      <c r="F69" s="65">
        <f>Database!R69</f>
        <v/>
      </c>
      <c r="G69" s="64">
        <f>IF($B69="","",IFERROR(BDP($B69&amp;" Action","GREENSHOE_FACILITY"),""))</f>
        <v/>
      </c>
      <c r="H69" s="64">
        <f>IF($B69="","",IFERROR(BDP($B69&amp;" Action","OFFERING_GREENSHOE_SHARES_EX"),""))</f>
        <v/>
      </c>
      <c r="I69" s="4">
        <f>Database!V69</f>
        <v/>
      </c>
      <c r="J69" s="21">
        <f>IFERROR(BDP(Database!$A69&amp;" HK Equity","PE_RATIO"),"")</f>
        <v/>
      </c>
      <c r="K69" s="6">
        <f>IFERROR(BDP(Database!$A69&amp;" HK Equity","A/H_SHARE_CONVERSION"),"")</f>
        <v/>
      </c>
      <c r="L69" s="4">
        <f>IF(Database!AL69="","(none found)",Database!AL69)</f>
        <v/>
      </c>
      <c r="M69" s="9">
        <f>IFERROR(BDH(Database!$A69&amp;" HK Equity","CUR_MKT_CAP",Database!$G69,Database!$G69)/1000000,"")</f>
        <v/>
      </c>
      <c r="N69" s="63">
        <f>Database!O69</f>
        <v/>
      </c>
      <c r="O69" s="21">
        <f>IFERROR(BDH(Database!$A69&amp;" HK Equity","PE_RATIO",Database!$G69,Database!$G69),"")</f>
        <v/>
      </c>
      <c r="P69" s="60">
        <f>IF(Database!AI69="","(n/m or not derivable)",Database!AI69)</f>
        <v/>
      </c>
    </row>
    <row r="70">
      <c r="A70" s="4">
        <f>Database!A70&amp;"  "&amp;Database!B70</f>
        <v/>
      </c>
      <c r="B70" s="6">
        <f>IFERROR(INDEX(BDS(Database!$A70&amp;" HK Equity","EQUITY_OFFERINGS","array=t","endcol=1"),MATCH("IPO",BDS(Database!$A70&amp;" HK Equity","EQUITY_OFFERINGS","array=t","startcol=2","endcol=2"),0)),"")</f>
        <v/>
      </c>
      <c r="C70" s="64">
        <f>IF($B70="","",IFERROR(BDP($B70&amp;" Action","CP036"),""))</f>
        <v/>
      </c>
      <c r="D70" s="65">
        <f>Database!Q70</f>
        <v/>
      </c>
      <c r="E70" s="64">
        <f>IF($B70="","",IFERROR(BDP($B70&amp;" Action","CP037"),""))</f>
        <v/>
      </c>
      <c r="F70" s="65">
        <f>Database!R70</f>
        <v/>
      </c>
      <c r="G70" s="64">
        <f>IF($B70="","",IFERROR(BDP($B70&amp;" Action","GREENSHOE_FACILITY"),""))</f>
        <v/>
      </c>
      <c r="H70" s="64">
        <f>IF($B70="","",IFERROR(BDP($B70&amp;" Action","OFFERING_GREENSHOE_SHARES_EX"),""))</f>
        <v/>
      </c>
      <c r="I70" s="4">
        <f>Database!V70</f>
        <v/>
      </c>
      <c r="J70" s="21">
        <f>IFERROR(BDP(Database!$A70&amp;" HK Equity","PE_RATIO"),"")</f>
        <v/>
      </c>
      <c r="K70" s="6">
        <f>IFERROR(BDP(Database!$A70&amp;" HK Equity","A/H_SHARE_CONVERSION"),"")</f>
        <v/>
      </c>
      <c r="L70" s="4">
        <f>IF(Database!AL70="","(none found)",Database!AL70)</f>
        <v/>
      </c>
      <c r="M70" s="9">
        <f>IFERROR(BDH(Database!$A70&amp;" HK Equity","CUR_MKT_CAP",Database!$G70,Database!$G70)/1000000,"")</f>
        <v/>
      </c>
      <c r="N70" s="63">
        <f>Database!O70</f>
        <v/>
      </c>
      <c r="O70" s="21">
        <f>IFERROR(BDH(Database!$A70&amp;" HK Equity","PE_RATIO",Database!$G70,Database!$G70),"")</f>
        <v/>
      </c>
      <c r="P70" s="60">
        <f>IF(Database!AI70="","(n/m or not derivable)",Database!AI70)</f>
        <v/>
      </c>
    </row>
    <row r="71">
      <c r="A71" s="4">
        <f>Database!A71&amp;"  "&amp;Database!B71</f>
        <v/>
      </c>
      <c r="B71" s="6">
        <f>IFERROR(INDEX(BDS(Database!$A71&amp;" HK Equity","EQUITY_OFFERINGS","array=t","endcol=1"),MATCH("IPO",BDS(Database!$A71&amp;" HK Equity","EQUITY_OFFERINGS","array=t","startcol=2","endcol=2"),0)),"")</f>
        <v/>
      </c>
      <c r="C71" s="64">
        <f>IF($B71="","",IFERROR(BDP($B71&amp;" Action","CP036"),""))</f>
        <v/>
      </c>
      <c r="D71" s="65">
        <f>Database!Q71</f>
        <v/>
      </c>
      <c r="E71" s="64">
        <f>IF($B71="","",IFERROR(BDP($B71&amp;" Action","CP037"),""))</f>
        <v/>
      </c>
      <c r="F71" s="65">
        <f>Database!R71</f>
        <v/>
      </c>
      <c r="G71" s="64">
        <f>IF($B71="","",IFERROR(BDP($B71&amp;" Action","GREENSHOE_FACILITY"),""))</f>
        <v/>
      </c>
      <c r="H71" s="64">
        <f>IF($B71="","",IFERROR(BDP($B71&amp;" Action","OFFERING_GREENSHOE_SHARES_EX"),""))</f>
        <v/>
      </c>
      <c r="I71" s="4">
        <f>Database!V71</f>
        <v/>
      </c>
      <c r="J71" s="21">
        <f>IFERROR(BDP(Database!$A71&amp;" HK Equity","PE_RATIO"),"")</f>
        <v/>
      </c>
      <c r="K71" s="6">
        <f>IFERROR(BDP(Database!$A71&amp;" HK Equity","A/H_SHARE_CONVERSION"),"")</f>
        <v/>
      </c>
      <c r="L71" s="4">
        <f>IF(Database!AL71="","(none found)",Database!AL71)</f>
        <v/>
      </c>
      <c r="M71" s="9">
        <f>IFERROR(BDH(Database!$A71&amp;" HK Equity","CUR_MKT_CAP",Database!$G71,Database!$G71)/1000000,"")</f>
        <v/>
      </c>
      <c r="N71" s="63">
        <f>Database!O71</f>
        <v/>
      </c>
      <c r="O71" s="21">
        <f>IFERROR(BDH(Database!$A71&amp;" HK Equity","PE_RATIO",Database!$G71,Database!$G71),"")</f>
        <v/>
      </c>
      <c r="P71" s="60">
        <f>IF(Database!AI71="","(n/m or not derivable)",Database!AI71)</f>
        <v/>
      </c>
    </row>
    <row r="72">
      <c r="A72" s="4">
        <f>Database!A72&amp;"  "&amp;Database!B72</f>
        <v/>
      </c>
      <c r="B72" s="6">
        <f>IFERROR(INDEX(BDS(Database!$A72&amp;" HK Equity","EQUITY_OFFERINGS","array=t","endcol=1"),MATCH("IPO",BDS(Database!$A72&amp;" HK Equity","EQUITY_OFFERINGS","array=t","startcol=2","endcol=2"),0)),"")</f>
        <v/>
      </c>
      <c r="C72" s="64">
        <f>IF($B72="","",IFERROR(BDP($B72&amp;" Action","CP036"),""))</f>
        <v/>
      </c>
      <c r="D72" s="65">
        <f>Database!Q72</f>
        <v/>
      </c>
      <c r="E72" s="64">
        <f>IF($B72="","",IFERROR(BDP($B72&amp;" Action","CP037"),""))</f>
        <v/>
      </c>
      <c r="F72" s="65">
        <f>Database!R72</f>
        <v/>
      </c>
      <c r="G72" s="64">
        <f>IF($B72="","",IFERROR(BDP($B72&amp;" Action","GREENSHOE_FACILITY"),""))</f>
        <v/>
      </c>
      <c r="H72" s="64">
        <f>IF($B72="","",IFERROR(BDP($B72&amp;" Action","OFFERING_GREENSHOE_SHARES_EX"),""))</f>
        <v/>
      </c>
      <c r="I72" s="4">
        <f>Database!V72</f>
        <v/>
      </c>
      <c r="J72" s="21">
        <f>IFERROR(BDP(Database!$A72&amp;" HK Equity","PE_RATIO"),"")</f>
        <v/>
      </c>
      <c r="K72" s="6">
        <f>IFERROR(BDP(Database!$A72&amp;" HK Equity","A/H_SHARE_CONVERSION"),"")</f>
        <v/>
      </c>
      <c r="L72" s="4">
        <f>IF(Database!AL72="","(none found)",Database!AL72)</f>
        <v/>
      </c>
      <c r="M72" s="9">
        <f>IFERROR(BDH(Database!$A72&amp;" HK Equity","CUR_MKT_CAP",Database!$G72,Database!$G72)/1000000,"")</f>
        <v/>
      </c>
      <c r="N72" s="63">
        <f>Database!O72</f>
        <v/>
      </c>
      <c r="O72" s="21">
        <f>IFERROR(BDH(Database!$A72&amp;" HK Equity","PE_RATIO",Database!$G72,Database!$G72),"")</f>
        <v/>
      </c>
      <c r="P72" s="60">
        <f>IF(Database!AI72="","(n/m or not derivable)",Database!AI72)</f>
        <v/>
      </c>
    </row>
    <row r="73">
      <c r="A73" s="4">
        <f>Database!A73&amp;"  "&amp;Database!B73</f>
        <v/>
      </c>
      <c r="B73" s="6">
        <f>IFERROR(INDEX(BDS(Database!$A73&amp;" HK Equity","EQUITY_OFFERINGS","array=t","endcol=1"),MATCH("IPO",BDS(Database!$A73&amp;" HK Equity","EQUITY_OFFERINGS","array=t","startcol=2","endcol=2"),0)),"")</f>
        <v/>
      </c>
      <c r="C73" s="64">
        <f>IF($B73="","",IFERROR(BDP($B73&amp;" Action","CP036"),""))</f>
        <v/>
      </c>
      <c r="D73" s="65">
        <f>Database!Q73</f>
        <v/>
      </c>
      <c r="E73" s="64">
        <f>IF($B73="","",IFERROR(BDP($B73&amp;" Action","CP037"),""))</f>
        <v/>
      </c>
      <c r="F73" s="65">
        <f>Database!R73</f>
        <v/>
      </c>
      <c r="G73" s="64">
        <f>IF($B73="","",IFERROR(BDP($B73&amp;" Action","GREENSHOE_FACILITY"),""))</f>
        <v/>
      </c>
      <c r="H73" s="64">
        <f>IF($B73="","",IFERROR(BDP($B73&amp;" Action","OFFERING_GREENSHOE_SHARES_EX"),""))</f>
        <v/>
      </c>
      <c r="I73" s="4">
        <f>Database!V73</f>
        <v/>
      </c>
      <c r="J73" s="21">
        <f>IFERROR(BDP(Database!$A73&amp;" HK Equity","PE_RATIO"),"")</f>
        <v/>
      </c>
      <c r="K73" s="6">
        <f>IFERROR(BDP(Database!$A73&amp;" HK Equity","A/H_SHARE_CONVERSION"),"")</f>
        <v/>
      </c>
      <c r="L73" s="4">
        <f>IF(Database!AL73="","(none found)",Database!AL73)</f>
        <v/>
      </c>
      <c r="M73" s="9">
        <f>IFERROR(BDH(Database!$A73&amp;" HK Equity","CUR_MKT_CAP",Database!$G73,Database!$G73)/1000000,"")</f>
        <v/>
      </c>
      <c r="N73" s="63">
        <f>Database!O73</f>
        <v/>
      </c>
      <c r="O73" s="21">
        <f>IFERROR(BDH(Database!$A73&amp;" HK Equity","PE_RATIO",Database!$G73,Database!$G73),"")</f>
        <v/>
      </c>
      <c r="P73" s="60">
        <f>IF(Database!AI73="","(n/m or not derivable)",Database!AI73)</f>
        <v/>
      </c>
    </row>
    <row r="74">
      <c r="A74" s="4">
        <f>Database!A74&amp;"  "&amp;Database!B74</f>
        <v/>
      </c>
      <c r="B74" s="6">
        <f>IFERROR(INDEX(BDS(Database!$A74&amp;" HK Equity","EQUITY_OFFERINGS","array=t","endcol=1"),MATCH("IPO",BDS(Database!$A74&amp;" HK Equity","EQUITY_OFFERINGS","array=t","startcol=2","endcol=2"),0)),"")</f>
        <v/>
      </c>
      <c r="C74" s="64">
        <f>IF($B74="","",IFERROR(BDP($B74&amp;" Action","CP036"),""))</f>
        <v/>
      </c>
      <c r="D74" s="65">
        <f>Database!Q74</f>
        <v/>
      </c>
      <c r="E74" s="64">
        <f>IF($B74="","",IFERROR(BDP($B74&amp;" Action","CP037"),""))</f>
        <v/>
      </c>
      <c r="F74" s="65">
        <f>Database!R74</f>
        <v/>
      </c>
      <c r="G74" s="64">
        <f>IF($B74="","",IFERROR(BDP($B74&amp;" Action","GREENSHOE_FACILITY"),""))</f>
        <v/>
      </c>
      <c r="H74" s="64">
        <f>IF($B74="","",IFERROR(BDP($B74&amp;" Action","OFFERING_GREENSHOE_SHARES_EX"),""))</f>
        <v/>
      </c>
      <c r="I74" s="4">
        <f>Database!V74</f>
        <v/>
      </c>
      <c r="J74" s="21">
        <f>IFERROR(BDP(Database!$A74&amp;" HK Equity","PE_RATIO"),"")</f>
        <v/>
      </c>
      <c r="K74" s="6">
        <f>IFERROR(BDP(Database!$A74&amp;" HK Equity","A/H_SHARE_CONVERSION"),"")</f>
        <v/>
      </c>
      <c r="L74" s="4">
        <f>IF(Database!AL74="","(none found)",Database!AL74)</f>
        <v/>
      </c>
      <c r="M74" s="9">
        <f>IFERROR(BDH(Database!$A74&amp;" HK Equity","CUR_MKT_CAP",Database!$G74,Database!$G74)/1000000,"")</f>
        <v/>
      </c>
      <c r="N74" s="63">
        <f>Database!O74</f>
        <v/>
      </c>
      <c r="O74" s="21">
        <f>IFERROR(BDH(Database!$A74&amp;" HK Equity","PE_RATIO",Database!$G74,Database!$G74),"")</f>
        <v/>
      </c>
      <c r="P74" s="60">
        <f>IF(Database!AI74="","(n/m or not derivable)",Database!AI74)</f>
        <v/>
      </c>
    </row>
    <row r="75">
      <c r="A75" s="4">
        <f>Database!A75&amp;"  "&amp;Database!B75</f>
        <v/>
      </c>
      <c r="B75" s="6">
        <f>IFERROR(INDEX(BDS(Database!$A75&amp;" HK Equity","EQUITY_OFFERINGS","array=t","endcol=1"),MATCH("IPO",BDS(Database!$A75&amp;" HK Equity","EQUITY_OFFERINGS","array=t","startcol=2","endcol=2"),0)),"")</f>
        <v/>
      </c>
      <c r="C75" s="64">
        <f>IF($B75="","",IFERROR(BDP($B75&amp;" Action","CP036"),""))</f>
        <v/>
      </c>
      <c r="D75" s="65">
        <f>Database!Q75</f>
        <v/>
      </c>
      <c r="E75" s="64">
        <f>IF($B75="","",IFERROR(BDP($B75&amp;" Action","CP037"),""))</f>
        <v/>
      </c>
      <c r="F75" s="65">
        <f>Database!R75</f>
        <v/>
      </c>
      <c r="G75" s="64">
        <f>IF($B75="","",IFERROR(BDP($B75&amp;" Action","GREENSHOE_FACILITY"),""))</f>
        <v/>
      </c>
      <c r="H75" s="64">
        <f>IF($B75="","",IFERROR(BDP($B75&amp;" Action","OFFERING_GREENSHOE_SHARES_EX"),""))</f>
        <v/>
      </c>
      <c r="I75" s="4">
        <f>Database!V75</f>
        <v/>
      </c>
      <c r="J75" s="21">
        <f>IFERROR(BDP(Database!$A75&amp;" HK Equity","PE_RATIO"),"")</f>
        <v/>
      </c>
      <c r="K75" s="6">
        <f>IFERROR(BDP(Database!$A75&amp;" HK Equity","A/H_SHARE_CONVERSION"),"")</f>
        <v/>
      </c>
      <c r="L75" s="4">
        <f>IF(Database!AL75="","(none found)",Database!AL75)</f>
        <v/>
      </c>
      <c r="M75" s="9">
        <f>IFERROR(BDH(Database!$A75&amp;" HK Equity","CUR_MKT_CAP",Database!$G75,Database!$G75)/1000000,"")</f>
        <v/>
      </c>
      <c r="N75" s="63">
        <f>Database!O75</f>
        <v/>
      </c>
      <c r="O75" s="21">
        <f>IFERROR(BDH(Database!$A75&amp;" HK Equity","PE_RATIO",Database!$G75,Database!$G75),"")</f>
        <v/>
      </c>
      <c r="P75" s="60">
        <f>IF(Database!AI75="","(n/m or not derivable)",Database!AI75)</f>
        <v/>
      </c>
    </row>
    <row r="76">
      <c r="A76" s="4">
        <f>Database!A76&amp;"  "&amp;Database!B76</f>
        <v/>
      </c>
      <c r="B76" s="6">
        <f>IFERROR(INDEX(BDS(Database!$A76&amp;" HK Equity","EQUITY_OFFERINGS","array=t","endcol=1"),MATCH("IPO",BDS(Database!$A76&amp;" HK Equity","EQUITY_OFFERINGS","array=t","startcol=2","endcol=2"),0)),"")</f>
        <v/>
      </c>
      <c r="C76" s="64">
        <f>IF($B76="","",IFERROR(BDP($B76&amp;" Action","CP036"),""))</f>
        <v/>
      </c>
      <c r="D76" s="65">
        <f>Database!Q76</f>
        <v/>
      </c>
      <c r="E76" s="64">
        <f>IF($B76="","",IFERROR(BDP($B76&amp;" Action","CP037"),""))</f>
        <v/>
      </c>
      <c r="F76" s="65">
        <f>Database!R76</f>
        <v/>
      </c>
      <c r="G76" s="64">
        <f>IF($B76="","",IFERROR(BDP($B76&amp;" Action","GREENSHOE_FACILITY"),""))</f>
        <v/>
      </c>
      <c r="H76" s="64">
        <f>IF($B76="","",IFERROR(BDP($B76&amp;" Action","OFFERING_GREENSHOE_SHARES_EX"),""))</f>
        <v/>
      </c>
      <c r="I76" s="4">
        <f>Database!V76</f>
        <v/>
      </c>
      <c r="J76" s="21">
        <f>IFERROR(BDP(Database!$A76&amp;" HK Equity","PE_RATIO"),"")</f>
        <v/>
      </c>
      <c r="K76" s="6">
        <f>IFERROR(BDP(Database!$A76&amp;" HK Equity","A/H_SHARE_CONVERSION"),"")</f>
        <v/>
      </c>
      <c r="L76" s="4">
        <f>IF(Database!AL76="","(none found)",Database!AL76)</f>
        <v/>
      </c>
      <c r="M76" s="9">
        <f>IFERROR(BDH(Database!$A76&amp;" HK Equity","CUR_MKT_CAP",Database!$G76,Database!$G76)/1000000,"")</f>
        <v/>
      </c>
      <c r="N76" s="63">
        <f>Database!O76</f>
        <v/>
      </c>
      <c r="O76" s="21">
        <f>IFERROR(BDH(Database!$A76&amp;" HK Equity","PE_RATIO",Database!$G76,Database!$G76),"")</f>
        <v/>
      </c>
      <c r="P76" s="60">
        <f>IF(Database!AI76="","(n/m or not derivable)",Database!AI76)</f>
        <v/>
      </c>
    </row>
    <row r="77">
      <c r="A77" s="4">
        <f>Database!A77&amp;"  "&amp;Database!B77</f>
        <v/>
      </c>
      <c r="B77" s="6">
        <f>IFERROR(INDEX(BDS(Database!$A77&amp;" HK Equity","EQUITY_OFFERINGS","array=t","endcol=1"),MATCH("IPO",BDS(Database!$A77&amp;" HK Equity","EQUITY_OFFERINGS","array=t","startcol=2","endcol=2"),0)),"")</f>
        <v/>
      </c>
      <c r="C77" s="64">
        <f>IF($B77="","",IFERROR(BDP($B77&amp;" Action","CP036"),""))</f>
        <v/>
      </c>
      <c r="D77" s="65">
        <f>Database!Q77</f>
        <v/>
      </c>
      <c r="E77" s="64">
        <f>IF($B77="","",IFERROR(BDP($B77&amp;" Action","CP037"),""))</f>
        <v/>
      </c>
      <c r="F77" s="65">
        <f>Database!R77</f>
        <v/>
      </c>
      <c r="G77" s="64">
        <f>IF($B77="","",IFERROR(BDP($B77&amp;" Action","GREENSHOE_FACILITY"),""))</f>
        <v/>
      </c>
      <c r="H77" s="64">
        <f>IF($B77="","",IFERROR(BDP($B77&amp;" Action","OFFERING_GREENSHOE_SHARES_EX"),""))</f>
        <v/>
      </c>
      <c r="I77" s="4">
        <f>Database!V77</f>
        <v/>
      </c>
      <c r="J77" s="21">
        <f>IFERROR(BDP(Database!$A77&amp;" HK Equity","PE_RATIO"),"")</f>
        <v/>
      </c>
      <c r="K77" s="6">
        <f>IFERROR(BDP(Database!$A77&amp;" HK Equity","A/H_SHARE_CONVERSION"),"")</f>
        <v/>
      </c>
      <c r="L77" s="4">
        <f>IF(Database!AL77="","(none found)",Database!AL77)</f>
        <v/>
      </c>
      <c r="M77" s="9">
        <f>IFERROR(BDH(Database!$A77&amp;" HK Equity","CUR_MKT_CAP",Database!$G77,Database!$G77)/1000000,"")</f>
        <v/>
      </c>
      <c r="N77" s="63">
        <f>Database!O77</f>
        <v/>
      </c>
      <c r="O77" s="21">
        <f>IFERROR(BDH(Database!$A77&amp;" HK Equity","PE_RATIO",Database!$G77,Database!$G77),"")</f>
        <v/>
      </c>
      <c r="P77" s="60">
        <f>IF(Database!AI77="","(n/m or not derivable)",Database!AI77)</f>
        <v/>
      </c>
    </row>
    <row r="78">
      <c r="A78" s="4">
        <f>Database!A78&amp;"  "&amp;Database!B78</f>
        <v/>
      </c>
      <c r="B78" s="6">
        <f>IFERROR(INDEX(BDS(Database!$A78&amp;" HK Equity","EQUITY_OFFERINGS","array=t","endcol=1"),MATCH("IPO",BDS(Database!$A78&amp;" HK Equity","EQUITY_OFFERINGS","array=t","startcol=2","endcol=2"),0)),"")</f>
        <v/>
      </c>
      <c r="C78" s="64">
        <f>IF($B78="","",IFERROR(BDP($B78&amp;" Action","CP036"),""))</f>
        <v/>
      </c>
      <c r="D78" s="65">
        <f>Database!Q78</f>
        <v/>
      </c>
      <c r="E78" s="64">
        <f>IF($B78="","",IFERROR(BDP($B78&amp;" Action","CP037"),""))</f>
        <v/>
      </c>
      <c r="F78" s="65">
        <f>Database!R78</f>
        <v/>
      </c>
      <c r="G78" s="64">
        <f>IF($B78="","",IFERROR(BDP($B78&amp;" Action","GREENSHOE_FACILITY"),""))</f>
        <v/>
      </c>
      <c r="H78" s="64">
        <f>IF($B78="","",IFERROR(BDP($B78&amp;" Action","OFFERING_GREENSHOE_SHARES_EX"),""))</f>
        <v/>
      </c>
      <c r="I78" s="4">
        <f>Database!V78</f>
        <v/>
      </c>
      <c r="J78" s="21">
        <f>IFERROR(BDP(Database!$A78&amp;" HK Equity","PE_RATIO"),"")</f>
        <v/>
      </c>
      <c r="K78" s="6">
        <f>IFERROR(BDP(Database!$A78&amp;" HK Equity","A/H_SHARE_CONVERSION"),"")</f>
        <v/>
      </c>
      <c r="L78" s="4">
        <f>IF(Database!AL78="","(none found)",Database!AL78)</f>
        <v/>
      </c>
      <c r="M78" s="9">
        <f>IFERROR(BDH(Database!$A78&amp;" HK Equity","CUR_MKT_CAP",Database!$G78,Database!$G78)/1000000,"")</f>
        <v/>
      </c>
      <c r="N78" s="63">
        <f>Database!O78</f>
        <v/>
      </c>
      <c r="O78" s="21">
        <f>IFERROR(BDH(Database!$A78&amp;" HK Equity","PE_RATIO",Database!$G78,Database!$G78),"")</f>
        <v/>
      </c>
      <c r="P78" s="60">
        <f>IF(Database!AI78="","(n/m or not derivable)",Database!AI78)</f>
        <v/>
      </c>
    </row>
    <row r="79">
      <c r="A79" s="4">
        <f>Database!A79&amp;"  "&amp;Database!B79</f>
        <v/>
      </c>
      <c r="B79" s="6">
        <f>IFERROR(INDEX(BDS(Database!$A79&amp;" HK Equity","EQUITY_OFFERINGS","array=t","endcol=1"),MATCH("IPO",BDS(Database!$A79&amp;" HK Equity","EQUITY_OFFERINGS","array=t","startcol=2","endcol=2"),0)),"")</f>
        <v/>
      </c>
      <c r="C79" s="64">
        <f>IF($B79="","",IFERROR(BDP($B79&amp;" Action","CP036"),""))</f>
        <v/>
      </c>
      <c r="D79" s="65">
        <f>Database!Q79</f>
        <v/>
      </c>
      <c r="E79" s="64">
        <f>IF($B79="","",IFERROR(BDP($B79&amp;" Action","CP037"),""))</f>
        <v/>
      </c>
      <c r="F79" s="65">
        <f>Database!R79</f>
        <v/>
      </c>
      <c r="G79" s="64">
        <f>IF($B79="","",IFERROR(BDP($B79&amp;" Action","GREENSHOE_FACILITY"),""))</f>
        <v/>
      </c>
      <c r="H79" s="64">
        <f>IF($B79="","",IFERROR(BDP($B79&amp;" Action","OFFERING_GREENSHOE_SHARES_EX"),""))</f>
        <v/>
      </c>
      <c r="I79" s="4">
        <f>Database!V79</f>
        <v/>
      </c>
      <c r="J79" s="21">
        <f>IFERROR(BDP(Database!$A79&amp;" HK Equity","PE_RATIO"),"")</f>
        <v/>
      </c>
      <c r="K79" s="6">
        <f>IFERROR(BDP(Database!$A79&amp;" HK Equity","A/H_SHARE_CONVERSION"),"")</f>
        <v/>
      </c>
      <c r="L79" s="4">
        <f>IF(Database!AL79="","(none found)",Database!AL79)</f>
        <v/>
      </c>
      <c r="M79" s="9">
        <f>IFERROR(BDH(Database!$A79&amp;" HK Equity","CUR_MKT_CAP",Database!$G79,Database!$G79)/1000000,"")</f>
        <v/>
      </c>
      <c r="N79" s="63">
        <f>Database!O79</f>
        <v/>
      </c>
      <c r="O79" s="21">
        <f>IFERROR(BDH(Database!$A79&amp;" HK Equity","PE_RATIO",Database!$G79,Database!$G79),"")</f>
        <v/>
      </c>
      <c r="P79" s="60">
        <f>IF(Database!AI79="","(n/m or not derivable)",Database!AI79)</f>
        <v/>
      </c>
    </row>
    <row r="80">
      <c r="A80" s="4">
        <f>Database!A80&amp;"  "&amp;Database!B80</f>
        <v/>
      </c>
      <c r="B80" s="6">
        <f>IFERROR(INDEX(BDS(Database!$A80&amp;" HK Equity","EQUITY_OFFERINGS","array=t","endcol=1"),MATCH("IPO",BDS(Database!$A80&amp;" HK Equity","EQUITY_OFFERINGS","array=t","startcol=2","endcol=2"),0)),"")</f>
        <v/>
      </c>
      <c r="C80" s="64">
        <f>IF($B80="","",IFERROR(BDP($B80&amp;" Action","CP036"),""))</f>
        <v/>
      </c>
      <c r="D80" s="65">
        <f>Database!Q80</f>
        <v/>
      </c>
      <c r="E80" s="64">
        <f>IF($B80="","",IFERROR(BDP($B80&amp;" Action","CP037"),""))</f>
        <v/>
      </c>
      <c r="F80" s="65">
        <f>Database!R80</f>
        <v/>
      </c>
      <c r="G80" s="64">
        <f>IF($B80="","",IFERROR(BDP($B80&amp;" Action","GREENSHOE_FACILITY"),""))</f>
        <v/>
      </c>
      <c r="H80" s="64">
        <f>IF($B80="","",IFERROR(BDP($B80&amp;" Action","OFFERING_GREENSHOE_SHARES_EX"),""))</f>
        <v/>
      </c>
      <c r="I80" s="4">
        <f>Database!V80</f>
        <v/>
      </c>
      <c r="J80" s="21">
        <f>IFERROR(BDP(Database!$A80&amp;" HK Equity","PE_RATIO"),"")</f>
        <v/>
      </c>
      <c r="K80" s="6">
        <f>IFERROR(BDP(Database!$A80&amp;" HK Equity","A/H_SHARE_CONVERSION"),"")</f>
        <v/>
      </c>
      <c r="L80" s="4">
        <f>IF(Database!AL80="","(none found)",Database!AL80)</f>
        <v/>
      </c>
      <c r="M80" s="9">
        <f>IFERROR(BDH(Database!$A80&amp;" HK Equity","CUR_MKT_CAP",Database!$G80,Database!$G80)/1000000,"")</f>
        <v/>
      </c>
      <c r="N80" s="63">
        <f>Database!O80</f>
        <v/>
      </c>
      <c r="O80" s="21">
        <f>IFERROR(BDH(Database!$A80&amp;" HK Equity","PE_RATIO",Database!$G80,Database!$G80),"")</f>
        <v/>
      </c>
      <c r="P80" s="60">
        <f>IF(Database!AI80="","(n/m or not derivable)",Database!AI80)</f>
        <v/>
      </c>
    </row>
    <row r="81">
      <c r="A81" s="4">
        <f>Database!A81&amp;"  "&amp;Database!B81</f>
        <v/>
      </c>
      <c r="B81" s="6">
        <f>IFERROR(INDEX(BDS(Database!$A81&amp;" HK Equity","EQUITY_OFFERINGS","array=t","endcol=1"),MATCH("IPO",BDS(Database!$A81&amp;" HK Equity","EQUITY_OFFERINGS","array=t","startcol=2","endcol=2"),0)),"")</f>
        <v/>
      </c>
      <c r="C81" s="64">
        <f>IF($B81="","",IFERROR(BDP($B81&amp;" Action","CP036"),""))</f>
        <v/>
      </c>
      <c r="D81" s="65">
        <f>Database!Q81</f>
        <v/>
      </c>
      <c r="E81" s="64">
        <f>IF($B81="","",IFERROR(BDP($B81&amp;" Action","CP037"),""))</f>
        <v/>
      </c>
      <c r="F81" s="65">
        <f>Database!R81</f>
        <v/>
      </c>
      <c r="G81" s="64">
        <f>IF($B81="","",IFERROR(BDP($B81&amp;" Action","GREENSHOE_FACILITY"),""))</f>
        <v/>
      </c>
      <c r="H81" s="64">
        <f>IF($B81="","",IFERROR(BDP($B81&amp;" Action","OFFERING_GREENSHOE_SHARES_EX"),""))</f>
        <v/>
      </c>
      <c r="I81" s="4">
        <f>Database!V81</f>
        <v/>
      </c>
      <c r="J81" s="21">
        <f>IFERROR(BDP(Database!$A81&amp;" HK Equity","PE_RATIO"),"")</f>
        <v/>
      </c>
      <c r="K81" s="6">
        <f>IFERROR(BDP(Database!$A81&amp;" HK Equity","A/H_SHARE_CONVERSION"),"")</f>
        <v/>
      </c>
      <c r="L81" s="4">
        <f>IF(Database!AL81="","(none found)",Database!AL81)</f>
        <v/>
      </c>
      <c r="M81" s="9">
        <f>IFERROR(BDH(Database!$A81&amp;" HK Equity","CUR_MKT_CAP",Database!$G81,Database!$G81)/1000000,"")</f>
        <v/>
      </c>
      <c r="N81" s="63">
        <f>Database!O81</f>
        <v/>
      </c>
      <c r="O81" s="21">
        <f>IFERROR(BDH(Database!$A81&amp;" HK Equity","PE_RATIO",Database!$G81,Database!$G81),"")</f>
        <v/>
      </c>
      <c r="P81" s="60">
        <f>IF(Database!AI81="","(n/m or not derivable)",Database!AI81)</f>
        <v/>
      </c>
    </row>
    <row r="82">
      <c r="A82" s="4">
        <f>Database!A82&amp;"  "&amp;Database!B82</f>
        <v/>
      </c>
      <c r="B82" s="6">
        <f>IFERROR(INDEX(BDS(Database!$A82&amp;" HK Equity","EQUITY_OFFERINGS","array=t","endcol=1"),MATCH("IPO",BDS(Database!$A82&amp;" HK Equity","EQUITY_OFFERINGS","array=t","startcol=2","endcol=2"),0)),"")</f>
        <v/>
      </c>
      <c r="C82" s="64">
        <f>IF($B82="","",IFERROR(BDP($B82&amp;" Action","CP036"),""))</f>
        <v/>
      </c>
      <c r="D82" s="65">
        <f>Database!Q82</f>
        <v/>
      </c>
      <c r="E82" s="64">
        <f>IF($B82="","",IFERROR(BDP($B82&amp;" Action","CP037"),""))</f>
        <v/>
      </c>
      <c r="F82" s="65">
        <f>Database!R82</f>
        <v/>
      </c>
      <c r="G82" s="64">
        <f>IF($B82="","",IFERROR(BDP($B82&amp;" Action","GREENSHOE_FACILITY"),""))</f>
        <v/>
      </c>
      <c r="H82" s="64">
        <f>IF($B82="","",IFERROR(BDP($B82&amp;" Action","OFFERING_GREENSHOE_SHARES_EX"),""))</f>
        <v/>
      </c>
      <c r="I82" s="4">
        <f>Database!V82</f>
        <v/>
      </c>
      <c r="J82" s="21">
        <f>IFERROR(BDP(Database!$A82&amp;" HK Equity","PE_RATIO"),"")</f>
        <v/>
      </c>
      <c r="K82" s="6">
        <f>IFERROR(BDP(Database!$A82&amp;" HK Equity","A/H_SHARE_CONVERSION"),"")</f>
        <v/>
      </c>
      <c r="L82" s="4">
        <f>IF(Database!AL82="","(none found)",Database!AL82)</f>
        <v/>
      </c>
      <c r="M82" s="9">
        <f>IFERROR(BDH(Database!$A82&amp;" HK Equity","CUR_MKT_CAP",Database!$G82,Database!$G82)/1000000,"")</f>
        <v/>
      </c>
      <c r="N82" s="63">
        <f>Database!O82</f>
        <v/>
      </c>
      <c r="O82" s="21">
        <f>IFERROR(BDH(Database!$A82&amp;" HK Equity","PE_RATIO",Database!$G82,Database!$G82),"")</f>
        <v/>
      </c>
      <c r="P82" s="60">
        <f>IF(Database!AI82="","(n/m or not derivable)",Database!AI82)</f>
        <v/>
      </c>
    </row>
    <row r="83">
      <c r="A83" s="4">
        <f>Database!A83&amp;"  "&amp;Database!B83</f>
        <v/>
      </c>
      <c r="B83" s="6">
        <f>IFERROR(INDEX(BDS(Database!$A83&amp;" HK Equity","EQUITY_OFFERINGS","array=t","endcol=1"),MATCH("IPO",BDS(Database!$A83&amp;" HK Equity","EQUITY_OFFERINGS","array=t","startcol=2","endcol=2"),0)),"")</f>
        <v/>
      </c>
      <c r="C83" s="64">
        <f>IF($B83="","",IFERROR(BDP($B83&amp;" Action","CP036"),""))</f>
        <v/>
      </c>
      <c r="D83" s="65">
        <f>Database!Q83</f>
        <v/>
      </c>
      <c r="E83" s="64">
        <f>IF($B83="","",IFERROR(BDP($B83&amp;" Action","CP037"),""))</f>
        <v/>
      </c>
      <c r="F83" s="65">
        <f>Database!R83</f>
        <v/>
      </c>
      <c r="G83" s="64">
        <f>IF($B83="","",IFERROR(BDP($B83&amp;" Action","GREENSHOE_FACILITY"),""))</f>
        <v/>
      </c>
      <c r="H83" s="64">
        <f>IF($B83="","",IFERROR(BDP($B83&amp;" Action","OFFERING_GREENSHOE_SHARES_EX"),""))</f>
        <v/>
      </c>
      <c r="I83" s="4">
        <f>Database!V83</f>
        <v/>
      </c>
      <c r="J83" s="21">
        <f>IFERROR(BDP(Database!$A83&amp;" HK Equity","PE_RATIO"),"")</f>
        <v/>
      </c>
      <c r="K83" s="6">
        <f>IFERROR(BDP(Database!$A83&amp;" HK Equity","A/H_SHARE_CONVERSION"),"")</f>
        <v/>
      </c>
      <c r="L83" s="4">
        <f>IF(Database!AL83="","(none found)",Database!AL83)</f>
        <v/>
      </c>
      <c r="M83" s="9">
        <f>IFERROR(BDH(Database!$A83&amp;" HK Equity","CUR_MKT_CAP",Database!$G83,Database!$G83)/1000000,"")</f>
        <v/>
      </c>
      <c r="N83" s="63">
        <f>Database!O83</f>
        <v/>
      </c>
      <c r="O83" s="21">
        <f>IFERROR(BDH(Database!$A83&amp;" HK Equity","PE_RATIO",Database!$G83,Database!$G83),"")</f>
        <v/>
      </c>
      <c r="P83" s="60">
        <f>IF(Database!AI83="","(n/m or not derivable)",Database!AI83)</f>
        <v/>
      </c>
    </row>
    <row r="84">
      <c r="A84" s="4">
        <f>Database!A84&amp;"  "&amp;Database!B84</f>
        <v/>
      </c>
      <c r="B84" s="6">
        <f>IFERROR(INDEX(BDS(Database!$A84&amp;" HK Equity","EQUITY_OFFERINGS","array=t","endcol=1"),MATCH("IPO",BDS(Database!$A84&amp;" HK Equity","EQUITY_OFFERINGS","array=t","startcol=2","endcol=2"),0)),"")</f>
        <v/>
      </c>
      <c r="C84" s="64">
        <f>IF($B84="","",IFERROR(BDP($B84&amp;" Action","CP036"),""))</f>
        <v/>
      </c>
      <c r="D84" s="65">
        <f>Database!Q84</f>
        <v/>
      </c>
      <c r="E84" s="64">
        <f>IF($B84="","",IFERROR(BDP($B84&amp;" Action","CP037"),""))</f>
        <v/>
      </c>
      <c r="F84" s="65">
        <f>Database!R84</f>
        <v/>
      </c>
      <c r="G84" s="64">
        <f>IF($B84="","",IFERROR(BDP($B84&amp;" Action","GREENSHOE_FACILITY"),""))</f>
        <v/>
      </c>
      <c r="H84" s="64">
        <f>IF($B84="","",IFERROR(BDP($B84&amp;" Action","OFFERING_GREENSHOE_SHARES_EX"),""))</f>
        <v/>
      </c>
      <c r="I84" s="4">
        <f>Database!V84</f>
        <v/>
      </c>
      <c r="J84" s="21">
        <f>IFERROR(BDP(Database!$A84&amp;" HK Equity","PE_RATIO"),"")</f>
        <v/>
      </c>
      <c r="K84" s="6">
        <f>IFERROR(BDP(Database!$A84&amp;" HK Equity","A/H_SHARE_CONVERSION"),"")</f>
        <v/>
      </c>
      <c r="L84" s="4">
        <f>IF(Database!AL84="","(none found)",Database!AL84)</f>
        <v/>
      </c>
      <c r="M84" s="9">
        <f>IFERROR(BDH(Database!$A84&amp;" HK Equity","CUR_MKT_CAP",Database!$G84,Database!$G84)/1000000,"")</f>
        <v/>
      </c>
      <c r="N84" s="63">
        <f>Database!O84</f>
        <v/>
      </c>
      <c r="O84" s="21">
        <f>IFERROR(BDH(Database!$A84&amp;" HK Equity","PE_RATIO",Database!$G84,Database!$G84),"")</f>
        <v/>
      </c>
      <c r="P84" s="60">
        <f>IF(Database!AI84="","(n/m or not derivable)",Database!AI84)</f>
        <v/>
      </c>
    </row>
    <row r="85">
      <c r="A85" s="4">
        <f>Database!A85&amp;"  "&amp;Database!B85</f>
        <v/>
      </c>
      <c r="B85" s="6">
        <f>IFERROR(INDEX(BDS(Database!$A85&amp;" HK Equity","EQUITY_OFFERINGS","array=t","endcol=1"),MATCH("IPO",BDS(Database!$A85&amp;" HK Equity","EQUITY_OFFERINGS","array=t","startcol=2","endcol=2"),0)),"")</f>
        <v/>
      </c>
      <c r="C85" s="64">
        <f>IF($B85="","",IFERROR(BDP($B85&amp;" Action","CP036"),""))</f>
        <v/>
      </c>
      <c r="D85" s="65">
        <f>Database!Q85</f>
        <v/>
      </c>
      <c r="E85" s="64">
        <f>IF($B85="","",IFERROR(BDP($B85&amp;" Action","CP037"),""))</f>
        <v/>
      </c>
      <c r="F85" s="65">
        <f>Database!R85</f>
        <v/>
      </c>
      <c r="G85" s="64">
        <f>IF($B85="","",IFERROR(BDP($B85&amp;" Action","GREENSHOE_FACILITY"),""))</f>
        <v/>
      </c>
      <c r="H85" s="64">
        <f>IF($B85="","",IFERROR(BDP($B85&amp;" Action","OFFERING_GREENSHOE_SHARES_EX"),""))</f>
        <v/>
      </c>
      <c r="I85" s="4">
        <f>Database!V85</f>
        <v/>
      </c>
      <c r="J85" s="21">
        <f>IFERROR(BDP(Database!$A85&amp;" HK Equity","PE_RATIO"),"")</f>
        <v/>
      </c>
      <c r="K85" s="6">
        <f>IFERROR(BDP(Database!$A85&amp;" HK Equity","A/H_SHARE_CONVERSION"),"")</f>
        <v/>
      </c>
      <c r="L85" s="4">
        <f>IF(Database!AL85="","(none found)",Database!AL85)</f>
        <v/>
      </c>
      <c r="M85" s="9">
        <f>IFERROR(BDH(Database!$A85&amp;" HK Equity","CUR_MKT_CAP",Database!$G85,Database!$G85)/1000000,"")</f>
        <v/>
      </c>
      <c r="N85" s="63">
        <f>Database!O85</f>
        <v/>
      </c>
      <c r="O85" s="21">
        <f>IFERROR(BDH(Database!$A85&amp;" HK Equity","PE_RATIO",Database!$G85,Database!$G85),"")</f>
        <v/>
      </c>
      <c r="P85" s="60">
        <f>IF(Database!AI85="","(n/m or not derivable)",Database!AI85)</f>
        <v/>
      </c>
    </row>
    <row r="86">
      <c r="A86" s="4">
        <f>Database!A86&amp;"  "&amp;Database!B86</f>
        <v/>
      </c>
      <c r="B86" s="6">
        <f>IFERROR(INDEX(BDS(Database!$A86&amp;" HK Equity","EQUITY_OFFERINGS","array=t","endcol=1"),MATCH("IPO",BDS(Database!$A86&amp;" HK Equity","EQUITY_OFFERINGS","array=t","startcol=2","endcol=2"),0)),"")</f>
        <v/>
      </c>
      <c r="C86" s="64">
        <f>IF($B86="","",IFERROR(BDP($B86&amp;" Action","CP036"),""))</f>
        <v/>
      </c>
      <c r="D86" s="65">
        <f>Database!Q86</f>
        <v/>
      </c>
      <c r="E86" s="64">
        <f>IF($B86="","",IFERROR(BDP($B86&amp;" Action","CP037"),""))</f>
        <v/>
      </c>
      <c r="F86" s="65">
        <f>Database!R86</f>
        <v/>
      </c>
      <c r="G86" s="64">
        <f>IF($B86="","",IFERROR(BDP($B86&amp;" Action","GREENSHOE_FACILITY"),""))</f>
        <v/>
      </c>
      <c r="H86" s="64">
        <f>IF($B86="","",IFERROR(BDP($B86&amp;" Action","OFFERING_GREENSHOE_SHARES_EX"),""))</f>
        <v/>
      </c>
      <c r="I86" s="4">
        <f>Database!V86</f>
        <v/>
      </c>
      <c r="J86" s="21">
        <f>IFERROR(BDP(Database!$A86&amp;" HK Equity","PE_RATIO"),"")</f>
        <v/>
      </c>
      <c r="K86" s="6">
        <f>IFERROR(BDP(Database!$A86&amp;" HK Equity","A/H_SHARE_CONVERSION"),"")</f>
        <v/>
      </c>
      <c r="L86" s="4">
        <f>IF(Database!AL86="","(none found)",Database!AL86)</f>
        <v/>
      </c>
      <c r="M86" s="9">
        <f>IFERROR(BDH(Database!$A86&amp;" HK Equity","CUR_MKT_CAP",Database!$G86,Database!$G86)/1000000,"")</f>
        <v/>
      </c>
      <c r="N86" s="63">
        <f>Database!O86</f>
        <v/>
      </c>
      <c r="O86" s="21">
        <f>IFERROR(BDH(Database!$A86&amp;" HK Equity","PE_RATIO",Database!$G86,Database!$G86),"")</f>
        <v/>
      </c>
      <c r="P86" s="60">
        <f>IF(Database!AI86="","(n/m or not derivable)",Database!AI86)</f>
        <v/>
      </c>
    </row>
    <row r="87">
      <c r="A87" s="4">
        <f>Database!A87&amp;"  "&amp;Database!B87</f>
        <v/>
      </c>
      <c r="B87" s="6">
        <f>IFERROR(INDEX(BDS(Database!$A87&amp;" HK Equity","EQUITY_OFFERINGS","array=t","endcol=1"),MATCH("IPO",BDS(Database!$A87&amp;" HK Equity","EQUITY_OFFERINGS","array=t","startcol=2","endcol=2"),0)),"")</f>
        <v/>
      </c>
      <c r="C87" s="64">
        <f>IF($B87="","",IFERROR(BDP($B87&amp;" Action","CP036"),""))</f>
        <v/>
      </c>
      <c r="D87" s="65">
        <f>Database!Q87</f>
        <v/>
      </c>
      <c r="E87" s="64">
        <f>IF($B87="","",IFERROR(BDP($B87&amp;" Action","CP037"),""))</f>
        <v/>
      </c>
      <c r="F87" s="65">
        <f>Database!R87</f>
        <v/>
      </c>
      <c r="G87" s="64">
        <f>IF($B87="","",IFERROR(BDP($B87&amp;" Action","GREENSHOE_FACILITY"),""))</f>
        <v/>
      </c>
      <c r="H87" s="64">
        <f>IF($B87="","",IFERROR(BDP($B87&amp;" Action","OFFERING_GREENSHOE_SHARES_EX"),""))</f>
        <v/>
      </c>
      <c r="I87" s="4">
        <f>Database!V87</f>
        <v/>
      </c>
      <c r="J87" s="21">
        <f>IFERROR(BDP(Database!$A87&amp;" HK Equity","PE_RATIO"),"")</f>
        <v/>
      </c>
      <c r="K87" s="6">
        <f>IFERROR(BDP(Database!$A87&amp;" HK Equity","A/H_SHARE_CONVERSION"),"")</f>
        <v/>
      </c>
      <c r="L87" s="4">
        <f>IF(Database!AL87="","(none found)",Database!AL87)</f>
        <v/>
      </c>
      <c r="M87" s="9">
        <f>IFERROR(BDH(Database!$A87&amp;" HK Equity","CUR_MKT_CAP",Database!$G87,Database!$G87)/1000000,"")</f>
        <v/>
      </c>
      <c r="N87" s="63">
        <f>Database!O87</f>
        <v/>
      </c>
      <c r="O87" s="21">
        <f>IFERROR(BDH(Database!$A87&amp;" HK Equity","PE_RATIO",Database!$G87,Database!$G87),"")</f>
        <v/>
      </c>
      <c r="P87" s="60">
        <f>IF(Database!AI87="","(n/m or not derivable)",Database!AI87)</f>
        <v/>
      </c>
    </row>
    <row r="88">
      <c r="A88" s="4">
        <f>Database!A88&amp;"  "&amp;Database!B88</f>
        <v/>
      </c>
      <c r="B88" s="6">
        <f>IFERROR(INDEX(BDS(Database!$A88&amp;" HK Equity","EQUITY_OFFERINGS","array=t","endcol=1"),MATCH("IPO",BDS(Database!$A88&amp;" HK Equity","EQUITY_OFFERINGS","array=t","startcol=2","endcol=2"),0)),"")</f>
        <v/>
      </c>
      <c r="C88" s="64">
        <f>IF($B88="","",IFERROR(BDP($B88&amp;" Action","CP036"),""))</f>
        <v/>
      </c>
      <c r="D88" s="65">
        <f>Database!Q88</f>
        <v/>
      </c>
      <c r="E88" s="64">
        <f>IF($B88="","",IFERROR(BDP($B88&amp;" Action","CP037"),""))</f>
        <v/>
      </c>
      <c r="F88" s="65">
        <f>Database!R88</f>
        <v/>
      </c>
      <c r="G88" s="64">
        <f>IF($B88="","",IFERROR(BDP($B88&amp;" Action","GREENSHOE_FACILITY"),""))</f>
        <v/>
      </c>
      <c r="H88" s="64">
        <f>IF($B88="","",IFERROR(BDP($B88&amp;" Action","OFFERING_GREENSHOE_SHARES_EX"),""))</f>
        <v/>
      </c>
      <c r="I88" s="4">
        <f>Database!V88</f>
        <v/>
      </c>
      <c r="J88" s="21">
        <f>IFERROR(BDP(Database!$A88&amp;" HK Equity","PE_RATIO"),"")</f>
        <v/>
      </c>
      <c r="K88" s="6">
        <f>IFERROR(BDP(Database!$A88&amp;" HK Equity","A/H_SHARE_CONVERSION"),"")</f>
        <v/>
      </c>
      <c r="L88" s="4">
        <f>IF(Database!AL88="","(none found)",Database!AL88)</f>
        <v/>
      </c>
      <c r="M88" s="9">
        <f>IFERROR(BDH(Database!$A88&amp;" HK Equity","CUR_MKT_CAP",Database!$G88,Database!$G88)/1000000,"")</f>
        <v/>
      </c>
      <c r="N88" s="63">
        <f>Database!O88</f>
        <v/>
      </c>
      <c r="O88" s="21">
        <f>IFERROR(BDH(Database!$A88&amp;" HK Equity","PE_RATIO",Database!$G88,Database!$G88),"")</f>
        <v/>
      </c>
      <c r="P88" s="60">
        <f>IF(Database!AI88="","(n/m or not derivable)",Database!AI88)</f>
        <v/>
      </c>
    </row>
    <row r="89">
      <c r="A89" s="4">
        <f>Database!A89&amp;"  "&amp;Database!B89</f>
        <v/>
      </c>
      <c r="B89" s="6">
        <f>IFERROR(INDEX(BDS(Database!$A89&amp;" HK Equity","EQUITY_OFFERINGS","array=t","endcol=1"),MATCH("IPO",BDS(Database!$A89&amp;" HK Equity","EQUITY_OFFERINGS","array=t","startcol=2","endcol=2"),0)),"")</f>
        <v/>
      </c>
      <c r="C89" s="64">
        <f>IF($B89="","",IFERROR(BDP($B89&amp;" Action","CP036"),""))</f>
        <v/>
      </c>
      <c r="D89" s="65">
        <f>Database!Q89</f>
        <v/>
      </c>
      <c r="E89" s="64">
        <f>IF($B89="","",IFERROR(BDP($B89&amp;" Action","CP037"),""))</f>
        <v/>
      </c>
      <c r="F89" s="65">
        <f>Database!R89</f>
        <v/>
      </c>
      <c r="G89" s="64">
        <f>IF($B89="","",IFERROR(BDP($B89&amp;" Action","GREENSHOE_FACILITY"),""))</f>
        <v/>
      </c>
      <c r="H89" s="64">
        <f>IF($B89="","",IFERROR(BDP($B89&amp;" Action","OFFERING_GREENSHOE_SHARES_EX"),""))</f>
        <v/>
      </c>
      <c r="I89" s="4">
        <f>Database!V89</f>
        <v/>
      </c>
      <c r="J89" s="21">
        <f>IFERROR(BDP(Database!$A89&amp;" HK Equity","PE_RATIO"),"")</f>
        <v/>
      </c>
      <c r="K89" s="6">
        <f>IFERROR(BDP(Database!$A89&amp;" HK Equity","A/H_SHARE_CONVERSION"),"")</f>
        <v/>
      </c>
      <c r="L89" s="4">
        <f>IF(Database!AL89="","(none found)",Database!AL89)</f>
        <v/>
      </c>
      <c r="M89" s="9">
        <f>IFERROR(BDH(Database!$A89&amp;" HK Equity","CUR_MKT_CAP",Database!$G89,Database!$G89)/1000000,"")</f>
        <v/>
      </c>
      <c r="N89" s="63">
        <f>Database!O89</f>
        <v/>
      </c>
      <c r="O89" s="21">
        <f>IFERROR(BDH(Database!$A89&amp;" HK Equity","PE_RATIO",Database!$G89,Database!$G89),"")</f>
        <v/>
      </c>
      <c r="P89" s="60">
        <f>IF(Database!AI89="","(n/m or not derivable)",Database!AI89)</f>
        <v/>
      </c>
    </row>
    <row r="90">
      <c r="A90" s="4">
        <f>Database!A90&amp;"  "&amp;Database!B90</f>
        <v/>
      </c>
      <c r="B90" s="6">
        <f>IFERROR(INDEX(BDS(Database!$A90&amp;" HK Equity","EQUITY_OFFERINGS","array=t","endcol=1"),MATCH("IPO",BDS(Database!$A90&amp;" HK Equity","EQUITY_OFFERINGS","array=t","startcol=2","endcol=2"),0)),"")</f>
        <v/>
      </c>
      <c r="C90" s="64">
        <f>IF($B90="","",IFERROR(BDP($B90&amp;" Action","CP036"),""))</f>
        <v/>
      </c>
      <c r="D90" s="65">
        <f>Database!Q90</f>
        <v/>
      </c>
      <c r="E90" s="64">
        <f>IF($B90="","",IFERROR(BDP($B90&amp;" Action","CP037"),""))</f>
        <v/>
      </c>
      <c r="F90" s="65">
        <f>Database!R90</f>
        <v/>
      </c>
      <c r="G90" s="64">
        <f>IF($B90="","",IFERROR(BDP($B90&amp;" Action","GREENSHOE_FACILITY"),""))</f>
        <v/>
      </c>
      <c r="H90" s="64">
        <f>IF($B90="","",IFERROR(BDP($B90&amp;" Action","OFFERING_GREENSHOE_SHARES_EX"),""))</f>
        <v/>
      </c>
      <c r="I90" s="4">
        <f>Database!V90</f>
        <v/>
      </c>
      <c r="J90" s="21">
        <f>IFERROR(BDP(Database!$A90&amp;" HK Equity","PE_RATIO"),"")</f>
        <v/>
      </c>
      <c r="K90" s="6">
        <f>IFERROR(BDP(Database!$A90&amp;" HK Equity","A/H_SHARE_CONVERSION"),"")</f>
        <v/>
      </c>
      <c r="L90" s="4">
        <f>IF(Database!AL90="","(none found)",Database!AL90)</f>
        <v/>
      </c>
      <c r="M90" s="9">
        <f>IFERROR(BDH(Database!$A90&amp;" HK Equity","CUR_MKT_CAP",Database!$G90,Database!$G90)/1000000,"")</f>
        <v/>
      </c>
      <c r="N90" s="63">
        <f>Database!O90</f>
        <v/>
      </c>
      <c r="O90" s="21">
        <f>IFERROR(BDH(Database!$A90&amp;" HK Equity","PE_RATIO",Database!$G90,Database!$G90),"")</f>
        <v/>
      </c>
      <c r="P90" s="60">
        <f>IF(Database!AI90="","(n/m or not derivable)",Database!AI90)</f>
        <v/>
      </c>
    </row>
    <row r="91">
      <c r="A91" s="4">
        <f>Database!A91&amp;"  "&amp;Database!B91</f>
        <v/>
      </c>
      <c r="B91" s="6">
        <f>IFERROR(INDEX(BDS(Database!$A91&amp;" HK Equity","EQUITY_OFFERINGS","array=t","endcol=1"),MATCH("IPO",BDS(Database!$A91&amp;" HK Equity","EQUITY_OFFERINGS","array=t","startcol=2","endcol=2"),0)),"")</f>
        <v/>
      </c>
      <c r="C91" s="64">
        <f>IF($B91="","",IFERROR(BDP($B91&amp;" Action","CP036"),""))</f>
        <v/>
      </c>
      <c r="D91" s="65">
        <f>Database!Q91</f>
        <v/>
      </c>
      <c r="E91" s="64">
        <f>IF($B91="","",IFERROR(BDP($B91&amp;" Action","CP037"),""))</f>
        <v/>
      </c>
      <c r="F91" s="65">
        <f>Database!R91</f>
        <v/>
      </c>
      <c r="G91" s="64">
        <f>IF($B91="","",IFERROR(BDP($B91&amp;" Action","GREENSHOE_FACILITY"),""))</f>
        <v/>
      </c>
      <c r="H91" s="64">
        <f>IF($B91="","",IFERROR(BDP($B91&amp;" Action","OFFERING_GREENSHOE_SHARES_EX"),""))</f>
        <v/>
      </c>
      <c r="I91" s="4">
        <f>Database!V91</f>
        <v/>
      </c>
      <c r="J91" s="21">
        <f>IFERROR(BDP(Database!$A91&amp;" HK Equity","PE_RATIO"),"")</f>
        <v/>
      </c>
      <c r="K91" s="6">
        <f>IFERROR(BDP(Database!$A91&amp;" HK Equity","A/H_SHARE_CONVERSION"),"")</f>
        <v/>
      </c>
      <c r="L91" s="4">
        <f>IF(Database!AL91="","(none found)",Database!AL91)</f>
        <v/>
      </c>
      <c r="M91" s="9">
        <f>IFERROR(BDH(Database!$A91&amp;" HK Equity","CUR_MKT_CAP",Database!$G91,Database!$G91)/1000000,"")</f>
        <v/>
      </c>
      <c r="N91" s="63">
        <f>Database!O91</f>
        <v/>
      </c>
      <c r="O91" s="21">
        <f>IFERROR(BDH(Database!$A91&amp;" HK Equity","PE_RATIO",Database!$G91,Database!$G91),"")</f>
        <v/>
      </c>
      <c r="P91" s="60">
        <f>IF(Database!AI91="","(n/m or not derivable)",Database!AI91)</f>
        <v/>
      </c>
    </row>
    <row r="92">
      <c r="A92" s="4">
        <f>Database!A92&amp;"  "&amp;Database!B92</f>
        <v/>
      </c>
      <c r="B92" s="6">
        <f>IFERROR(INDEX(BDS(Database!$A92&amp;" HK Equity","EQUITY_OFFERINGS","array=t","endcol=1"),MATCH("IPO",BDS(Database!$A92&amp;" HK Equity","EQUITY_OFFERINGS","array=t","startcol=2","endcol=2"),0)),"")</f>
        <v/>
      </c>
      <c r="C92" s="64">
        <f>IF($B92="","",IFERROR(BDP($B92&amp;" Action","CP036"),""))</f>
        <v/>
      </c>
      <c r="D92" s="65">
        <f>Database!Q92</f>
        <v/>
      </c>
      <c r="E92" s="64">
        <f>IF($B92="","",IFERROR(BDP($B92&amp;" Action","CP037"),""))</f>
        <v/>
      </c>
      <c r="F92" s="65">
        <f>Database!R92</f>
        <v/>
      </c>
      <c r="G92" s="64">
        <f>IF($B92="","",IFERROR(BDP($B92&amp;" Action","GREENSHOE_FACILITY"),""))</f>
        <v/>
      </c>
      <c r="H92" s="64">
        <f>IF($B92="","",IFERROR(BDP($B92&amp;" Action","OFFERING_GREENSHOE_SHARES_EX"),""))</f>
        <v/>
      </c>
      <c r="I92" s="4">
        <f>Database!V92</f>
        <v/>
      </c>
      <c r="J92" s="21">
        <f>IFERROR(BDP(Database!$A92&amp;" HK Equity","PE_RATIO"),"")</f>
        <v/>
      </c>
      <c r="K92" s="6">
        <f>IFERROR(BDP(Database!$A92&amp;" HK Equity","A/H_SHARE_CONVERSION"),"")</f>
        <v/>
      </c>
      <c r="L92" s="4">
        <f>IF(Database!AL92="","(none found)",Database!AL92)</f>
        <v/>
      </c>
      <c r="M92" s="9">
        <f>IFERROR(BDH(Database!$A92&amp;" HK Equity","CUR_MKT_CAP",Database!$G92,Database!$G92)/1000000,"")</f>
        <v/>
      </c>
      <c r="N92" s="63">
        <f>Database!O92</f>
        <v/>
      </c>
      <c r="O92" s="21">
        <f>IFERROR(BDH(Database!$A92&amp;" HK Equity","PE_RATIO",Database!$G92,Database!$G92),"")</f>
        <v/>
      </c>
      <c r="P92" s="60">
        <f>IF(Database!AI92="","(n/m or not derivable)",Database!AI92)</f>
        <v/>
      </c>
    </row>
    <row r="93">
      <c r="A93" s="4">
        <f>Database!A93&amp;"  "&amp;Database!B93</f>
        <v/>
      </c>
      <c r="B93" s="6">
        <f>IFERROR(INDEX(BDS(Database!$A93&amp;" HK Equity","EQUITY_OFFERINGS","array=t","endcol=1"),MATCH("IPO",BDS(Database!$A93&amp;" HK Equity","EQUITY_OFFERINGS","array=t","startcol=2","endcol=2"),0)),"")</f>
        <v/>
      </c>
      <c r="C93" s="64">
        <f>IF($B93="","",IFERROR(BDP($B93&amp;" Action","CP036"),""))</f>
        <v/>
      </c>
      <c r="D93" s="65">
        <f>Database!Q93</f>
        <v/>
      </c>
      <c r="E93" s="64">
        <f>IF($B93="","",IFERROR(BDP($B93&amp;" Action","CP037"),""))</f>
        <v/>
      </c>
      <c r="F93" s="65">
        <f>Database!R93</f>
        <v/>
      </c>
      <c r="G93" s="64">
        <f>IF($B93="","",IFERROR(BDP($B93&amp;" Action","GREENSHOE_FACILITY"),""))</f>
        <v/>
      </c>
      <c r="H93" s="64">
        <f>IF($B93="","",IFERROR(BDP($B93&amp;" Action","OFFERING_GREENSHOE_SHARES_EX"),""))</f>
        <v/>
      </c>
      <c r="I93" s="4">
        <f>Database!V93</f>
        <v/>
      </c>
      <c r="J93" s="21">
        <f>IFERROR(BDP(Database!$A93&amp;" HK Equity","PE_RATIO"),"")</f>
        <v/>
      </c>
      <c r="K93" s="6">
        <f>IFERROR(BDP(Database!$A93&amp;" HK Equity","A/H_SHARE_CONVERSION"),"")</f>
        <v/>
      </c>
      <c r="L93" s="4">
        <f>IF(Database!AL93="","(none found)",Database!AL93)</f>
        <v/>
      </c>
      <c r="M93" s="9">
        <f>IFERROR(BDH(Database!$A93&amp;" HK Equity","CUR_MKT_CAP",Database!$G93,Database!$G93)/1000000,"")</f>
        <v/>
      </c>
      <c r="N93" s="63">
        <f>Database!O93</f>
        <v/>
      </c>
      <c r="O93" s="21">
        <f>IFERROR(BDH(Database!$A93&amp;" HK Equity","PE_RATIO",Database!$G93,Database!$G93),"")</f>
        <v/>
      </c>
      <c r="P93" s="60">
        <f>IF(Database!AI93="","(n/m or not derivable)",Database!AI93)</f>
        <v/>
      </c>
    </row>
    <row r="94">
      <c r="A94" s="4">
        <f>Database!A94&amp;"  "&amp;Database!B94</f>
        <v/>
      </c>
      <c r="B94" s="6">
        <f>IFERROR(INDEX(BDS(Database!$A94&amp;" HK Equity","EQUITY_OFFERINGS","array=t","endcol=1"),MATCH("IPO",BDS(Database!$A94&amp;" HK Equity","EQUITY_OFFERINGS","array=t","startcol=2","endcol=2"),0)),"")</f>
        <v/>
      </c>
      <c r="C94" s="64">
        <f>IF($B94="","",IFERROR(BDP($B94&amp;" Action","CP036"),""))</f>
        <v/>
      </c>
      <c r="D94" s="65">
        <f>Database!Q94</f>
        <v/>
      </c>
      <c r="E94" s="64">
        <f>IF($B94="","",IFERROR(BDP($B94&amp;" Action","CP037"),""))</f>
        <v/>
      </c>
      <c r="F94" s="65">
        <f>Database!R94</f>
        <v/>
      </c>
      <c r="G94" s="64">
        <f>IF($B94="","",IFERROR(BDP($B94&amp;" Action","GREENSHOE_FACILITY"),""))</f>
        <v/>
      </c>
      <c r="H94" s="64">
        <f>IF($B94="","",IFERROR(BDP($B94&amp;" Action","OFFERING_GREENSHOE_SHARES_EX"),""))</f>
        <v/>
      </c>
      <c r="I94" s="4">
        <f>Database!V94</f>
        <v/>
      </c>
      <c r="J94" s="21">
        <f>IFERROR(BDP(Database!$A94&amp;" HK Equity","PE_RATIO"),"")</f>
        <v/>
      </c>
      <c r="K94" s="6">
        <f>IFERROR(BDP(Database!$A94&amp;" HK Equity","A/H_SHARE_CONVERSION"),"")</f>
        <v/>
      </c>
      <c r="L94" s="4">
        <f>IF(Database!AL94="","(none found)",Database!AL94)</f>
        <v/>
      </c>
      <c r="M94" s="9">
        <f>IFERROR(BDH(Database!$A94&amp;" HK Equity","CUR_MKT_CAP",Database!$G94,Database!$G94)/1000000,"")</f>
        <v/>
      </c>
      <c r="N94" s="63">
        <f>Database!O94</f>
        <v/>
      </c>
      <c r="O94" s="21">
        <f>IFERROR(BDH(Database!$A94&amp;" HK Equity","PE_RATIO",Database!$G94,Database!$G94),"")</f>
        <v/>
      </c>
      <c r="P94" s="60">
        <f>IF(Database!AI94="","(n/m or not derivable)",Database!AI94)</f>
        <v/>
      </c>
    </row>
    <row r="95">
      <c r="A95" s="4">
        <f>Database!A95&amp;"  "&amp;Database!B95</f>
        <v/>
      </c>
      <c r="B95" s="6">
        <f>IFERROR(INDEX(BDS(Database!$A95&amp;" HK Equity","EQUITY_OFFERINGS","array=t","endcol=1"),MATCH("IPO",BDS(Database!$A95&amp;" HK Equity","EQUITY_OFFERINGS","array=t","startcol=2","endcol=2"),0)),"")</f>
        <v/>
      </c>
      <c r="C95" s="64">
        <f>IF($B95="","",IFERROR(BDP($B95&amp;" Action","CP036"),""))</f>
        <v/>
      </c>
      <c r="D95" s="65">
        <f>Database!Q95</f>
        <v/>
      </c>
      <c r="E95" s="64">
        <f>IF($B95="","",IFERROR(BDP($B95&amp;" Action","CP037"),""))</f>
        <v/>
      </c>
      <c r="F95" s="65">
        <f>Database!R95</f>
        <v/>
      </c>
      <c r="G95" s="64">
        <f>IF($B95="","",IFERROR(BDP($B95&amp;" Action","GREENSHOE_FACILITY"),""))</f>
        <v/>
      </c>
      <c r="H95" s="64">
        <f>IF($B95="","",IFERROR(BDP($B95&amp;" Action","OFFERING_GREENSHOE_SHARES_EX"),""))</f>
        <v/>
      </c>
      <c r="I95" s="4">
        <f>Database!V95</f>
        <v/>
      </c>
      <c r="J95" s="21">
        <f>IFERROR(BDP(Database!$A95&amp;" HK Equity","PE_RATIO"),"")</f>
        <v/>
      </c>
      <c r="K95" s="6">
        <f>IFERROR(BDP(Database!$A95&amp;" HK Equity","A/H_SHARE_CONVERSION"),"")</f>
        <v/>
      </c>
      <c r="L95" s="4">
        <f>IF(Database!AL95="","(none found)",Database!AL95)</f>
        <v/>
      </c>
      <c r="M95" s="9">
        <f>IFERROR(BDH(Database!$A95&amp;" HK Equity","CUR_MKT_CAP",Database!$G95,Database!$G95)/1000000,"")</f>
        <v/>
      </c>
      <c r="N95" s="63">
        <f>Database!O95</f>
        <v/>
      </c>
      <c r="O95" s="21">
        <f>IFERROR(BDH(Database!$A95&amp;" HK Equity","PE_RATIO",Database!$G95,Database!$G95),"")</f>
        <v/>
      </c>
      <c r="P95" s="60">
        <f>IF(Database!AI95="","(n/m or not derivable)",Database!AI95)</f>
        <v/>
      </c>
    </row>
    <row r="96">
      <c r="A96" s="4">
        <f>Database!A96&amp;"  "&amp;Database!B96</f>
        <v/>
      </c>
      <c r="B96" s="6">
        <f>IFERROR(INDEX(BDS(Database!$A96&amp;" HK Equity","EQUITY_OFFERINGS","array=t","endcol=1"),MATCH("IPO",BDS(Database!$A96&amp;" HK Equity","EQUITY_OFFERINGS","array=t","startcol=2","endcol=2"),0)),"")</f>
        <v/>
      </c>
      <c r="C96" s="64">
        <f>IF($B96="","",IFERROR(BDP($B96&amp;" Action","CP036"),""))</f>
        <v/>
      </c>
      <c r="D96" s="65">
        <f>Database!Q96</f>
        <v/>
      </c>
      <c r="E96" s="64">
        <f>IF($B96="","",IFERROR(BDP($B96&amp;" Action","CP037"),""))</f>
        <v/>
      </c>
      <c r="F96" s="65">
        <f>Database!R96</f>
        <v/>
      </c>
      <c r="G96" s="64">
        <f>IF($B96="","",IFERROR(BDP($B96&amp;" Action","GREENSHOE_FACILITY"),""))</f>
        <v/>
      </c>
      <c r="H96" s="64">
        <f>IF($B96="","",IFERROR(BDP($B96&amp;" Action","OFFERING_GREENSHOE_SHARES_EX"),""))</f>
        <v/>
      </c>
      <c r="I96" s="4">
        <f>Database!V96</f>
        <v/>
      </c>
      <c r="J96" s="21">
        <f>IFERROR(BDP(Database!$A96&amp;" HK Equity","PE_RATIO"),"")</f>
        <v/>
      </c>
      <c r="K96" s="6">
        <f>IFERROR(BDP(Database!$A96&amp;" HK Equity","A/H_SHARE_CONVERSION"),"")</f>
        <v/>
      </c>
      <c r="L96" s="4">
        <f>IF(Database!AL96="","(none found)",Database!AL96)</f>
        <v/>
      </c>
      <c r="M96" s="9">
        <f>IFERROR(BDH(Database!$A96&amp;" HK Equity","CUR_MKT_CAP",Database!$G96,Database!$G96)/1000000,"")</f>
        <v/>
      </c>
      <c r="N96" s="63">
        <f>Database!O96</f>
        <v/>
      </c>
      <c r="O96" s="21">
        <f>IFERROR(BDH(Database!$A96&amp;" HK Equity","PE_RATIO",Database!$G96,Database!$G96),"")</f>
        <v/>
      </c>
      <c r="P96" s="60">
        <f>IF(Database!AI96="","(n/m or not derivable)",Database!AI96)</f>
        <v/>
      </c>
    </row>
    <row r="97">
      <c r="A97" s="4">
        <f>Database!A97&amp;"  "&amp;Database!B97</f>
        <v/>
      </c>
      <c r="B97" s="6">
        <f>IFERROR(INDEX(BDS(Database!$A97&amp;" HK Equity","EQUITY_OFFERINGS","array=t","endcol=1"),MATCH("IPO",BDS(Database!$A97&amp;" HK Equity","EQUITY_OFFERINGS","array=t","startcol=2","endcol=2"),0)),"")</f>
        <v/>
      </c>
      <c r="C97" s="64">
        <f>IF($B97="","",IFERROR(BDP($B97&amp;" Action","CP036"),""))</f>
        <v/>
      </c>
      <c r="D97" s="65">
        <f>Database!Q97</f>
        <v/>
      </c>
      <c r="E97" s="64">
        <f>IF($B97="","",IFERROR(BDP($B97&amp;" Action","CP037"),""))</f>
        <v/>
      </c>
      <c r="F97" s="65">
        <f>Database!R97</f>
        <v/>
      </c>
      <c r="G97" s="64">
        <f>IF($B97="","",IFERROR(BDP($B97&amp;" Action","GREENSHOE_FACILITY"),""))</f>
        <v/>
      </c>
      <c r="H97" s="64">
        <f>IF($B97="","",IFERROR(BDP($B97&amp;" Action","OFFERING_GREENSHOE_SHARES_EX"),""))</f>
        <v/>
      </c>
      <c r="I97" s="4">
        <f>Database!V97</f>
        <v/>
      </c>
      <c r="J97" s="21">
        <f>IFERROR(BDP(Database!$A97&amp;" HK Equity","PE_RATIO"),"")</f>
        <v/>
      </c>
      <c r="K97" s="6">
        <f>IFERROR(BDP(Database!$A97&amp;" HK Equity","A/H_SHARE_CONVERSION"),"")</f>
        <v/>
      </c>
      <c r="L97" s="4">
        <f>IF(Database!AL97="","(none found)",Database!AL97)</f>
        <v/>
      </c>
      <c r="M97" s="9">
        <f>IFERROR(BDH(Database!$A97&amp;" HK Equity","CUR_MKT_CAP",Database!$G97,Database!$G97)/1000000,"")</f>
        <v/>
      </c>
      <c r="N97" s="63">
        <f>Database!O97</f>
        <v/>
      </c>
      <c r="O97" s="21">
        <f>IFERROR(BDH(Database!$A97&amp;" HK Equity","PE_RATIO",Database!$G97,Database!$G97),"")</f>
        <v/>
      </c>
      <c r="P97" s="60">
        <f>IF(Database!AI97="","(n/m or not derivable)",Database!AI97)</f>
        <v/>
      </c>
    </row>
    <row r="98">
      <c r="A98" s="4">
        <f>Database!A98&amp;"  "&amp;Database!B98</f>
        <v/>
      </c>
      <c r="B98" s="6">
        <f>IFERROR(INDEX(BDS(Database!$A98&amp;" HK Equity","EQUITY_OFFERINGS","array=t","endcol=1"),MATCH("IPO",BDS(Database!$A98&amp;" HK Equity","EQUITY_OFFERINGS","array=t","startcol=2","endcol=2"),0)),"")</f>
        <v/>
      </c>
      <c r="C98" s="64">
        <f>IF($B98="","",IFERROR(BDP($B98&amp;" Action","CP036"),""))</f>
        <v/>
      </c>
      <c r="D98" s="65">
        <f>Database!Q98</f>
        <v/>
      </c>
      <c r="E98" s="64">
        <f>IF($B98="","",IFERROR(BDP($B98&amp;" Action","CP037"),""))</f>
        <v/>
      </c>
      <c r="F98" s="65">
        <f>Database!R98</f>
        <v/>
      </c>
      <c r="G98" s="64">
        <f>IF($B98="","",IFERROR(BDP($B98&amp;" Action","GREENSHOE_FACILITY"),""))</f>
        <v/>
      </c>
      <c r="H98" s="64">
        <f>IF($B98="","",IFERROR(BDP($B98&amp;" Action","OFFERING_GREENSHOE_SHARES_EX"),""))</f>
        <v/>
      </c>
      <c r="I98" s="4">
        <f>Database!V98</f>
        <v/>
      </c>
      <c r="J98" s="21">
        <f>IFERROR(BDP(Database!$A98&amp;" HK Equity","PE_RATIO"),"")</f>
        <v/>
      </c>
      <c r="K98" s="6">
        <f>IFERROR(BDP(Database!$A98&amp;" HK Equity","A/H_SHARE_CONVERSION"),"")</f>
        <v/>
      </c>
      <c r="L98" s="4">
        <f>IF(Database!AL98="","(none found)",Database!AL98)</f>
        <v/>
      </c>
      <c r="M98" s="9">
        <f>IFERROR(BDH(Database!$A98&amp;" HK Equity","CUR_MKT_CAP",Database!$G98,Database!$G98)/1000000,"")</f>
        <v/>
      </c>
      <c r="N98" s="63">
        <f>Database!O98</f>
        <v/>
      </c>
      <c r="O98" s="21">
        <f>IFERROR(BDH(Database!$A98&amp;" HK Equity","PE_RATIO",Database!$G98,Database!$G98),"")</f>
        <v/>
      </c>
      <c r="P98" s="60">
        <f>IF(Database!AI98="","(n/m or not derivable)",Database!AI98)</f>
        <v/>
      </c>
    </row>
    <row r="99">
      <c r="A99" s="4">
        <f>Database!A99&amp;"  "&amp;Database!B99</f>
        <v/>
      </c>
      <c r="B99" s="6">
        <f>IFERROR(INDEX(BDS(Database!$A99&amp;" HK Equity","EQUITY_OFFERINGS","array=t","endcol=1"),MATCH("IPO",BDS(Database!$A99&amp;" HK Equity","EQUITY_OFFERINGS","array=t","startcol=2","endcol=2"),0)),"")</f>
        <v/>
      </c>
      <c r="C99" s="64">
        <f>IF($B99="","",IFERROR(BDP($B99&amp;" Action","CP036"),""))</f>
        <v/>
      </c>
      <c r="D99" s="65">
        <f>Database!Q99</f>
        <v/>
      </c>
      <c r="E99" s="64">
        <f>IF($B99="","",IFERROR(BDP($B99&amp;" Action","CP037"),""))</f>
        <v/>
      </c>
      <c r="F99" s="65">
        <f>Database!R99</f>
        <v/>
      </c>
      <c r="G99" s="64">
        <f>IF($B99="","",IFERROR(BDP($B99&amp;" Action","GREENSHOE_FACILITY"),""))</f>
        <v/>
      </c>
      <c r="H99" s="64">
        <f>IF($B99="","",IFERROR(BDP($B99&amp;" Action","OFFERING_GREENSHOE_SHARES_EX"),""))</f>
        <v/>
      </c>
      <c r="I99" s="4">
        <f>Database!V99</f>
        <v/>
      </c>
      <c r="J99" s="21">
        <f>IFERROR(BDP(Database!$A99&amp;" HK Equity","PE_RATIO"),"")</f>
        <v/>
      </c>
      <c r="K99" s="6">
        <f>IFERROR(BDP(Database!$A99&amp;" HK Equity","A/H_SHARE_CONVERSION"),"")</f>
        <v/>
      </c>
      <c r="L99" s="4">
        <f>IF(Database!AL99="","(none found)",Database!AL99)</f>
        <v/>
      </c>
      <c r="M99" s="9">
        <f>IFERROR(BDH(Database!$A99&amp;" HK Equity","CUR_MKT_CAP",Database!$G99,Database!$G99)/1000000,"")</f>
        <v/>
      </c>
      <c r="N99" s="63">
        <f>Database!O99</f>
        <v/>
      </c>
      <c r="O99" s="21">
        <f>IFERROR(BDH(Database!$A99&amp;" HK Equity","PE_RATIO",Database!$G99,Database!$G99),"")</f>
        <v/>
      </c>
      <c r="P99" s="60">
        <f>IF(Database!AI99="","(n/m or not derivable)",Database!AI99)</f>
        <v/>
      </c>
    </row>
    <row r="100">
      <c r="A100" s="4">
        <f>Database!A100&amp;"  "&amp;Database!B100</f>
        <v/>
      </c>
      <c r="B100" s="6">
        <f>IFERROR(INDEX(BDS(Database!$A100&amp;" HK Equity","EQUITY_OFFERINGS","array=t","endcol=1"),MATCH("IPO",BDS(Database!$A100&amp;" HK Equity","EQUITY_OFFERINGS","array=t","startcol=2","endcol=2"),0)),"")</f>
        <v/>
      </c>
      <c r="C100" s="64">
        <f>IF($B100="","",IFERROR(BDP($B100&amp;" Action","CP036"),""))</f>
        <v/>
      </c>
      <c r="D100" s="65">
        <f>Database!Q100</f>
        <v/>
      </c>
      <c r="E100" s="64">
        <f>IF($B100="","",IFERROR(BDP($B100&amp;" Action","CP037"),""))</f>
        <v/>
      </c>
      <c r="F100" s="65">
        <f>Database!R100</f>
        <v/>
      </c>
      <c r="G100" s="64">
        <f>IF($B100="","",IFERROR(BDP($B100&amp;" Action","GREENSHOE_FACILITY"),""))</f>
        <v/>
      </c>
      <c r="H100" s="64">
        <f>IF($B100="","",IFERROR(BDP($B100&amp;" Action","OFFERING_GREENSHOE_SHARES_EX"),""))</f>
        <v/>
      </c>
      <c r="I100" s="4">
        <f>Database!V100</f>
        <v/>
      </c>
      <c r="J100" s="21">
        <f>IFERROR(BDP(Database!$A100&amp;" HK Equity","PE_RATIO"),"")</f>
        <v/>
      </c>
      <c r="K100" s="6">
        <f>IFERROR(BDP(Database!$A100&amp;" HK Equity","A/H_SHARE_CONVERSION"),"")</f>
        <v/>
      </c>
      <c r="L100" s="4">
        <f>IF(Database!AL100="","(none found)",Database!AL100)</f>
        <v/>
      </c>
      <c r="M100" s="9">
        <f>IFERROR(BDH(Database!$A100&amp;" HK Equity","CUR_MKT_CAP",Database!$G100,Database!$G100)/1000000,"")</f>
        <v/>
      </c>
      <c r="N100" s="63">
        <f>Database!O100</f>
        <v/>
      </c>
      <c r="O100" s="21">
        <f>IFERROR(BDH(Database!$A100&amp;" HK Equity","PE_RATIO",Database!$G100,Database!$G100),"")</f>
        <v/>
      </c>
      <c r="P100" s="60">
        <f>IF(Database!AI100="","(n/m or not derivable)",Database!AI100)</f>
        <v/>
      </c>
    </row>
    <row r="101">
      <c r="A101" s="4">
        <f>Database!A101&amp;"  "&amp;Database!B101</f>
        <v/>
      </c>
      <c r="B101" s="6">
        <f>IFERROR(INDEX(BDS(Database!$A101&amp;" HK Equity","EQUITY_OFFERINGS","array=t","endcol=1"),MATCH("IPO",BDS(Database!$A101&amp;" HK Equity","EQUITY_OFFERINGS","array=t","startcol=2","endcol=2"),0)),"")</f>
        <v/>
      </c>
      <c r="C101" s="64">
        <f>IF($B101="","",IFERROR(BDP($B101&amp;" Action","CP036"),""))</f>
        <v/>
      </c>
      <c r="D101" s="65">
        <f>Database!Q101</f>
        <v/>
      </c>
      <c r="E101" s="64">
        <f>IF($B101="","",IFERROR(BDP($B101&amp;" Action","CP037"),""))</f>
        <v/>
      </c>
      <c r="F101" s="65">
        <f>Database!R101</f>
        <v/>
      </c>
      <c r="G101" s="64">
        <f>IF($B101="","",IFERROR(BDP($B101&amp;" Action","GREENSHOE_FACILITY"),""))</f>
        <v/>
      </c>
      <c r="H101" s="64">
        <f>IF($B101="","",IFERROR(BDP($B101&amp;" Action","OFFERING_GREENSHOE_SHARES_EX"),""))</f>
        <v/>
      </c>
      <c r="I101" s="4">
        <f>Database!V101</f>
        <v/>
      </c>
      <c r="J101" s="21">
        <f>IFERROR(BDP(Database!$A101&amp;" HK Equity","PE_RATIO"),"")</f>
        <v/>
      </c>
      <c r="K101" s="6">
        <f>IFERROR(BDP(Database!$A101&amp;" HK Equity","A/H_SHARE_CONVERSION"),"")</f>
        <v/>
      </c>
      <c r="L101" s="4">
        <f>IF(Database!AL101="","(none found)",Database!AL101)</f>
        <v/>
      </c>
      <c r="M101" s="9">
        <f>IFERROR(BDH(Database!$A101&amp;" HK Equity","CUR_MKT_CAP",Database!$G101,Database!$G101)/1000000,"")</f>
        <v/>
      </c>
      <c r="N101" s="63">
        <f>Database!O101</f>
        <v/>
      </c>
      <c r="O101" s="21">
        <f>IFERROR(BDH(Database!$A101&amp;" HK Equity","PE_RATIO",Database!$G101,Database!$G101),"")</f>
        <v/>
      </c>
      <c r="P101" s="60">
        <f>IF(Database!AI101="","(n/m or not derivable)",Database!AI101)</f>
        <v/>
      </c>
    </row>
    <row r="102">
      <c r="A102" s="4">
        <f>Database!A102&amp;"  "&amp;Database!B102</f>
        <v/>
      </c>
      <c r="B102" s="6">
        <f>IFERROR(INDEX(BDS(Database!$A102&amp;" HK Equity","EQUITY_OFFERINGS","array=t","endcol=1"),MATCH("IPO",BDS(Database!$A102&amp;" HK Equity","EQUITY_OFFERINGS","array=t","startcol=2","endcol=2"),0)),"")</f>
        <v/>
      </c>
      <c r="C102" s="64">
        <f>IF($B102="","",IFERROR(BDP($B102&amp;" Action","CP036"),""))</f>
        <v/>
      </c>
      <c r="D102" s="65">
        <f>Database!Q102</f>
        <v/>
      </c>
      <c r="E102" s="64">
        <f>IF($B102="","",IFERROR(BDP($B102&amp;" Action","CP037"),""))</f>
        <v/>
      </c>
      <c r="F102" s="65">
        <f>Database!R102</f>
        <v/>
      </c>
      <c r="G102" s="64">
        <f>IF($B102="","",IFERROR(BDP($B102&amp;" Action","GREENSHOE_FACILITY"),""))</f>
        <v/>
      </c>
      <c r="H102" s="64">
        <f>IF($B102="","",IFERROR(BDP($B102&amp;" Action","OFFERING_GREENSHOE_SHARES_EX"),""))</f>
        <v/>
      </c>
      <c r="I102" s="4">
        <f>Database!V102</f>
        <v/>
      </c>
      <c r="J102" s="21">
        <f>IFERROR(BDP(Database!$A102&amp;" HK Equity","PE_RATIO"),"")</f>
        <v/>
      </c>
      <c r="K102" s="6">
        <f>IFERROR(BDP(Database!$A102&amp;" HK Equity","A/H_SHARE_CONVERSION"),"")</f>
        <v/>
      </c>
      <c r="L102" s="4">
        <f>IF(Database!AL102="","(none found)",Database!AL102)</f>
        <v/>
      </c>
      <c r="M102" s="9">
        <f>IFERROR(BDH(Database!$A102&amp;" HK Equity","CUR_MKT_CAP",Database!$G102,Database!$G102)/1000000,"")</f>
        <v/>
      </c>
      <c r="N102" s="63">
        <f>Database!O102</f>
        <v/>
      </c>
      <c r="O102" s="21">
        <f>IFERROR(BDH(Database!$A102&amp;" HK Equity","PE_RATIO",Database!$G102,Database!$G102),"")</f>
        <v/>
      </c>
      <c r="P102" s="60">
        <f>IF(Database!AI102="","(n/m or not derivable)",Database!AI102)</f>
        <v/>
      </c>
    </row>
    <row r="103">
      <c r="A103" s="4">
        <f>Database!A103&amp;"  "&amp;Database!B103</f>
        <v/>
      </c>
      <c r="B103" s="6">
        <f>IFERROR(INDEX(BDS(Database!$A103&amp;" HK Equity","EQUITY_OFFERINGS","array=t","endcol=1"),MATCH("IPO",BDS(Database!$A103&amp;" HK Equity","EQUITY_OFFERINGS","array=t","startcol=2","endcol=2"),0)),"")</f>
        <v/>
      </c>
      <c r="C103" s="64">
        <f>IF($B103="","",IFERROR(BDP($B103&amp;" Action","CP036"),""))</f>
        <v/>
      </c>
      <c r="D103" s="65">
        <f>Database!Q103</f>
        <v/>
      </c>
      <c r="E103" s="64">
        <f>IF($B103="","",IFERROR(BDP($B103&amp;" Action","CP037"),""))</f>
        <v/>
      </c>
      <c r="F103" s="65">
        <f>Database!R103</f>
        <v/>
      </c>
      <c r="G103" s="64">
        <f>IF($B103="","",IFERROR(BDP($B103&amp;" Action","GREENSHOE_FACILITY"),""))</f>
        <v/>
      </c>
      <c r="H103" s="64">
        <f>IF($B103="","",IFERROR(BDP($B103&amp;" Action","OFFERING_GREENSHOE_SHARES_EX"),""))</f>
        <v/>
      </c>
      <c r="I103" s="4">
        <f>Database!V103</f>
        <v/>
      </c>
      <c r="J103" s="21">
        <f>IFERROR(BDP(Database!$A103&amp;" HK Equity","PE_RATIO"),"")</f>
        <v/>
      </c>
      <c r="K103" s="6">
        <f>IFERROR(BDP(Database!$A103&amp;" HK Equity","A/H_SHARE_CONVERSION"),"")</f>
        <v/>
      </c>
      <c r="L103" s="4">
        <f>IF(Database!AL103="","(none found)",Database!AL103)</f>
        <v/>
      </c>
      <c r="M103" s="9">
        <f>IFERROR(BDH(Database!$A103&amp;" HK Equity","CUR_MKT_CAP",Database!$G103,Database!$G103)/1000000,"")</f>
        <v/>
      </c>
      <c r="N103" s="63">
        <f>Database!O103</f>
        <v/>
      </c>
      <c r="O103" s="21">
        <f>IFERROR(BDH(Database!$A103&amp;" HK Equity","PE_RATIO",Database!$G103,Database!$G103),"")</f>
        <v/>
      </c>
      <c r="P103" s="60">
        <f>IF(Database!AI103="","(n/m or not derivable)",Database!AI103)</f>
        <v/>
      </c>
    </row>
    <row r="104">
      <c r="A104" s="4">
        <f>Database!A104&amp;"  "&amp;Database!B104</f>
        <v/>
      </c>
      <c r="B104" s="6">
        <f>IFERROR(INDEX(BDS(Database!$A104&amp;" HK Equity","EQUITY_OFFERINGS","array=t","endcol=1"),MATCH("IPO",BDS(Database!$A104&amp;" HK Equity","EQUITY_OFFERINGS","array=t","startcol=2","endcol=2"),0)),"")</f>
        <v/>
      </c>
      <c r="C104" s="64">
        <f>IF($B104="","",IFERROR(BDP($B104&amp;" Action","CP036"),""))</f>
        <v/>
      </c>
      <c r="D104" s="65">
        <f>Database!Q104</f>
        <v/>
      </c>
      <c r="E104" s="64">
        <f>IF($B104="","",IFERROR(BDP($B104&amp;" Action","CP037"),""))</f>
        <v/>
      </c>
      <c r="F104" s="65">
        <f>Database!R104</f>
        <v/>
      </c>
      <c r="G104" s="64">
        <f>IF($B104="","",IFERROR(BDP($B104&amp;" Action","GREENSHOE_FACILITY"),""))</f>
        <v/>
      </c>
      <c r="H104" s="64">
        <f>IF($B104="","",IFERROR(BDP($B104&amp;" Action","OFFERING_GREENSHOE_SHARES_EX"),""))</f>
        <v/>
      </c>
      <c r="I104" s="4">
        <f>Database!V104</f>
        <v/>
      </c>
      <c r="J104" s="21">
        <f>IFERROR(BDP(Database!$A104&amp;" HK Equity","PE_RATIO"),"")</f>
        <v/>
      </c>
      <c r="K104" s="6">
        <f>IFERROR(BDP(Database!$A104&amp;" HK Equity","A/H_SHARE_CONVERSION"),"")</f>
        <v/>
      </c>
      <c r="L104" s="4">
        <f>IF(Database!AL104="","(none found)",Database!AL104)</f>
        <v/>
      </c>
      <c r="M104" s="9">
        <f>IFERROR(BDH(Database!$A104&amp;" HK Equity","CUR_MKT_CAP",Database!$G104,Database!$G104)/1000000,"")</f>
        <v/>
      </c>
      <c r="N104" s="63">
        <f>Database!O104</f>
        <v/>
      </c>
      <c r="O104" s="21">
        <f>IFERROR(BDH(Database!$A104&amp;" HK Equity","PE_RATIO",Database!$G104,Database!$G104),"")</f>
        <v/>
      </c>
      <c r="P104" s="60">
        <f>IF(Database!AI104="","(n/m or not derivable)",Database!AI104)</f>
        <v/>
      </c>
    </row>
    <row r="105">
      <c r="A105" s="4">
        <f>Database!A105&amp;"  "&amp;Database!B105</f>
        <v/>
      </c>
      <c r="B105" s="6">
        <f>IFERROR(INDEX(BDS(Database!$A105&amp;" HK Equity","EQUITY_OFFERINGS","array=t","endcol=1"),MATCH("IPO",BDS(Database!$A105&amp;" HK Equity","EQUITY_OFFERINGS","array=t","startcol=2","endcol=2"),0)),"")</f>
        <v/>
      </c>
      <c r="C105" s="64">
        <f>IF($B105="","",IFERROR(BDP($B105&amp;" Action","CP036"),""))</f>
        <v/>
      </c>
      <c r="D105" s="65">
        <f>Database!Q105</f>
        <v/>
      </c>
      <c r="E105" s="64">
        <f>IF($B105="","",IFERROR(BDP($B105&amp;" Action","CP037"),""))</f>
        <v/>
      </c>
      <c r="F105" s="65">
        <f>Database!R105</f>
        <v/>
      </c>
      <c r="G105" s="64">
        <f>IF($B105="","",IFERROR(BDP($B105&amp;" Action","GREENSHOE_FACILITY"),""))</f>
        <v/>
      </c>
      <c r="H105" s="64">
        <f>IF($B105="","",IFERROR(BDP($B105&amp;" Action","OFFERING_GREENSHOE_SHARES_EX"),""))</f>
        <v/>
      </c>
      <c r="I105" s="4">
        <f>Database!V105</f>
        <v/>
      </c>
      <c r="J105" s="21">
        <f>IFERROR(BDP(Database!$A105&amp;" HK Equity","PE_RATIO"),"")</f>
        <v/>
      </c>
      <c r="K105" s="6">
        <f>IFERROR(BDP(Database!$A105&amp;" HK Equity","A/H_SHARE_CONVERSION"),"")</f>
        <v/>
      </c>
      <c r="L105" s="4">
        <f>IF(Database!AL105="","(none found)",Database!AL105)</f>
        <v/>
      </c>
      <c r="M105" s="9">
        <f>IFERROR(BDH(Database!$A105&amp;" HK Equity","CUR_MKT_CAP",Database!$G105,Database!$G105)/1000000,"")</f>
        <v/>
      </c>
      <c r="N105" s="63">
        <f>Database!O105</f>
        <v/>
      </c>
      <c r="O105" s="21">
        <f>IFERROR(BDH(Database!$A105&amp;" HK Equity","PE_RATIO",Database!$G105,Database!$G105),"")</f>
        <v/>
      </c>
      <c r="P105" s="60">
        <f>IF(Database!AI105="","(n/m or not derivable)",Database!AI105)</f>
        <v/>
      </c>
    </row>
    <row r="106">
      <c r="A106" s="4">
        <f>Database!A106&amp;"  "&amp;Database!B106</f>
        <v/>
      </c>
      <c r="B106" s="6">
        <f>IFERROR(INDEX(BDS(Database!$A106&amp;" HK Equity","EQUITY_OFFERINGS","array=t","endcol=1"),MATCH("IPO",BDS(Database!$A106&amp;" HK Equity","EQUITY_OFFERINGS","array=t","startcol=2","endcol=2"),0)),"")</f>
        <v/>
      </c>
      <c r="C106" s="64">
        <f>IF($B106="","",IFERROR(BDP($B106&amp;" Action","CP036"),""))</f>
        <v/>
      </c>
      <c r="D106" s="65">
        <f>Database!Q106</f>
        <v/>
      </c>
      <c r="E106" s="64">
        <f>IF($B106="","",IFERROR(BDP($B106&amp;" Action","CP037"),""))</f>
        <v/>
      </c>
      <c r="F106" s="65">
        <f>Database!R106</f>
        <v/>
      </c>
      <c r="G106" s="64">
        <f>IF($B106="","",IFERROR(BDP($B106&amp;" Action","GREENSHOE_FACILITY"),""))</f>
        <v/>
      </c>
      <c r="H106" s="64">
        <f>IF($B106="","",IFERROR(BDP($B106&amp;" Action","OFFERING_GREENSHOE_SHARES_EX"),""))</f>
        <v/>
      </c>
      <c r="I106" s="4">
        <f>Database!V106</f>
        <v/>
      </c>
      <c r="J106" s="21">
        <f>IFERROR(BDP(Database!$A106&amp;" HK Equity","PE_RATIO"),"")</f>
        <v/>
      </c>
      <c r="K106" s="6">
        <f>IFERROR(BDP(Database!$A106&amp;" HK Equity","A/H_SHARE_CONVERSION"),"")</f>
        <v/>
      </c>
      <c r="L106" s="4">
        <f>IF(Database!AL106="","(none found)",Database!AL106)</f>
        <v/>
      </c>
      <c r="M106" s="9">
        <f>IFERROR(BDH(Database!$A106&amp;" HK Equity","CUR_MKT_CAP",Database!$G106,Database!$G106)/1000000,"")</f>
        <v/>
      </c>
      <c r="N106" s="63">
        <f>Database!O106</f>
        <v/>
      </c>
      <c r="O106" s="21">
        <f>IFERROR(BDH(Database!$A106&amp;" HK Equity","PE_RATIO",Database!$G106,Database!$G106),"")</f>
        <v/>
      </c>
      <c r="P106" s="60">
        <f>IF(Database!AI106="","(n/m or not derivable)",Database!AI106)</f>
        <v/>
      </c>
    </row>
    <row r="107">
      <c r="A107" s="4">
        <f>Database!A107&amp;"  "&amp;Database!B107</f>
        <v/>
      </c>
      <c r="B107" s="6">
        <f>IFERROR(INDEX(BDS(Database!$A107&amp;" HK Equity","EQUITY_OFFERINGS","array=t","endcol=1"),MATCH("IPO",BDS(Database!$A107&amp;" HK Equity","EQUITY_OFFERINGS","array=t","startcol=2","endcol=2"),0)),"")</f>
        <v/>
      </c>
      <c r="C107" s="64">
        <f>IF($B107="","",IFERROR(BDP($B107&amp;" Action","CP036"),""))</f>
        <v/>
      </c>
      <c r="D107" s="65">
        <f>Database!Q107</f>
        <v/>
      </c>
      <c r="E107" s="64">
        <f>IF($B107="","",IFERROR(BDP($B107&amp;" Action","CP037"),""))</f>
        <v/>
      </c>
      <c r="F107" s="65">
        <f>Database!R107</f>
        <v/>
      </c>
      <c r="G107" s="64">
        <f>IF($B107="","",IFERROR(BDP($B107&amp;" Action","GREENSHOE_FACILITY"),""))</f>
        <v/>
      </c>
      <c r="H107" s="64">
        <f>IF($B107="","",IFERROR(BDP($B107&amp;" Action","OFFERING_GREENSHOE_SHARES_EX"),""))</f>
        <v/>
      </c>
      <c r="I107" s="4">
        <f>Database!V107</f>
        <v/>
      </c>
      <c r="J107" s="21">
        <f>IFERROR(BDP(Database!$A107&amp;" HK Equity","PE_RATIO"),"")</f>
        <v/>
      </c>
      <c r="K107" s="6">
        <f>IFERROR(BDP(Database!$A107&amp;" HK Equity","A/H_SHARE_CONVERSION"),"")</f>
        <v/>
      </c>
      <c r="L107" s="4">
        <f>IF(Database!AL107="","(none found)",Database!AL107)</f>
        <v/>
      </c>
      <c r="M107" s="9">
        <f>IFERROR(BDH(Database!$A107&amp;" HK Equity","CUR_MKT_CAP",Database!$G107,Database!$G107)/1000000,"")</f>
        <v/>
      </c>
      <c r="N107" s="63">
        <f>Database!O107</f>
        <v/>
      </c>
      <c r="O107" s="21">
        <f>IFERROR(BDH(Database!$A107&amp;" HK Equity","PE_RATIO",Database!$G107,Database!$G107),"")</f>
        <v/>
      </c>
      <c r="P107" s="60">
        <f>IF(Database!AI107="","(n/m or not derivable)",Database!AI107)</f>
        <v/>
      </c>
    </row>
    <row r="108">
      <c r="A108" s="4">
        <f>Database!A108&amp;"  "&amp;Database!B108</f>
        <v/>
      </c>
      <c r="B108" s="6">
        <f>IFERROR(INDEX(BDS(Database!$A108&amp;" HK Equity","EQUITY_OFFERINGS","array=t","endcol=1"),MATCH("IPO",BDS(Database!$A108&amp;" HK Equity","EQUITY_OFFERINGS","array=t","startcol=2","endcol=2"),0)),"")</f>
        <v/>
      </c>
      <c r="C108" s="64">
        <f>IF($B108="","",IFERROR(BDP($B108&amp;" Action","CP036"),""))</f>
        <v/>
      </c>
      <c r="D108" s="65">
        <f>Database!Q108</f>
        <v/>
      </c>
      <c r="E108" s="64">
        <f>IF($B108="","",IFERROR(BDP($B108&amp;" Action","CP037"),""))</f>
        <v/>
      </c>
      <c r="F108" s="65">
        <f>Database!R108</f>
        <v/>
      </c>
      <c r="G108" s="64">
        <f>IF($B108="","",IFERROR(BDP($B108&amp;" Action","GREENSHOE_FACILITY"),""))</f>
        <v/>
      </c>
      <c r="H108" s="64">
        <f>IF($B108="","",IFERROR(BDP($B108&amp;" Action","OFFERING_GREENSHOE_SHARES_EX"),""))</f>
        <v/>
      </c>
      <c r="I108" s="4">
        <f>Database!V108</f>
        <v/>
      </c>
      <c r="J108" s="21">
        <f>IFERROR(BDP(Database!$A108&amp;" HK Equity","PE_RATIO"),"")</f>
        <v/>
      </c>
      <c r="K108" s="6">
        <f>IFERROR(BDP(Database!$A108&amp;" HK Equity","A/H_SHARE_CONVERSION"),"")</f>
        <v/>
      </c>
      <c r="L108" s="4">
        <f>IF(Database!AL108="","(none found)",Database!AL108)</f>
        <v/>
      </c>
      <c r="M108" s="9">
        <f>IFERROR(BDH(Database!$A108&amp;" HK Equity","CUR_MKT_CAP",Database!$G108,Database!$G108)/1000000,"")</f>
        <v/>
      </c>
      <c r="N108" s="63">
        <f>Database!O108</f>
        <v/>
      </c>
      <c r="O108" s="21">
        <f>IFERROR(BDH(Database!$A108&amp;" HK Equity","PE_RATIO",Database!$G108,Database!$G108),"")</f>
        <v/>
      </c>
      <c r="P108" s="60">
        <f>IF(Database!AI108="","(n/m or not derivable)",Database!AI108)</f>
        <v/>
      </c>
    </row>
    <row r="109">
      <c r="A109" s="4">
        <f>Database!A109&amp;"  "&amp;Database!B109</f>
        <v/>
      </c>
      <c r="B109" s="6">
        <f>IFERROR(INDEX(BDS(Database!$A109&amp;" HK Equity","EQUITY_OFFERINGS","array=t","endcol=1"),MATCH("IPO",BDS(Database!$A109&amp;" HK Equity","EQUITY_OFFERINGS","array=t","startcol=2","endcol=2"),0)),"")</f>
        <v/>
      </c>
      <c r="C109" s="64">
        <f>IF($B109="","",IFERROR(BDP($B109&amp;" Action","CP036"),""))</f>
        <v/>
      </c>
      <c r="D109" s="65">
        <f>Database!Q109</f>
        <v/>
      </c>
      <c r="E109" s="64">
        <f>IF($B109="","",IFERROR(BDP($B109&amp;" Action","CP037"),""))</f>
        <v/>
      </c>
      <c r="F109" s="65">
        <f>Database!R109</f>
        <v/>
      </c>
      <c r="G109" s="64">
        <f>IF($B109="","",IFERROR(BDP($B109&amp;" Action","GREENSHOE_FACILITY"),""))</f>
        <v/>
      </c>
      <c r="H109" s="64">
        <f>IF($B109="","",IFERROR(BDP($B109&amp;" Action","OFFERING_GREENSHOE_SHARES_EX"),""))</f>
        <v/>
      </c>
      <c r="I109" s="4">
        <f>Database!V109</f>
        <v/>
      </c>
      <c r="J109" s="21">
        <f>IFERROR(BDP(Database!$A109&amp;" HK Equity","PE_RATIO"),"")</f>
        <v/>
      </c>
      <c r="K109" s="6">
        <f>IFERROR(BDP(Database!$A109&amp;" HK Equity","A/H_SHARE_CONVERSION"),"")</f>
        <v/>
      </c>
      <c r="L109" s="4">
        <f>IF(Database!AL109="","(none found)",Database!AL109)</f>
        <v/>
      </c>
      <c r="M109" s="9">
        <f>IFERROR(BDH(Database!$A109&amp;" HK Equity","CUR_MKT_CAP",Database!$G109,Database!$G109)/1000000,"")</f>
        <v/>
      </c>
      <c r="N109" s="63">
        <f>Database!O109</f>
        <v/>
      </c>
      <c r="O109" s="21">
        <f>IFERROR(BDH(Database!$A109&amp;" HK Equity","PE_RATIO",Database!$G109,Database!$G109),"")</f>
        <v/>
      </c>
      <c r="P109" s="60">
        <f>IF(Database!AI109="","(n/m or not derivable)",Database!AI109)</f>
        <v/>
      </c>
    </row>
    <row r="110">
      <c r="A110" s="4">
        <f>Database!A110&amp;"  "&amp;Database!B110</f>
        <v/>
      </c>
      <c r="B110" s="6">
        <f>IFERROR(INDEX(BDS(Database!$A110&amp;" HK Equity","EQUITY_OFFERINGS","array=t","endcol=1"),MATCH("IPO",BDS(Database!$A110&amp;" HK Equity","EQUITY_OFFERINGS","array=t","startcol=2","endcol=2"),0)),"")</f>
        <v/>
      </c>
      <c r="C110" s="64">
        <f>IF($B110="","",IFERROR(BDP($B110&amp;" Action","CP036"),""))</f>
        <v/>
      </c>
      <c r="D110" s="65">
        <f>Database!Q110</f>
        <v/>
      </c>
      <c r="E110" s="64">
        <f>IF($B110="","",IFERROR(BDP($B110&amp;" Action","CP037"),""))</f>
        <v/>
      </c>
      <c r="F110" s="65">
        <f>Database!R110</f>
        <v/>
      </c>
      <c r="G110" s="64">
        <f>IF($B110="","",IFERROR(BDP($B110&amp;" Action","GREENSHOE_FACILITY"),""))</f>
        <v/>
      </c>
      <c r="H110" s="64">
        <f>IF($B110="","",IFERROR(BDP($B110&amp;" Action","OFFERING_GREENSHOE_SHARES_EX"),""))</f>
        <v/>
      </c>
      <c r="I110" s="4">
        <f>Database!V110</f>
        <v/>
      </c>
      <c r="J110" s="21">
        <f>IFERROR(BDP(Database!$A110&amp;" HK Equity","PE_RATIO"),"")</f>
        <v/>
      </c>
      <c r="K110" s="6">
        <f>IFERROR(BDP(Database!$A110&amp;" HK Equity","A/H_SHARE_CONVERSION"),"")</f>
        <v/>
      </c>
      <c r="L110" s="4">
        <f>IF(Database!AL110="","(none found)",Database!AL110)</f>
        <v/>
      </c>
      <c r="M110" s="9">
        <f>IFERROR(BDH(Database!$A110&amp;" HK Equity","CUR_MKT_CAP",Database!$G110,Database!$G110)/1000000,"")</f>
        <v/>
      </c>
      <c r="N110" s="63">
        <f>Database!O110</f>
        <v/>
      </c>
      <c r="O110" s="21">
        <f>IFERROR(BDH(Database!$A110&amp;" HK Equity","PE_RATIO",Database!$G110,Database!$G110),"")</f>
        <v/>
      </c>
      <c r="P110" s="60">
        <f>IF(Database!AI110="","(n/m or not derivable)",Database!AI110)</f>
        <v/>
      </c>
    </row>
    <row r="111">
      <c r="A111" s="4">
        <f>Database!A111&amp;"  "&amp;Database!B111</f>
        <v/>
      </c>
      <c r="B111" s="6">
        <f>IFERROR(INDEX(BDS(Database!$A111&amp;" HK Equity","EQUITY_OFFERINGS","array=t","endcol=1"),MATCH("IPO",BDS(Database!$A111&amp;" HK Equity","EQUITY_OFFERINGS","array=t","startcol=2","endcol=2"),0)),"")</f>
        <v/>
      </c>
      <c r="C111" s="64">
        <f>IF($B111="","",IFERROR(BDP($B111&amp;" Action","CP036"),""))</f>
        <v/>
      </c>
      <c r="D111" s="65">
        <f>Database!Q111</f>
        <v/>
      </c>
      <c r="E111" s="64">
        <f>IF($B111="","",IFERROR(BDP($B111&amp;" Action","CP037"),""))</f>
        <v/>
      </c>
      <c r="F111" s="65">
        <f>Database!R111</f>
        <v/>
      </c>
      <c r="G111" s="64">
        <f>IF($B111="","",IFERROR(BDP($B111&amp;" Action","GREENSHOE_FACILITY"),""))</f>
        <v/>
      </c>
      <c r="H111" s="64">
        <f>IF($B111="","",IFERROR(BDP($B111&amp;" Action","OFFERING_GREENSHOE_SHARES_EX"),""))</f>
        <v/>
      </c>
      <c r="I111" s="4">
        <f>Database!V111</f>
        <v/>
      </c>
      <c r="J111" s="21">
        <f>IFERROR(BDP(Database!$A111&amp;" HK Equity","PE_RATIO"),"")</f>
        <v/>
      </c>
      <c r="K111" s="6">
        <f>IFERROR(BDP(Database!$A111&amp;" HK Equity","A/H_SHARE_CONVERSION"),"")</f>
        <v/>
      </c>
      <c r="L111" s="4">
        <f>IF(Database!AL111="","(none found)",Database!AL111)</f>
        <v/>
      </c>
      <c r="M111" s="9">
        <f>IFERROR(BDH(Database!$A111&amp;" HK Equity","CUR_MKT_CAP",Database!$G111,Database!$G111)/1000000,"")</f>
        <v/>
      </c>
      <c r="N111" s="63">
        <f>Database!O111</f>
        <v/>
      </c>
      <c r="O111" s="21">
        <f>IFERROR(BDH(Database!$A111&amp;" HK Equity","PE_RATIO",Database!$G111,Database!$G111),"")</f>
        <v/>
      </c>
      <c r="P111" s="60">
        <f>IF(Database!AI111="","(n/m or not derivable)",Database!AI111)</f>
        <v/>
      </c>
    </row>
    <row r="112">
      <c r="A112" s="4">
        <f>Database!A112&amp;"  "&amp;Database!B112</f>
        <v/>
      </c>
      <c r="B112" s="6">
        <f>IFERROR(INDEX(BDS(Database!$A112&amp;" HK Equity","EQUITY_OFFERINGS","array=t","endcol=1"),MATCH("IPO",BDS(Database!$A112&amp;" HK Equity","EQUITY_OFFERINGS","array=t","startcol=2","endcol=2"),0)),"")</f>
        <v/>
      </c>
      <c r="C112" s="64">
        <f>IF($B112="","",IFERROR(BDP($B112&amp;" Action","CP036"),""))</f>
        <v/>
      </c>
      <c r="D112" s="65">
        <f>Database!Q112</f>
        <v/>
      </c>
      <c r="E112" s="64">
        <f>IF($B112="","",IFERROR(BDP($B112&amp;" Action","CP037"),""))</f>
        <v/>
      </c>
      <c r="F112" s="65">
        <f>Database!R112</f>
        <v/>
      </c>
      <c r="G112" s="64">
        <f>IF($B112="","",IFERROR(BDP($B112&amp;" Action","GREENSHOE_FACILITY"),""))</f>
        <v/>
      </c>
      <c r="H112" s="64">
        <f>IF($B112="","",IFERROR(BDP($B112&amp;" Action","OFFERING_GREENSHOE_SHARES_EX"),""))</f>
        <v/>
      </c>
      <c r="I112" s="4">
        <f>Database!V112</f>
        <v/>
      </c>
      <c r="J112" s="21">
        <f>IFERROR(BDP(Database!$A112&amp;" HK Equity","PE_RATIO"),"")</f>
        <v/>
      </c>
      <c r="K112" s="6">
        <f>IFERROR(BDP(Database!$A112&amp;" HK Equity","A/H_SHARE_CONVERSION"),"")</f>
        <v/>
      </c>
      <c r="L112" s="4">
        <f>IF(Database!AL112="","(none found)",Database!AL112)</f>
        <v/>
      </c>
      <c r="M112" s="9">
        <f>IFERROR(BDH(Database!$A112&amp;" HK Equity","CUR_MKT_CAP",Database!$G112,Database!$G112)/1000000,"")</f>
        <v/>
      </c>
      <c r="N112" s="63">
        <f>Database!O112</f>
        <v/>
      </c>
      <c r="O112" s="21">
        <f>IFERROR(BDH(Database!$A112&amp;" HK Equity","PE_RATIO",Database!$G112,Database!$G112),"")</f>
        <v/>
      </c>
      <c r="P112" s="60">
        <f>IF(Database!AI112="","(n/m or not derivable)",Database!AI112)</f>
        <v/>
      </c>
    </row>
    <row r="113">
      <c r="A113" s="4">
        <f>Database!A113&amp;"  "&amp;Database!B113</f>
        <v/>
      </c>
      <c r="B113" s="6">
        <f>IFERROR(INDEX(BDS(Database!$A113&amp;" HK Equity","EQUITY_OFFERINGS","array=t","endcol=1"),MATCH("IPO",BDS(Database!$A113&amp;" HK Equity","EQUITY_OFFERINGS","array=t","startcol=2","endcol=2"),0)),"")</f>
        <v/>
      </c>
      <c r="C113" s="64">
        <f>IF($B113="","",IFERROR(BDP($B113&amp;" Action","CP036"),""))</f>
        <v/>
      </c>
      <c r="D113" s="65">
        <f>Database!Q113</f>
        <v/>
      </c>
      <c r="E113" s="64">
        <f>IF($B113="","",IFERROR(BDP($B113&amp;" Action","CP037"),""))</f>
        <v/>
      </c>
      <c r="F113" s="65">
        <f>Database!R113</f>
        <v/>
      </c>
      <c r="G113" s="64">
        <f>IF($B113="","",IFERROR(BDP($B113&amp;" Action","GREENSHOE_FACILITY"),""))</f>
        <v/>
      </c>
      <c r="H113" s="64">
        <f>IF($B113="","",IFERROR(BDP($B113&amp;" Action","OFFERING_GREENSHOE_SHARES_EX"),""))</f>
        <v/>
      </c>
      <c r="I113" s="4">
        <f>Database!V113</f>
        <v/>
      </c>
      <c r="J113" s="21">
        <f>IFERROR(BDP(Database!$A113&amp;" HK Equity","PE_RATIO"),"")</f>
        <v/>
      </c>
      <c r="K113" s="6">
        <f>IFERROR(BDP(Database!$A113&amp;" HK Equity","A/H_SHARE_CONVERSION"),"")</f>
        <v/>
      </c>
      <c r="L113" s="4">
        <f>IF(Database!AL113="","(none found)",Database!AL113)</f>
        <v/>
      </c>
      <c r="M113" s="9">
        <f>IFERROR(BDH(Database!$A113&amp;" HK Equity","CUR_MKT_CAP",Database!$G113,Database!$G113)/1000000,"")</f>
        <v/>
      </c>
      <c r="N113" s="63">
        <f>Database!O113</f>
        <v/>
      </c>
      <c r="O113" s="21">
        <f>IFERROR(BDH(Database!$A113&amp;" HK Equity","PE_RATIO",Database!$G113,Database!$G113),"")</f>
        <v/>
      </c>
      <c r="P113" s="60">
        <f>IF(Database!AI113="","(n/m or not derivable)",Database!AI113)</f>
        <v/>
      </c>
    </row>
    <row r="114">
      <c r="A114" s="4">
        <f>Database!A114&amp;"  "&amp;Database!B114</f>
        <v/>
      </c>
      <c r="B114" s="6">
        <f>IFERROR(INDEX(BDS(Database!$A114&amp;" HK Equity","EQUITY_OFFERINGS","array=t","endcol=1"),MATCH("IPO",BDS(Database!$A114&amp;" HK Equity","EQUITY_OFFERINGS","array=t","startcol=2","endcol=2"),0)),"")</f>
        <v/>
      </c>
      <c r="C114" s="64">
        <f>IF($B114="","",IFERROR(BDP($B114&amp;" Action","CP036"),""))</f>
        <v/>
      </c>
      <c r="D114" s="65">
        <f>Database!Q114</f>
        <v/>
      </c>
      <c r="E114" s="64">
        <f>IF($B114="","",IFERROR(BDP($B114&amp;" Action","CP037"),""))</f>
        <v/>
      </c>
      <c r="F114" s="65">
        <f>Database!R114</f>
        <v/>
      </c>
      <c r="G114" s="64">
        <f>IF($B114="","",IFERROR(BDP($B114&amp;" Action","GREENSHOE_FACILITY"),""))</f>
        <v/>
      </c>
      <c r="H114" s="64">
        <f>IF($B114="","",IFERROR(BDP($B114&amp;" Action","OFFERING_GREENSHOE_SHARES_EX"),""))</f>
        <v/>
      </c>
      <c r="I114" s="4">
        <f>Database!V114</f>
        <v/>
      </c>
      <c r="J114" s="21">
        <f>IFERROR(BDP(Database!$A114&amp;" HK Equity","PE_RATIO"),"")</f>
        <v/>
      </c>
      <c r="K114" s="6">
        <f>IFERROR(BDP(Database!$A114&amp;" HK Equity","A/H_SHARE_CONVERSION"),"")</f>
        <v/>
      </c>
      <c r="L114" s="4">
        <f>IF(Database!AL114="","(none found)",Database!AL114)</f>
        <v/>
      </c>
      <c r="M114" s="9">
        <f>IFERROR(BDH(Database!$A114&amp;" HK Equity","CUR_MKT_CAP",Database!$G114,Database!$G114)/1000000,"")</f>
        <v/>
      </c>
      <c r="N114" s="63">
        <f>Database!O114</f>
        <v/>
      </c>
      <c r="O114" s="21">
        <f>IFERROR(BDH(Database!$A114&amp;" HK Equity","PE_RATIO",Database!$G114,Database!$G114),"")</f>
        <v/>
      </c>
      <c r="P114" s="60">
        <f>IF(Database!AI114="","(n/m or not derivable)",Database!AI114)</f>
        <v/>
      </c>
    </row>
    <row r="115">
      <c r="A115" s="4">
        <f>Database!A115&amp;"  "&amp;Database!B115</f>
        <v/>
      </c>
      <c r="B115" s="6">
        <f>IFERROR(INDEX(BDS(Database!$A115&amp;" HK Equity","EQUITY_OFFERINGS","array=t","endcol=1"),MATCH("IPO",BDS(Database!$A115&amp;" HK Equity","EQUITY_OFFERINGS","array=t","startcol=2","endcol=2"),0)),"")</f>
        <v/>
      </c>
      <c r="C115" s="64">
        <f>IF($B115="","",IFERROR(BDP($B115&amp;" Action","CP036"),""))</f>
        <v/>
      </c>
      <c r="D115" s="65">
        <f>Database!Q115</f>
        <v/>
      </c>
      <c r="E115" s="64">
        <f>IF($B115="","",IFERROR(BDP($B115&amp;" Action","CP037"),""))</f>
        <v/>
      </c>
      <c r="F115" s="65">
        <f>Database!R115</f>
        <v/>
      </c>
      <c r="G115" s="64">
        <f>IF($B115="","",IFERROR(BDP($B115&amp;" Action","GREENSHOE_FACILITY"),""))</f>
        <v/>
      </c>
      <c r="H115" s="64">
        <f>IF($B115="","",IFERROR(BDP($B115&amp;" Action","OFFERING_GREENSHOE_SHARES_EX"),""))</f>
        <v/>
      </c>
      <c r="I115" s="4">
        <f>Database!V115</f>
        <v/>
      </c>
      <c r="J115" s="21">
        <f>IFERROR(BDP(Database!$A115&amp;" HK Equity","PE_RATIO"),"")</f>
        <v/>
      </c>
      <c r="K115" s="6">
        <f>IFERROR(BDP(Database!$A115&amp;" HK Equity","A/H_SHARE_CONVERSION"),"")</f>
        <v/>
      </c>
      <c r="L115" s="4">
        <f>IF(Database!AL115="","(none found)",Database!AL115)</f>
        <v/>
      </c>
      <c r="M115" s="9">
        <f>IFERROR(BDH(Database!$A115&amp;" HK Equity","CUR_MKT_CAP",Database!$G115,Database!$G115)/1000000,"")</f>
        <v/>
      </c>
      <c r="N115" s="63">
        <f>Database!O115</f>
        <v/>
      </c>
      <c r="O115" s="21">
        <f>IFERROR(BDH(Database!$A115&amp;" HK Equity","PE_RATIO",Database!$G115,Database!$G115),"")</f>
        <v/>
      </c>
      <c r="P115" s="60">
        <f>IF(Database!AI115="","(n/m or not derivable)",Database!AI115)</f>
        <v/>
      </c>
    </row>
    <row r="116">
      <c r="A116" s="4">
        <f>Database!A116&amp;"  "&amp;Database!B116</f>
        <v/>
      </c>
      <c r="B116" s="6">
        <f>IFERROR(INDEX(BDS(Database!$A116&amp;" HK Equity","EQUITY_OFFERINGS","array=t","endcol=1"),MATCH("IPO",BDS(Database!$A116&amp;" HK Equity","EQUITY_OFFERINGS","array=t","startcol=2","endcol=2"),0)),"")</f>
        <v/>
      </c>
      <c r="C116" s="64">
        <f>IF($B116="","",IFERROR(BDP($B116&amp;" Action","CP036"),""))</f>
        <v/>
      </c>
      <c r="D116" s="65">
        <f>Database!Q116</f>
        <v/>
      </c>
      <c r="E116" s="64">
        <f>IF($B116="","",IFERROR(BDP($B116&amp;" Action","CP037"),""))</f>
        <v/>
      </c>
      <c r="F116" s="65">
        <f>Database!R116</f>
        <v/>
      </c>
      <c r="G116" s="64">
        <f>IF($B116="","",IFERROR(BDP($B116&amp;" Action","GREENSHOE_FACILITY"),""))</f>
        <v/>
      </c>
      <c r="H116" s="64">
        <f>IF($B116="","",IFERROR(BDP($B116&amp;" Action","OFFERING_GREENSHOE_SHARES_EX"),""))</f>
        <v/>
      </c>
      <c r="I116" s="4">
        <f>Database!V116</f>
        <v/>
      </c>
      <c r="J116" s="21">
        <f>IFERROR(BDP(Database!$A116&amp;" HK Equity","PE_RATIO"),"")</f>
        <v/>
      </c>
      <c r="K116" s="6">
        <f>IFERROR(BDP(Database!$A116&amp;" HK Equity","A/H_SHARE_CONVERSION"),"")</f>
        <v/>
      </c>
      <c r="L116" s="4">
        <f>IF(Database!AL116="","(none found)",Database!AL116)</f>
        <v/>
      </c>
      <c r="M116" s="9">
        <f>IFERROR(BDH(Database!$A116&amp;" HK Equity","CUR_MKT_CAP",Database!$G116,Database!$G116)/1000000,"")</f>
        <v/>
      </c>
      <c r="N116" s="63">
        <f>Database!O116</f>
        <v/>
      </c>
      <c r="O116" s="21">
        <f>IFERROR(BDH(Database!$A116&amp;" HK Equity","PE_RATIO",Database!$G116,Database!$G116),"")</f>
        <v/>
      </c>
      <c r="P116" s="60">
        <f>IF(Database!AI116="","(n/m or not derivable)",Database!AI116)</f>
        <v/>
      </c>
    </row>
    <row r="117">
      <c r="A117" s="4">
        <f>Database!A117&amp;"  "&amp;Database!B117</f>
        <v/>
      </c>
      <c r="B117" s="6">
        <f>IFERROR(INDEX(BDS(Database!$A117&amp;" HK Equity","EQUITY_OFFERINGS","array=t","endcol=1"),MATCH("IPO",BDS(Database!$A117&amp;" HK Equity","EQUITY_OFFERINGS","array=t","startcol=2","endcol=2"),0)),"")</f>
        <v/>
      </c>
      <c r="C117" s="64">
        <f>IF($B117="","",IFERROR(BDP($B117&amp;" Action","CP036"),""))</f>
        <v/>
      </c>
      <c r="D117" s="65">
        <f>Database!Q117</f>
        <v/>
      </c>
      <c r="E117" s="64">
        <f>IF($B117="","",IFERROR(BDP($B117&amp;" Action","CP037"),""))</f>
        <v/>
      </c>
      <c r="F117" s="65">
        <f>Database!R117</f>
        <v/>
      </c>
      <c r="G117" s="64">
        <f>IF($B117="","",IFERROR(BDP($B117&amp;" Action","GREENSHOE_FACILITY"),""))</f>
        <v/>
      </c>
      <c r="H117" s="64">
        <f>IF($B117="","",IFERROR(BDP($B117&amp;" Action","OFFERING_GREENSHOE_SHARES_EX"),""))</f>
        <v/>
      </c>
      <c r="I117" s="4">
        <f>Database!V117</f>
        <v/>
      </c>
      <c r="J117" s="21">
        <f>IFERROR(BDP(Database!$A117&amp;" HK Equity","PE_RATIO"),"")</f>
        <v/>
      </c>
      <c r="K117" s="6">
        <f>IFERROR(BDP(Database!$A117&amp;" HK Equity","A/H_SHARE_CONVERSION"),"")</f>
        <v/>
      </c>
      <c r="L117" s="4">
        <f>IF(Database!AL117="","(none found)",Database!AL117)</f>
        <v/>
      </c>
      <c r="M117" s="9">
        <f>IFERROR(BDH(Database!$A117&amp;" HK Equity","CUR_MKT_CAP",Database!$G117,Database!$G117)/1000000,"")</f>
        <v/>
      </c>
      <c r="N117" s="63">
        <f>Database!O117</f>
        <v/>
      </c>
      <c r="O117" s="21">
        <f>IFERROR(BDH(Database!$A117&amp;" HK Equity","PE_RATIO",Database!$G117,Database!$G117),"")</f>
        <v/>
      </c>
      <c r="P117" s="60">
        <f>IF(Database!AI117="","(n/m or not derivable)",Database!AI117)</f>
        <v/>
      </c>
    </row>
    <row r="118">
      <c r="A118" s="4">
        <f>Database!A118&amp;"  "&amp;Database!B118</f>
        <v/>
      </c>
      <c r="B118" s="6">
        <f>IFERROR(INDEX(BDS(Database!$A118&amp;" HK Equity","EQUITY_OFFERINGS","array=t","endcol=1"),MATCH("IPO",BDS(Database!$A118&amp;" HK Equity","EQUITY_OFFERINGS","array=t","startcol=2","endcol=2"),0)),"")</f>
        <v/>
      </c>
      <c r="C118" s="64">
        <f>IF($B118="","",IFERROR(BDP($B118&amp;" Action","CP036"),""))</f>
        <v/>
      </c>
      <c r="D118" s="65">
        <f>Database!Q118</f>
        <v/>
      </c>
      <c r="E118" s="64">
        <f>IF($B118="","",IFERROR(BDP($B118&amp;" Action","CP037"),""))</f>
        <v/>
      </c>
      <c r="F118" s="65">
        <f>Database!R118</f>
        <v/>
      </c>
      <c r="G118" s="64">
        <f>IF($B118="","",IFERROR(BDP($B118&amp;" Action","GREENSHOE_FACILITY"),""))</f>
        <v/>
      </c>
      <c r="H118" s="64">
        <f>IF($B118="","",IFERROR(BDP($B118&amp;" Action","OFFERING_GREENSHOE_SHARES_EX"),""))</f>
        <v/>
      </c>
      <c r="I118" s="4">
        <f>Database!V118</f>
        <v/>
      </c>
      <c r="J118" s="21">
        <f>IFERROR(BDP(Database!$A118&amp;" HK Equity","PE_RATIO"),"")</f>
        <v/>
      </c>
      <c r="K118" s="6">
        <f>IFERROR(BDP(Database!$A118&amp;" HK Equity","A/H_SHARE_CONVERSION"),"")</f>
        <v/>
      </c>
      <c r="L118" s="4">
        <f>IF(Database!AL118="","(none found)",Database!AL118)</f>
        <v/>
      </c>
      <c r="M118" s="9">
        <f>IFERROR(BDH(Database!$A118&amp;" HK Equity","CUR_MKT_CAP",Database!$G118,Database!$G118)/1000000,"")</f>
        <v/>
      </c>
      <c r="N118" s="63">
        <f>Database!O118</f>
        <v/>
      </c>
      <c r="O118" s="21">
        <f>IFERROR(BDH(Database!$A118&amp;" HK Equity","PE_RATIO",Database!$G118,Database!$G118),"")</f>
        <v/>
      </c>
      <c r="P118" s="60">
        <f>IF(Database!AI118="","(n/m or not derivable)",Database!AI118)</f>
        <v/>
      </c>
    </row>
    <row r="119">
      <c r="A119" s="4">
        <f>Database!A119&amp;"  "&amp;Database!B119</f>
        <v/>
      </c>
      <c r="B119" s="6">
        <f>IFERROR(INDEX(BDS(Database!$A119&amp;" HK Equity","EQUITY_OFFERINGS","array=t","endcol=1"),MATCH("IPO",BDS(Database!$A119&amp;" HK Equity","EQUITY_OFFERINGS","array=t","startcol=2","endcol=2"),0)),"")</f>
        <v/>
      </c>
      <c r="C119" s="64">
        <f>IF($B119="","",IFERROR(BDP($B119&amp;" Action","CP036"),""))</f>
        <v/>
      </c>
      <c r="D119" s="65">
        <f>Database!Q119</f>
        <v/>
      </c>
      <c r="E119" s="64">
        <f>IF($B119="","",IFERROR(BDP($B119&amp;" Action","CP037"),""))</f>
        <v/>
      </c>
      <c r="F119" s="65">
        <f>Database!R119</f>
        <v/>
      </c>
      <c r="G119" s="64">
        <f>IF($B119="","",IFERROR(BDP($B119&amp;" Action","GREENSHOE_FACILITY"),""))</f>
        <v/>
      </c>
      <c r="H119" s="64">
        <f>IF($B119="","",IFERROR(BDP($B119&amp;" Action","OFFERING_GREENSHOE_SHARES_EX"),""))</f>
        <v/>
      </c>
      <c r="I119" s="4">
        <f>Database!V119</f>
        <v/>
      </c>
      <c r="J119" s="21">
        <f>IFERROR(BDP(Database!$A119&amp;" HK Equity","PE_RATIO"),"")</f>
        <v/>
      </c>
      <c r="K119" s="6">
        <f>IFERROR(BDP(Database!$A119&amp;" HK Equity","A/H_SHARE_CONVERSION"),"")</f>
        <v/>
      </c>
      <c r="L119" s="4">
        <f>IF(Database!AL119="","(none found)",Database!AL119)</f>
        <v/>
      </c>
      <c r="M119" s="9">
        <f>IFERROR(BDH(Database!$A119&amp;" HK Equity","CUR_MKT_CAP",Database!$G119,Database!$G119)/1000000,"")</f>
        <v/>
      </c>
      <c r="N119" s="63">
        <f>Database!O119</f>
        <v/>
      </c>
      <c r="O119" s="21">
        <f>IFERROR(BDH(Database!$A119&amp;" HK Equity","PE_RATIO",Database!$G119,Database!$G119),"")</f>
        <v/>
      </c>
      <c r="P119" s="60">
        <f>IF(Database!AI119="","(n/m or not derivable)",Database!AI119)</f>
        <v/>
      </c>
    </row>
    <row r="120">
      <c r="A120" s="4">
        <f>Database!A120&amp;"  "&amp;Database!B120</f>
        <v/>
      </c>
      <c r="B120" s="6">
        <f>IFERROR(INDEX(BDS(Database!$A120&amp;" HK Equity","EQUITY_OFFERINGS","array=t","endcol=1"),MATCH("IPO",BDS(Database!$A120&amp;" HK Equity","EQUITY_OFFERINGS","array=t","startcol=2","endcol=2"),0)),"")</f>
        <v/>
      </c>
      <c r="C120" s="64">
        <f>IF($B120="","",IFERROR(BDP($B120&amp;" Action","CP036"),""))</f>
        <v/>
      </c>
      <c r="D120" s="65">
        <f>Database!Q120</f>
        <v/>
      </c>
      <c r="E120" s="64">
        <f>IF($B120="","",IFERROR(BDP($B120&amp;" Action","CP037"),""))</f>
        <v/>
      </c>
      <c r="F120" s="65">
        <f>Database!R120</f>
        <v/>
      </c>
      <c r="G120" s="64">
        <f>IF($B120="","",IFERROR(BDP($B120&amp;" Action","GREENSHOE_FACILITY"),""))</f>
        <v/>
      </c>
      <c r="H120" s="64">
        <f>IF($B120="","",IFERROR(BDP($B120&amp;" Action","OFFERING_GREENSHOE_SHARES_EX"),""))</f>
        <v/>
      </c>
      <c r="I120" s="4">
        <f>Database!V120</f>
        <v/>
      </c>
      <c r="J120" s="21">
        <f>IFERROR(BDP(Database!$A120&amp;" HK Equity","PE_RATIO"),"")</f>
        <v/>
      </c>
      <c r="K120" s="6">
        <f>IFERROR(BDP(Database!$A120&amp;" HK Equity","A/H_SHARE_CONVERSION"),"")</f>
        <v/>
      </c>
      <c r="L120" s="4">
        <f>IF(Database!AL120="","(none found)",Database!AL120)</f>
        <v/>
      </c>
      <c r="M120" s="9">
        <f>IFERROR(BDH(Database!$A120&amp;" HK Equity","CUR_MKT_CAP",Database!$G120,Database!$G120)/1000000,"")</f>
        <v/>
      </c>
      <c r="N120" s="63">
        <f>Database!O120</f>
        <v/>
      </c>
      <c r="O120" s="21">
        <f>IFERROR(BDH(Database!$A120&amp;" HK Equity","PE_RATIO",Database!$G120,Database!$G120),"")</f>
        <v/>
      </c>
      <c r="P120" s="60">
        <f>IF(Database!AI120="","(n/m or not derivable)",Database!AI120)</f>
        <v/>
      </c>
    </row>
    <row r="121">
      <c r="A121" s="4">
        <f>Database!A121&amp;"  "&amp;Database!B121</f>
        <v/>
      </c>
      <c r="B121" s="6">
        <f>IFERROR(INDEX(BDS(Database!$A121&amp;" HK Equity","EQUITY_OFFERINGS","array=t","endcol=1"),MATCH("IPO",BDS(Database!$A121&amp;" HK Equity","EQUITY_OFFERINGS","array=t","startcol=2","endcol=2"),0)),"")</f>
        <v/>
      </c>
      <c r="C121" s="64">
        <f>IF($B121="","",IFERROR(BDP($B121&amp;" Action","CP036"),""))</f>
        <v/>
      </c>
      <c r="D121" s="65">
        <f>Database!Q121</f>
        <v/>
      </c>
      <c r="E121" s="64">
        <f>IF($B121="","",IFERROR(BDP($B121&amp;" Action","CP037"),""))</f>
        <v/>
      </c>
      <c r="F121" s="65">
        <f>Database!R121</f>
        <v/>
      </c>
      <c r="G121" s="64">
        <f>IF($B121="","",IFERROR(BDP($B121&amp;" Action","GREENSHOE_FACILITY"),""))</f>
        <v/>
      </c>
      <c r="H121" s="64">
        <f>IF($B121="","",IFERROR(BDP($B121&amp;" Action","OFFERING_GREENSHOE_SHARES_EX"),""))</f>
        <v/>
      </c>
      <c r="I121" s="4">
        <f>Database!V121</f>
        <v/>
      </c>
      <c r="J121" s="21">
        <f>IFERROR(BDP(Database!$A121&amp;" HK Equity","PE_RATIO"),"")</f>
        <v/>
      </c>
      <c r="K121" s="6">
        <f>IFERROR(BDP(Database!$A121&amp;" HK Equity","A/H_SHARE_CONVERSION"),"")</f>
        <v/>
      </c>
      <c r="L121" s="4">
        <f>IF(Database!AL121="","(none found)",Database!AL121)</f>
        <v/>
      </c>
      <c r="M121" s="9">
        <f>IFERROR(BDH(Database!$A121&amp;" HK Equity","CUR_MKT_CAP",Database!$G121,Database!$G121)/1000000,"")</f>
        <v/>
      </c>
      <c r="N121" s="63">
        <f>Database!O121</f>
        <v/>
      </c>
      <c r="O121" s="21">
        <f>IFERROR(BDH(Database!$A121&amp;" HK Equity","PE_RATIO",Database!$G121,Database!$G121),"")</f>
        <v/>
      </c>
      <c r="P121" s="60">
        <f>IF(Database!AI121="","(n/m or not derivable)",Database!AI121)</f>
        <v/>
      </c>
    </row>
    <row r="122">
      <c r="A122" s="4">
        <f>Database!A122&amp;"  "&amp;Database!B122</f>
        <v/>
      </c>
      <c r="B122" s="6">
        <f>IFERROR(INDEX(BDS(Database!$A122&amp;" HK Equity","EQUITY_OFFERINGS","array=t","endcol=1"),MATCH("IPO",BDS(Database!$A122&amp;" HK Equity","EQUITY_OFFERINGS","array=t","startcol=2","endcol=2"),0)),"")</f>
        <v/>
      </c>
      <c r="C122" s="64">
        <f>IF($B122="","",IFERROR(BDP($B122&amp;" Action","CP036"),""))</f>
        <v/>
      </c>
      <c r="D122" s="65">
        <f>Database!Q122</f>
        <v/>
      </c>
      <c r="E122" s="64">
        <f>IF($B122="","",IFERROR(BDP($B122&amp;" Action","CP037"),""))</f>
        <v/>
      </c>
      <c r="F122" s="65">
        <f>Database!R122</f>
        <v/>
      </c>
      <c r="G122" s="64">
        <f>IF($B122="","",IFERROR(BDP($B122&amp;" Action","GREENSHOE_FACILITY"),""))</f>
        <v/>
      </c>
      <c r="H122" s="64">
        <f>IF($B122="","",IFERROR(BDP($B122&amp;" Action","OFFERING_GREENSHOE_SHARES_EX"),""))</f>
        <v/>
      </c>
      <c r="I122" s="4">
        <f>Database!V122</f>
        <v/>
      </c>
      <c r="J122" s="21">
        <f>IFERROR(BDP(Database!$A122&amp;" HK Equity","PE_RATIO"),"")</f>
        <v/>
      </c>
      <c r="K122" s="6">
        <f>IFERROR(BDP(Database!$A122&amp;" HK Equity","A/H_SHARE_CONVERSION"),"")</f>
        <v/>
      </c>
      <c r="L122" s="4">
        <f>IF(Database!AL122="","(none found)",Database!AL122)</f>
        <v/>
      </c>
      <c r="M122" s="9">
        <f>IFERROR(BDH(Database!$A122&amp;" HK Equity","CUR_MKT_CAP",Database!$G122,Database!$G122)/1000000,"")</f>
        <v/>
      </c>
      <c r="N122" s="63">
        <f>Database!O122</f>
        <v/>
      </c>
      <c r="O122" s="21">
        <f>IFERROR(BDH(Database!$A122&amp;" HK Equity","PE_RATIO",Database!$G122,Database!$G122),"")</f>
        <v/>
      </c>
      <c r="P122" s="60">
        <f>IF(Database!AI122="","(n/m or not derivable)",Database!AI122)</f>
        <v/>
      </c>
    </row>
    <row r="123">
      <c r="A123" s="4">
        <f>Database!A123&amp;"  "&amp;Database!B123</f>
        <v/>
      </c>
      <c r="B123" s="6">
        <f>IFERROR(INDEX(BDS(Database!$A123&amp;" HK Equity","EQUITY_OFFERINGS","array=t","endcol=1"),MATCH("IPO",BDS(Database!$A123&amp;" HK Equity","EQUITY_OFFERINGS","array=t","startcol=2","endcol=2"),0)),"")</f>
        <v/>
      </c>
      <c r="C123" s="64">
        <f>IF($B123="","",IFERROR(BDP($B123&amp;" Action","CP036"),""))</f>
        <v/>
      </c>
      <c r="D123" s="65">
        <f>Database!Q123</f>
        <v/>
      </c>
      <c r="E123" s="64">
        <f>IF($B123="","",IFERROR(BDP($B123&amp;" Action","CP037"),""))</f>
        <v/>
      </c>
      <c r="F123" s="65">
        <f>Database!R123</f>
        <v/>
      </c>
      <c r="G123" s="64">
        <f>IF($B123="","",IFERROR(BDP($B123&amp;" Action","GREENSHOE_FACILITY"),""))</f>
        <v/>
      </c>
      <c r="H123" s="64">
        <f>IF($B123="","",IFERROR(BDP($B123&amp;" Action","OFFERING_GREENSHOE_SHARES_EX"),""))</f>
        <v/>
      </c>
      <c r="I123" s="4">
        <f>Database!V123</f>
        <v/>
      </c>
      <c r="J123" s="21">
        <f>IFERROR(BDP(Database!$A123&amp;" HK Equity","PE_RATIO"),"")</f>
        <v/>
      </c>
      <c r="K123" s="6">
        <f>IFERROR(BDP(Database!$A123&amp;" HK Equity","A/H_SHARE_CONVERSION"),"")</f>
        <v/>
      </c>
      <c r="L123" s="4">
        <f>IF(Database!AL123="","(none found)",Database!AL123)</f>
        <v/>
      </c>
      <c r="M123" s="9">
        <f>IFERROR(BDH(Database!$A123&amp;" HK Equity","CUR_MKT_CAP",Database!$G123,Database!$G123)/1000000,"")</f>
        <v/>
      </c>
      <c r="N123" s="63">
        <f>Database!O123</f>
        <v/>
      </c>
      <c r="O123" s="21">
        <f>IFERROR(BDH(Database!$A123&amp;" HK Equity","PE_RATIO",Database!$G123,Database!$G123),"")</f>
        <v/>
      </c>
      <c r="P123" s="60">
        <f>IF(Database!AI123="","(n/m or not derivable)",Database!AI123)</f>
        <v/>
      </c>
    </row>
    <row r="124">
      <c r="A124" s="4">
        <f>Database!A124&amp;"  "&amp;Database!B124</f>
        <v/>
      </c>
      <c r="B124" s="6">
        <f>IFERROR(INDEX(BDS(Database!$A124&amp;" HK Equity","EQUITY_OFFERINGS","array=t","endcol=1"),MATCH("IPO",BDS(Database!$A124&amp;" HK Equity","EQUITY_OFFERINGS","array=t","startcol=2","endcol=2"),0)),"")</f>
        <v/>
      </c>
      <c r="C124" s="64">
        <f>IF($B124="","",IFERROR(BDP($B124&amp;" Action","CP036"),""))</f>
        <v/>
      </c>
      <c r="D124" s="65">
        <f>Database!Q124</f>
        <v/>
      </c>
      <c r="E124" s="64">
        <f>IF($B124="","",IFERROR(BDP($B124&amp;" Action","CP037"),""))</f>
        <v/>
      </c>
      <c r="F124" s="65">
        <f>Database!R124</f>
        <v/>
      </c>
      <c r="G124" s="64">
        <f>IF($B124="","",IFERROR(BDP($B124&amp;" Action","GREENSHOE_FACILITY"),""))</f>
        <v/>
      </c>
      <c r="H124" s="64">
        <f>IF($B124="","",IFERROR(BDP($B124&amp;" Action","OFFERING_GREENSHOE_SHARES_EX"),""))</f>
        <v/>
      </c>
      <c r="I124" s="4">
        <f>Database!V124</f>
        <v/>
      </c>
      <c r="J124" s="21">
        <f>IFERROR(BDP(Database!$A124&amp;" HK Equity","PE_RATIO"),"")</f>
        <v/>
      </c>
      <c r="K124" s="6">
        <f>IFERROR(BDP(Database!$A124&amp;" HK Equity","A/H_SHARE_CONVERSION"),"")</f>
        <v/>
      </c>
      <c r="L124" s="4">
        <f>IF(Database!AL124="","(none found)",Database!AL124)</f>
        <v/>
      </c>
      <c r="M124" s="9">
        <f>IFERROR(BDH(Database!$A124&amp;" HK Equity","CUR_MKT_CAP",Database!$G124,Database!$G124)/1000000,"")</f>
        <v/>
      </c>
      <c r="N124" s="63">
        <f>Database!O124</f>
        <v/>
      </c>
      <c r="O124" s="21">
        <f>IFERROR(BDH(Database!$A124&amp;" HK Equity","PE_RATIO",Database!$G124,Database!$G124),"")</f>
        <v/>
      </c>
      <c r="P124" s="60">
        <f>IF(Database!AI124="","(n/m or not derivable)",Database!AI124)</f>
        <v/>
      </c>
    </row>
    <row r="125">
      <c r="A125" s="4">
        <f>Database!A125&amp;"  "&amp;Database!B125</f>
        <v/>
      </c>
      <c r="B125" s="6">
        <f>IFERROR(INDEX(BDS(Database!$A125&amp;" HK Equity","EQUITY_OFFERINGS","array=t","endcol=1"),MATCH("IPO",BDS(Database!$A125&amp;" HK Equity","EQUITY_OFFERINGS","array=t","startcol=2","endcol=2"),0)),"")</f>
        <v/>
      </c>
      <c r="C125" s="64">
        <f>IF($B125="","",IFERROR(BDP($B125&amp;" Action","CP036"),""))</f>
        <v/>
      </c>
      <c r="D125" s="65">
        <f>Database!Q125</f>
        <v/>
      </c>
      <c r="E125" s="64">
        <f>IF($B125="","",IFERROR(BDP($B125&amp;" Action","CP037"),""))</f>
        <v/>
      </c>
      <c r="F125" s="65">
        <f>Database!R125</f>
        <v/>
      </c>
      <c r="G125" s="64">
        <f>IF($B125="","",IFERROR(BDP($B125&amp;" Action","GREENSHOE_FACILITY"),""))</f>
        <v/>
      </c>
      <c r="H125" s="64">
        <f>IF($B125="","",IFERROR(BDP($B125&amp;" Action","OFFERING_GREENSHOE_SHARES_EX"),""))</f>
        <v/>
      </c>
      <c r="I125" s="4">
        <f>Database!V125</f>
        <v/>
      </c>
      <c r="J125" s="21">
        <f>IFERROR(BDP(Database!$A125&amp;" HK Equity","PE_RATIO"),"")</f>
        <v/>
      </c>
      <c r="K125" s="6">
        <f>IFERROR(BDP(Database!$A125&amp;" HK Equity","A/H_SHARE_CONVERSION"),"")</f>
        <v/>
      </c>
      <c r="L125" s="4">
        <f>IF(Database!AL125="","(none found)",Database!AL125)</f>
        <v/>
      </c>
      <c r="M125" s="9">
        <f>IFERROR(BDH(Database!$A125&amp;" HK Equity","CUR_MKT_CAP",Database!$G125,Database!$G125)/1000000,"")</f>
        <v/>
      </c>
      <c r="N125" s="63">
        <f>Database!O125</f>
        <v/>
      </c>
      <c r="O125" s="21">
        <f>IFERROR(BDH(Database!$A125&amp;" HK Equity","PE_RATIO",Database!$G125,Database!$G125),"")</f>
        <v/>
      </c>
      <c r="P125" s="60">
        <f>IF(Database!AI125="","(n/m or not derivable)",Database!AI125)</f>
        <v/>
      </c>
    </row>
    <row r="126">
      <c r="A126" s="4">
        <f>Database!A126&amp;"  "&amp;Database!B126</f>
        <v/>
      </c>
      <c r="B126" s="6">
        <f>IFERROR(INDEX(BDS(Database!$A126&amp;" HK Equity","EQUITY_OFFERINGS","array=t","endcol=1"),MATCH("IPO",BDS(Database!$A126&amp;" HK Equity","EQUITY_OFFERINGS","array=t","startcol=2","endcol=2"),0)),"")</f>
        <v/>
      </c>
      <c r="C126" s="64">
        <f>IF($B126="","",IFERROR(BDP($B126&amp;" Action","CP036"),""))</f>
        <v/>
      </c>
      <c r="D126" s="65">
        <f>Database!Q126</f>
        <v/>
      </c>
      <c r="E126" s="64">
        <f>IF($B126="","",IFERROR(BDP($B126&amp;" Action","CP037"),""))</f>
        <v/>
      </c>
      <c r="F126" s="65">
        <f>Database!R126</f>
        <v/>
      </c>
      <c r="G126" s="64">
        <f>IF($B126="","",IFERROR(BDP($B126&amp;" Action","GREENSHOE_FACILITY"),""))</f>
        <v/>
      </c>
      <c r="H126" s="64">
        <f>IF($B126="","",IFERROR(BDP($B126&amp;" Action","OFFERING_GREENSHOE_SHARES_EX"),""))</f>
        <v/>
      </c>
      <c r="I126" s="4">
        <f>Database!V126</f>
        <v/>
      </c>
      <c r="J126" s="21">
        <f>IFERROR(BDP(Database!$A126&amp;" HK Equity","PE_RATIO"),"")</f>
        <v/>
      </c>
      <c r="K126" s="6">
        <f>IFERROR(BDP(Database!$A126&amp;" HK Equity","A/H_SHARE_CONVERSION"),"")</f>
        <v/>
      </c>
      <c r="L126" s="4">
        <f>IF(Database!AL126="","(none found)",Database!AL126)</f>
        <v/>
      </c>
      <c r="M126" s="9">
        <f>IFERROR(BDH(Database!$A126&amp;" HK Equity","CUR_MKT_CAP",Database!$G126,Database!$G126)/1000000,"")</f>
        <v/>
      </c>
      <c r="N126" s="63">
        <f>Database!O126</f>
        <v/>
      </c>
      <c r="O126" s="21">
        <f>IFERROR(BDH(Database!$A126&amp;" HK Equity","PE_RATIO",Database!$G126,Database!$G126),"")</f>
        <v/>
      </c>
      <c r="P126" s="60">
        <f>IF(Database!AI126="","(n/m or not derivable)",Database!AI126)</f>
        <v/>
      </c>
    </row>
    <row r="127">
      <c r="A127" s="4">
        <f>Database!A127&amp;"  "&amp;Database!B127</f>
        <v/>
      </c>
      <c r="B127" s="6">
        <f>IFERROR(INDEX(BDS(Database!$A127&amp;" HK Equity","EQUITY_OFFERINGS","array=t","endcol=1"),MATCH("IPO",BDS(Database!$A127&amp;" HK Equity","EQUITY_OFFERINGS","array=t","startcol=2","endcol=2"),0)),"")</f>
        <v/>
      </c>
      <c r="C127" s="64">
        <f>IF($B127="","",IFERROR(BDP($B127&amp;" Action","CP036"),""))</f>
        <v/>
      </c>
      <c r="D127" s="65">
        <f>Database!Q127</f>
        <v/>
      </c>
      <c r="E127" s="64">
        <f>IF($B127="","",IFERROR(BDP($B127&amp;" Action","CP037"),""))</f>
        <v/>
      </c>
      <c r="F127" s="65">
        <f>Database!R127</f>
        <v/>
      </c>
      <c r="G127" s="64">
        <f>IF($B127="","",IFERROR(BDP($B127&amp;" Action","GREENSHOE_FACILITY"),""))</f>
        <v/>
      </c>
      <c r="H127" s="64">
        <f>IF($B127="","",IFERROR(BDP($B127&amp;" Action","OFFERING_GREENSHOE_SHARES_EX"),""))</f>
        <v/>
      </c>
      <c r="I127" s="4">
        <f>Database!V127</f>
        <v/>
      </c>
      <c r="J127" s="21">
        <f>IFERROR(BDP(Database!$A127&amp;" HK Equity","PE_RATIO"),"")</f>
        <v/>
      </c>
      <c r="K127" s="6">
        <f>IFERROR(BDP(Database!$A127&amp;" HK Equity","A/H_SHARE_CONVERSION"),"")</f>
        <v/>
      </c>
      <c r="L127" s="4">
        <f>IF(Database!AL127="","(none found)",Database!AL127)</f>
        <v/>
      </c>
      <c r="M127" s="9">
        <f>IFERROR(BDH(Database!$A127&amp;" HK Equity","CUR_MKT_CAP",Database!$G127,Database!$G127)/1000000,"")</f>
        <v/>
      </c>
      <c r="N127" s="63">
        <f>Database!O127</f>
        <v/>
      </c>
      <c r="O127" s="21">
        <f>IFERROR(BDH(Database!$A127&amp;" HK Equity","PE_RATIO",Database!$G127,Database!$G127),"")</f>
        <v/>
      </c>
      <c r="P127" s="60">
        <f>IF(Database!AI127="","(n/m or not derivable)",Database!AI127)</f>
        <v/>
      </c>
    </row>
    <row r="128">
      <c r="A128" s="4">
        <f>Database!A128&amp;"  "&amp;Database!B128</f>
        <v/>
      </c>
      <c r="B128" s="6">
        <f>IFERROR(INDEX(BDS(Database!$A128&amp;" HK Equity","EQUITY_OFFERINGS","array=t","endcol=1"),MATCH("IPO",BDS(Database!$A128&amp;" HK Equity","EQUITY_OFFERINGS","array=t","startcol=2","endcol=2"),0)),"")</f>
        <v/>
      </c>
      <c r="C128" s="64">
        <f>IF($B128="","",IFERROR(BDP($B128&amp;" Action","CP036"),""))</f>
        <v/>
      </c>
      <c r="D128" s="65">
        <f>Database!Q128</f>
        <v/>
      </c>
      <c r="E128" s="64">
        <f>IF($B128="","",IFERROR(BDP($B128&amp;" Action","CP037"),""))</f>
        <v/>
      </c>
      <c r="F128" s="65">
        <f>Database!R128</f>
        <v/>
      </c>
      <c r="G128" s="64">
        <f>IF($B128="","",IFERROR(BDP($B128&amp;" Action","GREENSHOE_FACILITY"),""))</f>
        <v/>
      </c>
      <c r="H128" s="64">
        <f>IF($B128="","",IFERROR(BDP($B128&amp;" Action","OFFERING_GREENSHOE_SHARES_EX"),""))</f>
        <v/>
      </c>
      <c r="I128" s="4">
        <f>Database!V128</f>
        <v/>
      </c>
      <c r="J128" s="21">
        <f>IFERROR(BDP(Database!$A128&amp;" HK Equity","PE_RATIO"),"")</f>
        <v/>
      </c>
      <c r="K128" s="6">
        <f>IFERROR(BDP(Database!$A128&amp;" HK Equity","A/H_SHARE_CONVERSION"),"")</f>
        <v/>
      </c>
      <c r="L128" s="4">
        <f>IF(Database!AL128="","(none found)",Database!AL128)</f>
        <v/>
      </c>
      <c r="M128" s="9">
        <f>IFERROR(BDH(Database!$A128&amp;" HK Equity","CUR_MKT_CAP",Database!$G128,Database!$G128)/1000000,"")</f>
        <v/>
      </c>
      <c r="N128" s="63">
        <f>Database!O128</f>
        <v/>
      </c>
      <c r="O128" s="21">
        <f>IFERROR(BDH(Database!$A128&amp;" HK Equity","PE_RATIO",Database!$G128,Database!$G128),"")</f>
        <v/>
      </c>
      <c r="P128" s="60">
        <f>IF(Database!AI128="","(n/m or not derivable)",Database!AI128)</f>
        <v/>
      </c>
    </row>
    <row r="129">
      <c r="A129" s="4">
        <f>Database!A129&amp;"  "&amp;Database!B129</f>
        <v/>
      </c>
      <c r="B129" s="6">
        <f>IFERROR(INDEX(BDS(Database!$A129&amp;" HK Equity","EQUITY_OFFERINGS","array=t","endcol=1"),MATCH("IPO",BDS(Database!$A129&amp;" HK Equity","EQUITY_OFFERINGS","array=t","startcol=2","endcol=2"),0)),"")</f>
        <v/>
      </c>
      <c r="C129" s="64">
        <f>IF($B129="","",IFERROR(BDP($B129&amp;" Action","CP036"),""))</f>
        <v/>
      </c>
      <c r="D129" s="65">
        <f>Database!Q129</f>
        <v/>
      </c>
      <c r="E129" s="64">
        <f>IF($B129="","",IFERROR(BDP($B129&amp;" Action","CP037"),""))</f>
        <v/>
      </c>
      <c r="F129" s="65">
        <f>Database!R129</f>
        <v/>
      </c>
      <c r="G129" s="64">
        <f>IF($B129="","",IFERROR(BDP($B129&amp;" Action","GREENSHOE_FACILITY"),""))</f>
        <v/>
      </c>
      <c r="H129" s="64">
        <f>IF($B129="","",IFERROR(BDP($B129&amp;" Action","OFFERING_GREENSHOE_SHARES_EX"),""))</f>
        <v/>
      </c>
      <c r="I129" s="4">
        <f>Database!V129</f>
        <v/>
      </c>
      <c r="J129" s="21">
        <f>IFERROR(BDP(Database!$A129&amp;" HK Equity","PE_RATIO"),"")</f>
        <v/>
      </c>
      <c r="K129" s="6">
        <f>IFERROR(BDP(Database!$A129&amp;" HK Equity","A/H_SHARE_CONVERSION"),"")</f>
        <v/>
      </c>
      <c r="L129" s="4">
        <f>IF(Database!AL129="","(none found)",Database!AL129)</f>
        <v/>
      </c>
      <c r="M129" s="9">
        <f>IFERROR(BDH(Database!$A129&amp;" HK Equity","CUR_MKT_CAP",Database!$G129,Database!$G129)/1000000,"")</f>
        <v/>
      </c>
      <c r="N129" s="63">
        <f>Database!O129</f>
        <v/>
      </c>
      <c r="O129" s="21">
        <f>IFERROR(BDH(Database!$A129&amp;" HK Equity","PE_RATIO",Database!$G129,Database!$G129),"")</f>
        <v/>
      </c>
      <c r="P129" s="60">
        <f>IF(Database!AI129="","(n/m or not derivable)",Database!AI129)</f>
        <v/>
      </c>
    </row>
    <row r="130">
      <c r="A130" s="4">
        <f>Database!A130&amp;"  "&amp;Database!B130</f>
        <v/>
      </c>
      <c r="B130" s="6">
        <f>IFERROR(INDEX(BDS(Database!$A130&amp;" HK Equity","EQUITY_OFFERINGS","array=t","endcol=1"),MATCH("IPO",BDS(Database!$A130&amp;" HK Equity","EQUITY_OFFERINGS","array=t","startcol=2","endcol=2"),0)),"")</f>
        <v/>
      </c>
      <c r="C130" s="64">
        <f>IF($B130="","",IFERROR(BDP($B130&amp;" Action","CP036"),""))</f>
        <v/>
      </c>
      <c r="D130" s="65">
        <f>Database!Q130</f>
        <v/>
      </c>
      <c r="E130" s="64">
        <f>IF($B130="","",IFERROR(BDP($B130&amp;" Action","CP037"),""))</f>
        <v/>
      </c>
      <c r="F130" s="65">
        <f>Database!R130</f>
        <v/>
      </c>
      <c r="G130" s="64">
        <f>IF($B130="","",IFERROR(BDP($B130&amp;" Action","GREENSHOE_FACILITY"),""))</f>
        <v/>
      </c>
      <c r="H130" s="64">
        <f>IF($B130="","",IFERROR(BDP($B130&amp;" Action","OFFERING_GREENSHOE_SHARES_EX"),""))</f>
        <v/>
      </c>
      <c r="I130" s="4">
        <f>Database!V130</f>
        <v/>
      </c>
      <c r="J130" s="21">
        <f>IFERROR(BDP(Database!$A130&amp;" HK Equity","PE_RATIO"),"")</f>
        <v/>
      </c>
      <c r="K130" s="6">
        <f>IFERROR(BDP(Database!$A130&amp;" HK Equity","A/H_SHARE_CONVERSION"),"")</f>
        <v/>
      </c>
      <c r="L130" s="4">
        <f>IF(Database!AL130="","(none found)",Database!AL130)</f>
        <v/>
      </c>
      <c r="M130" s="9">
        <f>IFERROR(BDH(Database!$A130&amp;" HK Equity","CUR_MKT_CAP",Database!$G130,Database!$G130)/1000000,"")</f>
        <v/>
      </c>
      <c r="N130" s="63">
        <f>Database!O130</f>
        <v/>
      </c>
      <c r="O130" s="21">
        <f>IFERROR(BDH(Database!$A130&amp;" HK Equity","PE_RATIO",Database!$G130,Database!$G130),"")</f>
        <v/>
      </c>
      <c r="P130" s="60">
        <f>IF(Database!AI130="","(n/m or not derivable)",Database!AI130)</f>
        <v/>
      </c>
    </row>
    <row r="131">
      <c r="A131" s="4">
        <f>Database!A131&amp;"  "&amp;Database!B131</f>
        <v/>
      </c>
      <c r="B131" s="6">
        <f>IFERROR(INDEX(BDS(Database!$A131&amp;" HK Equity","EQUITY_OFFERINGS","array=t","endcol=1"),MATCH("IPO",BDS(Database!$A131&amp;" HK Equity","EQUITY_OFFERINGS","array=t","startcol=2","endcol=2"),0)),"")</f>
        <v/>
      </c>
      <c r="C131" s="64">
        <f>IF($B131="","",IFERROR(BDP($B131&amp;" Action","CP036"),""))</f>
        <v/>
      </c>
      <c r="D131" s="65">
        <f>Database!Q131</f>
        <v/>
      </c>
      <c r="E131" s="64">
        <f>IF($B131="","",IFERROR(BDP($B131&amp;" Action","CP037"),""))</f>
        <v/>
      </c>
      <c r="F131" s="65">
        <f>Database!R131</f>
        <v/>
      </c>
      <c r="G131" s="64">
        <f>IF($B131="","",IFERROR(BDP($B131&amp;" Action","GREENSHOE_FACILITY"),""))</f>
        <v/>
      </c>
      <c r="H131" s="64">
        <f>IF($B131="","",IFERROR(BDP($B131&amp;" Action","OFFERING_GREENSHOE_SHARES_EX"),""))</f>
        <v/>
      </c>
      <c r="I131" s="4">
        <f>Database!V131</f>
        <v/>
      </c>
      <c r="J131" s="21">
        <f>IFERROR(BDP(Database!$A131&amp;" HK Equity","PE_RATIO"),"")</f>
        <v/>
      </c>
      <c r="K131" s="6">
        <f>IFERROR(BDP(Database!$A131&amp;" HK Equity","A/H_SHARE_CONVERSION"),"")</f>
        <v/>
      </c>
      <c r="L131" s="4">
        <f>IF(Database!AL131="","(none found)",Database!AL131)</f>
        <v/>
      </c>
      <c r="M131" s="9">
        <f>IFERROR(BDH(Database!$A131&amp;" HK Equity","CUR_MKT_CAP",Database!$G131,Database!$G131)/1000000,"")</f>
        <v/>
      </c>
      <c r="N131" s="63">
        <f>Database!O131</f>
        <v/>
      </c>
      <c r="O131" s="21">
        <f>IFERROR(BDH(Database!$A131&amp;" HK Equity","PE_RATIO",Database!$G131,Database!$G131),"")</f>
        <v/>
      </c>
      <c r="P131" s="60">
        <f>IF(Database!AI131="","(n/m or not derivable)",Database!AI131)</f>
        <v/>
      </c>
    </row>
    <row r="132">
      <c r="A132" s="4">
        <f>Database!A132&amp;"  "&amp;Database!B132</f>
        <v/>
      </c>
      <c r="B132" s="6">
        <f>IFERROR(INDEX(BDS(Database!$A132&amp;" HK Equity","EQUITY_OFFERINGS","array=t","endcol=1"),MATCH("IPO",BDS(Database!$A132&amp;" HK Equity","EQUITY_OFFERINGS","array=t","startcol=2","endcol=2"),0)),"")</f>
        <v/>
      </c>
      <c r="C132" s="64">
        <f>IF($B132="","",IFERROR(BDP($B132&amp;" Action","CP036"),""))</f>
        <v/>
      </c>
      <c r="D132" s="65">
        <f>Database!Q132</f>
        <v/>
      </c>
      <c r="E132" s="64">
        <f>IF($B132="","",IFERROR(BDP($B132&amp;" Action","CP037"),""))</f>
        <v/>
      </c>
      <c r="F132" s="65">
        <f>Database!R132</f>
        <v/>
      </c>
      <c r="G132" s="64">
        <f>IF($B132="","",IFERROR(BDP($B132&amp;" Action","GREENSHOE_FACILITY"),""))</f>
        <v/>
      </c>
      <c r="H132" s="64">
        <f>IF($B132="","",IFERROR(BDP($B132&amp;" Action","OFFERING_GREENSHOE_SHARES_EX"),""))</f>
        <v/>
      </c>
      <c r="I132" s="4">
        <f>Database!V132</f>
        <v/>
      </c>
      <c r="J132" s="21">
        <f>IFERROR(BDP(Database!$A132&amp;" HK Equity","PE_RATIO"),"")</f>
        <v/>
      </c>
      <c r="K132" s="6">
        <f>IFERROR(BDP(Database!$A132&amp;" HK Equity","A/H_SHARE_CONVERSION"),"")</f>
        <v/>
      </c>
      <c r="L132" s="4">
        <f>IF(Database!AL132="","(none found)",Database!AL132)</f>
        <v/>
      </c>
      <c r="M132" s="9">
        <f>IFERROR(BDH(Database!$A132&amp;" HK Equity","CUR_MKT_CAP",Database!$G132,Database!$G132)/1000000,"")</f>
        <v/>
      </c>
      <c r="N132" s="63">
        <f>Database!O132</f>
        <v/>
      </c>
      <c r="O132" s="21">
        <f>IFERROR(BDH(Database!$A132&amp;" HK Equity","PE_RATIO",Database!$G132,Database!$G132),"")</f>
        <v/>
      </c>
      <c r="P132" s="60">
        <f>IF(Database!AI132="","(n/m or not derivable)",Database!AI132)</f>
        <v/>
      </c>
    </row>
    <row r="133">
      <c r="A133" s="4">
        <f>Database!A133&amp;"  "&amp;Database!B133</f>
        <v/>
      </c>
      <c r="B133" s="6">
        <f>IFERROR(INDEX(BDS(Database!$A133&amp;" HK Equity","EQUITY_OFFERINGS","array=t","endcol=1"),MATCH("IPO",BDS(Database!$A133&amp;" HK Equity","EQUITY_OFFERINGS","array=t","startcol=2","endcol=2"),0)),"")</f>
        <v/>
      </c>
      <c r="C133" s="64">
        <f>IF($B133="","",IFERROR(BDP($B133&amp;" Action","CP036"),""))</f>
        <v/>
      </c>
      <c r="D133" s="65">
        <f>Database!Q133</f>
        <v/>
      </c>
      <c r="E133" s="64">
        <f>IF($B133="","",IFERROR(BDP($B133&amp;" Action","CP037"),""))</f>
        <v/>
      </c>
      <c r="F133" s="65">
        <f>Database!R133</f>
        <v/>
      </c>
      <c r="G133" s="64">
        <f>IF($B133="","",IFERROR(BDP($B133&amp;" Action","GREENSHOE_FACILITY"),""))</f>
        <v/>
      </c>
      <c r="H133" s="64">
        <f>IF($B133="","",IFERROR(BDP($B133&amp;" Action","OFFERING_GREENSHOE_SHARES_EX"),""))</f>
        <v/>
      </c>
      <c r="I133" s="4">
        <f>Database!V133</f>
        <v/>
      </c>
      <c r="J133" s="21">
        <f>IFERROR(BDP(Database!$A133&amp;" HK Equity","PE_RATIO"),"")</f>
        <v/>
      </c>
      <c r="K133" s="6">
        <f>IFERROR(BDP(Database!$A133&amp;" HK Equity","A/H_SHARE_CONVERSION"),"")</f>
        <v/>
      </c>
      <c r="L133" s="4">
        <f>IF(Database!AL133="","(none found)",Database!AL133)</f>
        <v/>
      </c>
      <c r="M133" s="9">
        <f>IFERROR(BDH(Database!$A133&amp;" HK Equity","CUR_MKT_CAP",Database!$G133,Database!$G133)/1000000,"")</f>
        <v/>
      </c>
      <c r="N133" s="63">
        <f>Database!O133</f>
        <v/>
      </c>
      <c r="O133" s="21">
        <f>IFERROR(BDH(Database!$A133&amp;" HK Equity","PE_RATIO",Database!$G133,Database!$G133),"")</f>
        <v/>
      </c>
      <c r="P133" s="60">
        <f>IF(Database!AI133="","(n/m or not derivable)",Database!AI133)</f>
        <v/>
      </c>
    </row>
    <row r="134">
      <c r="A134" s="4">
        <f>Database!A134&amp;"  "&amp;Database!B134</f>
        <v/>
      </c>
      <c r="B134" s="6">
        <f>IFERROR(INDEX(BDS(Database!$A134&amp;" HK Equity","EQUITY_OFFERINGS","array=t","endcol=1"),MATCH("IPO",BDS(Database!$A134&amp;" HK Equity","EQUITY_OFFERINGS","array=t","startcol=2","endcol=2"),0)),"")</f>
        <v/>
      </c>
      <c r="C134" s="64">
        <f>IF($B134="","",IFERROR(BDP($B134&amp;" Action","CP036"),""))</f>
        <v/>
      </c>
      <c r="D134" s="65">
        <f>Database!Q134</f>
        <v/>
      </c>
      <c r="E134" s="64">
        <f>IF($B134="","",IFERROR(BDP($B134&amp;" Action","CP037"),""))</f>
        <v/>
      </c>
      <c r="F134" s="65">
        <f>Database!R134</f>
        <v/>
      </c>
      <c r="G134" s="64">
        <f>IF($B134="","",IFERROR(BDP($B134&amp;" Action","GREENSHOE_FACILITY"),""))</f>
        <v/>
      </c>
      <c r="H134" s="64">
        <f>IF($B134="","",IFERROR(BDP($B134&amp;" Action","OFFERING_GREENSHOE_SHARES_EX"),""))</f>
        <v/>
      </c>
      <c r="I134" s="4">
        <f>Database!V134</f>
        <v/>
      </c>
      <c r="J134" s="21">
        <f>IFERROR(BDP(Database!$A134&amp;" HK Equity","PE_RATIO"),"")</f>
        <v/>
      </c>
      <c r="K134" s="6">
        <f>IFERROR(BDP(Database!$A134&amp;" HK Equity","A/H_SHARE_CONVERSION"),"")</f>
        <v/>
      </c>
      <c r="L134" s="4">
        <f>IF(Database!AL134="","(none found)",Database!AL134)</f>
        <v/>
      </c>
      <c r="M134" s="9">
        <f>IFERROR(BDH(Database!$A134&amp;" HK Equity","CUR_MKT_CAP",Database!$G134,Database!$G134)/1000000,"")</f>
        <v/>
      </c>
      <c r="N134" s="63">
        <f>Database!O134</f>
        <v/>
      </c>
      <c r="O134" s="21">
        <f>IFERROR(BDH(Database!$A134&amp;" HK Equity","PE_RATIO",Database!$G134,Database!$G134),"")</f>
        <v/>
      </c>
      <c r="P134" s="60">
        <f>IF(Database!AI134="","(n/m or not derivable)",Database!AI134)</f>
        <v/>
      </c>
    </row>
    <row r="135">
      <c r="A135" s="4">
        <f>Database!A135&amp;"  "&amp;Database!B135</f>
        <v/>
      </c>
      <c r="B135" s="6">
        <f>IFERROR(INDEX(BDS(Database!$A135&amp;" HK Equity","EQUITY_OFFERINGS","array=t","endcol=1"),MATCH("IPO",BDS(Database!$A135&amp;" HK Equity","EQUITY_OFFERINGS","array=t","startcol=2","endcol=2"),0)),"")</f>
        <v/>
      </c>
      <c r="C135" s="64">
        <f>IF($B135="","",IFERROR(BDP($B135&amp;" Action","CP036"),""))</f>
        <v/>
      </c>
      <c r="D135" s="65">
        <f>Database!Q135</f>
        <v/>
      </c>
      <c r="E135" s="64">
        <f>IF($B135="","",IFERROR(BDP($B135&amp;" Action","CP037"),""))</f>
        <v/>
      </c>
      <c r="F135" s="65">
        <f>Database!R135</f>
        <v/>
      </c>
      <c r="G135" s="64">
        <f>IF($B135="","",IFERROR(BDP($B135&amp;" Action","GREENSHOE_FACILITY"),""))</f>
        <v/>
      </c>
      <c r="H135" s="64">
        <f>IF($B135="","",IFERROR(BDP($B135&amp;" Action","OFFERING_GREENSHOE_SHARES_EX"),""))</f>
        <v/>
      </c>
      <c r="I135" s="4">
        <f>Database!V135</f>
        <v/>
      </c>
      <c r="J135" s="21">
        <f>IFERROR(BDP(Database!$A135&amp;" HK Equity","PE_RATIO"),"")</f>
        <v/>
      </c>
      <c r="K135" s="6">
        <f>IFERROR(BDP(Database!$A135&amp;" HK Equity","A/H_SHARE_CONVERSION"),"")</f>
        <v/>
      </c>
      <c r="L135" s="4">
        <f>IF(Database!AL135="","(none found)",Database!AL135)</f>
        <v/>
      </c>
      <c r="M135" s="9">
        <f>IFERROR(BDH(Database!$A135&amp;" HK Equity","CUR_MKT_CAP",Database!$G135,Database!$G135)/1000000,"")</f>
        <v/>
      </c>
      <c r="N135" s="63">
        <f>Database!O135</f>
        <v/>
      </c>
      <c r="O135" s="21">
        <f>IFERROR(BDH(Database!$A135&amp;" HK Equity","PE_RATIO",Database!$G135,Database!$G135),"")</f>
        <v/>
      </c>
      <c r="P135" s="60">
        <f>IF(Database!AI135="","(n/m or not derivable)",Database!AI135)</f>
        <v/>
      </c>
    </row>
    <row r="136">
      <c r="A136" s="4">
        <f>Database!A136&amp;"  "&amp;Database!B136</f>
        <v/>
      </c>
      <c r="B136" s="6">
        <f>IFERROR(INDEX(BDS(Database!$A136&amp;" HK Equity","EQUITY_OFFERINGS","array=t","endcol=1"),MATCH("IPO",BDS(Database!$A136&amp;" HK Equity","EQUITY_OFFERINGS","array=t","startcol=2","endcol=2"),0)),"")</f>
        <v/>
      </c>
      <c r="C136" s="64">
        <f>IF($B136="","",IFERROR(BDP($B136&amp;" Action","CP036"),""))</f>
        <v/>
      </c>
      <c r="D136" s="65">
        <f>Database!Q136</f>
        <v/>
      </c>
      <c r="E136" s="64">
        <f>IF($B136="","",IFERROR(BDP($B136&amp;" Action","CP037"),""))</f>
        <v/>
      </c>
      <c r="F136" s="65">
        <f>Database!R136</f>
        <v/>
      </c>
      <c r="G136" s="64">
        <f>IF($B136="","",IFERROR(BDP($B136&amp;" Action","GREENSHOE_FACILITY"),""))</f>
        <v/>
      </c>
      <c r="H136" s="64">
        <f>IF($B136="","",IFERROR(BDP($B136&amp;" Action","OFFERING_GREENSHOE_SHARES_EX"),""))</f>
        <v/>
      </c>
      <c r="I136" s="4">
        <f>Database!V136</f>
        <v/>
      </c>
      <c r="J136" s="21">
        <f>IFERROR(BDP(Database!$A136&amp;" HK Equity","PE_RATIO"),"")</f>
        <v/>
      </c>
      <c r="K136" s="6">
        <f>IFERROR(BDP(Database!$A136&amp;" HK Equity","A/H_SHARE_CONVERSION"),"")</f>
        <v/>
      </c>
      <c r="L136" s="4">
        <f>IF(Database!AL136="","(none found)",Database!AL136)</f>
        <v/>
      </c>
      <c r="M136" s="9">
        <f>IFERROR(BDH(Database!$A136&amp;" HK Equity","CUR_MKT_CAP",Database!$G136,Database!$G136)/1000000,"")</f>
        <v/>
      </c>
      <c r="N136" s="63">
        <f>Database!O136</f>
        <v/>
      </c>
      <c r="O136" s="21">
        <f>IFERROR(BDH(Database!$A136&amp;" HK Equity","PE_RATIO",Database!$G136,Database!$G136),"")</f>
        <v/>
      </c>
      <c r="P136" s="60">
        <f>IF(Database!AI136="","(n/m or not derivable)",Database!AI136)</f>
        <v/>
      </c>
    </row>
    <row r="137">
      <c r="A137" s="4">
        <f>Database!A137&amp;"  "&amp;Database!B137</f>
        <v/>
      </c>
      <c r="B137" s="6">
        <f>IFERROR(INDEX(BDS(Database!$A137&amp;" HK Equity","EQUITY_OFFERINGS","array=t","endcol=1"),MATCH("IPO",BDS(Database!$A137&amp;" HK Equity","EQUITY_OFFERINGS","array=t","startcol=2","endcol=2"),0)),"")</f>
        <v/>
      </c>
      <c r="C137" s="64">
        <f>IF($B137="","",IFERROR(BDP($B137&amp;" Action","CP036"),""))</f>
        <v/>
      </c>
      <c r="D137" s="65">
        <f>Database!Q137</f>
        <v/>
      </c>
      <c r="E137" s="64">
        <f>IF($B137="","",IFERROR(BDP($B137&amp;" Action","CP037"),""))</f>
        <v/>
      </c>
      <c r="F137" s="65">
        <f>Database!R137</f>
        <v/>
      </c>
      <c r="G137" s="64">
        <f>IF($B137="","",IFERROR(BDP($B137&amp;" Action","GREENSHOE_FACILITY"),""))</f>
        <v/>
      </c>
      <c r="H137" s="64">
        <f>IF($B137="","",IFERROR(BDP($B137&amp;" Action","OFFERING_GREENSHOE_SHARES_EX"),""))</f>
        <v/>
      </c>
      <c r="I137" s="4">
        <f>Database!V137</f>
        <v/>
      </c>
      <c r="J137" s="21">
        <f>IFERROR(BDP(Database!$A137&amp;" HK Equity","PE_RATIO"),"")</f>
        <v/>
      </c>
      <c r="K137" s="6">
        <f>IFERROR(BDP(Database!$A137&amp;" HK Equity","A/H_SHARE_CONVERSION"),"")</f>
        <v/>
      </c>
      <c r="L137" s="4">
        <f>IF(Database!AL137="","(none found)",Database!AL137)</f>
        <v/>
      </c>
      <c r="M137" s="9">
        <f>IFERROR(BDH(Database!$A137&amp;" HK Equity","CUR_MKT_CAP",Database!$G137,Database!$G137)/1000000,"")</f>
        <v/>
      </c>
      <c r="N137" s="63">
        <f>Database!O137</f>
        <v/>
      </c>
      <c r="O137" s="21">
        <f>IFERROR(BDH(Database!$A137&amp;" HK Equity","PE_RATIO",Database!$G137,Database!$G137),"")</f>
        <v/>
      </c>
      <c r="P137" s="60">
        <f>IF(Database!AI137="","(n/m or not derivable)",Database!AI137)</f>
        <v/>
      </c>
    </row>
    <row r="138">
      <c r="A138" s="4">
        <f>Database!A138&amp;"  "&amp;Database!B138</f>
        <v/>
      </c>
      <c r="B138" s="6">
        <f>IFERROR(INDEX(BDS(Database!$A138&amp;" HK Equity","EQUITY_OFFERINGS","array=t","endcol=1"),MATCH("IPO",BDS(Database!$A138&amp;" HK Equity","EQUITY_OFFERINGS","array=t","startcol=2","endcol=2"),0)),"")</f>
        <v/>
      </c>
      <c r="C138" s="64">
        <f>IF($B138="","",IFERROR(BDP($B138&amp;" Action","CP036"),""))</f>
        <v/>
      </c>
      <c r="D138" s="65">
        <f>Database!Q138</f>
        <v/>
      </c>
      <c r="E138" s="64">
        <f>IF($B138="","",IFERROR(BDP($B138&amp;" Action","CP037"),""))</f>
        <v/>
      </c>
      <c r="F138" s="65">
        <f>Database!R138</f>
        <v/>
      </c>
      <c r="G138" s="64">
        <f>IF($B138="","",IFERROR(BDP($B138&amp;" Action","GREENSHOE_FACILITY"),""))</f>
        <v/>
      </c>
      <c r="H138" s="64">
        <f>IF($B138="","",IFERROR(BDP($B138&amp;" Action","OFFERING_GREENSHOE_SHARES_EX"),""))</f>
        <v/>
      </c>
      <c r="I138" s="4">
        <f>Database!V138</f>
        <v/>
      </c>
      <c r="J138" s="21">
        <f>IFERROR(BDP(Database!$A138&amp;" HK Equity","PE_RATIO"),"")</f>
        <v/>
      </c>
      <c r="K138" s="6">
        <f>IFERROR(BDP(Database!$A138&amp;" HK Equity","A/H_SHARE_CONVERSION"),"")</f>
        <v/>
      </c>
      <c r="L138" s="4">
        <f>IF(Database!AL138="","(none found)",Database!AL138)</f>
        <v/>
      </c>
      <c r="M138" s="9">
        <f>IFERROR(BDH(Database!$A138&amp;" HK Equity","CUR_MKT_CAP",Database!$G138,Database!$G138)/1000000,"")</f>
        <v/>
      </c>
      <c r="N138" s="63">
        <f>Database!O138</f>
        <v/>
      </c>
      <c r="O138" s="21">
        <f>IFERROR(BDH(Database!$A138&amp;" HK Equity","PE_RATIO",Database!$G138,Database!$G138),"")</f>
        <v/>
      </c>
      <c r="P138" s="60">
        <f>IF(Database!AI138="","(n/m or not derivable)",Database!AI138)</f>
        <v/>
      </c>
    </row>
    <row r="139">
      <c r="A139" s="4">
        <f>Database!A139&amp;"  "&amp;Database!B139</f>
        <v/>
      </c>
      <c r="B139" s="6">
        <f>IFERROR(INDEX(BDS(Database!$A139&amp;" HK Equity","EQUITY_OFFERINGS","array=t","endcol=1"),MATCH("IPO",BDS(Database!$A139&amp;" HK Equity","EQUITY_OFFERINGS","array=t","startcol=2","endcol=2"),0)),"")</f>
        <v/>
      </c>
      <c r="C139" s="64">
        <f>IF($B139="","",IFERROR(BDP($B139&amp;" Action","CP036"),""))</f>
        <v/>
      </c>
      <c r="D139" s="65">
        <f>Database!Q139</f>
        <v/>
      </c>
      <c r="E139" s="64">
        <f>IF($B139="","",IFERROR(BDP($B139&amp;" Action","CP037"),""))</f>
        <v/>
      </c>
      <c r="F139" s="65">
        <f>Database!R139</f>
        <v/>
      </c>
      <c r="G139" s="64">
        <f>IF($B139="","",IFERROR(BDP($B139&amp;" Action","GREENSHOE_FACILITY"),""))</f>
        <v/>
      </c>
      <c r="H139" s="64">
        <f>IF($B139="","",IFERROR(BDP($B139&amp;" Action","OFFERING_GREENSHOE_SHARES_EX"),""))</f>
        <v/>
      </c>
      <c r="I139" s="4">
        <f>Database!V139</f>
        <v/>
      </c>
      <c r="J139" s="21">
        <f>IFERROR(BDP(Database!$A139&amp;" HK Equity","PE_RATIO"),"")</f>
        <v/>
      </c>
      <c r="K139" s="6">
        <f>IFERROR(BDP(Database!$A139&amp;" HK Equity","A/H_SHARE_CONVERSION"),"")</f>
        <v/>
      </c>
      <c r="L139" s="4">
        <f>IF(Database!AL139="","(none found)",Database!AL139)</f>
        <v/>
      </c>
      <c r="M139" s="9">
        <f>IFERROR(BDH(Database!$A139&amp;" HK Equity","CUR_MKT_CAP",Database!$G139,Database!$G139)/1000000,"")</f>
        <v/>
      </c>
      <c r="N139" s="63">
        <f>Database!O139</f>
        <v/>
      </c>
      <c r="O139" s="21">
        <f>IFERROR(BDH(Database!$A139&amp;" HK Equity","PE_RATIO",Database!$G139,Database!$G139),"")</f>
        <v/>
      </c>
      <c r="P139" s="60">
        <f>IF(Database!AI139="","(n/m or not derivable)",Database!AI139)</f>
        <v/>
      </c>
    </row>
    <row r="140">
      <c r="A140" s="4">
        <f>Database!A140&amp;"  "&amp;Database!B140</f>
        <v/>
      </c>
      <c r="B140" s="6">
        <f>IFERROR(INDEX(BDS(Database!$A140&amp;" HK Equity","EQUITY_OFFERINGS","array=t","endcol=1"),MATCH("IPO",BDS(Database!$A140&amp;" HK Equity","EQUITY_OFFERINGS","array=t","startcol=2","endcol=2"),0)),"")</f>
        <v/>
      </c>
      <c r="C140" s="64">
        <f>IF($B140="","",IFERROR(BDP($B140&amp;" Action","CP036"),""))</f>
        <v/>
      </c>
      <c r="D140" s="65">
        <f>Database!Q140</f>
        <v/>
      </c>
      <c r="E140" s="64">
        <f>IF($B140="","",IFERROR(BDP($B140&amp;" Action","CP037"),""))</f>
        <v/>
      </c>
      <c r="F140" s="65">
        <f>Database!R140</f>
        <v/>
      </c>
      <c r="G140" s="64">
        <f>IF($B140="","",IFERROR(BDP($B140&amp;" Action","GREENSHOE_FACILITY"),""))</f>
        <v/>
      </c>
      <c r="H140" s="64">
        <f>IF($B140="","",IFERROR(BDP($B140&amp;" Action","OFFERING_GREENSHOE_SHARES_EX"),""))</f>
        <v/>
      </c>
      <c r="I140" s="4">
        <f>Database!V140</f>
        <v/>
      </c>
      <c r="J140" s="21">
        <f>IFERROR(BDP(Database!$A140&amp;" HK Equity","PE_RATIO"),"")</f>
        <v/>
      </c>
      <c r="K140" s="6">
        <f>IFERROR(BDP(Database!$A140&amp;" HK Equity","A/H_SHARE_CONVERSION"),"")</f>
        <v/>
      </c>
      <c r="L140" s="4">
        <f>IF(Database!AL140="","(none found)",Database!AL140)</f>
        <v/>
      </c>
      <c r="M140" s="9">
        <f>IFERROR(BDH(Database!$A140&amp;" HK Equity","CUR_MKT_CAP",Database!$G140,Database!$G140)/1000000,"")</f>
        <v/>
      </c>
      <c r="N140" s="63">
        <f>Database!O140</f>
        <v/>
      </c>
      <c r="O140" s="21">
        <f>IFERROR(BDH(Database!$A140&amp;" HK Equity","PE_RATIO",Database!$G140,Database!$G140),"")</f>
        <v/>
      </c>
      <c r="P140" s="60">
        <f>IF(Database!AI140="","(n/m or not derivable)",Database!AI140)</f>
        <v/>
      </c>
    </row>
    <row r="141">
      <c r="A141" s="4">
        <f>Database!A141&amp;"  "&amp;Database!B141</f>
        <v/>
      </c>
      <c r="B141" s="6">
        <f>IFERROR(INDEX(BDS(Database!$A141&amp;" HK Equity","EQUITY_OFFERINGS","array=t","endcol=1"),MATCH("IPO",BDS(Database!$A141&amp;" HK Equity","EQUITY_OFFERINGS","array=t","startcol=2","endcol=2"),0)),"")</f>
        <v/>
      </c>
      <c r="C141" s="64">
        <f>IF($B141="","",IFERROR(BDP($B141&amp;" Action","CP036"),""))</f>
        <v/>
      </c>
      <c r="D141" s="65">
        <f>Database!Q141</f>
        <v/>
      </c>
      <c r="E141" s="64">
        <f>IF($B141="","",IFERROR(BDP($B141&amp;" Action","CP037"),""))</f>
        <v/>
      </c>
      <c r="F141" s="65">
        <f>Database!R141</f>
        <v/>
      </c>
      <c r="G141" s="64">
        <f>IF($B141="","",IFERROR(BDP($B141&amp;" Action","GREENSHOE_FACILITY"),""))</f>
        <v/>
      </c>
      <c r="H141" s="64">
        <f>IF($B141="","",IFERROR(BDP($B141&amp;" Action","OFFERING_GREENSHOE_SHARES_EX"),""))</f>
        <v/>
      </c>
      <c r="I141" s="4">
        <f>Database!V141</f>
        <v/>
      </c>
      <c r="J141" s="21">
        <f>IFERROR(BDP(Database!$A141&amp;" HK Equity","PE_RATIO"),"")</f>
        <v/>
      </c>
      <c r="K141" s="6">
        <f>IFERROR(BDP(Database!$A141&amp;" HK Equity","A/H_SHARE_CONVERSION"),"")</f>
        <v/>
      </c>
      <c r="L141" s="4">
        <f>IF(Database!AL141="","(none found)",Database!AL141)</f>
        <v/>
      </c>
      <c r="M141" s="9">
        <f>IFERROR(BDH(Database!$A141&amp;" HK Equity","CUR_MKT_CAP",Database!$G141,Database!$G141)/1000000,"")</f>
        <v/>
      </c>
      <c r="N141" s="63">
        <f>Database!O141</f>
        <v/>
      </c>
      <c r="O141" s="21">
        <f>IFERROR(BDH(Database!$A141&amp;" HK Equity","PE_RATIO",Database!$G141,Database!$G141),"")</f>
        <v/>
      </c>
      <c r="P141" s="60">
        <f>IF(Database!AI141="","(n/m or not derivable)",Database!AI141)</f>
        <v/>
      </c>
    </row>
    <row r="142">
      <c r="A142" s="4">
        <f>Database!A142&amp;"  "&amp;Database!B142</f>
        <v/>
      </c>
      <c r="B142" s="6">
        <f>IFERROR(INDEX(BDS(Database!$A142&amp;" HK Equity","EQUITY_OFFERINGS","array=t","endcol=1"),MATCH("IPO",BDS(Database!$A142&amp;" HK Equity","EQUITY_OFFERINGS","array=t","startcol=2","endcol=2"),0)),"")</f>
        <v/>
      </c>
      <c r="C142" s="64">
        <f>IF($B142="","",IFERROR(BDP($B142&amp;" Action","CP036"),""))</f>
        <v/>
      </c>
      <c r="D142" s="65">
        <f>Database!Q142</f>
        <v/>
      </c>
      <c r="E142" s="64">
        <f>IF($B142="","",IFERROR(BDP($B142&amp;" Action","CP037"),""))</f>
        <v/>
      </c>
      <c r="F142" s="65">
        <f>Database!R142</f>
        <v/>
      </c>
      <c r="G142" s="64">
        <f>IF($B142="","",IFERROR(BDP($B142&amp;" Action","GREENSHOE_FACILITY"),""))</f>
        <v/>
      </c>
      <c r="H142" s="64">
        <f>IF($B142="","",IFERROR(BDP($B142&amp;" Action","OFFERING_GREENSHOE_SHARES_EX"),""))</f>
        <v/>
      </c>
      <c r="I142" s="4">
        <f>Database!V142</f>
        <v/>
      </c>
      <c r="J142" s="21">
        <f>IFERROR(BDP(Database!$A142&amp;" HK Equity","PE_RATIO"),"")</f>
        <v/>
      </c>
      <c r="K142" s="6">
        <f>IFERROR(BDP(Database!$A142&amp;" HK Equity","A/H_SHARE_CONVERSION"),"")</f>
        <v/>
      </c>
      <c r="L142" s="4">
        <f>IF(Database!AL142="","(none found)",Database!AL142)</f>
        <v/>
      </c>
      <c r="M142" s="9">
        <f>IFERROR(BDH(Database!$A142&amp;" HK Equity","CUR_MKT_CAP",Database!$G142,Database!$G142)/1000000,"")</f>
        <v/>
      </c>
      <c r="N142" s="63">
        <f>Database!O142</f>
        <v/>
      </c>
      <c r="O142" s="21">
        <f>IFERROR(BDH(Database!$A142&amp;" HK Equity","PE_RATIO",Database!$G142,Database!$G142),"")</f>
        <v/>
      </c>
      <c r="P142" s="60">
        <f>IF(Database!AI142="","(n/m or not derivable)",Database!AI142)</f>
        <v/>
      </c>
    </row>
    <row r="143">
      <c r="A143" s="4">
        <f>Database!A143&amp;"  "&amp;Database!B143</f>
        <v/>
      </c>
      <c r="B143" s="6">
        <f>IFERROR(INDEX(BDS(Database!$A143&amp;" HK Equity","EQUITY_OFFERINGS","array=t","endcol=1"),MATCH("IPO",BDS(Database!$A143&amp;" HK Equity","EQUITY_OFFERINGS","array=t","startcol=2","endcol=2"),0)),"")</f>
        <v/>
      </c>
      <c r="C143" s="64">
        <f>IF($B143="","",IFERROR(BDP($B143&amp;" Action","CP036"),""))</f>
        <v/>
      </c>
      <c r="D143" s="65">
        <f>Database!Q143</f>
        <v/>
      </c>
      <c r="E143" s="64">
        <f>IF($B143="","",IFERROR(BDP($B143&amp;" Action","CP037"),""))</f>
        <v/>
      </c>
      <c r="F143" s="65">
        <f>Database!R143</f>
        <v/>
      </c>
      <c r="G143" s="64">
        <f>IF($B143="","",IFERROR(BDP($B143&amp;" Action","GREENSHOE_FACILITY"),""))</f>
        <v/>
      </c>
      <c r="H143" s="64">
        <f>IF($B143="","",IFERROR(BDP($B143&amp;" Action","OFFERING_GREENSHOE_SHARES_EX"),""))</f>
        <v/>
      </c>
      <c r="I143" s="4">
        <f>Database!V143</f>
        <v/>
      </c>
      <c r="J143" s="21">
        <f>IFERROR(BDP(Database!$A143&amp;" HK Equity","PE_RATIO"),"")</f>
        <v/>
      </c>
      <c r="K143" s="6">
        <f>IFERROR(BDP(Database!$A143&amp;" HK Equity","A/H_SHARE_CONVERSION"),"")</f>
        <v/>
      </c>
      <c r="L143" s="4">
        <f>IF(Database!AL143="","(none found)",Database!AL143)</f>
        <v/>
      </c>
      <c r="M143" s="9">
        <f>IFERROR(BDH(Database!$A143&amp;" HK Equity","CUR_MKT_CAP",Database!$G143,Database!$G143)/1000000,"")</f>
        <v/>
      </c>
      <c r="N143" s="63">
        <f>Database!O143</f>
        <v/>
      </c>
      <c r="O143" s="21">
        <f>IFERROR(BDH(Database!$A143&amp;" HK Equity","PE_RATIO",Database!$G143,Database!$G143),"")</f>
        <v/>
      </c>
      <c r="P143" s="60">
        <f>IF(Database!AI143="","(n/m or not derivable)",Database!AI143)</f>
        <v/>
      </c>
    </row>
    <row r="144">
      <c r="A144" s="4">
        <f>Database!A144&amp;"  "&amp;Database!B144</f>
        <v/>
      </c>
      <c r="B144" s="6">
        <f>IFERROR(INDEX(BDS(Database!$A144&amp;" HK Equity","EQUITY_OFFERINGS","array=t","endcol=1"),MATCH("IPO",BDS(Database!$A144&amp;" HK Equity","EQUITY_OFFERINGS","array=t","startcol=2","endcol=2"),0)),"")</f>
        <v/>
      </c>
      <c r="C144" s="64">
        <f>IF($B144="","",IFERROR(BDP($B144&amp;" Action","CP036"),""))</f>
        <v/>
      </c>
      <c r="D144" s="65">
        <f>Database!Q144</f>
        <v/>
      </c>
      <c r="E144" s="64">
        <f>IF($B144="","",IFERROR(BDP($B144&amp;" Action","CP037"),""))</f>
        <v/>
      </c>
      <c r="F144" s="65">
        <f>Database!R144</f>
        <v/>
      </c>
      <c r="G144" s="64">
        <f>IF($B144="","",IFERROR(BDP($B144&amp;" Action","GREENSHOE_FACILITY"),""))</f>
        <v/>
      </c>
      <c r="H144" s="64">
        <f>IF($B144="","",IFERROR(BDP($B144&amp;" Action","OFFERING_GREENSHOE_SHARES_EX"),""))</f>
        <v/>
      </c>
      <c r="I144" s="4">
        <f>Database!V144</f>
        <v/>
      </c>
      <c r="J144" s="21">
        <f>IFERROR(BDP(Database!$A144&amp;" HK Equity","PE_RATIO"),"")</f>
        <v/>
      </c>
      <c r="K144" s="6">
        <f>IFERROR(BDP(Database!$A144&amp;" HK Equity","A/H_SHARE_CONVERSION"),"")</f>
        <v/>
      </c>
      <c r="L144" s="4">
        <f>IF(Database!AL144="","(none found)",Database!AL144)</f>
        <v/>
      </c>
      <c r="M144" s="9">
        <f>IFERROR(BDH(Database!$A144&amp;" HK Equity","CUR_MKT_CAP",Database!$G144,Database!$G144)/1000000,"")</f>
        <v/>
      </c>
      <c r="N144" s="63">
        <f>Database!O144</f>
        <v/>
      </c>
      <c r="O144" s="21">
        <f>IFERROR(BDH(Database!$A144&amp;" HK Equity","PE_RATIO",Database!$G144,Database!$G144),"")</f>
        <v/>
      </c>
      <c r="P144" s="60">
        <f>IF(Database!AI144="","(n/m or not derivable)",Database!AI144)</f>
        <v/>
      </c>
    </row>
    <row r="145">
      <c r="A145" s="4">
        <f>Database!A145&amp;"  "&amp;Database!B145</f>
        <v/>
      </c>
      <c r="B145" s="6">
        <f>IFERROR(INDEX(BDS(Database!$A145&amp;" HK Equity","EQUITY_OFFERINGS","array=t","endcol=1"),MATCH("IPO",BDS(Database!$A145&amp;" HK Equity","EQUITY_OFFERINGS","array=t","startcol=2","endcol=2"),0)),"")</f>
        <v/>
      </c>
      <c r="C145" s="64">
        <f>IF($B145="","",IFERROR(BDP($B145&amp;" Action","CP036"),""))</f>
        <v/>
      </c>
      <c r="D145" s="65">
        <f>Database!Q145</f>
        <v/>
      </c>
      <c r="E145" s="64">
        <f>IF($B145="","",IFERROR(BDP($B145&amp;" Action","CP037"),""))</f>
        <v/>
      </c>
      <c r="F145" s="65">
        <f>Database!R145</f>
        <v/>
      </c>
      <c r="G145" s="64">
        <f>IF($B145="","",IFERROR(BDP($B145&amp;" Action","GREENSHOE_FACILITY"),""))</f>
        <v/>
      </c>
      <c r="H145" s="64">
        <f>IF($B145="","",IFERROR(BDP($B145&amp;" Action","OFFERING_GREENSHOE_SHARES_EX"),""))</f>
        <v/>
      </c>
      <c r="I145" s="4">
        <f>Database!V145</f>
        <v/>
      </c>
      <c r="J145" s="21">
        <f>IFERROR(BDP(Database!$A145&amp;" HK Equity","PE_RATIO"),"")</f>
        <v/>
      </c>
      <c r="K145" s="6">
        <f>IFERROR(BDP(Database!$A145&amp;" HK Equity","A/H_SHARE_CONVERSION"),"")</f>
        <v/>
      </c>
      <c r="L145" s="4">
        <f>IF(Database!AL145="","(none found)",Database!AL145)</f>
        <v/>
      </c>
      <c r="M145" s="9">
        <f>IFERROR(BDH(Database!$A145&amp;" HK Equity","CUR_MKT_CAP",Database!$G145,Database!$G145)/1000000,"")</f>
        <v/>
      </c>
      <c r="N145" s="63">
        <f>Database!O145</f>
        <v/>
      </c>
      <c r="O145" s="21">
        <f>IFERROR(BDH(Database!$A145&amp;" HK Equity","PE_RATIO",Database!$G145,Database!$G145),"")</f>
        <v/>
      </c>
      <c r="P145" s="60">
        <f>IF(Database!AI145="","(n/m or not derivable)",Database!AI145)</f>
        <v/>
      </c>
    </row>
    <row r="146">
      <c r="A146" s="4">
        <f>Database!A146&amp;"  "&amp;Database!B146</f>
        <v/>
      </c>
      <c r="B146" s="6">
        <f>IFERROR(INDEX(BDS(Database!$A146&amp;" HK Equity","EQUITY_OFFERINGS","array=t","endcol=1"),MATCH("IPO",BDS(Database!$A146&amp;" HK Equity","EQUITY_OFFERINGS","array=t","startcol=2","endcol=2"),0)),"")</f>
        <v/>
      </c>
      <c r="C146" s="64">
        <f>IF($B146="","",IFERROR(BDP($B146&amp;" Action","CP036"),""))</f>
        <v/>
      </c>
      <c r="D146" s="65">
        <f>Database!Q146</f>
        <v/>
      </c>
      <c r="E146" s="64">
        <f>IF($B146="","",IFERROR(BDP($B146&amp;" Action","CP037"),""))</f>
        <v/>
      </c>
      <c r="F146" s="65">
        <f>Database!R146</f>
        <v/>
      </c>
      <c r="G146" s="64">
        <f>IF($B146="","",IFERROR(BDP($B146&amp;" Action","GREENSHOE_FACILITY"),""))</f>
        <v/>
      </c>
      <c r="H146" s="64">
        <f>IF($B146="","",IFERROR(BDP($B146&amp;" Action","OFFERING_GREENSHOE_SHARES_EX"),""))</f>
        <v/>
      </c>
      <c r="I146" s="4">
        <f>Database!V146</f>
        <v/>
      </c>
      <c r="J146" s="21">
        <f>IFERROR(BDP(Database!$A146&amp;" HK Equity","PE_RATIO"),"")</f>
        <v/>
      </c>
      <c r="K146" s="6">
        <f>IFERROR(BDP(Database!$A146&amp;" HK Equity","A/H_SHARE_CONVERSION"),"")</f>
        <v/>
      </c>
      <c r="L146" s="4">
        <f>IF(Database!AL146="","(none found)",Database!AL146)</f>
        <v/>
      </c>
      <c r="M146" s="9">
        <f>IFERROR(BDH(Database!$A146&amp;" HK Equity","CUR_MKT_CAP",Database!$G146,Database!$G146)/1000000,"")</f>
        <v/>
      </c>
      <c r="N146" s="63">
        <f>Database!O146</f>
        <v/>
      </c>
      <c r="O146" s="21">
        <f>IFERROR(BDH(Database!$A146&amp;" HK Equity","PE_RATIO",Database!$G146,Database!$G146),"")</f>
        <v/>
      </c>
      <c r="P146" s="60">
        <f>IF(Database!AI146="","(n/m or not derivable)",Database!AI146)</f>
        <v/>
      </c>
    </row>
    <row r="147">
      <c r="A147" s="4">
        <f>Database!A147&amp;"  "&amp;Database!B147</f>
        <v/>
      </c>
      <c r="B147" s="6">
        <f>IFERROR(INDEX(BDS(Database!$A147&amp;" HK Equity","EQUITY_OFFERINGS","array=t","endcol=1"),MATCH("IPO",BDS(Database!$A147&amp;" HK Equity","EQUITY_OFFERINGS","array=t","startcol=2","endcol=2"),0)),"")</f>
        <v/>
      </c>
      <c r="C147" s="64">
        <f>IF($B147="","",IFERROR(BDP($B147&amp;" Action","CP036"),""))</f>
        <v/>
      </c>
      <c r="D147" s="65">
        <f>Database!Q147</f>
        <v/>
      </c>
      <c r="E147" s="64">
        <f>IF($B147="","",IFERROR(BDP($B147&amp;" Action","CP037"),""))</f>
        <v/>
      </c>
      <c r="F147" s="65">
        <f>Database!R147</f>
        <v/>
      </c>
      <c r="G147" s="64">
        <f>IF($B147="","",IFERROR(BDP($B147&amp;" Action","GREENSHOE_FACILITY"),""))</f>
        <v/>
      </c>
      <c r="H147" s="64">
        <f>IF($B147="","",IFERROR(BDP($B147&amp;" Action","OFFERING_GREENSHOE_SHARES_EX"),""))</f>
        <v/>
      </c>
      <c r="I147" s="4">
        <f>Database!V147</f>
        <v/>
      </c>
      <c r="J147" s="21">
        <f>IFERROR(BDP(Database!$A147&amp;" HK Equity","PE_RATIO"),"")</f>
        <v/>
      </c>
      <c r="K147" s="6">
        <f>IFERROR(BDP(Database!$A147&amp;" HK Equity","A/H_SHARE_CONVERSION"),"")</f>
        <v/>
      </c>
      <c r="L147" s="4">
        <f>IF(Database!AL147="","(none found)",Database!AL147)</f>
        <v/>
      </c>
      <c r="M147" s="9">
        <f>IFERROR(BDH(Database!$A147&amp;" HK Equity","CUR_MKT_CAP",Database!$G147,Database!$G147)/1000000,"")</f>
        <v/>
      </c>
      <c r="N147" s="63">
        <f>Database!O147</f>
        <v/>
      </c>
      <c r="O147" s="21">
        <f>IFERROR(BDH(Database!$A147&amp;" HK Equity","PE_RATIO",Database!$G147,Database!$G147),"")</f>
        <v/>
      </c>
      <c r="P147" s="60">
        <f>IF(Database!AI147="","(n/m or not derivable)",Database!AI147)</f>
        <v/>
      </c>
    </row>
    <row r="148">
      <c r="A148" s="4">
        <f>Database!A148&amp;"  "&amp;Database!B148</f>
        <v/>
      </c>
      <c r="B148" s="6">
        <f>IFERROR(INDEX(BDS(Database!$A148&amp;" HK Equity","EQUITY_OFFERINGS","array=t","endcol=1"),MATCH("IPO",BDS(Database!$A148&amp;" HK Equity","EQUITY_OFFERINGS","array=t","startcol=2","endcol=2"),0)),"")</f>
        <v/>
      </c>
      <c r="C148" s="64">
        <f>IF($B148="","",IFERROR(BDP($B148&amp;" Action","CP036"),""))</f>
        <v/>
      </c>
      <c r="D148" s="65">
        <f>Database!Q148</f>
        <v/>
      </c>
      <c r="E148" s="64">
        <f>IF($B148="","",IFERROR(BDP($B148&amp;" Action","CP037"),""))</f>
        <v/>
      </c>
      <c r="F148" s="65">
        <f>Database!R148</f>
        <v/>
      </c>
      <c r="G148" s="64">
        <f>IF($B148="","",IFERROR(BDP($B148&amp;" Action","GREENSHOE_FACILITY"),""))</f>
        <v/>
      </c>
      <c r="H148" s="64">
        <f>IF($B148="","",IFERROR(BDP($B148&amp;" Action","OFFERING_GREENSHOE_SHARES_EX"),""))</f>
        <v/>
      </c>
      <c r="I148" s="4">
        <f>Database!V148</f>
        <v/>
      </c>
      <c r="J148" s="21">
        <f>IFERROR(BDP(Database!$A148&amp;" HK Equity","PE_RATIO"),"")</f>
        <v/>
      </c>
      <c r="K148" s="6">
        <f>IFERROR(BDP(Database!$A148&amp;" HK Equity","A/H_SHARE_CONVERSION"),"")</f>
        <v/>
      </c>
      <c r="L148" s="4">
        <f>IF(Database!AL148="","(none found)",Database!AL148)</f>
        <v/>
      </c>
      <c r="M148" s="9">
        <f>IFERROR(BDH(Database!$A148&amp;" HK Equity","CUR_MKT_CAP",Database!$G148,Database!$G148)/1000000,"")</f>
        <v/>
      </c>
      <c r="N148" s="63">
        <f>Database!O148</f>
        <v/>
      </c>
      <c r="O148" s="21">
        <f>IFERROR(BDH(Database!$A148&amp;" HK Equity","PE_RATIO",Database!$G148,Database!$G148),"")</f>
        <v/>
      </c>
      <c r="P148" s="60">
        <f>IF(Database!AI148="","(n/m or not derivable)",Database!AI148)</f>
        <v/>
      </c>
    </row>
    <row r="149">
      <c r="A149" s="4">
        <f>Database!A149&amp;"  "&amp;Database!B149</f>
        <v/>
      </c>
      <c r="B149" s="6">
        <f>IFERROR(INDEX(BDS(Database!$A149&amp;" HK Equity","EQUITY_OFFERINGS","array=t","endcol=1"),MATCH("IPO",BDS(Database!$A149&amp;" HK Equity","EQUITY_OFFERINGS","array=t","startcol=2","endcol=2"),0)),"")</f>
        <v/>
      </c>
      <c r="C149" s="64">
        <f>IF($B149="","",IFERROR(BDP($B149&amp;" Action","CP036"),""))</f>
        <v/>
      </c>
      <c r="D149" s="65">
        <f>Database!Q149</f>
        <v/>
      </c>
      <c r="E149" s="64">
        <f>IF($B149="","",IFERROR(BDP($B149&amp;" Action","CP037"),""))</f>
        <v/>
      </c>
      <c r="F149" s="65">
        <f>Database!R149</f>
        <v/>
      </c>
      <c r="G149" s="64">
        <f>IF($B149="","",IFERROR(BDP($B149&amp;" Action","GREENSHOE_FACILITY"),""))</f>
        <v/>
      </c>
      <c r="H149" s="64">
        <f>IF($B149="","",IFERROR(BDP($B149&amp;" Action","OFFERING_GREENSHOE_SHARES_EX"),""))</f>
        <v/>
      </c>
      <c r="I149" s="4">
        <f>Database!V149</f>
        <v/>
      </c>
      <c r="J149" s="21">
        <f>IFERROR(BDP(Database!$A149&amp;" HK Equity","PE_RATIO"),"")</f>
        <v/>
      </c>
      <c r="K149" s="6">
        <f>IFERROR(BDP(Database!$A149&amp;" HK Equity","A/H_SHARE_CONVERSION"),"")</f>
        <v/>
      </c>
      <c r="L149" s="4">
        <f>IF(Database!AL149="","(none found)",Database!AL149)</f>
        <v/>
      </c>
      <c r="M149" s="9">
        <f>IFERROR(BDH(Database!$A149&amp;" HK Equity","CUR_MKT_CAP",Database!$G149,Database!$G149)/1000000,"")</f>
        <v/>
      </c>
      <c r="N149" s="63">
        <f>Database!O149</f>
        <v/>
      </c>
      <c r="O149" s="21">
        <f>IFERROR(BDH(Database!$A149&amp;" HK Equity","PE_RATIO",Database!$G149,Database!$G149),"")</f>
        <v/>
      </c>
      <c r="P149" s="60">
        <f>IF(Database!AI149="","(n/m or not derivable)",Database!AI149)</f>
        <v/>
      </c>
    </row>
    <row r="150">
      <c r="A150" s="4">
        <f>Database!A150&amp;"  "&amp;Database!B150</f>
        <v/>
      </c>
      <c r="B150" s="6">
        <f>IFERROR(INDEX(BDS(Database!$A150&amp;" HK Equity","EQUITY_OFFERINGS","array=t","endcol=1"),MATCH("IPO",BDS(Database!$A150&amp;" HK Equity","EQUITY_OFFERINGS","array=t","startcol=2","endcol=2"),0)),"")</f>
        <v/>
      </c>
      <c r="C150" s="64">
        <f>IF($B150="","",IFERROR(BDP($B150&amp;" Action","CP036"),""))</f>
        <v/>
      </c>
      <c r="D150" s="65">
        <f>Database!Q150</f>
        <v/>
      </c>
      <c r="E150" s="64">
        <f>IF($B150="","",IFERROR(BDP($B150&amp;" Action","CP037"),""))</f>
        <v/>
      </c>
      <c r="F150" s="65">
        <f>Database!R150</f>
        <v/>
      </c>
      <c r="G150" s="64">
        <f>IF($B150="","",IFERROR(BDP($B150&amp;" Action","GREENSHOE_FACILITY"),""))</f>
        <v/>
      </c>
      <c r="H150" s="64">
        <f>IF($B150="","",IFERROR(BDP($B150&amp;" Action","OFFERING_GREENSHOE_SHARES_EX"),""))</f>
        <v/>
      </c>
      <c r="I150" s="4">
        <f>Database!V150</f>
        <v/>
      </c>
      <c r="J150" s="21">
        <f>IFERROR(BDP(Database!$A150&amp;" HK Equity","PE_RATIO"),"")</f>
        <v/>
      </c>
      <c r="K150" s="6">
        <f>IFERROR(BDP(Database!$A150&amp;" HK Equity","A/H_SHARE_CONVERSION"),"")</f>
        <v/>
      </c>
      <c r="L150" s="4">
        <f>IF(Database!AL150="","(none found)",Database!AL150)</f>
        <v/>
      </c>
      <c r="M150" s="9">
        <f>IFERROR(BDH(Database!$A150&amp;" HK Equity","CUR_MKT_CAP",Database!$G150,Database!$G150)/1000000,"")</f>
        <v/>
      </c>
      <c r="N150" s="63">
        <f>Database!O150</f>
        <v/>
      </c>
      <c r="O150" s="21">
        <f>IFERROR(BDH(Database!$A150&amp;" HK Equity","PE_RATIO",Database!$G150,Database!$G150),"")</f>
        <v/>
      </c>
      <c r="P150" s="60">
        <f>IF(Database!AI150="","(n/m or not derivable)",Database!AI150)</f>
        <v/>
      </c>
    </row>
    <row r="151">
      <c r="A151" s="4">
        <f>Database!A151&amp;"  "&amp;Database!B151</f>
        <v/>
      </c>
      <c r="B151" s="6">
        <f>IFERROR(INDEX(BDS(Database!$A151&amp;" HK Equity","EQUITY_OFFERINGS","array=t","endcol=1"),MATCH("IPO",BDS(Database!$A151&amp;" HK Equity","EQUITY_OFFERINGS","array=t","startcol=2","endcol=2"),0)),"")</f>
        <v/>
      </c>
      <c r="C151" s="64">
        <f>IF($B151="","",IFERROR(BDP($B151&amp;" Action","CP036"),""))</f>
        <v/>
      </c>
      <c r="D151" s="65">
        <f>Database!Q151</f>
        <v/>
      </c>
      <c r="E151" s="64">
        <f>IF($B151="","",IFERROR(BDP($B151&amp;" Action","CP037"),""))</f>
        <v/>
      </c>
      <c r="F151" s="65">
        <f>Database!R151</f>
        <v/>
      </c>
      <c r="G151" s="64">
        <f>IF($B151="","",IFERROR(BDP($B151&amp;" Action","GREENSHOE_FACILITY"),""))</f>
        <v/>
      </c>
      <c r="H151" s="64">
        <f>IF($B151="","",IFERROR(BDP($B151&amp;" Action","OFFERING_GREENSHOE_SHARES_EX"),""))</f>
        <v/>
      </c>
      <c r="I151" s="4">
        <f>Database!V151</f>
        <v/>
      </c>
      <c r="J151" s="21">
        <f>IFERROR(BDP(Database!$A151&amp;" HK Equity","PE_RATIO"),"")</f>
        <v/>
      </c>
      <c r="K151" s="6">
        <f>IFERROR(BDP(Database!$A151&amp;" HK Equity","A/H_SHARE_CONVERSION"),"")</f>
        <v/>
      </c>
      <c r="L151" s="4">
        <f>IF(Database!AL151="","(none found)",Database!AL151)</f>
        <v/>
      </c>
      <c r="M151" s="9">
        <f>IFERROR(BDH(Database!$A151&amp;" HK Equity","CUR_MKT_CAP",Database!$G151,Database!$G151)/1000000,"")</f>
        <v/>
      </c>
      <c r="N151" s="63">
        <f>Database!O151</f>
        <v/>
      </c>
      <c r="O151" s="21">
        <f>IFERROR(BDH(Database!$A151&amp;" HK Equity","PE_RATIO",Database!$G151,Database!$G151),"")</f>
        <v/>
      </c>
      <c r="P151" s="60">
        <f>IF(Database!AI151="","(n/m or not derivable)",Database!AI151)</f>
        <v/>
      </c>
    </row>
    <row r="152">
      <c r="A152" s="4">
        <f>Database!A152&amp;"  "&amp;Database!B152</f>
        <v/>
      </c>
      <c r="B152" s="6">
        <f>IFERROR(INDEX(BDS(Database!$A152&amp;" HK Equity","EQUITY_OFFERINGS","array=t","endcol=1"),MATCH("IPO",BDS(Database!$A152&amp;" HK Equity","EQUITY_OFFERINGS","array=t","startcol=2","endcol=2"),0)),"")</f>
        <v/>
      </c>
      <c r="C152" s="64">
        <f>IF($B152="","",IFERROR(BDP($B152&amp;" Action","CP036"),""))</f>
        <v/>
      </c>
      <c r="D152" s="65">
        <f>Database!Q152</f>
        <v/>
      </c>
      <c r="E152" s="64">
        <f>IF($B152="","",IFERROR(BDP($B152&amp;" Action","CP037"),""))</f>
        <v/>
      </c>
      <c r="F152" s="65">
        <f>Database!R152</f>
        <v/>
      </c>
      <c r="G152" s="64">
        <f>IF($B152="","",IFERROR(BDP($B152&amp;" Action","GREENSHOE_FACILITY"),""))</f>
        <v/>
      </c>
      <c r="H152" s="64">
        <f>IF($B152="","",IFERROR(BDP($B152&amp;" Action","OFFERING_GREENSHOE_SHARES_EX"),""))</f>
        <v/>
      </c>
      <c r="I152" s="4">
        <f>Database!V152</f>
        <v/>
      </c>
      <c r="J152" s="21">
        <f>IFERROR(BDP(Database!$A152&amp;" HK Equity","PE_RATIO"),"")</f>
        <v/>
      </c>
      <c r="K152" s="6">
        <f>IFERROR(BDP(Database!$A152&amp;" HK Equity","A/H_SHARE_CONVERSION"),"")</f>
        <v/>
      </c>
      <c r="L152" s="4">
        <f>IF(Database!AL152="","(none found)",Database!AL152)</f>
        <v/>
      </c>
      <c r="M152" s="9">
        <f>IFERROR(BDH(Database!$A152&amp;" HK Equity","CUR_MKT_CAP",Database!$G152,Database!$G152)/1000000,"")</f>
        <v/>
      </c>
      <c r="N152" s="63">
        <f>Database!O152</f>
        <v/>
      </c>
      <c r="O152" s="21">
        <f>IFERROR(BDH(Database!$A152&amp;" HK Equity","PE_RATIO",Database!$G152,Database!$G152),"")</f>
        <v/>
      </c>
      <c r="P152" s="60">
        <f>IF(Database!AI152="","(n/m or not derivable)",Database!AI152)</f>
        <v/>
      </c>
    </row>
    <row r="153">
      <c r="A153" s="4">
        <f>Database!A153&amp;"  "&amp;Database!B153</f>
        <v/>
      </c>
      <c r="B153" s="6">
        <f>IFERROR(INDEX(BDS(Database!$A153&amp;" HK Equity","EQUITY_OFFERINGS","array=t","endcol=1"),MATCH("IPO",BDS(Database!$A153&amp;" HK Equity","EQUITY_OFFERINGS","array=t","startcol=2","endcol=2"),0)),"")</f>
        <v/>
      </c>
      <c r="C153" s="64">
        <f>IF($B153="","",IFERROR(BDP($B153&amp;" Action","CP036"),""))</f>
        <v/>
      </c>
      <c r="D153" s="65">
        <f>Database!Q153</f>
        <v/>
      </c>
      <c r="E153" s="64">
        <f>IF($B153="","",IFERROR(BDP($B153&amp;" Action","CP037"),""))</f>
        <v/>
      </c>
      <c r="F153" s="65">
        <f>Database!R153</f>
        <v/>
      </c>
      <c r="G153" s="64">
        <f>IF($B153="","",IFERROR(BDP($B153&amp;" Action","GREENSHOE_FACILITY"),""))</f>
        <v/>
      </c>
      <c r="H153" s="64">
        <f>IF($B153="","",IFERROR(BDP($B153&amp;" Action","OFFERING_GREENSHOE_SHARES_EX"),""))</f>
        <v/>
      </c>
      <c r="I153" s="4">
        <f>Database!V153</f>
        <v/>
      </c>
      <c r="J153" s="21">
        <f>IFERROR(BDP(Database!$A153&amp;" HK Equity","PE_RATIO"),"")</f>
        <v/>
      </c>
      <c r="K153" s="6">
        <f>IFERROR(BDP(Database!$A153&amp;" HK Equity","A/H_SHARE_CONVERSION"),"")</f>
        <v/>
      </c>
      <c r="L153" s="4">
        <f>IF(Database!AL153="","(none found)",Database!AL153)</f>
        <v/>
      </c>
      <c r="M153" s="9">
        <f>IFERROR(BDH(Database!$A153&amp;" HK Equity","CUR_MKT_CAP",Database!$G153,Database!$G153)/1000000,"")</f>
        <v/>
      </c>
      <c r="N153" s="63">
        <f>Database!O153</f>
        <v/>
      </c>
      <c r="O153" s="21">
        <f>IFERROR(BDH(Database!$A153&amp;" HK Equity","PE_RATIO",Database!$G153,Database!$G153),"")</f>
        <v/>
      </c>
      <c r="P153" s="60">
        <f>IF(Database!AI153="","(n/m or not derivable)",Database!AI153)</f>
        <v/>
      </c>
    </row>
    <row r="154">
      <c r="A154" s="4">
        <f>Database!A154&amp;"  "&amp;Database!B154</f>
        <v/>
      </c>
      <c r="B154" s="6">
        <f>IFERROR(INDEX(BDS(Database!$A154&amp;" HK Equity","EQUITY_OFFERINGS","array=t","endcol=1"),MATCH("IPO",BDS(Database!$A154&amp;" HK Equity","EQUITY_OFFERINGS","array=t","startcol=2","endcol=2"),0)),"")</f>
        <v/>
      </c>
      <c r="C154" s="64">
        <f>IF($B154="","",IFERROR(BDP($B154&amp;" Action","CP036"),""))</f>
        <v/>
      </c>
      <c r="D154" s="65">
        <f>Database!Q154</f>
        <v/>
      </c>
      <c r="E154" s="64">
        <f>IF($B154="","",IFERROR(BDP($B154&amp;" Action","CP037"),""))</f>
        <v/>
      </c>
      <c r="F154" s="65">
        <f>Database!R154</f>
        <v/>
      </c>
      <c r="G154" s="64">
        <f>IF($B154="","",IFERROR(BDP($B154&amp;" Action","GREENSHOE_FACILITY"),""))</f>
        <v/>
      </c>
      <c r="H154" s="64">
        <f>IF($B154="","",IFERROR(BDP($B154&amp;" Action","OFFERING_GREENSHOE_SHARES_EX"),""))</f>
        <v/>
      </c>
      <c r="I154" s="4">
        <f>Database!V154</f>
        <v/>
      </c>
      <c r="J154" s="21">
        <f>IFERROR(BDP(Database!$A154&amp;" HK Equity","PE_RATIO"),"")</f>
        <v/>
      </c>
      <c r="K154" s="6">
        <f>IFERROR(BDP(Database!$A154&amp;" HK Equity","A/H_SHARE_CONVERSION"),"")</f>
        <v/>
      </c>
      <c r="L154" s="4">
        <f>IF(Database!AL154="","(none found)",Database!AL154)</f>
        <v/>
      </c>
      <c r="M154" s="9">
        <f>IFERROR(BDH(Database!$A154&amp;" HK Equity","CUR_MKT_CAP",Database!$G154,Database!$G154)/1000000,"")</f>
        <v/>
      </c>
      <c r="N154" s="63">
        <f>Database!O154</f>
        <v/>
      </c>
      <c r="O154" s="21">
        <f>IFERROR(BDH(Database!$A154&amp;" HK Equity","PE_RATIO",Database!$G154,Database!$G154),"")</f>
        <v/>
      </c>
      <c r="P154" s="60">
        <f>IF(Database!AI154="","(n/m or not derivable)",Database!AI154)</f>
        <v/>
      </c>
    </row>
    <row r="155">
      <c r="A155" s="4">
        <f>Database!A155&amp;"  "&amp;Database!B155</f>
        <v/>
      </c>
      <c r="B155" s="6">
        <f>IFERROR(INDEX(BDS(Database!$A155&amp;" HK Equity","EQUITY_OFFERINGS","array=t","endcol=1"),MATCH("IPO",BDS(Database!$A155&amp;" HK Equity","EQUITY_OFFERINGS","array=t","startcol=2","endcol=2"),0)),"")</f>
        <v/>
      </c>
      <c r="C155" s="64">
        <f>IF($B155="","",IFERROR(BDP($B155&amp;" Action","CP036"),""))</f>
        <v/>
      </c>
      <c r="D155" s="65">
        <f>Database!Q155</f>
        <v/>
      </c>
      <c r="E155" s="64">
        <f>IF($B155="","",IFERROR(BDP($B155&amp;" Action","CP037"),""))</f>
        <v/>
      </c>
      <c r="F155" s="65">
        <f>Database!R155</f>
        <v/>
      </c>
      <c r="G155" s="64">
        <f>IF($B155="","",IFERROR(BDP($B155&amp;" Action","GREENSHOE_FACILITY"),""))</f>
        <v/>
      </c>
      <c r="H155" s="64">
        <f>IF($B155="","",IFERROR(BDP($B155&amp;" Action","OFFERING_GREENSHOE_SHARES_EX"),""))</f>
        <v/>
      </c>
      <c r="I155" s="4">
        <f>Database!V155</f>
        <v/>
      </c>
      <c r="J155" s="21">
        <f>IFERROR(BDP(Database!$A155&amp;" HK Equity","PE_RATIO"),"")</f>
        <v/>
      </c>
      <c r="K155" s="6">
        <f>IFERROR(BDP(Database!$A155&amp;" HK Equity","A/H_SHARE_CONVERSION"),"")</f>
        <v/>
      </c>
      <c r="L155" s="4">
        <f>IF(Database!AL155="","(none found)",Database!AL155)</f>
        <v/>
      </c>
      <c r="M155" s="9">
        <f>IFERROR(BDH(Database!$A155&amp;" HK Equity","CUR_MKT_CAP",Database!$G155,Database!$G155)/1000000,"")</f>
        <v/>
      </c>
      <c r="N155" s="63">
        <f>Database!O155</f>
        <v/>
      </c>
      <c r="O155" s="21">
        <f>IFERROR(BDH(Database!$A155&amp;" HK Equity","PE_RATIO",Database!$G155,Database!$G155),"")</f>
        <v/>
      </c>
      <c r="P155" s="60">
        <f>IF(Database!AI155="","(n/m or not derivable)",Database!AI155)</f>
        <v/>
      </c>
    </row>
    <row r="156">
      <c r="A156" s="4">
        <f>Database!A156&amp;"  "&amp;Database!B156</f>
        <v/>
      </c>
      <c r="B156" s="6">
        <f>IFERROR(INDEX(BDS(Database!$A156&amp;" HK Equity","EQUITY_OFFERINGS","array=t","endcol=1"),MATCH("IPO",BDS(Database!$A156&amp;" HK Equity","EQUITY_OFFERINGS","array=t","startcol=2","endcol=2"),0)),"")</f>
        <v/>
      </c>
      <c r="C156" s="64">
        <f>IF($B156="","",IFERROR(BDP($B156&amp;" Action","CP036"),""))</f>
        <v/>
      </c>
      <c r="D156" s="65">
        <f>Database!Q156</f>
        <v/>
      </c>
      <c r="E156" s="64">
        <f>IF($B156="","",IFERROR(BDP($B156&amp;" Action","CP037"),""))</f>
        <v/>
      </c>
      <c r="F156" s="65">
        <f>Database!R156</f>
        <v/>
      </c>
      <c r="G156" s="64">
        <f>IF($B156="","",IFERROR(BDP($B156&amp;" Action","GREENSHOE_FACILITY"),""))</f>
        <v/>
      </c>
      <c r="H156" s="64">
        <f>IF($B156="","",IFERROR(BDP($B156&amp;" Action","OFFERING_GREENSHOE_SHARES_EX"),""))</f>
        <v/>
      </c>
      <c r="I156" s="4">
        <f>Database!V156</f>
        <v/>
      </c>
      <c r="J156" s="21">
        <f>IFERROR(BDP(Database!$A156&amp;" HK Equity","PE_RATIO"),"")</f>
        <v/>
      </c>
      <c r="K156" s="6">
        <f>IFERROR(BDP(Database!$A156&amp;" HK Equity","A/H_SHARE_CONVERSION"),"")</f>
        <v/>
      </c>
      <c r="L156" s="4">
        <f>IF(Database!AL156="","(none found)",Database!AL156)</f>
        <v/>
      </c>
      <c r="M156" s="9">
        <f>IFERROR(BDH(Database!$A156&amp;" HK Equity","CUR_MKT_CAP",Database!$G156,Database!$G156)/1000000,"")</f>
        <v/>
      </c>
      <c r="N156" s="63">
        <f>Database!O156</f>
        <v/>
      </c>
      <c r="O156" s="21">
        <f>IFERROR(BDH(Database!$A156&amp;" HK Equity","PE_RATIO",Database!$G156,Database!$G156),"")</f>
        <v/>
      </c>
      <c r="P156" s="60">
        <f>IF(Database!AI156="","(n/m or not derivable)",Database!AI156)</f>
        <v/>
      </c>
    </row>
    <row r="157">
      <c r="A157" s="4">
        <f>Database!A157&amp;"  "&amp;Database!B157</f>
        <v/>
      </c>
      <c r="B157" s="6">
        <f>IFERROR(INDEX(BDS(Database!$A157&amp;" HK Equity","EQUITY_OFFERINGS","array=t","endcol=1"),MATCH("IPO",BDS(Database!$A157&amp;" HK Equity","EQUITY_OFFERINGS","array=t","startcol=2","endcol=2"),0)),"")</f>
        <v/>
      </c>
      <c r="C157" s="64">
        <f>IF($B157="","",IFERROR(BDP($B157&amp;" Action","CP036"),""))</f>
        <v/>
      </c>
      <c r="D157" s="65">
        <f>Database!Q157</f>
        <v/>
      </c>
      <c r="E157" s="64">
        <f>IF($B157="","",IFERROR(BDP($B157&amp;" Action","CP037"),""))</f>
        <v/>
      </c>
      <c r="F157" s="65">
        <f>Database!R157</f>
        <v/>
      </c>
      <c r="G157" s="64">
        <f>IF($B157="","",IFERROR(BDP($B157&amp;" Action","GREENSHOE_FACILITY"),""))</f>
        <v/>
      </c>
      <c r="H157" s="64">
        <f>IF($B157="","",IFERROR(BDP($B157&amp;" Action","OFFERING_GREENSHOE_SHARES_EX"),""))</f>
        <v/>
      </c>
      <c r="I157" s="4">
        <f>Database!V157</f>
        <v/>
      </c>
      <c r="J157" s="21">
        <f>IFERROR(BDP(Database!$A157&amp;" HK Equity","PE_RATIO"),"")</f>
        <v/>
      </c>
      <c r="K157" s="6">
        <f>IFERROR(BDP(Database!$A157&amp;" HK Equity","A/H_SHARE_CONVERSION"),"")</f>
        <v/>
      </c>
      <c r="L157" s="4">
        <f>IF(Database!AL157="","(none found)",Database!AL157)</f>
        <v/>
      </c>
      <c r="M157" s="9">
        <f>IFERROR(BDH(Database!$A157&amp;" HK Equity","CUR_MKT_CAP",Database!$G157,Database!$G157)/1000000,"")</f>
        <v/>
      </c>
      <c r="N157" s="63">
        <f>Database!O157</f>
        <v/>
      </c>
      <c r="O157" s="21">
        <f>IFERROR(BDH(Database!$A157&amp;" HK Equity","PE_RATIO",Database!$G157,Database!$G157),"")</f>
        <v/>
      </c>
      <c r="P157" s="60">
        <f>IF(Database!AI157="","(n/m or not derivable)",Database!AI157)</f>
        <v/>
      </c>
    </row>
    <row r="158">
      <c r="A158" s="4">
        <f>Database!A158&amp;"  "&amp;Database!B158</f>
        <v/>
      </c>
      <c r="B158" s="6">
        <f>IFERROR(INDEX(BDS(Database!$A158&amp;" HK Equity","EQUITY_OFFERINGS","array=t","endcol=1"),MATCH("IPO",BDS(Database!$A158&amp;" HK Equity","EQUITY_OFFERINGS","array=t","startcol=2","endcol=2"),0)),"")</f>
        <v/>
      </c>
      <c r="C158" s="64">
        <f>IF($B158="","",IFERROR(BDP($B158&amp;" Action","CP036"),""))</f>
        <v/>
      </c>
      <c r="D158" s="65">
        <f>Database!Q158</f>
        <v/>
      </c>
      <c r="E158" s="64">
        <f>IF($B158="","",IFERROR(BDP($B158&amp;" Action","CP037"),""))</f>
        <v/>
      </c>
      <c r="F158" s="65">
        <f>Database!R158</f>
        <v/>
      </c>
      <c r="G158" s="64">
        <f>IF($B158="","",IFERROR(BDP($B158&amp;" Action","GREENSHOE_FACILITY"),""))</f>
        <v/>
      </c>
      <c r="H158" s="64">
        <f>IF($B158="","",IFERROR(BDP($B158&amp;" Action","OFFERING_GREENSHOE_SHARES_EX"),""))</f>
        <v/>
      </c>
      <c r="I158" s="4">
        <f>Database!V158</f>
        <v/>
      </c>
      <c r="J158" s="21">
        <f>IFERROR(BDP(Database!$A158&amp;" HK Equity","PE_RATIO"),"")</f>
        <v/>
      </c>
      <c r="K158" s="6">
        <f>IFERROR(BDP(Database!$A158&amp;" HK Equity","A/H_SHARE_CONVERSION"),"")</f>
        <v/>
      </c>
      <c r="L158" s="4">
        <f>IF(Database!AL158="","(none found)",Database!AL158)</f>
        <v/>
      </c>
      <c r="M158" s="9">
        <f>IFERROR(BDH(Database!$A158&amp;" HK Equity","CUR_MKT_CAP",Database!$G158,Database!$G158)/1000000,"")</f>
        <v/>
      </c>
      <c r="N158" s="63">
        <f>Database!O158</f>
        <v/>
      </c>
      <c r="O158" s="21">
        <f>IFERROR(BDH(Database!$A158&amp;" HK Equity","PE_RATIO",Database!$G158,Database!$G158),"")</f>
        <v/>
      </c>
      <c r="P158" s="60">
        <f>IF(Database!AI158="","(n/m or not derivable)",Database!AI158)</f>
        <v/>
      </c>
    </row>
    <row r="159">
      <c r="A159" s="4">
        <f>Database!A159&amp;"  "&amp;Database!B159</f>
        <v/>
      </c>
      <c r="B159" s="6">
        <f>IFERROR(INDEX(BDS(Database!$A159&amp;" HK Equity","EQUITY_OFFERINGS","array=t","endcol=1"),MATCH("IPO",BDS(Database!$A159&amp;" HK Equity","EQUITY_OFFERINGS","array=t","startcol=2","endcol=2"),0)),"")</f>
        <v/>
      </c>
      <c r="C159" s="64">
        <f>IF($B159="","",IFERROR(BDP($B159&amp;" Action","CP036"),""))</f>
        <v/>
      </c>
      <c r="D159" s="65">
        <f>Database!Q159</f>
        <v/>
      </c>
      <c r="E159" s="64">
        <f>IF($B159="","",IFERROR(BDP($B159&amp;" Action","CP037"),""))</f>
        <v/>
      </c>
      <c r="F159" s="65">
        <f>Database!R159</f>
        <v/>
      </c>
      <c r="G159" s="64">
        <f>IF($B159="","",IFERROR(BDP($B159&amp;" Action","GREENSHOE_FACILITY"),""))</f>
        <v/>
      </c>
      <c r="H159" s="64">
        <f>IF($B159="","",IFERROR(BDP($B159&amp;" Action","OFFERING_GREENSHOE_SHARES_EX"),""))</f>
        <v/>
      </c>
      <c r="I159" s="4">
        <f>Database!V159</f>
        <v/>
      </c>
      <c r="J159" s="21">
        <f>IFERROR(BDP(Database!$A159&amp;" HK Equity","PE_RATIO"),"")</f>
        <v/>
      </c>
      <c r="K159" s="6">
        <f>IFERROR(BDP(Database!$A159&amp;" HK Equity","A/H_SHARE_CONVERSION"),"")</f>
        <v/>
      </c>
      <c r="L159" s="4">
        <f>IF(Database!AL159="","(none found)",Database!AL159)</f>
        <v/>
      </c>
      <c r="M159" s="9">
        <f>IFERROR(BDH(Database!$A159&amp;" HK Equity","CUR_MKT_CAP",Database!$G159,Database!$G159)/1000000,"")</f>
        <v/>
      </c>
      <c r="N159" s="63">
        <f>Database!O159</f>
        <v/>
      </c>
      <c r="O159" s="21">
        <f>IFERROR(BDH(Database!$A159&amp;" HK Equity","PE_RATIO",Database!$G159,Database!$G159),"")</f>
        <v/>
      </c>
      <c r="P159" s="60">
        <f>IF(Database!AI159="","(n/m or not derivable)",Database!AI159)</f>
        <v/>
      </c>
    </row>
    <row r="160">
      <c r="A160" s="4">
        <f>Database!A160&amp;"  "&amp;Database!B160</f>
        <v/>
      </c>
      <c r="B160" s="6">
        <f>IFERROR(INDEX(BDS(Database!$A160&amp;" HK Equity","EQUITY_OFFERINGS","array=t","endcol=1"),MATCH("IPO",BDS(Database!$A160&amp;" HK Equity","EQUITY_OFFERINGS","array=t","startcol=2","endcol=2"),0)),"")</f>
        <v/>
      </c>
      <c r="C160" s="64">
        <f>IF($B160="","",IFERROR(BDP($B160&amp;" Action","CP036"),""))</f>
        <v/>
      </c>
      <c r="D160" s="65">
        <f>Database!Q160</f>
        <v/>
      </c>
      <c r="E160" s="64">
        <f>IF($B160="","",IFERROR(BDP($B160&amp;" Action","CP037"),""))</f>
        <v/>
      </c>
      <c r="F160" s="65">
        <f>Database!R160</f>
        <v/>
      </c>
      <c r="G160" s="64">
        <f>IF($B160="","",IFERROR(BDP($B160&amp;" Action","GREENSHOE_FACILITY"),""))</f>
        <v/>
      </c>
      <c r="H160" s="64">
        <f>IF($B160="","",IFERROR(BDP($B160&amp;" Action","OFFERING_GREENSHOE_SHARES_EX"),""))</f>
        <v/>
      </c>
      <c r="I160" s="4">
        <f>Database!V160</f>
        <v/>
      </c>
      <c r="J160" s="21">
        <f>IFERROR(BDP(Database!$A160&amp;" HK Equity","PE_RATIO"),"")</f>
        <v/>
      </c>
      <c r="K160" s="6">
        <f>IFERROR(BDP(Database!$A160&amp;" HK Equity","A/H_SHARE_CONVERSION"),"")</f>
        <v/>
      </c>
      <c r="L160" s="4">
        <f>IF(Database!AL160="","(none found)",Database!AL160)</f>
        <v/>
      </c>
      <c r="M160" s="9">
        <f>IFERROR(BDH(Database!$A160&amp;" HK Equity","CUR_MKT_CAP",Database!$G160,Database!$G160)/1000000,"")</f>
        <v/>
      </c>
      <c r="N160" s="63">
        <f>Database!O160</f>
        <v/>
      </c>
      <c r="O160" s="21">
        <f>IFERROR(BDH(Database!$A160&amp;" HK Equity","PE_RATIO",Database!$G160,Database!$G160),"")</f>
        <v/>
      </c>
      <c r="P160" s="60">
        <f>IF(Database!AI160="","(n/m or not derivable)",Database!AI160)</f>
        <v/>
      </c>
    </row>
    <row r="161">
      <c r="A161" s="4">
        <f>Database!A161&amp;"  "&amp;Database!B161</f>
        <v/>
      </c>
      <c r="B161" s="6">
        <f>IFERROR(INDEX(BDS(Database!$A161&amp;" HK Equity","EQUITY_OFFERINGS","array=t","endcol=1"),MATCH("IPO",BDS(Database!$A161&amp;" HK Equity","EQUITY_OFFERINGS","array=t","startcol=2","endcol=2"),0)),"")</f>
        <v/>
      </c>
      <c r="C161" s="64">
        <f>IF($B161="","",IFERROR(BDP($B161&amp;" Action","CP036"),""))</f>
        <v/>
      </c>
      <c r="D161" s="65">
        <f>Database!Q161</f>
        <v/>
      </c>
      <c r="E161" s="64">
        <f>IF($B161="","",IFERROR(BDP($B161&amp;" Action","CP037"),""))</f>
        <v/>
      </c>
      <c r="F161" s="65">
        <f>Database!R161</f>
        <v/>
      </c>
      <c r="G161" s="64">
        <f>IF($B161="","",IFERROR(BDP($B161&amp;" Action","GREENSHOE_FACILITY"),""))</f>
        <v/>
      </c>
      <c r="H161" s="64">
        <f>IF($B161="","",IFERROR(BDP($B161&amp;" Action","OFFERING_GREENSHOE_SHARES_EX"),""))</f>
        <v/>
      </c>
      <c r="I161" s="4">
        <f>Database!V161</f>
        <v/>
      </c>
      <c r="J161" s="21">
        <f>IFERROR(BDP(Database!$A161&amp;" HK Equity","PE_RATIO"),"")</f>
        <v/>
      </c>
      <c r="K161" s="6">
        <f>IFERROR(BDP(Database!$A161&amp;" HK Equity","A/H_SHARE_CONVERSION"),"")</f>
        <v/>
      </c>
      <c r="L161" s="4">
        <f>IF(Database!AL161="","(none found)",Database!AL161)</f>
        <v/>
      </c>
      <c r="M161" s="9">
        <f>IFERROR(BDH(Database!$A161&amp;" HK Equity","CUR_MKT_CAP",Database!$G161,Database!$G161)/1000000,"")</f>
        <v/>
      </c>
      <c r="N161" s="63">
        <f>Database!O161</f>
        <v/>
      </c>
      <c r="O161" s="21">
        <f>IFERROR(BDH(Database!$A161&amp;" HK Equity","PE_RATIO",Database!$G161,Database!$G161),"")</f>
        <v/>
      </c>
      <c r="P161" s="60">
        <f>IF(Database!AI161="","(n/m or not derivable)",Database!AI161)</f>
        <v/>
      </c>
    </row>
    <row r="162">
      <c r="A162" s="4">
        <f>Database!A162&amp;"  "&amp;Database!B162</f>
        <v/>
      </c>
      <c r="B162" s="6">
        <f>IFERROR(INDEX(BDS(Database!$A162&amp;" HK Equity","EQUITY_OFFERINGS","array=t","endcol=1"),MATCH("IPO",BDS(Database!$A162&amp;" HK Equity","EQUITY_OFFERINGS","array=t","startcol=2","endcol=2"),0)),"")</f>
        <v/>
      </c>
      <c r="C162" s="64">
        <f>IF($B162="","",IFERROR(BDP($B162&amp;" Action","CP036"),""))</f>
        <v/>
      </c>
      <c r="D162" s="65">
        <f>Database!Q162</f>
        <v/>
      </c>
      <c r="E162" s="64">
        <f>IF($B162="","",IFERROR(BDP($B162&amp;" Action","CP037"),""))</f>
        <v/>
      </c>
      <c r="F162" s="65">
        <f>Database!R162</f>
        <v/>
      </c>
      <c r="G162" s="64">
        <f>IF($B162="","",IFERROR(BDP($B162&amp;" Action","GREENSHOE_FACILITY"),""))</f>
        <v/>
      </c>
      <c r="H162" s="64">
        <f>IF($B162="","",IFERROR(BDP($B162&amp;" Action","OFFERING_GREENSHOE_SHARES_EX"),""))</f>
        <v/>
      </c>
      <c r="I162" s="4">
        <f>Database!V162</f>
        <v/>
      </c>
      <c r="J162" s="21">
        <f>IFERROR(BDP(Database!$A162&amp;" HK Equity","PE_RATIO"),"")</f>
        <v/>
      </c>
      <c r="K162" s="6">
        <f>IFERROR(BDP(Database!$A162&amp;" HK Equity","A/H_SHARE_CONVERSION"),"")</f>
        <v/>
      </c>
      <c r="L162" s="4">
        <f>IF(Database!AL162="","(none found)",Database!AL162)</f>
        <v/>
      </c>
      <c r="M162" s="9">
        <f>IFERROR(BDH(Database!$A162&amp;" HK Equity","CUR_MKT_CAP",Database!$G162,Database!$G162)/1000000,"")</f>
        <v/>
      </c>
      <c r="N162" s="63">
        <f>Database!O162</f>
        <v/>
      </c>
      <c r="O162" s="21">
        <f>IFERROR(BDH(Database!$A162&amp;" HK Equity","PE_RATIO",Database!$G162,Database!$G162),"")</f>
        <v/>
      </c>
      <c r="P162" s="60">
        <f>IF(Database!AI162="","(n/m or not derivable)",Database!AI162)</f>
        <v/>
      </c>
    </row>
    <row r="163">
      <c r="A163" s="4">
        <f>Database!A163&amp;"  "&amp;Database!B163</f>
        <v/>
      </c>
      <c r="B163" s="6">
        <f>IFERROR(INDEX(BDS(Database!$A163&amp;" HK Equity","EQUITY_OFFERINGS","array=t","endcol=1"),MATCH("IPO",BDS(Database!$A163&amp;" HK Equity","EQUITY_OFFERINGS","array=t","startcol=2","endcol=2"),0)),"")</f>
        <v/>
      </c>
      <c r="C163" s="64">
        <f>IF($B163="","",IFERROR(BDP($B163&amp;" Action","CP036"),""))</f>
        <v/>
      </c>
      <c r="D163" s="65">
        <f>Database!Q163</f>
        <v/>
      </c>
      <c r="E163" s="64">
        <f>IF($B163="","",IFERROR(BDP($B163&amp;" Action","CP037"),""))</f>
        <v/>
      </c>
      <c r="F163" s="65">
        <f>Database!R163</f>
        <v/>
      </c>
      <c r="G163" s="64">
        <f>IF($B163="","",IFERROR(BDP($B163&amp;" Action","GREENSHOE_FACILITY"),""))</f>
        <v/>
      </c>
      <c r="H163" s="64">
        <f>IF($B163="","",IFERROR(BDP($B163&amp;" Action","OFFERING_GREENSHOE_SHARES_EX"),""))</f>
        <v/>
      </c>
      <c r="I163" s="4">
        <f>Database!V163</f>
        <v/>
      </c>
      <c r="J163" s="21">
        <f>IFERROR(BDP(Database!$A163&amp;" HK Equity","PE_RATIO"),"")</f>
        <v/>
      </c>
      <c r="K163" s="6">
        <f>IFERROR(BDP(Database!$A163&amp;" HK Equity","A/H_SHARE_CONVERSION"),"")</f>
        <v/>
      </c>
      <c r="L163" s="4">
        <f>IF(Database!AL163="","(none found)",Database!AL163)</f>
        <v/>
      </c>
      <c r="M163" s="9">
        <f>IFERROR(BDH(Database!$A163&amp;" HK Equity","CUR_MKT_CAP",Database!$G163,Database!$G163)/1000000,"")</f>
        <v/>
      </c>
      <c r="N163" s="63">
        <f>Database!O163</f>
        <v/>
      </c>
      <c r="O163" s="21">
        <f>IFERROR(BDH(Database!$A163&amp;" HK Equity","PE_RATIO",Database!$G163,Database!$G163),"")</f>
        <v/>
      </c>
      <c r="P163" s="60">
        <f>IF(Database!AI163="","(n/m or not derivable)",Database!AI163)</f>
        <v/>
      </c>
    </row>
    <row r="164">
      <c r="A164" s="4">
        <f>Database!A164&amp;"  "&amp;Database!B164</f>
        <v/>
      </c>
      <c r="B164" s="6">
        <f>IFERROR(INDEX(BDS(Database!$A164&amp;" HK Equity","EQUITY_OFFERINGS","array=t","endcol=1"),MATCH("IPO",BDS(Database!$A164&amp;" HK Equity","EQUITY_OFFERINGS","array=t","startcol=2","endcol=2"),0)),"")</f>
        <v/>
      </c>
      <c r="C164" s="64">
        <f>IF($B164="","",IFERROR(BDP($B164&amp;" Action","CP036"),""))</f>
        <v/>
      </c>
      <c r="D164" s="65">
        <f>Database!Q164</f>
        <v/>
      </c>
      <c r="E164" s="64">
        <f>IF($B164="","",IFERROR(BDP($B164&amp;" Action","CP037"),""))</f>
        <v/>
      </c>
      <c r="F164" s="65">
        <f>Database!R164</f>
        <v/>
      </c>
      <c r="G164" s="64">
        <f>IF($B164="","",IFERROR(BDP($B164&amp;" Action","GREENSHOE_FACILITY"),""))</f>
        <v/>
      </c>
      <c r="H164" s="64">
        <f>IF($B164="","",IFERROR(BDP($B164&amp;" Action","OFFERING_GREENSHOE_SHARES_EX"),""))</f>
        <v/>
      </c>
      <c r="I164" s="4">
        <f>Database!V164</f>
        <v/>
      </c>
      <c r="J164" s="21">
        <f>IFERROR(BDP(Database!$A164&amp;" HK Equity","PE_RATIO"),"")</f>
        <v/>
      </c>
      <c r="K164" s="6">
        <f>IFERROR(BDP(Database!$A164&amp;" HK Equity","A/H_SHARE_CONVERSION"),"")</f>
        <v/>
      </c>
      <c r="L164" s="4">
        <f>IF(Database!AL164="","(none found)",Database!AL164)</f>
        <v/>
      </c>
      <c r="M164" s="9">
        <f>IFERROR(BDH(Database!$A164&amp;" HK Equity","CUR_MKT_CAP",Database!$G164,Database!$G164)/1000000,"")</f>
        <v/>
      </c>
      <c r="N164" s="63">
        <f>Database!O164</f>
        <v/>
      </c>
      <c r="O164" s="21">
        <f>IFERROR(BDH(Database!$A164&amp;" HK Equity","PE_RATIO",Database!$G164,Database!$G164),"")</f>
        <v/>
      </c>
      <c r="P164" s="60">
        <f>IF(Database!AI164="","(n/m or not derivable)",Database!AI164)</f>
        <v/>
      </c>
    </row>
    <row r="165">
      <c r="A165" s="4">
        <f>Database!A165&amp;"  "&amp;Database!B165</f>
        <v/>
      </c>
      <c r="B165" s="6">
        <f>IFERROR(INDEX(BDS(Database!$A165&amp;" HK Equity","EQUITY_OFFERINGS","array=t","endcol=1"),MATCH("IPO",BDS(Database!$A165&amp;" HK Equity","EQUITY_OFFERINGS","array=t","startcol=2","endcol=2"),0)),"")</f>
        <v/>
      </c>
      <c r="C165" s="64">
        <f>IF($B165="","",IFERROR(BDP($B165&amp;" Action","CP036"),""))</f>
        <v/>
      </c>
      <c r="D165" s="65">
        <f>Database!Q165</f>
        <v/>
      </c>
      <c r="E165" s="64">
        <f>IF($B165="","",IFERROR(BDP($B165&amp;" Action","CP037"),""))</f>
        <v/>
      </c>
      <c r="F165" s="65">
        <f>Database!R165</f>
        <v/>
      </c>
      <c r="G165" s="64">
        <f>IF($B165="","",IFERROR(BDP($B165&amp;" Action","GREENSHOE_FACILITY"),""))</f>
        <v/>
      </c>
      <c r="H165" s="64">
        <f>IF($B165="","",IFERROR(BDP($B165&amp;" Action","OFFERING_GREENSHOE_SHARES_EX"),""))</f>
        <v/>
      </c>
      <c r="I165" s="4">
        <f>Database!V165</f>
        <v/>
      </c>
      <c r="J165" s="21">
        <f>IFERROR(BDP(Database!$A165&amp;" HK Equity","PE_RATIO"),"")</f>
        <v/>
      </c>
      <c r="K165" s="6">
        <f>IFERROR(BDP(Database!$A165&amp;" HK Equity","A/H_SHARE_CONVERSION"),"")</f>
        <v/>
      </c>
      <c r="L165" s="4">
        <f>IF(Database!AL165="","(none found)",Database!AL165)</f>
        <v/>
      </c>
      <c r="M165" s="9">
        <f>IFERROR(BDH(Database!$A165&amp;" HK Equity","CUR_MKT_CAP",Database!$G165,Database!$G165)/1000000,"")</f>
        <v/>
      </c>
      <c r="N165" s="63">
        <f>Database!O165</f>
        <v/>
      </c>
      <c r="O165" s="21">
        <f>IFERROR(BDH(Database!$A165&amp;" HK Equity","PE_RATIO",Database!$G165,Database!$G165),"")</f>
        <v/>
      </c>
      <c r="P165" s="60">
        <f>IF(Database!AI165="","(n/m or not derivable)",Database!AI165)</f>
        <v/>
      </c>
    </row>
    <row r="166">
      <c r="A166" s="4">
        <f>Database!A166&amp;"  "&amp;Database!B166</f>
        <v/>
      </c>
      <c r="B166" s="6">
        <f>IFERROR(INDEX(BDS(Database!$A166&amp;" HK Equity","EQUITY_OFFERINGS","array=t","endcol=1"),MATCH("IPO",BDS(Database!$A166&amp;" HK Equity","EQUITY_OFFERINGS","array=t","startcol=2","endcol=2"),0)),"")</f>
        <v/>
      </c>
      <c r="C166" s="64">
        <f>IF($B166="","",IFERROR(BDP($B166&amp;" Action","CP036"),""))</f>
        <v/>
      </c>
      <c r="D166" s="65">
        <f>Database!Q166</f>
        <v/>
      </c>
      <c r="E166" s="64">
        <f>IF($B166="","",IFERROR(BDP($B166&amp;" Action","CP037"),""))</f>
        <v/>
      </c>
      <c r="F166" s="65">
        <f>Database!R166</f>
        <v/>
      </c>
      <c r="G166" s="64">
        <f>IF($B166="","",IFERROR(BDP($B166&amp;" Action","GREENSHOE_FACILITY"),""))</f>
        <v/>
      </c>
      <c r="H166" s="64">
        <f>IF($B166="","",IFERROR(BDP($B166&amp;" Action","OFFERING_GREENSHOE_SHARES_EX"),""))</f>
        <v/>
      </c>
      <c r="I166" s="4">
        <f>Database!V166</f>
        <v/>
      </c>
      <c r="J166" s="21">
        <f>IFERROR(BDP(Database!$A166&amp;" HK Equity","PE_RATIO"),"")</f>
        <v/>
      </c>
      <c r="K166" s="6">
        <f>IFERROR(BDP(Database!$A166&amp;" HK Equity","A/H_SHARE_CONVERSION"),"")</f>
        <v/>
      </c>
      <c r="L166" s="4">
        <f>IF(Database!AL166="","(none found)",Database!AL166)</f>
        <v/>
      </c>
      <c r="M166" s="9">
        <f>IFERROR(BDH(Database!$A166&amp;" HK Equity","CUR_MKT_CAP",Database!$G166,Database!$G166)/1000000,"")</f>
        <v/>
      </c>
      <c r="N166" s="63">
        <f>Database!O166</f>
        <v/>
      </c>
      <c r="O166" s="21">
        <f>IFERROR(BDH(Database!$A166&amp;" HK Equity","PE_RATIO",Database!$G166,Database!$G166),"")</f>
        <v/>
      </c>
      <c r="P166" s="60">
        <f>IF(Database!AI166="","(n/m or not derivable)",Database!AI166)</f>
        <v/>
      </c>
    </row>
    <row r="167">
      <c r="A167" s="4">
        <f>Database!A167&amp;"  "&amp;Database!B167</f>
        <v/>
      </c>
      <c r="B167" s="6">
        <f>IFERROR(INDEX(BDS(Database!$A167&amp;" HK Equity","EQUITY_OFFERINGS","array=t","endcol=1"),MATCH("IPO",BDS(Database!$A167&amp;" HK Equity","EQUITY_OFFERINGS","array=t","startcol=2","endcol=2"),0)),"")</f>
        <v/>
      </c>
      <c r="C167" s="64">
        <f>IF($B167="","",IFERROR(BDP($B167&amp;" Action","CP036"),""))</f>
        <v/>
      </c>
      <c r="D167" s="65">
        <f>Database!Q167</f>
        <v/>
      </c>
      <c r="E167" s="64">
        <f>IF($B167="","",IFERROR(BDP($B167&amp;" Action","CP037"),""))</f>
        <v/>
      </c>
      <c r="F167" s="65">
        <f>Database!R167</f>
        <v/>
      </c>
      <c r="G167" s="64">
        <f>IF($B167="","",IFERROR(BDP($B167&amp;" Action","GREENSHOE_FACILITY"),""))</f>
        <v/>
      </c>
      <c r="H167" s="64">
        <f>IF($B167="","",IFERROR(BDP($B167&amp;" Action","OFFERING_GREENSHOE_SHARES_EX"),""))</f>
        <v/>
      </c>
      <c r="I167" s="4">
        <f>Database!V167</f>
        <v/>
      </c>
      <c r="J167" s="21">
        <f>IFERROR(BDP(Database!$A167&amp;" HK Equity","PE_RATIO"),"")</f>
        <v/>
      </c>
      <c r="K167" s="6">
        <f>IFERROR(BDP(Database!$A167&amp;" HK Equity","A/H_SHARE_CONVERSION"),"")</f>
        <v/>
      </c>
      <c r="L167" s="4">
        <f>IF(Database!AL167="","(none found)",Database!AL167)</f>
        <v/>
      </c>
      <c r="M167" s="9">
        <f>IFERROR(BDH(Database!$A167&amp;" HK Equity","CUR_MKT_CAP",Database!$G167,Database!$G167)/1000000,"")</f>
        <v/>
      </c>
      <c r="N167" s="63">
        <f>Database!O167</f>
        <v/>
      </c>
      <c r="O167" s="21">
        <f>IFERROR(BDH(Database!$A167&amp;" HK Equity","PE_RATIO",Database!$G167,Database!$G167),"")</f>
        <v/>
      </c>
      <c r="P167" s="60">
        <f>IF(Database!AI167="","(n/m or not derivable)",Database!AI167)</f>
        <v/>
      </c>
    </row>
    <row r="168">
      <c r="A168" s="4">
        <f>Database!A168&amp;"  "&amp;Database!B168</f>
        <v/>
      </c>
      <c r="B168" s="6">
        <f>IFERROR(INDEX(BDS(Database!$A168&amp;" HK Equity","EQUITY_OFFERINGS","array=t","endcol=1"),MATCH("IPO",BDS(Database!$A168&amp;" HK Equity","EQUITY_OFFERINGS","array=t","startcol=2","endcol=2"),0)),"")</f>
        <v/>
      </c>
      <c r="C168" s="64">
        <f>IF($B168="","",IFERROR(BDP($B168&amp;" Action","CP036"),""))</f>
        <v/>
      </c>
      <c r="D168" s="65">
        <f>Database!Q168</f>
        <v/>
      </c>
      <c r="E168" s="64">
        <f>IF($B168="","",IFERROR(BDP($B168&amp;" Action","CP037"),""))</f>
        <v/>
      </c>
      <c r="F168" s="65">
        <f>Database!R168</f>
        <v/>
      </c>
      <c r="G168" s="64">
        <f>IF($B168="","",IFERROR(BDP($B168&amp;" Action","GREENSHOE_FACILITY"),""))</f>
        <v/>
      </c>
      <c r="H168" s="64">
        <f>IF($B168="","",IFERROR(BDP($B168&amp;" Action","OFFERING_GREENSHOE_SHARES_EX"),""))</f>
        <v/>
      </c>
      <c r="I168" s="4">
        <f>Database!V168</f>
        <v/>
      </c>
      <c r="J168" s="21">
        <f>IFERROR(BDP(Database!$A168&amp;" HK Equity","PE_RATIO"),"")</f>
        <v/>
      </c>
      <c r="K168" s="6">
        <f>IFERROR(BDP(Database!$A168&amp;" HK Equity","A/H_SHARE_CONVERSION"),"")</f>
        <v/>
      </c>
      <c r="L168" s="4">
        <f>IF(Database!AL168="","(none found)",Database!AL168)</f>
        <v/>
      </c>
      <c r="M168" s="9">
        <f>IFERROR(BDH(Database!$A168&amp;" HK Equity","CUR_MKT_CAP",Database!$G168,Database!$G168)/1000000,"")</f>
        <v/>
      </c>
      <c r="N168" s="63">
        <f>Database!O168</f>
        <v/>
      </c>
      <c r="O168" s="21">
        <f>IFERROR(BDH(Database!$A168&amp;" HK Equity","PE_RATIO",Database!$G168,Database!$G168),"")</f>
        <v/>
      </c>
      <c r="P168" s="60">
        <f>IF(Database!AI168="","(n/m or not derivable)",Database!AI168)</f>
        <v/>
      </c>
    </row>
    <row r="169">
      <c r="A169" s="4">
        <f>Database!A169&amp;"  "&amp;Database!B169</f>
        <v/>
      </c>
      <c r="B169" s="6">
        <f>IFERROR(INDEX(BDS(Database!$A169&amp;" HK Equity","EQUITY_OFFERINGS","array=t","endcol=1"),MATCH("IPO",BDS(Database!$A169&amp;" HK Equity","EQUITY_OFFERINGS","array=t","startcol=2","endcol=2"),0)),"")</f>
        <v/>
      </c>
      <c r="C169" s="64">
        <f>IF($B169="","",IFERROR(BDP($B169&amp;" Action","CP036"),""))</f>
        <v/>
      </c>
      <c r="D169" s="65">
        <f>Database!Q169</f>
        <v/>
      </c>
      <c r="E169" s="64">
        <f>IF($B169="","",IFERROR(BDP($B169&amp;" Action","CP037"),""))</f>
        <v/>
      </c>
      <c r="F169" s="65">
        <f>Database!R169</f>
        <v/>
      </c>
      <c r="G169" s="64">
        <f>IF($B169="","",IFERROR(BDP($B169&amp;" Action","GREENSHOE_FACILITY"),""))</f>
        <v/>
      </c>
      <c r="H169" s="64">
        <f>IF($B169="","",IFERROR(BDP($B169&amp;" Action","OFFERING_GREENSHOE_SHARES_EX"),""))</f>
        <v/>
      </c>
      <c r="I169" s="4">
        <f>Database!V169</f>
        <v/>
      </c>
      <c r="J169" s="21">
        <f>IFERROR(BDP(Database!$A169&amp;" HK Equity","PE_RATIO"),"")</f>
        <v/>
      </c>
      <c r="K169" s="6">
        <f>IFERROR(BDP(Database!$A169&amp;" HK Equity","A/H_SHARE_CONVERSION"),"")</f>
        <v/>
      </c>
      <c r="L169" s="4">
        <f>IF(Database!AL169="","(none found)",Database!AL169)</f>
        <v/>
      </c>
      <c r="M169" s="9">
        <f>IFERROR(BDH(Database!$A169&amp;" HK Equity","CUR_MKT_CAP",Database!$G169,Database!$G169)/1000000,"")</f>
        <v/>
      </c>
      <c r="N169" s="63">
        <f>Database!O169</f>
        <v/>
      </c>
      <c r="O169" s="21">
        <f>IFERROR(BDH(Database!$A169&amp;" HK Equity","PE_RATIO",Database!$G169,Database!$G169),"")</f>
        <v/>
      </c>
      <c r="P169" s="60">
        <f>IF(Database!AI169="","(n/m or not derivable)",Database!AI169)</f>
        <v/>
      </c>
    </row>
    <row r="170">
      <c r="A170" s="4">
        <f>Database!A170&amp;"  "&amp;Database!B170</f>
        <v/>
      </c>
      <c r="B170" s="6">
        <f>IFERROR(INDEX(BDS(Database!$A170&amp;" HK Equity","EQUITY_OFFERINGS","array=t","endcol=1"),MATCH("IPO",BDS(Database!$A170&amp;" HK Equity","EQUITY_OFFERINGS","array=t","startcol=2","endcol=2"),0)),"")</f>
        <v/>
      </c>
      <c r="C170" s="64">
        <f>IF($B170="","",IFERROR(BDP($B170&amp;" Action","CP036"),""))</f>
        <v/>
      </c>
      <c r="D170" s="65">
        <f>Database!Q170</f>
        <v/>
      </c>
      <c r="E170" s="64">
        <f>IF($B170="","",IFERROR(BDP($B170&amp;" Action","CP037"),""))</f>
        <v/>
      </c>
      <c r="F170" s="65">
        <f>Database!R170</f>
        <v/>
      </c>
      <c r="G170" s="64">
        <f>IF($B170="","",IFERROR(BDP($B170&amp;" Action","GREENSHOE_FACILITY"),""))</f>
        <v/>
      </c>
      <c r="H170" s="64">
        <f>IF($B170="","",IFERROR(BDP($B170&amp;" Action","OFFERING_GREENSHOE_SHARES_EX"),""))</f>
        <v/>
      </c>
      <c r="I170" s="4">
        <f>Database!V170</f>
        <v/>
      </c>
      <c r="J170" s="21">
        <f>IFERROR(BDP(Database!$A170&amp;" HK Equity","PE_RATIO"),"")</f>
        <v/>
      </c>
      <c r="K170" s="6">
        <f>IFERROR(BDP(Database!$A170&amp;" HK Equity","A/H_SHARE_CONVERSION"),"")</f>
        <v/>
      </c>
      <c r="L170" s="4">
        <f>IF(Database!AL170="","(none found)",Database!AL170)</f>
        <v/>
      </c>
      <c r="M170" s="9">
        <f>IFERROR(BDH(Database!$A170&amp;" HK Equity","CUR_MKT_CAP",Database!$G170,Database!$G170)/1000000,"")</f>
        <v/>
      </c>
      <c r="N170" s="63">
        <f>Database!O170</f>
        <v/>
      </c>
      <c r="O170" s="21">
        <f>IFERROR(BDH(Database!$A170&amp;" HK Equity","PE_RATIO",Database!$G170,Database!$G170),"")</f>
        <v/>
      </c>
      <c r="P170" s="60">
        <f>IF(Database!AI170="","(n/m or not derivable)",Database!AI170)</f>
        <v/>
      </c>
    </row>
    <row r="171">
      <c r="A171" s="4">
        <f>Database!A171&amp;"  "&amp;Database!B171</f>
        <v/>
      </c>
      <c r="B171" s="6">
        <f>IFERROR(INDEX(BDS(Database!$A171&amp;" HK Equity","EQUITY_OFFERINGS","array=t","endcol=1"),MATCH("IPO",BDS(Database!$A171&amp;" HK Equity","EQUITY_OFFERINGS","array=t","startcol=2","endcol=2"),0)),"")</f>
        <v/>
      </c>
      <c r="C171" s="64">
        <f>IF($B171="","",IFERROR(BDP($B171&amp;" Action","CP036"),""))</f>
        <v/>
      </c>
      <c r="D171" s="65">
        <f>Database!Q171</f>
        <v/>
      </c>
      <c r="E171" s="64">
        <f>IF($B171="","",IFERROR(BDP($B171&amp;" Action","CP037"),""))</f>
        <v/>
      </c>
      <c r="F171" s="65">
        <f>Database!R171</f>
        <v/>
      </c>
      <c r="G171" s="64">
        <f>IF($B171="","",IFERROR(BDP($B171&amp;" Action","GREENSHOE_FACILITY"),""))</f>
        <v/>
      </c>
      <c r="H171" s="64">
        <f>IF($B171="","",IFERROR(BDP($B171&amp;" Action","OFFERING_GREENSHOE_SHARES_EX"),""))</f>
        <v/>
      </c>
      <c r="I171" s="4">
        <f>Database!V171</f>
        <v/>
      </c>
      <c r="J171" s="21">
        <f>IFERROR(BDP(Database!$A171&amp;" HK Equity","PE_RATIO"),"")</f>
        <v/>
      </c>
      <c r="K171" s="6">
        <f>IFERROR(BDP(Database!$A171&amp;" HK Equity","A/H_SHARE_CONVERSION"),"")</f>
        <v/>
      </c>
      <c r="L171" s="4">
        <f>IF(Database!AL171="","(none found)",Database!AL171)</f>
        <v/>
      </c>
      <c r="M171" s="9">
        <f>IFERROR(BDH(Database!$A171&amp;" HK Equity","CUR_MKT_CAP",Database!$G171,Database!$G171)/1000000,"")</f>
        <v/>
      </c>
      <c r="N171" s="63">
        <f>Database!O171</f>
        <v/>
      </c>
      <c r="O171" s="21">
        <f>IFERROR(BDH(Database!$A171&amp;" HK Equity","PE_RATIO",Database!$G171,Database!$G171),"")</f>
        <v/>
      </c>
      <c r="P171" s="60">
        <f>IF(Database!AI171="","(n/m or not derivable)",Database!AI171)</f>
        <v/>
      </c>
    </row>
    <row r="172">
      <c r="A172" s="4">
        <f>Database!A172&amp;"  "&amp;Database!B172</f>
        <v/>
      </c>
      <c r="B172" s="6">
        <f>IFERROR(INDEX(BDS(Database!$A172&amp;" HK Equity","EQUITY_OFFERINGS","array=t","endcol=1"),MATCH("IPO",BDS(Database!$A172&amp;" HK Equity","EQUITY_OFFERINGS","array=t","startcol=2","endcol=2"),0)),"")</f>
        <v/>
      </c>
      <c r="C172" s="64">
        <f>IF($B172="","",IFERROR(BDP($B172&amp;" Action","CP036"),""))</f>
        <v/>
      </c>
      <c r="D172" s="65">
        <f>Database!Q172</f>
        <v/>
      </c>
      <c r="E172" s="64">
        <f>IF($B172="","",IFERROR(BDP($B172&amp;" Action","CP037"),""))</f>
        <v/>
      </c>
      <c r="F172" s="65">
        <f>Database!R172</f>
        <v/>
      </c>
      <c r="G172" s="64">
        <f>IF($B172="","",IFERROR(BDP($B172&amp;" Action","GREENSHOE_FACILITY"),""))</f>
        <v/>
      </c>
      <c r="H172" s="64">
        <f>IF($B172="","",IFERROR(BDP($B172&amp;" Action","OFFERING_GREENSHOE_SHARES_EX"),""))</f>
        <v/>
      </c>
      <c r="I172" s="4">
        <f>Database!V172</f>
        <v/>
      </c>
      <c r="J172" s="21">
        <f>IFERROR(BDP(Database!$A172&amp;" HK Equity","PE_RATIO"),"")</f>
        <v/>
      </c>
      <c r="K172" s="6">
        <f>IFERROR(BDP(Database!$A172&amp;" HK Equity","A/H_SHARE_CONVERSION"),"")</f>
        <v/>
      </c>
      <c r="L172" s="4">
        <f>IF(Database!AL172="","(none found)",Database!AL172)</f>
        <v/>
      </c>
      <c r="M172" s="9">
        <f>IFERROR(BDH(Database!$A172&amp;" HK Equity","CUR_MKT_CAP",Database!$G172,Database!$G172)/1000000,"")</f>
        <v/>
      </c>
      <c r="N172" s="63">
        <f>Database!O172</f>
        <v/>
      </c>
      <c r="O172" s="21">
        <f>IFERROR(BDH(Database!$A172&amp;" HK Equity","PE_RATIO",Database!$G172,Database!$G172),"")</f>
        <v/>
      </c>
      <c r="P172" s="60">
        <f>IF(Database!AI172="","(n/m or not derivable)",Database!AI172)</f>
        <v/>
      </c>
    </row>
    <row r="173">
      <c r="A173" s="4">
        <f>Database!A173&amp;"  "&amp;Database!B173</f>
        <v/>
      </c>
      <c r="B173" s="6">
        <f>IFERROR(INDEX(BDS(Database!$A173&amp;" HK Equity","EQUITY_OFFERINGS","array=t","endcol=1"),MATCH("IPO",BDS(Database!$A173&amp;" HK Equity","EQUITY_OFFERINGS","array=t","startcol=2","endcol=2"),0)),"")</f>
        <v/>
      </c>
      <c r="C173" s="64">
        <f>IF($B173="","",IFERROR(BDP($B173&amp;" Action","CP036"),""))</f>
        <v/>
      </c>
      <c r="D173" s="65">
        <f>Database!Q173</f>
        <v/>
      </c>
      <c r="E173" s="64">
        <f>IF($B173="","",IFERROR(BDP($B173&amp;" Action","CP037"),""))</f>
        <v/>
      </c>
      <c r="F173" s="65">
        <f>Database!R173</f>
        <v/>
      </c>
      <c r="G173" s="64">
        <f>IF($B173="","",IFERROR(BDP($B173&amp;" Action","GREENSHOE_FACILITY"),""))</f>
        <v/>
      </c>
      <c r="H173" s="64">
        <f>IF($B173="","",IFERROR(BDP($B173&amp;" Action","OFFERING_GREENSHOE_SHARES_EX"),""))</f>
        <v/>
      </c>
      <c r="I173" s="4">
        <f>Database!V173</f>
        <v/>
      </c>
      <c r="J173" s="21">
        <f>IFERROR(BDP(Database!$A173&amp;" HK Equity","PE_RATIO"),"")</f>
        <v/>
      </c>
      <c r="K173" s="6">
        <f>IFERROR(BDP(Database!$A173&amp;" HK Equity","A/H_SHARE_CONVERSION"),"")</f>
        <v/>
      </c>
      <c r="L173" s="4">
        <f>IF(Database!AL173="","(none found)",Database!AL173)</f>
        <v/>
      </c>
      <c r="M173" s="9">
        <f>IFERROR(BDH(Database!$A173&amp;" HK Equity","CUR_MKT_CAP",Database!$G173,Database!$G173)/1000000,"")</f>
        <v/>
      </c>
      <c r="N173" s="63">
        <f>Database!O173</f>
        <v/>
      </c>
      <c r="O173" s="21">
        <f>IFERROR(BDH(Database!$A173&amp;" HK Equity","PE_RATIO",Database!$G173,Database!$G173),"")</f>
        <v/>
      </c>
      <c r="P173" s="60">
        <f>IF(Database!AI173="","(n/m or not derivable)",Database!AI173)</f>
        <v/>
      </c>
    </row>
    <row r="174">
      <c r="A174" s="4">
        <f>Database!A174&amp;"  "&amp;Database!B174</f>
        <v/>
      </c>
      <c r="B174" s="6">
        <f>IFERROR(INDEX(BDS(Database!$A174&amp;" HK Equity","EQUITY_OFFERINGS","array=t","endcol=1"),MATCH("IPO",BDS(Database!$A174&amp;" HK Equity","EQUITY_OFFERINGS","array=t","startcol=2","endcol=2"),0)),"")</f>
        <v/>
      </c>
      <c r="C174" s="64">
        <f>IF($B174="","",IFERROR(BDP($B174&amp;" Action","CP036"),""))</f>
        <v/>
      </c>
      <c r="D174" s="65">
        <f>Database!Q174</f>
        <v/>
      </c>
      <c r="E174" s="64">
        <f>IF($B174="","",IFERROR(BDP($B174&amp;" Action","CP037"),""))</f>
        <v/>
      </c>
      <c r="F174" s="65">
        <f>Database!R174</f>
        <v/>
      </c>
      <c r="G174" s="64">
        <f>IF($B174="","",IFERROR(BDP($B174&amp;" Action","GREENSHOE_FACILITY"),""))</f>
        <v/>
      </c>
      <c r="H174" s="64">
        <f>IF($B174="","",IFERROR(BDP($B174&amp;" Action","OFFERING_GREENSHOE_SHARES_EX"),""))</f>
        <v/>
      </c>
      <c r="I174" s="4">
        <f>Database!V174</f>
        <v/>
      </c>
      <c r="J174" s="21">
        <f>IFERROR(BDP(Database!$A174&amp;" HK Equity","PE_RATIO"),"")</f>
        <v/>
      </c>
      <c r="K174" s="6">
        <f>IFERROR(BDP(Database!$A174&amp;" HK Equity","A/H_SHARE_CONVERSION"),"")</f>
        <v/>
      </c>
      <c r="L174" s="4">
        <f>IF(Database!AL174="","(none found)",Database!AL174)</f>
        <v/>
      </c>
      <c r="M174" s="9">
        <f>IFERROR(BDH(Database!$A174&amp;" HK Equity","CUR_MKT_CAP",Database!$G174,Database!$G174)/1000000,"")</f>
        <v/>
      </c>
      <c r="N174" s="63">
        <f>Database!O174</f>
        <v/>
      </c>
      <c r="O174" s="21">
        <f>IFERROR(BDH(Database!$A174&amp;" HK Equity","PE_RATIO",Database!$G174,Database!$G174),"")</f>
        <v/>
      </c>
      <c r="P174" s="60">
        <f>IF(Database!AI174="","(n/m or not derivable)",Database!AI174)</f>
        <v/>
      </c>
    </row>
    <row r="175">
      <c r="A175" s="4">
        <f>Database!A175&amp;"  "&amp;Database!B175</f>
        <v/>
      </c>
      <c r="B175" s="6">
        <f>IFERROR(INDEX(BDS(Database!$A175&amp;" HK Equity","EQUITY_OFFERINGS","array=t","endcol=1"),MATCH("IPO",BDS(Database!$A175&amp;" HK Equity","EQUITY_OFFERINGS","array=t","startcol=2","endcol=2"),0)),"")</f>
        <v/>
      </c>
      <c r="C175" s="64">
        <f>IF($B175="","",IFERROR(BDP($B175&amp;" Action","CP036"),""))</f>
        <v/>
      </c>
      <c r="D175" s="65">
        <f>Database!Q175</f>
        <v/>
      </c>
      <c r="E175" s="64">
        <f>IF($B175="","",IFERROR(BDP($B175&amp;" Action","CP037"),""))</f>
        <v/>
      </c>
      <c r="F175" s="65">
        <f>Database!R175</f>
        <v/>
      </c>
      <c r="G175" s="64">
        <f>IF($B175="","",IFERROR(BDP($B175&amp;" Action","GREENSHOE_FACILITY"),""))</f>
        <v/>
      </c>
      <c r="H175" s="64">
        <f>IF($B175="","",IFERROR(BDP($B175&amp;" Action","OFFERING_GREENSHOE_SHARES_EX"),""))</f>
        <v/>
      </c>
      <c r="I175" s="4">
        <f>Database!V175</f>
        <v/>
      </c>
      <c r="J175" s="21">
        <f>IFERROR(BDP(Database!$A175&amp;" HK Equity","PE_RATIO"),"")</f>
        <v/>
      </c>
      <c r="K175" s="6">
        <f>IFERROR(BDP(Database!$A175&amp;" HK Equity","A/H_SHARE_CONVERSION"),"")</f>
        <v/>
      </c>
      <c r="L175" s="4">
        <f>IF(Database!AL175="","(none found)",Database!AL175)</f>
        <v/>
      </c>
      <c r="M175" s="9">
        <f>IFERROR(BDH(Database!$A175&amp;" HK Equity","CUR_MKT_CAP",Database!$G175,Database!$G175)/1000000,"")</f>
        <v/>
      </c>
      <c r="N175" s="63">
        <f>Database!O175</f>
        <v/>
      </c>
      <c r="O175" s="21">
        <f>IFERROR(BDH(Database!$A175&amp;" HK Equity","PE_RATIO",Database!$G175,Database!$G175),"")</f>
        <v/>
      </c>
      <c r="P175" s="60">
        <f>IF(Database!AI175="","(n/m or not derivable)",Database!AI175)</f>
        <v/>
      </c>
    </row>
    <row r="176">
      <c r="A176" s="4">
        <f>Database!A176&amp;"  "&amp;Database!B176</f>
        <v/>
      </c>
      <c r="B176" s="6">
        <f>IFERROR(INDEX(BDS(Database!$A176&amp;" HK Equity","EQUITY_OFFERINGS","array=t","endcol=1"),MATCH("IPO",BDS(Database!$A176&amp;" HK Equity","EQUITY_OFFERINGS","array=t","startcol=2","endcol=2"),0)),"")</f>
        <v/>
      </c>
      <c r="C176" s="64">
        <f>IF($B176="","",IFERROR(BDP($B176&amp;" Action","CP036"),""))</f>
        <v/>
      </c>
      <c r="D176" s="65">
        <f>Database!Q176</f>
        <v/>
      </c>
      <c r="E176" s="64">
        <f>IF($B176="","",IFERROR(BDP($B176&amp;" Action","CP037"),""))</f>
        <v/>
      </c>
      <c r="F176" s="65">
        <f>Database!R176</f>
        <v/>
      </c>
      <c r="G176" s="64">
        <f>IF($B176="","",IFERROR(BDP($B176&amp;" Action","GREENSHOE_FACILITY"),""))</f>
        <v/>
      </c>
      <c r="H176" s="64">
        <f>IF($B176="","",IFERROR(BDP($B176&amp;" Action","OFFERING_GREENSHOE_SHARES_EX"),""))</f>
        <v/>
      </c>
      <c r="I176" s="4">
        <f>Database!V176</f>
        <v/>
      </c>
      <c r="J176" s="21">
        <f>IFERROR(BDP(Database!$A176&amp;" HK Equity","PE_RATIO"),"")</f>
        <v/>
      </c>
      <c r="K176" s="6">
        <f>IFERROR(BDP(Database!$A176&amp;" HK Equity","A/H_SHARE_CONVERSION"),"")</f>
        <v/>
      </c>
      <c r="L176" s="4">
        <f>IF(Database!AL176="","(none found)",Database!AL176)</f>
        <v/>
      </c>
      <c r="M176" s="9">
        <f>IFERROR(BDH(Database!$A176&amp;" HK Equity","CUR_MKT_CAP",Database!$G176,Database!$G176)/1000000,"")</f>
        <v/>
      </c>
      <c r="N176" s="63">
        <f>Database!O176</f>
        <v/>
      </c>
      <c r="O176" s="21">
        <f>IFERROR(BDH(Database!$A176&amp;" HK Equity","PE_RATIO",Database!$G176,Database!$G176),"")</f>
        <v/>
      </c>
      <c r="P176" s="60">
        <f>IF(Database!AI176="","(n/m or not derivable)",Database!AI176)</f>
        <v/>
      </c>
    </row>
    <row r="177">
      <c r="A177" s="4">
        <f>Database!A177&amp;"  "&amp;Database!B177</f>
        <v/>
      </c>
      <c r="B177" s="6">
        <f>IFERROR(INDEX(BDS(Database!$A177&amp;" HK Equity","EQUITY_OFFERINGS","array=t","endcol=1"),MATCH("IPO",BDS(Database!$A177&amp;" HK Equity","EQUITY_OFFERINGS","array=t","startcol=2","endcol=2"),0)),"")</f>
        <v/>
      </c>
      <c r="C177" s="64">
        <f>IF($B177="","",IFERROR(BDP($B177&amp;" Action","CP036"),""))</f>
        <v/>
      </c>
      <c r="D177" s="65">
        <f>Database!Q177</f>
        <v/>
      </c>
      <c r="E177" s="64">
        <f>IF($B177="","",IFERROR(BDP($B177&amp;" Action","CP037"),""))</f>
        <v/>
      </c>
      <c r="F177" s="65">
        <f>Database!R177</f>
        <v/>
      </c>
      <c r="G177" s="64">
        <f>IF($B177="","",IFERROR(BDP($B177&amp;" Action","GREENSHOE_FACILITY"),""))</f>
        <v/>
      </c>
      <c r="H177" s="64">
        <f>IF($B177="","",IFERROR(BDP($B177&amp;" Action","OFFERING_GREENSHOE_SHARES_EX"),""))</f>
        <v/>
      </c>
      <c r="I177" s="4">
        <f>Database!V177</f>
        <v/>
      </c>
      <c r="J177" s="21">
        <f>IFERROR(BDP(Database!$A177&amp;" HK Equity","PE_RATIO"),"")</f>
        <v/>
      </c>
      <c r="K177" s="6">
        <f>IFERROR(BDP(Database!$A177&amp;" HK Equity","A/H_SHARE_CONVERSION"),"")</f>
        <v/>
      </c>
      <c r="L177" s="4">
        <f>IF(Database!AL177="","(none found)",Database!AL177)</f>
        <v/>
      </c>
      <c r="M177" s="9">
        <f>IFERROR(BDH(Database!$A177&amp;" HK Equity","CUR_MKT_CAP",Database!$G177,Database!$G177)/1000000,"")</f>
        <v/>
      </c>
      <c r="N177" s="63">
        <f>Database!O177</f>
        <v/>
      </c>
      <c r="O177" s="21">
        <f>IFERROR(BDH(Database!$A177&amp;" HK Equity","PE_RATIO",Database!$G177,Database!$G177),"")</f>
        <v/>
      </c>
      <c r="P177" s="60">
        <f>IF(Database!AI177="","(n/m or not derivable)",Database!AI177)</f>
        <v/>
      </c>
    </row>
    <row r="178">
      <c r="A178" s="4">
        <f>Database!A178&amp;"  "&amp;Database!B178</f>
        <v/>
      </c>
      <c r="B178" s="6">
        <f>IFERROR(INDEX(BDS(Database!$A178&amp;" HK Equity","EQUITY_OFFERINGS","array=t","endcol=1"),MATCH("IPO",BDS(Database!$A178&amp;" HK Equity","EQUITY_OFFERINGS","array=t","startcol=2","endcol=2"),0)),"")</f>
        <v/>
      </c>
      <c r="C178" s="64">
        <f>IF($B178="","",IFERROR(BDP($B178&amp;" Action","CP036"),""))</f>
        <v/>
      </c>
      <c r="D178" s="65">
        <f>Database!Q178</f>
        <v/>
      </c>
      <c r="E178" s="64">
        <f>IF($B178="","",IFERROR(BDP($B178&amp;" Action","CP037"),""))</f>
        <v/>
      </c>
      <c r="F178" s="65">
        <f>Database!R178</f>
        <v/>
      </c>
      <c r="G178" s="64">
        <f>IF($B178="","",IFERROR(BDP($B178&amp;" Action","GREENSHOE_FACILITY"),""))</f>
        <v/>
      </c>
      <c r="H178" s="64">
        <f>IF($B178="","",IFERROR(BDP($B178&amp;" Action","OFFERING_GREENSHOE_SHARES_EX"),""))</f>
        <v/>
      </c>
      <c r="I178" s="4">
        <f>Database!V178</f>
        <v/>
      </c>
      <c r="J178" s="21">
        <f>IFERROR(BDP(Database!$A178&amp;" HK Equity","PE_RATIO"),"")</f>
        <v/>
      </c>
      <c r="K178" s="6">
        <f>IFERROR(BDP(Database!$A178&amp;" HK Equity","A/H_SHARE_CONVERSION"),"")</f>
        <v/>
      </c>
      <c r="L178" s="4">
        <f>IF(Database!AL178="","(none found)",Database!AL178)</f>
        <v/>
      </c>
      <c r="M178" s="9">
        <f>IFERROR(BDH(Database!$A178&amp;" HK Equity","CUR_MKT_CAP",Database!$G178,Database!$G178)/1000000,"")</f>
        <v/>
      </c>
      <c r="N178" s="63">
        <f>Database!O178</f>
        <v/>
      </c>
      <c r="O178" s="21">
        <f>IFERROR(BDH(Database!$A178&amp;" HK Equity","PE_RATIO",Database!$G178,Database!$G178),"")</f>
        <v/>
      </c>
      <c r="P178" s="60">
        <f>IF(Database!AI178="","(n/m or not derivable)",Database!AI178)</f>
        <v/>
      </c>
    </row>
    <row r="179">
      <c r="A179" s="4">
        <f>Database!A179&amp;"  "&amp;Database!B179</f>
        <v/>
      </c>
      <c r="B179" s="6">
        <f>IFERROR(INDEX(BDS(Database!$A179&amp;" HK Equity","EQUITY_OFFERINGS","array=t","endcol=1"),MATCH("IPO",BDS(Database!$A179&amp;" HK Equity","EQUITY_OFFERINGS","array=t","startcol=2","endcol=2"),0)),"")</f>
        <v/>
      </c>
      <c r="C179" s="64">
        <f>IF($B179="","",IFERROR(BDP($B179&amp;" Action","CP036"),""))</f>
        <v/>
      </c>
      <c r="D179" s="65">
        <f>Database!Q179</f>
        <v/>
      </c>
      <c r="E179" s="64">
        <f>IF($B179="","",IFERROR(BDP($B179&amp;" Action","CP037"),""))</f>
        <v/>
      </c>
      <c r="F179" s="65">
        <f>Database!R179</f>
        <v/>
      </c>
      <c r="G179" s="64">
        <f>IF($B179="","",IFERROR(BDP($B179&amp;" Action","GREENSHOE_FACILITY"),""))</f>
        <v/>
      </c>
      <c r="H179" s="64">
        <f>IF($B179="","",IFERROR(BDP($B179&amp;" Action","OFFERING_GREENSHOE_SHARES_EX"),""))</f>
        <v/>
      </c>
      <c r="I179" s="4">
        <f>Database!V179</f>
        <v/>
      </c>
      <c r="J179" s="21">
        <f>IFERROR(BDP(Database!$A179&amp;" HK Equity","PE_RATIO"),"")</f>
        <v/>
      </c>
      <c r="K179" s="6">
        <f>IFERROR(BDP(Database!$A179&amp;" HK Equity","A/H_SHARE_CONVERSION"),"")</f>
        <v/>
      </c>
      <c r="L179" s="4">
        <f>IF(Database!AL179="","(none found)",Database!AL179)</f>
        <v/>
      </c>
      <c r="M179" s="9">
        <f>IFERROR(BDH(Database!$A179&amp;" HK Equity","CUR_MKT_CAP",Database!$G179,Database!$G179)/1000000,"")</f>
        <v/>
      </c>
      <c r="N179" s="63">
        <f>Database!O179</f>
        <v/>
      </c>
      <c r="O179" s="21">
        <f>IFERROR(BDH(Database!$A179&amp;" HK Equity","PE_RATIO",Database!$G179,Database!$G179),"")</f>
        <v/>
      </c>
      <c r="P179" s="60">
        <f>IF(Database!AI179="","(n/m or not derivable)",Database!AI179)</f>
        <v/>
      </c>
    </row>
    <row r="180">
      <c r="A180" s="4">
        <f>Database!A180&amp;"  "&amp;Database!B180</f>
        <v/>
      </c>
      <c r="B180" s="6">
        <f>IFERROR(INDEX(BDS(Database!$A180&amp;" HK Equity","EQUITY_OFFERINGS","array=t","endcol=1"),MATCH("IPO",BDS(Database!$A180&amp;" HK Equity","EQUITY_OFFERINGS","array=t","startcol=2","endcol=2"),0)),"")</f>
        <v/>
      </c>
      <c r="C180" s="64">
        <f>IF($B180="","",IFERROR(BDP($B180&amp;" Action","CP036"),""))</f>
        <v/>
      </c>
      <c r="D180" s="65">
        <f>Database!Q180</f>
        <v/>
      </c>
      <c r="E180" s="64">
        <f>IF($B180="","",IFERROR(BDP($B180&amp;" Action","CP037"),""))</f>
        <v/>
      </c>
      <c r="F180" s="65">
        <f>Database!R180</f>
        <v/>
      </c>
      <c r="G180" s="64">
        <f>IF($B180="","",IFERROR(BDP($B180&amp;" Action","GREENSHOE_FACILITY"),""))</f>
        <v/>
      </c>
      <c r="H180" s="64">
        <f>IF($B180="","",IFERROR(BDP($B180&amp;" Action","OFFERING_GREENSHOE_SHARES_EX"),""))</f>
        <v/>
      </c>
      <c r="I180" s="4">
        <f>Database!V180</f>
        <v/>
      </c>
      <c r="J180" s="21">
        <f>IFERROR(BDP(Database!$A180&amp;" HK Equity","PE_RATIO"),"")</f>
        <v/>
      </c>
      <c r="K180" s="6">
        <f>IFERROR(BDP(Database!$A180&amp;" HK Equity","A/H_SHARE_CONVERSION"),"")</f>
        <v/>
      </c>
      <c r="L180" s="4">
        <f>IF(Database!AL180="","(none found)",Database!AL180)</f>
        <v/>
      </c>
      <c r="M180" s="9">
        <f>IFERROR(BDH(Database!$A180&amp;" HK Equity","CUR_MKT_CAP",Database!$G180,Database!$G180)/1000000,"")</f>
        <v/>
      </c>
      <c r="N180" s="63">
        <f>Database!O180</f>
        <v/>
      </c>
      <c r="O180" s="21">
        <f>IFERROR(BDH(Database!$A180&amp;" HK Equity","PE_RATIO",Database!$G180,Database!$G180),"")</f>
        <v/>
      </c>
      <c r="P180" s="60">
        <f>IF(Database!AI180="","(n/m or not derivable)",Database!AI180)</f>
        <v/>
      </c>
    </row>
    <row r="181">
      <c r="A181" s="4">
        <f>Database!A181&amp;"  "&amp;Database!B181</f>
        <v/>
      </c>
      <c r="B181" s="6">
        <f>IFERROR(INDEX(BDS(Database!$A181&amp;" HK Equity","EQUITY_OFFERINGS","array=t","endcol=1"),MATCH("IPO",BDS(Database!$A181&amp;" HK Equity","EQUITY_OFFERINGS","array=t","startcol=2","endcol=2"),0)),"")</f>
        <v/>
      </c>
      <c r="C181" s="64">
        <f>IF($B181="","",IFERROR(BDP($B181&amp;" Action","CP036"),""))</f>
        <v/>
      </c>
      <c r="D181" s="65">
        <f>Database!Q181</f>
        <v/>
      </c>
      <c r="E181" s="64">
        <f>IF($B181="","",IFERROR(BDP($B181&amp;" Action","CP037"),""))</f>
        <v/>
      </c>
      <c r="F181" s="65">
        <f>Database!R181</f>
        <v/>
      </c>
      <c r="G181" s="64">
        <f>IF($B181="","",IFERROR(BDP($B181&amp;" Action","GREENSHOE_FACILITY"),""))</f>
        <v/>
      </c>
      <c r="H181" s="64">
        <f>IF($B181="","",IFERROR(BDP($B181&amp;" Action","OFFERING_GREENSHOE_SHARES_EX"),""))</f>
        <v/>
      </c>
      <c r="I181" s="4">
        <f>Database!V181</f>
        <v/>
      </c>
      <c r="J181" s="21">
        <f>IFERROR(BDP(Database!$A181&amp;" HK Equity","PE_RATIO"),"")</f>
        <v/>
      </c>
      <c r="K181" s="6">
        <f>IFERROR(BDP(Database!$A181&amp;" HK Equity","A/H_SHARE_CONVERSION"),"")</f>
        <v/>
      </c>
      <c r="L181" s="4">
        <f>IF(Database!AL181="","(none found)",Database!AL181)</f>
        <v/>
      </c>
      <c r="M181" s="9">
        <f>IFERROR(BDH(Database!$A181&amp;" HK Equity","CUR_MKT_CAP",Database!$G181,Database!$G181)/1000000,"")</f>
        <v/>
      </c>
      <c r="N181" s="63">
        <f>Database!O181</f>
        <v/>
      </c>
      <c r="O181" s="21">
        <f>IFERROR(BDH(Database!$A181&amp;" HK Equity","PE_RATIO",Database!$G181,Database!$G181),"")</f>
        <v/>
      </c>
      <c r="P181" s="60">
        <f>IF(Database!AI181="","(n/m or not derivable)",Database!AI181)</f>
        <v/>
      </c>
    </row>
    <row r="182">
      <c r="A182" s="4">
        <f>Database!A182&amp;"  "&amp;Database!B182</f>
        <v/>
      </c>
      <c r="B182" s="6">
        <f>IFERROR(INDEX(BDS(Database!$A182&amp;" HK Equity","EQUITY_OFFERINGS","array=t","endcol=1"),MATCH("IPO",BDS(Database!$A182&amp;" HK Equity","EQUITY_OFFERINGS","array=t","startcol=2","endcol=2"),0)),"")</f>
        <v/>
      </c>
      <c r="C182" s="64">
        <f>IF($B182="","",IFERROR(BDP($B182&amp;" Action","CP036"),""))</f>
        <v/>
      </c>
      <c r="D182" s="65">
        <f>Database!Q182</f>
        <v/>
      </c>
      <c r="E182" s="64">
        <f>IF($B182="","",IFERROR(BDP($B182&amp;" Action","CP037"),""))</f>
        <v/>
      </c>
      <c r="F182" s="65">
        <f>Database!R182</f>
        <v/>
      </c>
      <c r="G182" s="64">
        <f>IF($B182="","",IFERROR(BDP($B182&amp;" Action","GREENSHOE_FACILITY"),""))</f>
        <v/>
      </c>
      <c r="H182" s="64">
        <f>IF($B182="","",IFERROR(BDP($B182&amp;" Action","OFFERING_GREENSHOE_SHARES_EX"),""))</f>
        <v/>
      </c>
      <c r="I182" s="4">
        <f>Database!V182</f>
        <v/>
      </c>
      <c r="J182" s="21">
        <f>IFERROR(BDP(Database!$A182&amp;" HK Equity","PE_RATIO"),"")</f>
        <v/>
      </c>
      <c r="K182" s="6">
        <f>IFERROR(BDP(Database!$A182&amp;" HK Equity","A/H_SHARE_CONVERSION"),"")</f>
        <v/>
      </c>
      <c r="L182" s="4">
        <f>IF(Database!AL182="","(none found)",Database!AL182)</f>
        <v/>
      </c>
      <c r="M182" s="9">
        <f>IFERROR(BDH(Database!$A182&amp;" HK Equity","CUR_MKT_CAP",Database!$G182,Database!$G182)/1000000,"")</f>
        <v/>
      </c>
      <c r="N182" s="63">
        <f>Database!O182</f>
        <v/>
      </c>
      <c r="O182" s="21">
        <f>IFERROR(BDH(Database!$A182&amp;" HK Equity","PE_RATIO",Database!$G182,Database!$G182),"")</f>
        <v/>
      </c>
      <c r="P182" s="60">
        <f>IF(Database!AI182="","(n/m or not derivable)",Database!AI182)</f>
        <v/>
      </c>
    </row>
    <row r="183">
      <c r="A183" s="4">
        <f>Database!A183&amp;"  "&amp;Database!B183</f>
        <v/>
      </c>
      <c r="B183" s="6">
        <f>IFERROR(INDEX(BDS(Database!$A183&amp;" HK Equity","EQUITY_OFFERINGS","array=t","endcol=1"),MATCH("IPO",BDS(Database!$A183&amp;" HK Equity","EQUITY_OFFERINGS","array=t","startcol=2","endcol=2"),0)),"")</f>
        <v/>
      </c>
      <c r="C183" s="64">
        <f>IF($B183="","",IFERROR(BDP($B183&amp;" Action","CP036"),""))</f>
        <v/>
      </c>
      <c r="D183" s="65">
        <f>Database!Q183</f>
        <v/>
      </c>
      <c r="E183" s="64">
        <f>IF($B183="","",IFERROR(BDP($B183&amp;" Action","CP037"),""))</f>
        <v/>
      </c>
      <c r="F183" s="65">
        <f>Database!R183</f>
        <v/>
      </c>
      <c r="G183" s="64">
        <f>IF($B183="","",IFERROR(BDP($B183&amp;" Action","GREENSHOE_FACILITY"),""))</f>
        <v/>
      </c>
      <c r="H183" s="64">
        <f>IF($B183="","",IFERROR(BDP($B183&amp;" Action","OFFERING_GREENSHOE_SHARES_EX"),""))</f>
        <v/>
      </c>
      <c r="I183" s="4">
        <f>Database!V183</f>
        <v/>
      </c>
      <c r="J183" s="21">
        <f>IFERROR(BDP(Database!$A183&amp;" HK Equity","PE_RATIO"),"")</f>
        <v/>
      </c>
      <c r="K183" s="6">
        <f>IFERROR(BDP(Database!$A183&amp;" HK Equity","A/H_SHARE_CONVERSION"),"")</f>
        <v/>
      </c>
      <c r="L183" s="4">
        <f>IF(Database!AL183="","(none found)",Database!AL183)</f>
        <v/>
      </c>
      <c r="M183" s="9">
        <f>IFERROR(BDH(Database!$A183&amp;" HK Equity","CUR_MKT_CAP",Database!$G183,Database!$G183)/1000000,"")</f>
        <v/>
      </c>
      <c r="N183" s="63">
        <f>Database!O183</f>
        <v/>
      </c>
      <c r="O183" s="21">
        <f>IFERROR(BDH(Database!$A183&amp;" HK Equity","PE_RATIO",Database!$G183,Database!$G183),"")</f>
        <v/>
      </c>
      <c r="P183" s="60">
        <f>IF(Database!AI183="","(n/m or not derivable)",Database!AI183)</f>
        <v/>
      </c>
    </row>
    <row r="184">
      <c r="A184" s="4">
        <f>Database!A184&amp;"  "&amp;Database!B184</f>
        <v/>
      </c>
      <c r="B184" s="6">
        <f>IFERROR(INDEX(BDS(Database!$A184&amp;" HK Equity","EQUITY_OFFERINGS","array=t","endcol=1"),MATCH("IPO",BDS(Database!$A184&amp;" HK Equity","EQUITY_OFFERINGS","array=t","startcol=2","endcol=2"),0)),"")</f>
        <v/>
      </c>
      <c r="C184" s="64">
        <f>IF($B184="","",IFERROR(BDP($B184&amp;" Action","CP036"),""))</f>
        <v/>
      </c>
      <c r="D184" s="65">
        <f>Database!Q184</f>
        <v/>
      </c>
      <c r="E184" s="64">
        <f>IF($B184="","",IFERROR(BDP($B184&amp;" Action","CP037"),""))</f>
        <v/>
      </c>
      <c r="F184" s="65">
        <f>Database!R184</f>
        <v/>
      </c>
      <c r="G184" s="64">
        <f>IF($B184="","",IFERROR(BDP($B184&amp;" Action","GREENSHOE_FACILITY"),""))</f>
        <v/>
      </c>
      <c r="H184" s="64">
        <f>IF($B184="","",IFERROR(BDP($B184&amp;" Action","OFFERING_GREENSHOE_SHARES_EX"),""))</f>
        <v/>
      </c>
      <c r="I184" s="4">
        <f>Database!V184</f>
        <v/>
      </c>
      <c r="J184" s="21">
        <f>IFERROR(BDP(Database!$A184&amp;" HK Equity","PE_RATIO"),"")</f>
        <v/>
      </c>
      <c r="K184" s="6">
        <f>IFERROR(BDP(Database!$A184&amp;" HK Equity","A/H_SHARE_CONVERSION"),"")</f>
        <v/>
      </c>
      <c r="L184" s="4">
        <f>IF(Database!AL184="","(none found)",Database!AL184)</f>
        <v/>
      </c>
      <c r="M184" s="9">
        <f>IFERROR(BDH(Database!$A184&amp;" HK Equity","CUR_MKT_CAP",Database!$G184,Database!$G184)/1000000,"")</f>
        <v/>
      </c>
      <c r="N184" s="63">
        <f>Database!O184</f>
        <v/>
      </c>
      <c r="O184" s="21">
        <f>IFERROR(BDH(Database!$A184&amp;" HK Equity","PE_RATIO",Database!$G184,Database!$G184),"")</f>
        <v/>
      </c>
      <c r="P184" s="60">
        <f>IF(Database!AI184="","(n/m or not derivable)",Database!AI184)</f>
        <v/>
      </c>
    </row>
    <row r="185">
      <c r="A185" s="4">
        <f>Database!A185&amp;"  "&amp;Database!B185</f>
        <v/>
      </c>
      <c r="B185" s="6">
        <f>IFERROR(INDEX(BDS(Database!$A185&amp;" HK Equity","EQUITY_OFFERINGS","array=t","endcol=1"),MATCH("IPO",BDS(Database!$A185&amp;" HK Equity","EQUITY_OFFERINGS","array=t","startcol=2","endcol=2"),0)),"")</f>
        <v/>
      </c>
      <c r="C185" s="64">
        <f>IF($B185="","",IFERROR(BDP($B185&amp;" Action","CP036"),""))</f>
        <v/>
      </c>
      <c r="D185" s="65">
        <f>Database!Q185</f>
        <v/>
      </c>
      <c r="E185" s="64">
        <f>IF($B185="","",IFERROR(BDP($B185&amp;" Action","CP037"),""))</f>
        <v/>
      </c>
      <c r="F185" s="65">
        <f>Database!R185</f>
        <v/>
      </c>
      <c r="G185" s="64">
        <f>IF($B185="","",IFERROR(BDP($B185&amp;" Action","GREENSHOE_FACILITY"),""))</f>
        <v/>
      </c>
      <c r="H185" s="64">
        <f>IF($B185="","",IFERROR(BDP($B185&amp;" Action","OFFERING_GREENSHOE_SHARES_EX"),""))</f>
        <v/>
      </c>
      <c r="I185" s="4">
        <f>Database!V185</f>
        <v/>
      </c>
      <c r="J185" s="21">
        <f>IFERROR(BDP(Database!$A185&amp;" HK Equity","PE_RATIO"),"")</f>
        <v/>
      </c>
      <c r="K185" s="6">
        <f>IFERROR(BDP(Database!$A185&amp;" HK Equity","A/H_SHARE_CONVERSION"),"")</f>
        <v/>
      </c>
      <c r="L185" s="4">
        <f>IF(Database!AL185="","(none found)",Database!AL185)</f>
        <v/>
      </c>
      <c r="M185" s="9">
        <f>IFERROR(BDH(Database!$A185&amp;" HK Equity","CUR_MKT_CAP",Database!$G185,Database!$G185)/1000000,"")</f>
        <v/>
      </c>
      <c r="N185" s="63">
        <f>Database!O185</f>
        <v/>
      </c>
      <c r="O185" s="21">
        <f>IFERROR(BDH(Database!$A185&amp;" HK Equity","PE_RATIO",Database!$G185,Database!$G185),"")</f>
        <v/>
      </c>
      <c r="P185" s="60">
        <f>IF(Database!AI185="","(n/m or not derivable)",Database!AI185)</f>
        <v/>
      </c>
    </row>
    <row r="186">
      <c r="A186" s="4">
        <f>Database!A186&amp;"  "&amp;Database!B186</f>
        <v/>
      </c>
      <c r="B186" s="6">
        <f>IFERROR(INDEX(BDS(Database!$A186&amp;" HK Equity","EQUITY_OFFERINGS","array=t","endcol=1"),MATCH("IPO",BDS(Database!$A186&amp;" HK Equity","EQUITY_OFFERINGS","array=t","startcol=2","endcol=2"),0)),"")</f>
        <v/>
      </c>
      <c r="C186" s="64">
        <f>IF($B186="","",IFERROR(BDP($B186&amp;" Action","CP036"),""))</f>
        <v/>
      </c>
      <c r="D186" s="65">
        <f>Database!Q186</f>
        <v/>
      </c>
      <c r="E186" s="64">
        <f>IF($B186="","",IFERROR(BDP($B186&amp;" Action","CP037"),""))</f>
        <v/>
      </c>
      <c r="F186" s="65">
        <f>Database!R186</f>
        <v/>
      </c>
      <c r="G186" s="64">
        <f>IF($B186="","",IFERROR(BDP($B186&amp;" Action","GREENSHOE_FACILITY"),""))</f>
        <v/>
      </c>
      <c r="H186" s="64">
        <f>IF($B186="","",IFERROR(BDP($B186&amp;" Action","OFFERING_GREENSHOE_SHARES_EX"),""))</f>
        <v/>
      </c>
      <c r="I186" s="4">
        <f>Database!V186</f>
        <v/>
      </c>
      <c r="J186" s="21">
        <f>IFERROR(BDP(Database!$A186&amp;" HK Equity","PE_RATIO"),"")</f>
        <v/>
      </c>
      <c r="K186" s="6">
        <f>IFERROR(BDP(Database!$A186&amp;" HK Equity","A/H_SHARE_CONVERSION"),"")</f>
        <v/>
      </c>
      <c r="L186" s="4">
        <f>IF(Database!AL186="","(none found)",Database!AL186)</f>
        <v/>
      </c>
      <c r="M186" s="9">
        <f>IFERROR(BDH(Database!$A186&amp;" HK Equity","CUR_MKT_CAP",Database!$G186,Database!$G186)/1000000,"")</f>
        <v/>
      </c>
      <c r="N186" s="63">
        <f>Database!O186</f>
        <v/>
      </c>
      <c r="O186" s="21">
        <f>IFERROR(BDH(Database!$A186&amp;" HK Equity","PE_RATIO",Database!$G186,Database!$G186),"")</f>
        <v/>
      </c>
      <c r="P186" s="60">
        <f>IF(Database!AI186="","(n/m or not derivable)",Database!AI186)</f>
        <v/>
      </c>
    </row>
    <row r="187">
      <c r="A187" s="4">
        <f>Database!A187&amp;"  "&amp;Database!B187</f>
        <v/>
      </c>
      <c r="B187" s="6">
        <f>IFERROR(INDEX(BDS(Database!$A187&amp;" HK Equity","EQUITY_OFFERINGS","array=t","endcol=1"),MATCH("IPO",BDS(Database!$A187&amp;" HK Equity","EQUITY_OFFERINGS","array=t","startcol=2","endcol=2"),0)),"")</f>
        <v/>
      </c>
      <c r="C187" s="64">
        <f>IF($B187="","",IFERROR(BDP($B187&amp;" Action","CP036"),""))</f>
        <v/>
      </c>
      <c r="D187" s="65">
        <f>Database!Q187</f>
        <v/>
      </c>
      <c r="E187" s="64">
        <f>IF($B187="","",IFERROR(BDP($B187&amp;" Action","CP037"),""))</f>
        <v/>
      </c>
      <c r="F187" s="65">
        <f>Database!R187</f>
        <v/>
      </c>
      <c r="G187" s="64">
        <f>IF($B187="","",IFERROR(BDP($B187&amp;" Action","GREENSHOE_FACILITY"),""))</f>
        <v/>
      </c>
      <c r="H187" s="64">
        <f>IF($B187="","",IFERROR(BDP($B187&amp;" Action","OFFERING_GREENSHOE_SHARES_EX"),""))</f>
        <v/>
      </c>
      <c r="I187" s="4">
        <f>Database!V187</f>
        <v/>
      </c>
      <c r="J187" s="21">
        <f>IFERROR(BDP(Database!$A187&amp;" HK Equity","PE_RATIO"),"")</f>
        <v/>
      </c>
      <c r="K187" s="6">
        <f>IFERROR(BDP(Database!$A187&amp;" HK Equity","A/H_SHARE_CONVERSION"),"")</f>
        <v/>
      </c>
      <c r="L187" s="4">
        <f>IF(Database!AL187="","(none found)",Database!AL187)</f>
        <v/>
      </c>
      <c r="M187" s="9">
        <f>IFERROR(BDH(Database!$A187&amp;" HK Equity","CUR_MKT_CAP",Database!$G187,Database!$G187)/1000000,"")</f>
        <v/>
      </c>
      <c r="N187" s="63">
        <f>Database!O187</f>
        <v/>
      </c>
      <c r="O187" s="21">
        <f>IFERROR(BDH(Database!$A187&amp;" HK Equity","PE_RATIO",Database!$G187,Database!$G187),"")</f>
        <v/>
      </c>
      <c r="P187" s="60">
        <f>IF(Database!AI187="","(n/m or not derivable)",Database!AI187)</f>
        <v/>
      </c>
    </row>
    <row r="188">
      <c r="A188" s="4">
        <f>Database!A188&amp;"  "&amp;Database!B188</f>
        <v/>
      </c>
      <c r="B188" s="6">
        <f>IFERROR(INDEX(BDS(Database!$A188&amp;" HK Equity","EQUITY_OFFERINGS","array=t","endcol=1"),MATCH("IPO",BDS(Database!$A188&amp;" HK Equity","EQUITY_OFFERINGS","array=t","startcol=2","endcol=2"),0)),"")</f>
        <v/>
      </c>
      <c r="C188" s="64">
        <f>IF($B188="","",IFERROR(BDP($B188&amp;" Action","CP036"),""))</f>
        <v/>
      </c>
      <c r="D188" s="65">
        <f>Database!Q188</f>
        <v/>
      </c>
      <c r="E188" s="64">
        <f>IF($B188="","",IFERROR(BDP($B188&amp;" Action","CP037"),""))</f>
        <v/>
      </c>
      <c r="F188" s="65">
        <f>Database!R188</f>
        <v/>
      </c>
      <c r="G188" s="64">
        <f>IF($B188="","",IFERROR(BDP($B188&amp;" Action","GREENSHOE_FACILITY"),""))</f>
        <v/>
      </c>
      <c r="H188" s="64">
        <f>IF($B188="","",IFERROR(BDP($B188&amp;" Action","OFFERING_GREENSHOE_SHARES_EX"),""))</f>
        <v/>
      </c>
      <c r="I188" s="4">
        <f>Database!V188</f>
        <v/>
      </c>
      <c r="J188" s="21">
        <f>IFERROR(BDP(Database!$A188&amp;" HK Equity","PE_RATIO"),"")</f>
        <v/>
      </c>
      <c r="K188" s="6">
        <f>IFERROR(BDP(Database!$A188&amp;" HK Equity","A/H_SHARE_CONVERSION"),"")</f>
        <v/>
      </c>
      <c r="L188" s="4">
        <f>IF(Database!AL188="","(none found)",Database!AL188)</f>
        <v/>
      </c>
      <c r="M188" s="9">
        <f>IFERROR(BDH(Database!$A188&amp;" HK Equity","CUR_MKT_CAP",Database!$G188,Database!$G188)/1000000,"")</f>
        <v/>
      </c>
      <c r="N188" s="63">
        <f>Database!O188</f>
        <v/>
      </c>
      <c r="O188" s="21">
        <f>IFERROR(BDH(Database!$A188&amp;" HK Equity","PE_RATIO",Database!$G188,Database!$G188),"")</f>
        <v/>
      </c>
      <c r="P188" s="60">
        <f>IF(Database!AI188="","(n/m or not derivable)",Database!AI188)</f>
        <v/>
      </c>
    </row>
    <row r="189">
      <c r="A189" s="4">
        <f>Database!A189&amp;"  "&amp;Database!B189</f>
        <v/>
      </c>
      <c r="B189" s="6">
        <f>IFERROR(INDEX(BDS(Database!$A189&amp;" HK Equity","EQUITY_OFFERINGS","array=t","endcol=1"),MATCH("IPO",BDS(Database!$A189&amp;" HK Equity","EQUITY_OFFERINGS","array=t","startcol=2","endcol=2"),0)),"")</f>
        <v/>
      </c>
      <c r="C189" s="64">
        <f>IF($B189="","",IFERROR(BDP($B189&amp;" Action","CP036"),""))</f>
        <v/>
      </c>
      <c r="D189" s="65">
        <f>Database!Q189</f>
        <v/>
      </c>
      <c r="E189" s="64">
        <f>IF($B189="","",IFERROR(BDP($B189&amp;" Action","CP037"),""))</f>
        <v/>
      </c>
      <c r="F189" s="65">
        <f>Database!R189</f>
        <v/>
      </c>
      <c r="G189" s="64">
        <f>IF($B189="","",IFERROR(BDP($B189&amp;" Action","GREENSHOE_FACILITY"),""))</f>
        <v/>
      </c>
      <c r="H189" s="64">
        <f>IF($B189="","",IFERROR(BDP($B189&amp;" Action","OFFERING_GREENSHOE_SHARES_EX"),""))</f>
        <v/>
      </c>
      <c r="I189" s="4">
        <f>Database!V189</f>
        <v/>
      </c>
      <c r="J189" s="21">
        <f>IFERROR(BDP(Database!$A189&amp;" HK Equity","PE_RATIO"),"")</f>
        <v/>
      </c>
      <c r="K189" s="6">
        <f>IFERROR(BDP(Database!$A189&amp;" HK Equity","A/H_SHARE_CONVERSION"),"")</f>
        <v/>
      </c>
      <c r="L189" s="4">
        <f>IF(Database!AL189="","(none found)",Database!AL189)</f>
        <v/>
      </c>
      <c r="M189" s="9">
        <f>IFERROR(BDH(Database!$A189&amp;" HK Equity","CUR_MKT_CAP",Database!$G189,Database!$G189)/1000000,"")</f>
        <v/>
      </c>
      <c r="N189" s="63">
        <f>Database!O189</f>
        <v/>
      </c>
      <c r="O189" s="21">
        <f>IFERROR(BDH(Database!$A189&amp;" HK Equity","PE_RATIO",Database!$G189,Database!$G189),"")</f>
        <v/>
      </c>
      <c r="P189" s="60">
        <f>IF(Database!AI189="","(n/m or not derivable)",Database!AI189)</f>
        <v/>
      </c>
    </row>
    <row r="190">
      <c r="A190" s="4">
        <f>Database!A190&amp;"  "&amp;Database!B190</f>
        <v/>
      </c>
      <c r="B190" s="6">
        <f>IFERROR(INDEX(BDS(Database!$A190&amp;" HK Equity","EQUITY_OFFERINGS","array=t","endcol=1"),MATCH("IPO",BDS(Database!$A190&amp;" HK Equity","EQUITY_OFFERINGS","array=t","startcol=2","endcol=2"),0)),"")</f>
        <v/>
      </c>
      <c r="C190" s="64">
        <f>IF($B190="","",IFERROR(BDP($B190&amp;" Action","CP036"),""))</f>
        <v/>
      </c>
      <c r="D190" s="65">
        <f>Database!Q190</f>
        <v/>
      </c>
      <c r="E190" s="64">
        <f>IF($B190="","",IFERROR(BDP($B190&amp;" Action","CP037"),""))</f>
        <v/>
      </c>
      <c r="F190" s="65">
        <f>Database!R190</f>
        <v/>
      </c>
      <c r="G190" s="64">
        <f>IF($B190="","",IFERROR(BDP($B190&amp;" Action","GREENSHOE_FACILITY"),""))</f>
        <v/>
      </c>
      <c r="H190" s="64">
        <f>IF($B190="","",IFERROR(BDP($B190&amp;" Action","OFFERING_GREENSHOE_SHARES_EX"),""))</f>
        <v/>
      </c>
      <c r="I190" s="4">
        <f>Database!V190</f>
        <v/>
      </c>
      <c r="J190" s="21">
        <f>IFERROR(BDP(Database!$A190&amp;" HK Equity","PE_RATIO"),"")</f>
        <v/>
      </c>
      <c r="K190" s="6">
        <f>IFERROR(BDP(Database!$A190&amp;" HK Equity","A/H_SHARE_CONVERSION"),"")</f>
        <v/>
      </c>
      <c r="L190" s="4">
        <f>IF(Database!AL190="","(none found)",Database!AL190)</f>
        <v/>
      </c>
      <c r="M190" s="9">
        <f>IFERROR(BDH(Database!$A190&amp;" HK Equity","CUR_MKT_CAP",Database!$G190,Database!$G190)/1000000,"")</f>
        <v/>
      </c>
      <c r="N190" s="63">
        <f>Database!O190</f>
        <v/>
      </c>
      <c r="O190" s="21">
        <f>IFERROR(BDH(Database!$A190&amp;" HK Equity","PE_RATIO",Database!$G190,Database!$G190),"")</f>
        <v/>
      </c>
      <c r="P190" s="60">
        <f>IF(Database!AI190="","(n/m or not derivable)",Database!AI190)</f>
        <v/>
      </c>
    </row>
    <row r="191">
      <c r="A191" s="4">
        <f>Database!A191&amp;"  "&amp;Database!B191</f>
        <v/>
      </c>
      <c r="B191" s="6">
        <f>IFERROR(INDEX(BDS(Database!$A191&amp;" HK Equity","EQUITY_OFFERINGS","array=t","endcol=1"),MATCH("IPO",BDS(Database!$A191&amp;" HK Equity","EQUITY_OFFERINGS","array=t","startcol=2","endcol=2"),0)),"")</f>
        <v/>
      </c>
      <c r="C191" s="64">
        <f>IF($B191="","",IFERROR(BDP($B191&amp;" Action","CP036"),""))</f>
        <v/>
      </c>
      <c r="D191" s="65">
        <f>Database!Q191</f>
        <v/>
      </c>
      <c r="E191" s="64">
        <f>IF($B191="","",IFERROR(BDP($B191&amp;" Action","CP037"),""))</f>
        <v/>
      </c>
      <c r="F191" s="65">
        <f>Database!R191</f>
        <v/>
      </c>
      <c r="G191" s="64">
        <f>IF($B191="","",IFERROR(BDP($B191&amp;" Action","GREENSHOE_FACILITY"),""))</f>
        <v/>
      </c>
      <c r="H191" s="64">
        <f>IF($B191="","",IFERROR(BDP($B191&amp;" Action","OFFERING_GREENSHOE_SHARES_EX"),""))</f>
        <v/>
      </c>
      <c r="I191" s="4">
        <f>Database!V191</f>
        <v/>
      </c>
      <c r="J191" s="21">
        <f>IFERROR(BDP(Database!$A191&amp;" HK Equity","PE_RATIO"),"")</f>
        <v/>
      </c>
      <c r="K191" s="6">
        <f>IFERROR(BDP(Database!$A191&amp;" HK Equity","A/H_SHARE_CONVERSION"),"")</f>
        <v/>
      </c>
      <c r="L191" s="4">
        <f>IF(Database!AL191="","(none found)",Database!AL191)</f>
        <v/>
      </c>
      <c r="M191" s="9">
        <f>IFERROR(BDH(Database!$A191&amp;" HK Equity","CUR_MKT_CAP",Database!$G191,Database!$G191)/1000000,"")</f>
        <v/>
      </c>
      <c r="N191" s="63">
        <f>Database!O191</f>
        <v/>
      </c>
      <c r="O191" s="21">
        <f>IFERROR(BDH(Database!$A191&amp;" HK Equity","PE_RATIO",Database!$G191,Database!$G191),"")</f>
        <v/>
      </c>
      <c r="P191" s="60">
        <f>IF(Database!AI191="","(n/m or not derivable)",Database!AI191)</f>
        <v/>
      </c>
    </row>
    <row r="192">
      <c r="A192" s="4">
        <f>Database!A192&amp;"  "&amp;Database!B192</f>
        <v/>
      </c>
      <c r="B192" s="6">
        <f>IFERROR(INDEX(BDS(Database!$A192&amp;" HK Equity","EQUITY_OFFERINGS","array=t","endcol=1"),MATCH("IPO",BDS(Database!$A192&amp;" HK Equity","EQUITY_OFFERINGS","array=t","startcol=2","endcol=2"),0)),"")</f>
        <v/>
      </c>
      <c r="C192" s="64">
        <f>IF($B192="","",IFERROR(BDP($B192&amp;" Action","CP036"),""))</f>
        <v/>
      </c>
      <c r="D192" s="65">
        <f>Database!Q192</f>
        <v/>
      </c>
      <c r="E192" s="64">
        <f>IF($B192="","",IFERROR(BDP($B192&amp;" Action","CP037"),""))</f>
        <v/>
      </c>
      <c r="F192" s="65">
        <f>Database!R192</f>
        <v/>
      </c>
      <c r="G192" s="64">
        <f>IF($B192="","",IFERROR(BDP($B192&amp;" Action","GREENSHOE_FACILITY"),""))</f>
        <v/>
      </c>
      <c r="H192" s="64">
        <f>IF($B192="","",IFERROR(BDP($B192&amp;" Action","OFFERING_GREENSHOE_SHARES_EX"),""))</f>
        <v/>
      </c>
      <c r="I192" s="4">
        <f>Database!V192</f>
        <v/>
      </c>
      <c r="J192" s="21">
        <f>IFERROR(BDP(Database!$A192&amp;" HK Equity","PE_RATIO"),"")</f>
        <v/>
      </c>
      <c r="K192" s="6">
        <f>IFERROR(BDP(Database!$A192&amp;" HK Equity","A/H_SHARE_CONVERSION"),"")</f>
        <v/>
      </c>
      <c r="L192" s="4">
        <f>IF(Database!AL192="","(none found)",Database!AL192)</f>
        <v/>
      </c>
      <c r="M192" s="9">
        <f>IFERROR(BDH(Database!$A192&amp;" HK Equity","CUR_MKT_CAP",Database!$G192,Database!$G192)/1000000,"")</f>
        <v/>
      </c>
      <c r="N192" s="63">
        <f>Database!O192</f>
        <v/>
      </c>
      <c r="O192" s="21">
        <f>IFERROR(BDH(Database!$A192&amp;" HK Equity","PE_RATIO",Database!$G192,Database!$G192),"")</f>
        <v/>
      </c>
      <c r="P192" s="60">
        <f>IF(Database!AI192="","(n/m or not derivable)",Database!AI192)</f>
        <v/>
      </c>
    </row>
    <row r="193">
      <c r="A193" s="4">
        <f>Database!A193&amp;"  "&amp;Database!B193</f>
        <v/>
      </c>
      <c r="B193" s="6">
        <f>IFERROR(INDEX(BDS(Database!$A193&amp;" HK Equity","EQUITY_OFFERINGS","array=t","endcol=1"),MATCH("IPO",BDS(Database!$A193&amp;" HK Equity","EQUITY_OFFERINGS","array=t","startcol=2","endcol=2"),0)),"")</f>
        <v/>
      </c>
      <c r="C193" s="64">
        <f>IF($B193="","",IFERROR(BDP($B193&amp;" Action","CP036"),""))</f>
        <v/>
      </c>
      <c r="D193" s="65">
        <f>Database!Q193</f>
        <v/>
      </c>
      <c r="E193" s="64">
        <f>IF($B193="","",IFERROR(BDP($B193&amp;" Action","CP037"),""))</f>
        <v/>
      </c>
      <c r="F193" s="65">
        <f>Database!R193</f>
        <v/>
      </c>
      <c r="G193" s="64">
        <f>IF($B193="","",IFERROR(BDP($B193&amp;" Action","GREENSHOE_FACILITY"),""))</f>
        <v/>
      </c>
      <c r="H193" s="64">
        <f>IF($B193="","",IFERROR(BDP($B193&amp;" Action","OFFERING_GREENSHOE_SHARES_EX"),""))</f>
        <v/>
      </c>
      <c r="I193" s="4">
        <f>Database!V193</f>
        <v/>
      </c>
      <c r="J193" s="21">
        <f>IFERROR(BDP(Database!$A193&amp;" HK Equity","PE_RATIO"),"")</f>
        <v/>
      </c>
      <c r="K193" s="6">
        <f>IFERROR(BDP(Database!$A193&amp;" HK Equity","A/H_SHARE_CONVERSION"),"")</f>
        <v/>
      </c>
      <c r="L193" s="4">
        <f>IF(Database!AL193="","(none found)",Database!AL193)</f>
        <v/>
      </c>
      <c r="M193" s="9">
        <f>IFERROR(BDH(Database!$A193&amp;" HK Equity","CUR_MKT_CAP",Database!$G193,Database!$G193)/1000000,"")</f>
        <v/>
      </c>
      <c r="N193" s="63">
        <f>Database!O193</f>
        <v/>
      </c>
      <c r="O193" s="21">
        <f>IFERROR(BDH(Database!$A193&amp;" HK Equity","PE_RATIO",Database!$G193,Database!$G193),"")</f>
        <v/>
      </c>
      <c r="P193" s="60">
        <f>IF(Database!AI193="","(n/m or not derivable)",Database!AI193)</f>
        <v/>
      </c>
    </row>
    <row r="194">
      <c r="A194" s="4">
        <f>Database!A194&amp;"  "&amp;Database!B194</f>
        <v/>
      </c>
      <c r="B194" s="6">
        <f>IFERROR(INDEX(BDS(Database!$A194&amp;" HK Equity","EQUITY_OFFERINGS","array=t","endcol=1"),MATCH("IPO",BDS(Database!$A194&amp;" HK Equity","EQUITY_OFFERINGS","array=t","startcol=2","endcol=2"),0)),"")</f>
        <v/>
      </c>
      <c r="C194" s="64">
        <f>IF($B194="","",IFERROR(BDP($B194&amp;" Action","CP036"),""))</f>
        <v/>
      </c>
      <c r="D194" s="65">
        <f>Database!Q194</f>
        <v/>
      </c>
      <c r="E194" s="64">
        <f>IF($B194="","",IFERROR(BDP($B194&amp;" Action","CP037"),""))</f>
        <v/>
      </c>
      <c r="F194" s="65">
        <f>Database!R194</f>
        <v/>
      </c>
      <c r="G194" s="64">
        <f>IF($B194="","",IFERROR(BDP($B194&amp;" Action","GREENSHOE_FACILITY"),""))</f>
        <v/>
      </c>
      <c r="H194" s="64">
        <f>IF($B194="","",IFERROR(BDP($B194&amp;" Action","OFFERING_GREENSHOE_SHARES_EX"),""))</f>
        <v/>
      </c>
      <c r="I194" s="4">
        <f>Database!V194</f>
        <v/>
      </c>
      <c r="J194" s="21">
        <f>IFERROR(BDP(Database!$A194&amp;" HK Equity","PE_RATIO"),"")</f>
        <v/>
      </c>
      <c r="K194" s="6">
        <f>IFERROR(BDP(Database!$A194&amp;" HK Equity","A/H_SHARE_CONVERSION"),"")</f>
        <v/>
      </c>
      <c r="L194" s="4">
        <f>IF(Database!AL194="","(none found)",Database!AL194)</f>
        <v/>
      </c>
      <c r="M194" s="9">
        <f>IFERROR(BDH(Database!$A194&amp;" HK Equity","CUR_MKT_CAP",Database!$G194,Database!$G194)/1000000,"")</f>
        <v/>
      </c>
      <c r="N194" s="63">
        <f>Database!O194</f>
        <v/>
      </c>
      <c r="O194" s="21">
        <f>IFERROR(BDH(Database!$A194&amp;" HK Equity","PE_RATIO",Database!$G194,Database!$G194),"")</f>
        <v/>
      </c>
      <c r="P194" s="60">
        <f>IF(Database!AI194="","(n/m or not derivable)",Database!AI194)</f>
        <v/>
      </c>
    </row>
    <row r="195">
      <c r="A195" s="4">
        <f>Database!A195&amp;"  "&amp;Database!B195</f>
        <v/>
      </c>
      <c r="B195" s="6">
        <f>IFERROR(INDEX(BDS(Database!$A195&amp;" HK Equity","EQUITY_OFFERINGS","array=t","endcol=1"),MATCH("IPO",BDS(Database!$A195&amp;" HK Equity","EQUITY_OFFERINGS","array=t","startcol=2","endcol=2"),0)),"")</f>
        <v/>
      </c>
      <c r="C195" s="64">
        <f>IF($B195="","",IFERROR(BDP($B195&amp;" Action","CP036"),""))</f>
        <v/>
      </c>
      <c r="D195" s="65">
        <f>Database!Q195</f>
        <v/>
      </c>
      <c r="E195" s="64">
        <f>IF($B195="","",IFERROR(BDP($B195&amp;" Action","CP037"),""))</f>
        <v/>
      </c>
      <c r="F195" s="65">
        <f>Database!R195</f>
        <v/>
      </c>
      <c r="G195" s="64">
        <f>IF($B195="","",IFERROR(BDP($B195&amp;" Action","GREENSHOE_FACILITY"),""))</f>
        <v/>
      </c>
      <c r="H195" s="64">
        <f>IF($B195="","",IFERROR(BDP($B195&amp;" Action","OFFERING_GREENSHOE_SHARES_EX"),""))</f>
        <v/>
      </c>
      <c r="I195" s="4">
        <f>Database!V195</f>
        <v/>
      </c>
      <c r="J195" s="21">
        <f>IFERROR(BDP(Database!$A195&amp;" HK Equity","PE_RATIO"),"")</f>
        <v/>
      </c>
      <c r="K195" s="6">
        <f>IFERROR(BDP(Database!$A195&amp;" HK Equity","A/H_SHARE_CONVERSION"),"")</f>
        <v/>
      </c>
      <c r="L195" s="4">
        <f>IF(Database!AL195="","(none found)",Database!AL195)</f>
        <v/>
      </c>
      <c r="M195" s="9">
        <f>IFERROR(BDH(Database!$A195&amp;" HK Equity","CUR_MKT_CAP",Database!$G195,Database!$G195)/1000000,"")</f>
        <v/>
      </c>
      <c r="N195" s="63">
        <f>Database!O195</f>
        <v/>
      </c>
      <c r="O195" s="21">
        <f>IFERROR(BDH(Database!$A195&amp;" HK Equity","PE_RATIO",Database!$G195,Database!$G195),"")</f>
        <v/>
      </c>
      <c r="P195" s="60">
        <f>IF(Database!AI195="","(n/m or not derivable)",Database!AI195)</f>
        <v/>
      </c>
    </row>
    <row r="196">
      <c r="A196" s="4">
        <f>Database!A196&amp;"  "&amp;Database!B196</f>
        <v/>
      </c>
      <c r="B196" s="6">
        <f>IFERROR(INDEX(BDS(Database!$A196&amp;" HK Equity","EQUITY_OFFERINGS","array=t","endcol=1"),MATCH("IPO",BDS(Database!$A196&amp;" HK Equity","EQUITY_OFFERINGS","array=t","startcol=2","endcol=2"),0)),"")</f>
        <v/>
      </c>
      <c r="C196" s="64">
        <f>IF($B196="","",IFERROR(BDP($B196&amp;" Action","CP036"),""))</f>
        <v/>
      </c>
      <c r="D196" s="65">
        <f>Database!Q196</f>
        <v/>
      </c>
      <c r="E196" s="64">
        <f>IF($B196="","",IFERROR(BDP($B196&amp;" Action","CP037"),""))</f>
        <v/>
      </c>
      <c r="F196" s="65">
        <f>Database!R196</f>
        <v/>
      </c>
      <c r="G196" s="64">
        <f>IF($B196="","",IFERROR(BDP($B196&amp;" Action","GREENSHOE_FACILITY"),""))</f>
        <v/>
      </c>
      <c r="H196" s="64">
        <f>IF($B196="","",IFERROR(BDP($B196&amp;" Action","OFFERING_GREENSHOE_SHARES_EX"),""))</f>
        <v/>
      </c>
      <c r="I196" s="4">
        <f>Database!V196</f>
        <v/>
      </c>
      <c r="J196" s="21">
        <f>IFERROR(BDP(Database!$A196&amp;" HK Equity","PE_RATIO"),"")</f>
        <v/>
      </c>
      <c r="K196" s="6">
        <f>IFERROR(BDP(Database!$A196&amp;" HK Equity","A/H_SHARE_CONVERSION"),"")</f>
        <v/>
      </c>
      <c r="L196" s="4">
        <f>IF(Database!AL196="","(none found)",Database!AL196)</f>
        <v/>
      </c>
      <c r="M196" s="9">
        <f>IFERROR(BDH(Database!$A196&amp;" HK Equity","CUR_MKT_CAP",Database!$G196,Database!$G196)/1000000,"")</f>
        <v/>
      </c>
      <c r="N196" s="63">
        <f>Database!O196</f>
        <v/>
      </c>
      <c r="O196" s="21">
        <f>IFERROR(BDH(Database!$A196&amp;" HK Equity","PE_RATIO",Database!$G196,Database!$G196),"")</f>
        <v/>
      </c>
      <c r="P196" s="60">
        <f>IF(Database!AI196="","(n/m or not derivable)",Database!AI196)</f>
        <v/>
      </c>
    </row>
    <row r="197">
      <c r="A197" s="4">
        <f>Database!A197&amp;"  "&amp;Database!B197</f>
        <v/>
      </c>
      <c r="B197" s="6">
        <f>IFERROR(INDEX(BDS(Database!$A197&amp;" HK Equity","EQUITY_OFFERINGS","array=t","endcol=1"),MATCH("IPO",BDS(Database!$A197&amp;" HK Equity","EQUITY_OFFERINGS","array=t","startcol=2","endcol=2"),0)),"")</f>
        <v/>
      </c>
      <c r="C197" s="64">
        <f>IF($B197="","",IFERROR(BDP($B197&amp;" Action","CP036"),""))</f>
        <v/>
      </c>
      <c r="D197" s="65">
        <f>Database!Q197</f>
        <v/>
      </c>
      <c r="E197" s="64">
        <f>IF($B197="","",IFERROR(BDP($B197&amp;" Action","CP037"),""))</f>
        <v/>
      </c>
      <c r="F197" s="65">
        <f>Database!R197</f>
        <v/>
      </c>
      <c r="G197" s="64">
        <f>IF($B197="","",IFERROR(BDP($B197&amp;" Action","GREENSHOE_FACILITY"),""))</f>
        <v/>
      </c>
      <c r="H197" s="64">
        <f>IF($B197="","",IFERROR(BDP($B197&amp;" Action","OFFERING_GREENSHOE_SHARES_EX"),""))</f>
        <v/>
      </c>
      <c r="I197" s="4">
        <f>Database!V197</f>
        <v/>
      </c>
      <c r="J197" s="21">
        <f>IFERROR(BDP(Database!$A197&amp;" HK Equity","PE_RATIO"),"")</f>
        <v/>
      </c>
      <c r="K197" s="6">
        <f>IFERROR(BDP(Database!$A197&amp;" HK Equity","A/H_SHARE_CONVERSION"),"")</f>
        <v/>
      </c>
      <c r="L197" s="4">
        <f>IF(Database!AL197="","(none found)",Database!AL197)</f>
        <v/>
      </c>
      <c r="M197" s="9">
        <f>IFERROR(BDH(Database!$A197&amp;" HK Equity","CUR_MKT_CAP",Database!$G197,Database!$G197)/1000000,"")</f>
        <v/>
      </c>
      <c r="N197" s="63">
        <f>Database!O197</f>
        <v/>
      </c>
      <c r="O197" s="21">
        <f>IFERROR(BDH(Database!$A197&amp;" HK Equity","PE_RATIO",Database!$G197,Database!$G197),"")</f>
        <v/>
      </c>
      <c r="P197" s="60">
        <f>IF(Database!AI197="","(n/m or not derivable)",Database!AI197)</f>
        <v/>
      </c>
    </row>
    <row r="198">
      <c r="A198" s="4">
        <f>Database!A198&amp;"  "&amp;Database!B198</f>
        <v/>
      </c>
      <c r="B198" s="6">
        <f>IFERROR(INDEX(BDS(Database!$A198&amp;" HK Equity","EQUITY_OFFERINGS","array=t","endcol=1"),MATCH("IPO",BDS(Database!$A198&amp;" HK Equity","EQUITY_OFFERINGS","array=t","startcol=2","endcol=2"),0)),"")</f>
        <v/>
      </c>
      <c r="C198" s="64">
        <f>IF($B198="","",IFERROR(BDP($B198&amp;" Action","CP036"),""))</f>
        <v/>
      </c>
      <c r="D198" s="65">
        <f>Database!Q198</f>
        <v/>
      </c>
      <c r="E198" s="64">
        <f>IF($B198="","",IFERROR(BDP($B198&amp;" Action","CP037"),""))</f>
        <v/>
      </c>
      <c r="F198" s="65">
        <f>Database!R198</f>
        <v/>
      </c>
      <c r="G198" s="64">
        <f>IF($B198="","",IFERROR(BDP($B198&amp;" Action","GREENSHOE_FACILITY"),""))</f>
        <v/>
      </c>
      <c r="H198" s="64">
        <f>IF($B198="","",IFERROR(BDP($B198&amp;" Action","OFFERING_GREENSHOE_SHARES_EX"),""))</f>
        <v/>
      </c>
      <c r="I198" s="4">
        <f>Database!V198</f>
        <v/>
      </c>
      <c r="J198" s="21">
        <f>IFERROR(BDP(Database!$A198&amp;" HK Equity","PE_RATIO"),"")</f>
        <v/>
      </c>
      <c r="K198" s="6">
        <f>IFERROR(BDP(Database!$A198&amp;" HK Equity","A/H_SHARE_CONVERSION"),"")</f>
        <v/>
      </c>
      <c r="L198" s="4">
        <f>IF(Database!AL198="","(none found)",Database!AL198)</f>
        <v/>
      </c>
      <c r="M198" s="9">
        <f>IFERROR(BDH(Database!$A198&amp;" HK Equity","CUR_MKT_CAP",Database!$G198,Database!$G198)/1000000,"")</f>
        <v/>
      </c>
      <c r="N198" s="63">
        <f>Database!O198</f>
        <v/>
      </c>
      <c r="O198" s="21">
        <f>IFERROR(BDH(Database!$A198&amp;" HK Equity","PE_RATIO",Database!$G198,Database!$G198),"")</f>
        <v/>
      </c>
      <c r="P198" s="60">
        <f>IF(Database!AI198="","(n/m or not derivable)",Database!AI198)</f>
        <v/>
      </c>
    </row>
    <row r="199">
      <c r="A199" s="4">
        <f>Database!A199&amp;"  "&amp;Database!B199</f>
        <v/>
      </c>
      <c r="B199" s="6">
        <f>IFERROR(INDEX(BDS(Database!$A199&amp;" HK Equity","EQUITY_OFFERINGS","array=t","endcol=1"),MATCH("IPO",BDS(Database!$A199&amp;" HK Equity","EQUITY_OFFERINGS","array=t","startcol=2","endcol=2"),0)),"")</f>
        <v/>
      </c>
      <c r="C199" s="64">
        <f>IF($B199="","",IFERROR(BDP($B199&amp;" Action","CP036"),""))</f>
        <v/>
      </c>
      <c r="D199" s="65">
        <f>Database!Q199</f>
        <v/>
      </c>
      <c r="E199" s="64">
        <f>IF($B199="","",IFERROR(BDP($B199&amp;" Action","CP037"),""))</f>
        <v/>
      </c>
      <c r="F199" s="65">
        <f>Database!R199</f>
        <v/>
      </c>
      <c r="G199" s="64">
        <f>IF($B199="","",IFERROR(BDP($B199&amp;" Action","GREENSHOE_FACILITY"),""))</f>
        <v/>
      </c>
      <c r="H199" s="64">
        <f>IF($B199="","",IFERROR(BDP($B199&amp;" Action","OFFERING_GREENSHOE_SHARES_EX"),""))</f>
        <v/>
      </c>
      <c r="I199" s="4">
        <f>Database!V199</f>
        <v/>
      </c>
      <c r="J199" s="21">
        <f>IFERROR(BDP(Database!$A199&amp;" HK Equity","PE_RATIO"),"")</f>
        <v/>
      </c>
      <c r="K199" s="6">
        <f>IFERROR(BDP(Database!$A199&amp;" HK Equity","A/H_SHARE_CONVERSION"),"")</f>
        <v/>
      </c>
      <c r="L199" s="4">
        <f>IF(Database!AL199="","(none found)",Database!AL199)</f>
        <v/>
      </c>
      <c r="M199" s="9">
        <f>IFERROR(BDH(Database!$A199&amp;" HK Equity","CUR_MKT_CAP",Database!$G199,Database!$G199)/1000000,"")</f>
        <v/>
      </c>
      <c r="N199" s="63">
        <f>Database!O199</f>
        <v/>
      </c>
      <c r="O199" s="21">
        <f>IFERROR(BDH(Database!$A199&amp;" HK Equity","PE_RATIO",Database!$G199,Database!$G199),"")</f>
        <v/>
      </c>
      <c r="P199" s="60">
        <f>IF(Database!AI199="","(n/m or not derivable)",Database!AI199)</f>
        <v/>
      </c>
    </row>
    <row r="200">
      <c r="A200" s="4">
        <f>Database!A200&amp;"  "&amp;Database!B200</f>
        <v/>
      </c>
      <c r="B200" s="6">
        <f>IFERROR(INDEX(BDS(Database!$A200&amp;" HK Equity","EQUITY_OFFERINGS","array=t","endcol=1"),MATCH("IPO",BDS(Database!$A200&amp;" HK Equity","EQUITY_OFFERINGS","array=t","startcol=2","endcol=2"),0)),"")</f>
        <v/>
      </c>
      <c r="C200" s="64">
        <f>IF($B200="","",IFERROR(BDP($B200&amp;" Action","CP036"),""))</f>
        <v/>
      </c>
      <c r="D200" s="65">
        <f>Database!Q200</f>
        <v/>
      </c>
      <c r="E200" s="64">
        <f>IF($B200="","",IFERROR(BDP($B200&amp;" Action","CP037"),""))</f>
        <v/>
      </c>
      <c r="F200" s="65">
        <f>Database!R200</f>
        <v/>
      </c>
      <c r="G200" s="64">
        <f>IF($B200="","",IFERROR(BDP($B200&amp;" Action","GREENSHOE_FACILITY"),""))</f>
        <v/>
      </c>
      <c r="H200" s="64">
        <f>IF($B200="","",IFERROR(BDP($B200&amp;" Action","OFFERING_GREENSHOE_SHARES_EX"),""))</f>
        <v/>
      </c>
      <c r="I200" s="4">
        <f>Database!V200</f>
        <v/>
      </c>
      <c r="J200" s="21">
        <f>IFERROR(BDP(Database!$A200&amp;" HK Equity","PE_RATIO"),"")</f>
        <v/>
      </c>
      <c r="K200" s="6">
        <f>IFERROR(BDP(Database!$A200&amp;" HK Equity","A/H_SHARE_CONVERSION"),"")</f>
        <v/>
      </c>
      <c r="L200" s="4">
        <f>IF(Database!AL200="","(none found)",Database!AL200)</f>
        <v/>
      </c>
      <c r="M200" s="9">
        <f>IFERROR(BDH(Database!$A200&amp;" HK Equity","CUR_MKT_CAP",Database!$G200,Database!$G200)/1000000,"")</f>
        <v/>
      </c>
      <c r="N200" s="63">
        <f>Database!O200</f>
        <v/>
      </c>
      <c r="O200" s="21">
        <f>IFERROR(BDH(Database!$A200&amp;" HK Equity","PE_RATIO",Database!$G200,Database!$G200),"")</f>
        <v/>
      </c>
      <c r="P200" s="60">
        <f>IF(Database!AI200="","(n/m or not derivable)",Database!AI200)</f>
        <v/>
      </c>
    </row>
    <row r="201">
      <c r="A201" s="4">
        <f>Database!A201&amp;"  "&amp;Database!B201</f>
        <v/>
      </c>
      <c r="B201" s="6">
        <f>IFERROR(INDEX(BDS(Database!$A201&amp;" HK Equity","EQUITY_OFFERINGS","array=t","endcol=1"),MATCH("IPO",BDS(Database!$A201&amp;" HK Equity","EQUITY_OFFERINGS","array=t","startcol=2","endcol=2"),0)),"")</f>
        <v/>
      </c>
      <c r="C201" s="64">
        <f>IF($B201="","",IFERROR(BDP($B201&amp;" Action","CP036"),""))</f>
        <v/>
      </c>
      <c r="D201" s="65">
        <f>Database!Q201</f>
        <v/>
      </c>
      <c r="E201" s="64">
        <f>IF($B201="","",IFERROR(BDP($B201&amp;" Action","CP037"),""))</f>
        <v/>
      </c>
      <c r="F201" s="65">
        <f>Database!R201</f>
        <v/>
      </c>
      <c r="G201" s="64">
        <f>IF($B201="","",IFERROR(BDP($B201&amp;" Action","GREENSHOE_FACILITY"),""))</f>
        <v/>
      </c>
      <c r="H201" s="64">
        <f>IF($B201="","",IFERROR(BDP($B201&amp;" Action","OFFERING_GREENSHOE_SHARES_EX"),""))</f>
        <v/>
      </c>
      <c r="I201" s="4">
        <f>Database!V201</f>
        <v/>
      </c>
      <c r="J201" s="21">
        <f>IFERROR(BDP(Database!$A201&amp;" HK Equity","PE_RATIO"),"")</f>
        <v/>
      </c>
      <c r="K201" s="6">
        <f>IFERROR(BDP(Database!$A201&amp;" HK Equity","A/H_SHARE_CONVERSION"),"")</f>
        <v/>
      </c>
      <c r="L201" s="4">
        <f>IF(Database!AL201="","(none found)",Database!AL201)</f>
        <v/>
      </c>
      <c r="M201" s="9">
        <f>IFERROR(BDH(Database!$A201&amp;" HK Equity","CUR_MKT_CAP",Database!$G201,Database!$G201)/1000000,"")</f>
        <v/>
      </c>
      <c r="N201" s="63">
        <f>Database!O201</f>
        <v/>
      </c>
      <c r="O201" s="21">
        <f>IFERROR(BDH(Database!$A201&amp;" HK Equity","PE_RATIO",Database!$G201,Database!$G201),"")</f>
        <v/>
      </c>
      <c r="P201" s="60">
        <f>IF(Database!AI201="","(n/m or not derivable)",Database!AI201)</f>
        <v/>
      </c>
    </row>
    <row r="202">
      <c r="A202" s="4">
        <f>Database!A202&amp;"  "&amp;Database!B202</f>
        <v/>
      </c>
      <c r="B202" s="6">
        <f>IFERROR(INDEX(BDS(Database!$A202&amp;" HK Equity","EQUITY_OFFERINGS","array=t","endcol=1"),MATCH("IPO",BDS(Database!$A202&amp;" HK Equity","EQUITY_OFFERINGS","array=t","startcol=2","endcol=2"),0)),"")</f>
        <v/>
      </c>
      <c r="C202" s="64">
        <f>IF($B202="","",IFERROR(BDP($B202&amp;" Action","CP036"),""))</f>
        <v/>
      </c>
      <c r="D202" s="65">
        <f>Database!Q202</f>
        <v/>
      </c>
      <c r="E202" s="64">
        <f>IF($B202="","",IFERROR(BDP($B202&amp;" Action","CP037"),""))</f>
        <v/>
      </c>
      <c r="F202" s="65">
        <f>Database!R202</f>
        <v/>
      </c>
      <c r="G202" s="64">
        <f>IF($B202="","",IFERROR(BDP($B202&amp;" Action","GREENSHOE_FACILITY"),""))</f>
        <v/>
      </c>
      <c r="H202" s="64">
        <f>IF($B202="","",IFERROR(BDP($B202&amp;" Action","OFFERING_GREENSHOE_SHARES_EX"),""))</f>
        <v/>
      </c>
      <c r="I202" s="4">
        <f>Database!V202</f>
        <v/>
      </c>
      <c r="J202" s="21">
        <f>IFERROR(BDP(Database!$A202&amp;" HK Equity","PE_RATIO"),"")</f>
        <v/>
      </c>
      <c r="K202" s="6">
        <f>IFERROR(BDP(Database!$A202&amp;" HK Equity","A/H_SHARE_CONVERSION"),"")</f>
        <v/>
      </c>
      <c r="L202" s="4">
        <f>IF(Database!AL202="","(none found)",Database!AL202)</f>
        <v/>
      </c>
      <c r="M202" s="9">
        <f>IFERROR(BDH(Database!$A202&amp;" HK Equity","CUR_MKT_CAP",Database!$G202,Database!$G202)/1000000,"")</f>
        <v/>
      </c>
      <c r="N202" s="63">
        <f>Database!O202</f>
        <v/>
      </c>
      <c r="O202" s="21">
        <f>IFERROR(BDH(Database!$A202&amp;" HK Equity","PE_RATIO",Database!$G202,Database!$G202),"")</f>
        <v/>
      </c>
      <c r="P202" s="60">
        <f>IF(Database!AI202="","(n/m or not derivable)",Database!AI202)</f>
        <v/>
      </c>
    </row>
    <row r="203">
      <c r="A203" s="4">
        <f>Database!A203&amp;"  "&amp;Database!B203</f>
        <v/>
      </c>
      <c r="B203" s="6">
        <f>IFERROR(INDEX(BDS(Database!$A203&amp;" HK Equity","EQUITY_OFFERINGS","array=t","endcol=1"),MATCH("IPO",BDS(Database!$A203&amp;" HK Equity","EQUITY_OFFERINGS","array=t","startcol=2","endcol=2"),0)),"")</f>
        <v/>
      </c>
      <c r="C203" s="64">
        <f>IF($B203="","",IFERROR(BDP($B203&amp;" Action","CP036"),""))</f>
        <v/>
      </c>
      <c r="D203" s="65">
        <f>Database!Q203</f>
        <v/>
      </c>
      <c r="E203" s="64">
        <f>IF($B203="","",IFERROR(BDP($B203&amp;" Action","CP037"),""))</f>
        <v/>
      </c>
      <c r="F203" s="65">
        <f>Database!R203</f>
        <v/>
      </c>
      <c r="G203" s="64">
        <f>IF($B203="","",IFERROR(BDP($B203&amp;" Action","GREENSHOE_FACILITY"),""))</f>
        <v/>
      </c>
      <c r="H203" s="64">
        <f>IF($B203="","",IFERROR(BDP($B203&amp;" Action","OFFERING_GREENSHOE_SHARES_EX"),""))</f>
        <v/>
      </c>
      <c r="I203" s="4">
        <f>Database!V203</f>
        <v/>
      </c>
      <c r="J203" s="21">
        <f>IFERROR(BDP(Database!$A203&amp;" HK Equity","PE_RATIO"),"")</f>
        <v/>
      </c>
      <c r="K203" s="6">
        <f>IFERROR(BDP(Database!$A203&amp;" HK Equity","A/H_SHARE_CONVERSION"),"")</f>
        <v/>
      </c>
      <c r="L203" s="4">
        <f>IF(Database!AL203="","(none found)",Database!AL203)</f>
        <v/>
      </c>
      <c r="M203" s="9">
        <f>IFERROR(BDH(Database!$A203&amp;" HK Equity","CUR_MKT_CAP",Database!$G203,Database!$G203)/1000000,"")</f>
        <v/>
      </c>
      <c r="N203" s="63">
        <f>Database!O203</f>
        <v/>
      </c>
      <c r="O203" s="21">
        <f>IFERROR(BDH(Database!$A203&amp;" HK Equity","PE_RATIO",Database!$G203,Database!$G203),"")</f>
        <v/>
      </c>
      <c r="P203" s="60">
        <f>IF(Database!AI203="","(n/m or not derivable)",Database!AI203)</f>
        <v/>
      </c>
    </row>
    <row r="204">
      <c r="A204" s="4">
        <f>Database!A204&amp;"  "&amp;Database!B204</f>
        <v/>
      </c>
      <c r="B204" s="6">
        <f>IFERROR(INDEX(BDS(Database!$A204&amp;" HK Equity","EQUITY_OFFERINGS","array=t","endcol=1"),MATCH("IPO",BDS(Database!$A204&amp;" HK Equity","EQUITY_OFFERINGS","array=t","startcol=2","endcol=2"),0)),"")</f>
        <v/>
      </c>
      <c r="C204" s="64">
        <f>IF($B204="","",IFERROR(BDP($B204&amp;" Action","CP036"),""))</f>
        <v/>
      </c>
      <c r="D204" s="65">
        <f>Database!Q204</f>
        <v/>
      </c>
      <c r="E204" s="64">
        <f>IF($B204="","",IFERROR(BDP($B204&amp;" Action","CP037"),""))</f>
        <v/>
      </c>
      <c r="F204" s="65">
        <f>Database!R204</f>
        <v/>
      </c>
      <c r="G204" s="64">
        <f>IF($B204="","",IFERROR(BDP($B204&amp;" Action","GREENSHOE_FACILITY"),""))</f>
        <v/>
      </c>
      <c r="H204" s="64">
        <f>IF($B204="","",IFERROR(BDP($B204&amp;" Action","OFFERING_GREENSHOE_SHARES_EX"),""))</f>
        <v/>
      </c>
      <c r="I204" s="4">
        <f>Database!V204</f>
        <v/>
      </c>
      <c r="J204" s="21">
        <f>IFERROR(BDP(Database!$A204&amp;" HK Equity","PE_RATIO"),"")</f>
        <v/>
      </c>
      <c r="K204" s="6">
        <f>IFERROR(BDP(Database!$A204&amp;" HK Equity","A/H_SHARE_CONVERSION"),"")</f>
        <v/>
      </c>
      <c r="L204" s="4">
        <f>IF(Database!AL204="","(none found)",Database!AL204)</f>
        <v/>
      </c>
      <c r="M204" s="9">
        <f>IFERROR(BDH(Database!$A204&amp;" HK Equity","CUR_MKT_CAP",Database!$G204,Database!$G204)/1000000,"")</f>
        <v/>
      </c>
      <c r="N204" s="63">
        <f>Database!O204</f>
        <v/>
      </c>
      <c r="O204" s="21">
        <f>IFERROR(BDH(Database!$A204&amp;" HK Equity","PE_RATIO",Database!$G204,Database!$G204),"")</f>
        <v/>
      </c>
      <c r="P204" s="60">
        <f>IF(Database!AI204="","(n/m or not derivable)",Database!AI204)</f>
        <v/>
      </c>
    </row>
    <row r="205">
      <c r="A205" s="4">
        <f>Database!A205&amp;"  "&amp;Database!B205</f>
        <v/>
      </c>
      <c r="B205" s="6">
        <f>IFERROR(INDEX(BDS(Database!$A205&amp;" HK Equity","EQUITY_OFFERINGS","array=t","endcol=1"),MATCH("IPO",BDS(Database!$A205&amp;" HK Equity","EQUITY_OFFERINGS","array=t","startcol=2","endcol=2"),0)),"")</f>
        <v/>
      </c>
      <c r="C205" s="64">
        <f>IF($B205="","",IFERROR(BDP($B205&amp;" Action","CP036"),""))</f>
        <v/>
      </c>
      <c r="D205" s="65">
        <f>Database!Q205</f>
        <v/>
      </c>
      <c r="E205" s="64">
        <f>IF($B205="","",IFERROR(BDP($B205&amp;" Action","CP037"),""))</f>
        <v/>
      </c>
      <c r="F205" s="65">
        <f>Database!R205</f>
        <v/>
      </c>
      <c r="G205" s="64">
        <f>IF($B205="","",IFERROR(BDP($B205&amp;" Action","GREENSHOE_FACILITY"),""))</f>
        <v/>
      </c>
      <c r="H205" s="64">
        <f>IF($B205="","",IFERROR(BDP($B205&amp;" Action","OFFERING_GREENSHOE_SHARES_EX"),""))</f>
        <v/>
      </c>
      <c r="I205" s="4">
        <f>Database!V205</f>
        <v/>
      </c>
      <c r="J205" s="21">
        <f>IFERROR(BDP(Database!$A205&amp;" HK Equity","PE_RATIO"),"")</f>
        <v/>
      </c>
      <c r="K205" s="6">
        <f>IFERROR(BDP(Database!$A205&amp;" HK Equity","A/H_SHARE_CONVERSION"),"")</f>
        <v/>
      </c>
      <c r="L205" s="4">
        <f>IF(Database!AL205="","(none found)",Database!AL205)</f>
        <v/>
      </c>
      <c r="M205" s="9">
        <f>IFERROR(BDH(Database!$A205&amp;" HK Equity","CUR_MKT_CAP",Database!$G205,Database!$G205)/1000000,"")</f>
        <v/>
      </c>
      <c r="N205" s="63">
        <f>Database!O205</f>
        <v/>
      </c>
      <c r="O205" s="21">
        <f>IFERROR(BDH(Database!$A205&amp;" HK Equity","PE_RATIO",Database!$G205,Database!$G205),"")</f>
        <v/>
      </c>
      <c r="P205" s="60">
        <f>IF(Database!AI205="","(n/m or not derivable)",Database!AI205)</f>
        <v/>
      </c>
    </row>
    <row r="206">
      <c r="A206" s="4">
        <f>Database!A206&amp;"  "&amp;Database!B206</f>
        <v/>
      </c>
      <c r="B206" s="6">
        <f>IFERROR(INDEX(BDS(Database!$A206&amp;" HK Equity","EQUITY_OFFERINGS","array=t","endcol=1"),MATCH("IPO",BDS(Database!$A206&amp;" HK Equity","EQUITY_OFFERINGS","array=t","startcol=2","endcol=2"),0)),"")</f>
        <v/>
      </c>
      <c r="C206" s="64">
        <f>IF($B206="","",IFERROR(BDP($B206&amp;" Action","CP036"),""))</f>
        <v/>
      </c>
      <c r="D206" s="65">
        <f>Database!Q206</f>
        <v/>
      </c>
      <c r="E206" s="64">
        <f>IF($B206="","",IFERROR(BDP($B206&amp;" Action","CP037"),""))</f>
        <v/>
      </c>
      <c r="F206" s="65">
        <f>Database!R206</f>
        <v/>
      </c>
      <c r="G206" s="64">
        <f>IF($B206="","",IFERROR(BDP($B206&amp;" Action","GREENSHOE_FACILITY"),""))</f>
        <v/>
      </c>
      <c r="H206" s="64">
        <f>IF($B206="","",IFERROR(BDP($B206&amp;" Action","OFFERING_GREENSHOE_SHARES_EX"),""))</f>
        <v/>
      </c>
      <c r="I206" s="4">
        <f>Database!V206</f>
        <v/>
      </c>
      <c r="J206" s="21">
        <f>IFERROR(BDP(Database!$A206&amp;" HK Equity","PE_RATIO"),"")</f>
        <v/>
      </c>
      <c r="K206" s="6">
        <f>IFERROR(BDP(Database!$A206&amp;" HK Equity","A/H_SHARE_CONVERSION"),"")</f>
        <v/>
      </c>
      <c r="L206" s="4">
        <f>IF(Database!AL206="","(none found)",Database!AL206)</f>
        <v/>
      </c>
      <c r="M206" s="9">
        <f>IFERROR(BDH(Database!$A206&amp;" HK Equity","CUR_MKT_CAP",Database!$G206,Database!$G206)/1000000,"")</f>
        <v/>
      </c>
      <c r="N206" s="63">
        <f>Database!O206</f>
        <v/>
      </c>
      <c r="O206" s="21">
        <f>IFERROR(BDH(Database!$A206&amp;" HK Equity","PE_RATIO",Database!$G206,Database!$G206),"")</f>
        <v/>
      </c>
      <c r="P206" s="60">
        <f>IF(Database!AI206="","(n/m or not derivable)",Database!AI206)</f>
        <v/>
      </c>
    </row>
    <row r="207">
      <c r="A207" s="4">
        <f>Database!A207&amp;"  "&amp;Database!B207</f>
        <v/>
      </c>
      <c r="B207" s="6">
        <f>IFERROR(INDEX(BDS(Database!$A207&amp;" HK Equity","EQUITY_OFFERINGS","array=t","endcol=1"),MATCH("IPO",BDS(Database!$A207&amp;" HK Equity","EQUITY_OFFERINGS","array=t","startcol=2","endcol=2"),0)),"")</f>
        <v/>
      </c>
      <c r="C207" s="64">
        <f>IF($B207="","",IFERROR(BDP($B207&amp;" Action","CP036"),""))</f>
        <v/>
      </c>
      <c r="D207" s="65">
        <f>Database!Q207</f>
        <v/>
      </c>
      <c r="E207" s="64">
        <f>IF($B207="","",IFERROR(BDP($B207&amp;" Action","CP037"),""))</f>
        <v/>
      </c>
      <c r="F207" s="65">
        <f>Database!R207</f>
        <v/>
      </c>
      <c r="G207" s="64">
        <f>IF($B207="","",IFERROR(BDP($B207&amp;" Action","GREENSHOE_FACILITY"),""))</f>
        <v/>
      </c>
      <c r="H207" s="64">
        <f>IF($B207="","",IFERROR(BDP($B207&amp;" Action","OFFERING_GREENSHOE_SHARES_EX"),""))</f>
        <v/>
      </c>
      <c r="I207" s="4">
        <f>Database!V207</f>
        <v/>
      </c>
      <c r="J207" s="21">
        <f>IFERROR(BDP(Database!$A207&amp;" HK Equity","PE_RATIO"),"")</f>
        <v/>
      </c>
      <c r="K207" s="6">
        <f>IFERROR(BDP(Database!$A207&amp;" HK Equity","A/H_SHARE_CONVERSION"),"")</f>
        <v/>
      </c>
      <c r="L207" s="4">
        <f>IF(Database!AL207="","(none found)",Database!AL207)</f>
        <v/>
      </c>
      <c r="M207" s="9">
        <f>IFERROR(BDH(Database!$A207&amp;" HK Equity","CUR_MKT_CAP",Database!$G207,Database!$G207)/1000000,"")</f>
        <v/>
      </c>
      <c r="N207" s="63">
        <f>Database!O207</f>
        <v/>
      </c>
      <c r="O207" s="21">
        <f>IFERROR(BDH(Database!$A207&amp;" HK Equity","PE_RATIO",Database!$G207,Database!$G207),"")</f>
        <v/>
      </c>
      <c r="P207" s="60">
        <f>IF(Database!AI207="","(n/m or not derivable)",Database!AI207)</f>
        <v/>
      </c>
    </row>
    <row r="208">
      <c r="A208" s="4">
        <f>Database!A208&amp;"  "&amp;Database!B208</f>
        <v/>
      </c>
      <c r="B208" s="6">
        <f>IFERROR(INDEX(BDS(Database!$A208&amp;" HK Equity","EQUITY_OFFERINGS","array=t","endcol=1"),MATCH("IPO",BDS(Database!$A208&amp;" HK Equity","EQUITY_OFFERINGS","array=t","startcol=2","endcol=2"),0)),"")</f>
        <v/>
      </c>
      <c r="C208" s="64">
        <f>IF($B208="","",IFERROR(BDP($B208&amp;" Action","CP036"),""))</f>
        <v/>
      </c>
      <c r="D208" s="65">
        <f>Database!Q208</f>
        <v/>
      </c>
      <c r="E208" s="64">
        <f>IF($B208="","",IFERROR(BDP($B208&amp;" Action","CP037"),""))</f>
        <v/>
      </c>
      <c r="F208" s="65">
        <f>Database!R208</f>
        <v/>
      </c>
      <c r="G208" s="64">
        <f>IF($B208="","",IFERROR(BDP($B208&amp;" Action","GREENSHOE_FACILITY"),""))</f>
        <v/>
      </c>
      <c r="H208" s="64">
        <f>IF($B208="","",IFERROR(BDP($B208&amp;" Action","OFFERING_GREENSHOE_SHARES_EX"),""))</f>
        <v/>
      </c>
      <c r="I208" s="4">
        <f>Database!V208</f>
        <v/>
      </c>
      <c r="J208" s="21">
        <f>IFERROR(BDP(Database!$A208&amp;" HK Equity","PE_RATIO"),"")</f>
        <v/>
      </c>
      <c r="K208" s="6">
        <f>IFERROR(BDP(Database!$A208&amp;" HK Equity","A/H_SHARE_CONVERSION"),"")</f>
        <v/>
      </c>
      <c r="L208" s="4">
        <f>IF(Database!AL208="","(none found)",Database!AL208)</f>
        <v/>
      </c>
      <c r="M208" s="9">
        <f>IFERROR(BDH(Database!$A208&amp;" HK Equity","CUR_MKT_CAP",Database!$G208,Database!$G208)/1000000,"")</f>
        <v/>
      </c>
      <c r="N208" s="63">
        <f>Database!O208</f>
        <v/>
      </c>
      <c r="O208" s="21">
        <f>IFERROR(BDH(Database!$A208&amp;" HK Equity","PE_RATIO",Database!$G208,Database!$G208),"")</f>
        <v/>
      </c>
      <c r="P208" s="60">
        <f>IF(Database!AI208="","(n/m or not derivable)",Database!AI208)</f>
        <v/>
      </c>
    </row>
    <row r="209">
      <c r="A209" s="4">
        <f>Database!A209&amp;"  "&amp;Database!B209</f>
        <v/>
      </c>
      <c r="B209" s="6">
        <f>IFERROR(INDEX(BDS(Database!$A209&amp;" HK Equity","EQUITY_OFFERINGS","array=t","endcol=1"),MATCH("IPO",BDS(Database!$A209&amp;" HK Equity","EQUITY_OFFERINGS","array=t","startcol=2","endcol=2"),0)),"")</f>
        <v/>
      </c>
      <c r="C209" s="64">
        <f>IF($B209="","",IFERROR(BDP($B209&amp;" Action","CP036"),""))</f>
        <v/>
      </c>
      <c r="D209" s="65">
        <f>Database!Q209</f>
        <v/>
      </c>
      <c r="E209" s="64">
        <f>IF($B209="","",IFERROR(BDP($B209&amp;" Action","CP037"),""))</f>
        <v/>
      </c>
      <c r="F209" s="65">
        <f>Database!R209</f>
        <v/>
      </c>
      <c r="G209" s="64">
        <f>IF($B209="","",IFERROR(BDP($B209&amp;" Action","GREENSHOE_FACILITY"),""))</f>
        <v/>
      </c>
      <c r="H209" s="64">
        <f>IF($B209="","",IFERROR(BDP($B209&amp;" Action","OFFERING_GREENSHOE_SHARES_EX"),""))</f>
        <v/>
      </c>
      <c r="I209" s="4">
        <f>Database!V209</f>
        <v/>
      </c>
      <c r="J209" s="21">
        <f>IFERROR(BDP(Database!$A209&amp;" HK Equity","PE_RATIO"),"")</f>
        <v/>
      </c>
      <c r="K209" s="6">
        <f>IFERROR(BDP(Database!$A209&amp;" HK Equity","A/H_SHARE_CONVERSION"),"")</f>
        <v/>
      </c>
      <c r="L209" s="4">
        <f>IF(Database!AL209="","(none found)",Database!AL209)</f>
        <v/>
      </c>
      <c r="M209" s="9">
        <f>IFERROR(BDH(Database!$A209&amp;" HK Equity","CUR_MKT_CAP",Database!$G209,Database!$G209)/1000000,"")</f>
        <v/>
      </c>
      <c r="N209" s="63">
        <f>Database!O209</f>
        <v/>
      </c>
      <c r="O209" s="21">
        <f>IFERROR(BDH(Database!$A209&amp;" HK Equity","PE_RATIO",Database!$G209,Database!$G209),"")</f>
        <v/>
      </c>
      <c r="P209" s="60">
        <f>IF(Database!AI209="","(n/m or not derivable)",Database!AI209)</f>
        <v/>
      </c>
    </row>
    <row r="210">
      <c r="A210" s="4">
        <f>Database!A210&amp;"  "&amp;Database!B210</f>
        <v/>
      </c>
      <c r="B210" s="6">
        <f>IFERROR(INDEX(BDS(Database!$A210&amp;" HK Equity","EQUITY_OFFERINGS","array=t","endcol=1"),MATCH("IPO",BDS(Database!$A210&amp;" HK Equity","EQUITY_OFFERINGS","array=t","startcol=2","endcol=2"),0)),"")</f>
        <v/>
      </c>
      <c r="C210" s="64">
        <f>IF($B210="","",IFERROR(BDP($B210&amp;" Action","CP036"),""))</f>
        <v/>
      </c>
      <c r="D210" s="65">
        <f>Database!Q210</f>
        <v/>
      </c>
      <c r="E210" s="64">
        <f>IF($B210="","",IFERROR(BDP($B210&amp;" Action","CP037"),""))</f>
        <v/>
      </c>
      <c r="F210" s="65">
        <f>Database!R210</f>
        <v/>
      </c>
      <c r="G210" s="64">
        <f>IF($B210="","",IFERROR(BDP($B210&amp;" Action","GREENSHOE_FACILITY"),""))</f>
        <v/>
      </c>
      <c r="H210" s="64">
        <f>IF($B210="","",IFERROR(BDP($B210&amp;" Action","OFFERING_GREENSHOE_SHARES_EX"),""))</f>
        <v/>
      </c>
      <c r="I210" s="4">
        <f>Database!V210</f>
        <v/>
      </c>
      <c r="J210" s="21">
        <f>IFERROR(BDP(Database!$A210&amp;" HK Equity","PE_RATIO"),"")</f>
        <v/>
      </c>
      <c r="K210" s="6">
        <f>IFERROR(BDP(Database!$A210&amp;" HK Equity","A/H_SHARE_CONVERSION"),"")</f>
        <v/>
      </c>
      <c r="L210" s="4">
        <f>IF(Database!AL210="","(none found)",Database!AL210)</f>
        <v/>
      </c>
      <c r="M210" s="9">
        <f>IFERROR(BDH(Database!$A210&amp;" HK Equity","CUR_MKT_CAP",Database!$G210,Database!$G210)/1000000,"")</f>
        <v/>
      </c>
      <c r="N210" s="63">
        <f>Database!O210</f>
        <v/>
      </c>
      <c r="O210" s="21">
        <f>IFERROR(BDH(Database!$A210&amp;" HK Equity","PE_RATIO",Database!$G210,Database!$G210),"")</f>
        <v/>
      </c>
      <c r="P210" s="60">
        <f>IF(Database!AI210="","(n/m or not derivable)",Database!AI210)</f>
        <v/>
      </c>
    </row>
    <row r="211">
      <c r="A211" s="4">
        <f>Database!A211&amp;"  "&amp;Database!B211</f>
        <v/>
      </c>
      <c r="B211" s="6">
        <f>IFERROR(INDEX(BDS(Database!$A211&amp;" HK Equity","EQUITY_OFFERINGS","array=t","endcol=1"),MATCH("IPO",BDS(Database!$A211&amp;" HK Equity","EQUITY_OFFERINGS","array=t","startcol=2","endcol=2"),0)),"")</f>
        <v/>
      </c>
      <c r="C211" s="64">
        <f>IF($B211="","",IFERROR(BDP($B211&amp;" Action","CP036"),""))</f>
        <v/>
      </c>
      <c r="D211" s="65">
        <f>Database!Q211</f>
        <v/>
      </c>
      <c r="E211" s="64">
        <f>IF($B211="","",IFERROR(BDP($B211&amp;" Action","CP037"),""))</f>
        <v/>
      </c>
      <c r="F211" s="65">
        <f>Database!R211</f>
        <v/>
      </c>
      <c r="G211" s="64">
        <f>IF($B211="","",IFERROR(BDP($B211&amp;" Action","GREENSHOE_FACILITY"),""))</f>
        <v/>
      </c>
      <c r="H211" s="64">
        <f>IF($B211="","",IFERROR(BDP($B211&amp;" Action","OFFERING_GREENSHOE_SHARES_EX"),""))</f>
        <v/>
      </c>
      <c r="I211" s="4">
        <f>Database!V211</f>
        <v/>
      </c>
      <c r="J211" s="21">
        <f>IFERROR(BDP(Database!$A211&amp;" HK Equity","PE_RATIO"),"")</f>
        <v/>
      </c>
      <c r="K211" s="6">
        <f>IFERROR(BDP(Database!$A211&amp;" HK Equity","A/H_SHARE_CONVERSION"),"")</f>
        <v/>
      </c>
      <c r="L211" s="4">
        <f>IF(Database!AL211="","(none found)",Database!AL211)</f>
        <v/>
      </c>
      <c r="M211" s="9">
        <f>IFERROR(BDH(Database!$A211&amp;" HK Equity","CUR_MKT_CAP",Database!$G211,Database!$G211)/1000000,"")</f>
        <v/>
      </c>
      <c r="N211" s="63">
        <f>Database!O211</f>
        <v/>
      </c>
      <c r="O211" s="21">
        <f>IFERROR(BDH(Database!$A211&amp;" HK Equity","PE_RATIO",Database!$G211,Database!$G211),"")</f>
        <v/>
      </c>
      <c r="P211" s="60">
        <f>IF(Database!AI211="","(n/m or not derivable)",Database!AI211)</f>
        <v/>
      </c>
    </row>
    <row r="212">
      <c r="A212" s="4">
        <f>Database!A212&amp;"  "&amp;Database!B212</f>
        <v/>
      </c>
      <c r="B212" s="6">
        <f>IFERROR(INDEX(BDS(Database!$A212&amp;" HK Equity","EQUITY_OFFERINGS","array=t","endcol=1"),MATCH("IPO",BDS(Database!$A212&amp;" HK Equity","EQUITY_OFFERINGS","array=t","startcol=2","endcol=2"),0)),"")</f>
        <v/>
      </c>
      <c r="C212" s="64">
        <f>IF($B212="","",IFERROR(BDP($B212&amp;" Action","CP036"),""))</f>
        <v/>
      </c>
      <c r="D212" s="65">
        <f>Database!Q212</f>
        <v/>
      </c>
      <c r="E212" s="64">
        <f>IF($B212="","",IFERROR(BDP($B212&amp;" Action","CP037"),""))</f>
        <v/>
      </c>
      <c r="F212" s="65">
        <f>Database!R212</f>
        <v/>
      </c>
      <c r="G212" s="64">
        <f>IF($B212="","",IFERROR(BDP($B212&amp;" Action","GREENSHOE_FACILITY"),""))</f>
        <v/>
      </c>
      <c r="H212" s="64">
        <f>IF($B212="","",IFERROR(BDP($B212&amp;" Action","OFFERING_GREENSHOE_SHARES_EX"),""))</f>
        <v/>
      </c>
      <c r="I212" s="4">
        <f>Database!V212</f>
        <v/>
      </c>
      <c r="J212" s="21">
        <f>IFERROR(BDP(Database!$A212&amp;" HK Equity","PE_RATIO"),"")</f>
        <v/>
      </c>
      <c r="K212" s="6">
        <f>IFERROR(BDP(Database!$A212&amp;" HK Equity","A/H_SHARE_CONVERSION"),"")</f>
        <v/>
      </c>
      <c r="L212" s="4">
        <f>IF(Database!AL212="","(none found)",Database!AL212)</f>
        <v/>
      </c>
      <c r="M212" s="9">
        <f>IFERROR(BDH(Database!$A212&amp;" HK Equity","CUR_MKT_CAP",Database!$G212,Database!$G212)/1000000,"")</f>
        <v/>
      </c>
      <c r="N212" s="63">
        <f>Database!O212</f>
        <v/>
      </c>
      <c r="O212" s="21">
        <f>IFERROR(BDH(Database!$A212&amp;" HK Equity","PE_RATIO",Database!$G212,Database!$G212),"")</f>
        <v/>
      </c>
      <c r="P212" s="60">
        <f>IF(Database!AI212="","(n/m or not derivable)",Database!AI212)</f>
        <v/>
      </c>
    </row>
    <row r="213">
      <c r="A213" s="4">
        <f>Database!A213&amp;"  "&amp;Database!B213</f>
        <v/>
      </c>
      <c r="B213" s="6">
        <f>IFERROR(INDEX(BDS(Database!$A213&amp;" HK Equity","EQUITY_OFFERINGS","array=t","endcol=1"),MATCH("IPO",BDS(Database!$A213&amp;" HK Equity","EQUITY_OFFERINGS","array=t","startcol=2","endcol=2"),0)),"")</f>
        <v/>
      </c>
      <c r="C213" s="64">
        <f>IF($B213="","",IFERROR(BDP($B213&amp;" Action","CP036"),""))</f>
        <v/>
      </c>
      <c r="D213" s="65">
        <f>Database!Q213</f>
        <v/>
      </c>
      <c r="E213" s="64">
        <f>IF($B213="","",IFERROR(BDP($B213&amp;" Action","CP037"),""))</f>
        <v/>
      </c>
      <c r="F213" s="65">
        <f>Database!R213</f>
        <v/>
      </c>
      <c r="G213" s="64">
        <f>IF($B213="","",IFERROR(BDP($B213&amp;" Action","GREENSHOE_FACILITY"),""))</f>
        <v/>
      </c>
      <c r="H213" s="64">
        <f>IF($B213="","",IFERROR(BDP($B213&amp;" Action","OFFERING_GREENSHOE_SHARES_EX"),""))</f>
        <v/>
      </c>
      <c r="I213" s="4">
        <f>Database!V213</f>
        <v/>
      </c>
      <c r="J213" s="21">
        <f>IFERROR(BDP(Database!$A213&amp;" HK Equity","PE_RATIO"),"")</f>
        <v/>
      </c>
      <c r="K213" s="6">
        <f>IFERROR(BDP(Database!$A213&amp;" HK Equity","A/H_SHARE_CONVERSION"),"")</f>
        <v/>
      </c>
      <c r="L213" s="4">
        <f>IF(Database!AL213="","(none found)",Database!AL213)</f>
        <v/>
      </c>
      <c r="M213" s="9">
        <f>IFERROR(BDH(Database!$A213&amp;" HK Equity","CUR_MKT_CAP",Database!$G213,Database!$G213)/1000000,"")</f>
        <v/>
      </c>
      <c r="N213" s="63">
        <f>Database!O213</f>
        <v/>
      </c>
      <c r="O213" s="21">
        <f>IFERROR(BDH(Database!$A213&amp;" HK Equity","PE_RATIO",Database!$G213,Database!$G213),"")</f>
        <v/>
      </c>
      <c r="P213" s="60">
        <f>IF(Database!AI213="","(n/m or not derivable)",Database!AI213)</f>
        <v/>
      </c>
    </row>
    <row r="214">
      <c r="A214" s="4">
        <f>Database!A214&amp;"  "&amp;Database!B214</f>
        <v/>
      </c>
      <c r="B214" s="6">
        <f>IFERROR(INDEX(BDS(Database!$A214&amp;" HK Equity","EQUITY_OFFERINGS","array=t","endcol=1"),MATCH("IPO",BDS(Database!$A214&amp;" HK Equity","EQUITY_OFFERINGS","array=t","startcol=2","endcol=2"),0)),"")</f>
        <v/>
      </c>
      <c r="C214" s="64">
        <f>IF($B214="","",IFERROR(BDP($B214&amp;" Action","CP036"),""))</f>
        <v/>
      </c>
      <c r="D214" s="65">
        <f>Database!Q214</f>
        <v/>
      </c>
      <c r="E214" s="64">
        <f>IF($B214="","",IFERROR(BDP($B214&amp;" Action","CP037"),""))</f>
        <v/>
      </c>
      <c r="F214" s="65">
        <f>Database!R214</f>
        <v/>
      </c>
      <c r="G214" s="64">
        <f>IF($B214="","",IFERROR(BDP($B214&amp;" Action","GREENSHOE_FACILITY"),""))</f>
        <v/>
      </c>
      <c r="H214" s="64">
        <f>IF($B214="","",IFERROR(BDP($B214&amp;" Action","OFFERING_GREENSHOE_SHARES_EX"),""))</f>
        <v/>
      </c>
      <c r="I214" s="4">
        <f>Database!V214</f>
        <v/>
      </c>
      <c r="J214" s="21">
        <f>IFERROR(BDP(Database!$A214&amp;" HK Equity","PE_RATIO"),"")</f>
        <v/>
      </c>
      <c r="K214" s="6">
        <f>IFERROR(BDP(Database!$A214&amp;" HK Equity","A/H_SHARE_CONVERSION"),"")</f>
        <v/>
      </c>
      <c r="L214" s="4">
        <f>IF(Database!AL214="","(none found)",Database!AL214)</f>
        <v/>
      </c>
      <c r="M214" s="9">
        <f>IFERROR(BDH(Database!$A214&amp;" HK Equity","CUR_MKT_CAP",Database!$G214,Database!$G214)/1000000,"")</f>
        <v/>
      </c>
      <c r="N214" s="63">
        <f>Database!O214</f>
        <v/>
      </c>
      <c r="O214" s="21">
        <f>IFERROR(BDH(Database!$A214&amp;" HK Equity","PE_RATIO",Database!$G214,Database!$G214),"")</f>
        <v/>
      </c>
      <c r="P214" s="60">
        <f>IF(Database!AI214="","(n/m or not derivable)",Database!AI214)</f>
        <v/>
      </c>
    </row>
    <row r="215">
      <c r="A215" s="4">
        <f>Database!A215&amp;"  "&amp;Database!B215</f>
        <v/>
      </c>
      <c r="B215" s="6">
        <f>IFERROR(INDEX(BDS(Database!$A215&amp;" HK Equity","EQUITY_OFFERINGS","array=t","endcol=1"),MATCH("IPO",BDS(Database!$A215&amp;" HK Equity","EQUITY_OFFERINGS","array=t","startcol=2","endcol=2"),0)),"")</f>
        <v/>
      </c>
      <c r="C215" s="64">
        <f>IF($B215="","",IFERROR(BDP($B215&amp;" Action","CP036"),""))</f>
        <v/>
      </c>
      <c r="D215" s="65">
        <f>Database!Q215</f>
        <v/>
      </c>
      <c r="E215" s="64">
        <f>IF($B215="","",IFERROR(BDP($B215&amp;" Action","CP037"),""))</f>
        <v/>
      </c>
      <c r="F215" s="65">
        <f>Database!R215</f>
        <v/>
      </c>
      <c r="G215" s="64">
        <f>IF($B215="","",IFERROR(BDP($B215&amp;" Action","GREENSHOE_FACILITY"),""))</f>
        <v/>
      </c>
      <c r="H215" s="64">
        <f>IF($B215="","",IFERROR(BDP($B215&amp;" Action","OFFERING_GREENSHOE_SHARES_EX"),""))</f>
        <v/>
      </c>
      <c r="I215" s="4">
        <f>Database!V215</f>
        <v/>
      </c>
      <c r="J215" s="21">
        <f>IFERROR(BDP(Database!$A215&amp;" HK Equity","PE_RATIO"),"")</f>
        <v/>
      </c>
      <c r="K215" s="6">
        <f>IFERROR(BDP(Database!$A215&amp;" HK Equity","A/H_SHARE_CONVERSION"),"")</f>
        <v/>
      </c>
      <c r="L215" s="4">
        <f>IF(Database!AL215="","(none found)",Database!AL215)</f>
        <v/>
      </c>
      <c r="M215" s="9">
        <f>IFERROR(BDH(Database!$A215&amp;" HK Equity","CUR_MKT_CAP",Database!$G215,Database!$G215)/1000000,"")</f>
        <v/>
      </c>
      <c r="N215" s="63">
        <f>Database!O215</f>
        <v/>
      </c>
      <c r="O215" s="21">
        <f>IFERROR(BDH(Database!$A215&amp;" HK Equity","PE_RATIO",Database!$G215,Database!$G215),"")</f>
        <v/>
      </c>
      <c r="P215" s="60">
        <f>IF(Database!AI215="","(n/m or not derivable)",Database!AI215)</f>
        <v/>
      </c>
    </row>
    <row r="216">
      <c r="A216" s="4">
        <f>Database!A216&amp;"  "&amp;Database!B216</f>
        <v/>
      </c>
      <c r="B216" s="6">
        <f>IFERROR(INDEX(BDS(Database!$A216&amp;" HK Equity","EQUITY_OFFERINGS","array=t","endcol=1"),MATCH("IPO",BDS(Database!$A216&amp;" HK Equity","EQUITY_OFFERINGS","array=t","startcol=2","endcol=2"),0)),"")</f>
        <v/>
      </c>
      <c r="C216" s="64">
        <f>IF($B216="","",IFERROR(BDP($B216&amp;" Action","CP036"),""))</f>
        <v/>
      </c>
      <c r="D216" s="65">
        <f>Database!Q216</f>
        <v/>
      </c>
      <c r="E216" s="64">
        <f>IF($B216="","",IFERROR(BDP($B216&amp;" Action","CP037"),""))</f>
        <v/>
      </c>
      <c r="F216" s="65">
        <f>Database!R216</f>
        <v/>
      </c>
      <c r="G216" s="64">
        <f>IF($B216="","",IFERROR(BDP($B216&amp;" Action","GREENSHOE_FACILITY"),""))</f>
        <v/>
      </c>
      <c r="H216" s="64">
        <f>IF($B216="","",IFERROR(BDP($B216&amp;" Action","OFFERING_GREENSHOE_SHARES_EX"),""))</f>
        <v/>
      </c>
      <c r="I216" s="4">
        <f>Database!V216</f>
        <v/>
      </c>
      <c r="J216" s="21">
        <f>IFERROR(BDP(Database!$A216&amp;" HK Equity","PE_RATIO"),"")</f>
        <v/>
      </c>
      <c r="K216" s="6">
        <f>IFERROR(BDP(Database!$A216&amp;" HK Equity","A/H_SHARE_CONVERSION"),"")</f>
        <v/>
      </c>
      <c r="L216" s="4">
        <f>IF(Database!AL216="","(none found)",Database!AL216)</f>
        <v/>
      </c>
      <c r="M216" s="9">
        <f>IFERROR(BDH(Database!$A216&amp;" HK Equity","CUR_MKT_CAP",Database!$G216,Database!$G216)/1000000,"")</f>
        <v/>
      </c>
      <c r="N216" s="63">
        <f>Database!O216</f>
        <v/>
      </c>
      <c r="O216" s="21">
        <f>IFERROR(BDH(Database!$A216&amp;" HK Equity","PE_RATIO",Database!$G216,Database!$G216),"")</f>
        <v/>
      </c>
      <c r="P216" s="60">
        <f>IF(Database!AI216="","(n/m or not derivable)",Database!AI216)</f>
        <v/>
      </c>
    </row>
    <row r="217">
      <c r="A217" s="4">
        <f>Database!A217&amp;"  "&amp;Database!B217</f>
        <v/>
      </c>
      <c r="B217" s="6">
        <f>IFERROR(INDEX(BDS(Database!$A217&amp;" HK Equity","EQUITY_OFFERINGS","array=t","endcol=1"),MATCH("IPO",BDS(Database!$A217&amp;" HK Equity","EQUITY_OFFERINGS","array=t","startcol=2","endcol=2"),0)),"")</f>
        <v/>
      </c>
      <c r="C217" s="64">
        <f>IF($B217="","",IFERROR(BDP($B217&amp;" Action","CP036"),""))</f>
        <v/>
      </c>
      <c r="D217" s="65">
        <f>Database!Q217</f>
        <v/>
      </c>
      <c r="E217" s="64">
        <f>IF($B217="","",IFERROR(BDP($B217&amp;" Action","CP037"),""))</f>
        <v/>
      </c>
      <c r="F217" s="65">
        <f>Database!R217</f>
        <v/>
      </c>
      <c r="G217" s="64">
        <f>IF($B217="","",IFERROR(BDP($B217&amp;" Action","GREENSHOE_FACILITY"),""))</f>
        <v/>
      </c>
      <c r="H217" s="64">
        <f>IF($B217="","",IFERROR(BDP($B217&amp;" Action","OFFERING_GREENSHOE_SHARES_EX"),""))</f>
        <v/>
      </c>
      <c r="I217" s="4">
        <f>Database!V217</f>
        <v/>
      </c>
      <c r="J217" s="21">
        <f>IFERROR(BDP(Database!$A217&amp;" HK Equity","PE_RATIO"),"")</f>
        <v/>
      </c>
      <c r="K217" s="6">
        <f>IFERROR(BDP(Database!$A217&amp;" HK Equity","A/H_SHARE_CONVERSION"),"")</f>
        <v/>
      </c>
      <c r="L217" s="4">
        <f>IF(Database!AL217="","(none found)",Database!AL217)</f>
        <v/>
      </c>
      <c r="M217" s="9">
        <f>IFERROR(BDH(Database!$A217&amp;" HK Equity","CUR_MKT_CAP",Database!$G217,Database!$G217)/1000000,"")</f>
        <v/>
      </c>
      <c r="N217" s="63">
        <f>Database!O217</f>
        <v/>
      </c>
      <c r="O217" s="21">
        <f>IFERROR(BDH(Database!$A217&amp;" HK Equity","PE_RATIO",Database!$G217,Database!$G217),"")</f>
        <v/>
      </c>
      <c r="P217" s="60">
        <f>IF(Database!AI217="","(n/m or not derivable)",Database!AI217)</f>
        <v/>
      </c>
    </row>
    <row r="218">
      <c r="A218" s="4">
        <f>Database!A218&amp;"  "&amp;Database!B218</f>
        <v/>
      </c>
      <c r="B218" s="6">
        <f>IFERROR(INDEX(BDS(Database!$A218&amp;" HK Equity","EQUITY_OFFERINGS","array=t","endcol=1"),MATCH("IPO",BDS(Database!$A218&amp;" HK Equity","EQUITY_OFFERINGS","array=t","startcol=2","endcol=2"),0)),"")</f>
        <v/>
      </c>
      <c r="C218" s="64">
        <f>IF($B218="","",IFERROR(BDP($B218&amp;" Action","CP036"),""))</f>
        <v/>
      </c>
      <c r="D218" s="65">
        <f>Database!Q218</f>
        <v/>
      </c>
      <c r="E218" s="64">
        <f>IF($B218="","",IFERROR(BDP($B218&amp;" Action","CP037"),""))</f>
        <v/>
      </c>
      <c r="F218" s="65">
        <f>Database!R218</f>
        <v/>
      </c>
      <c r="G218" s="64">
        <f>IF($B218="","",IFERROR(BDP($B218&amp;" Action","GREENSHOE_FACILITY"),""))</f>
        <v/>
      </c>
      <c r="H218" s="64">
        <f>IF($B218="","",IFERROR(BDP($B218&amp;" Action","OFFERING_GREENSHOE_SHARES_EX"),""))</f>
        <v/>
      </c>
      <c r="I218" s="4">
        <f>Database!V218</f>
        <v/>
      </c>
      <c r="J218" s="21">
        <f>IFERROR(BDP(Database!$A218&amp;" HK Equity","PE_RATIO"),"")</f>
        <v/>
      </c>
      <c r="K218" s="6">
        <f>IFERROR(BDP(Database!$A218&amp;" HK Equity","A/H_SHARE_CONVERSION"),"")</f>
        <v/>
      </c>
      <c r="L218" s="4">
        <f>IF(Database!AL218="","(none found)",Database!AL218)</f>
        <v/>
      </c>
      <c r="M218" s="9">
        <f>IFERROR(BDH(Database!$A218&amp;" HK Equity","CUR_MKT_CAP",Database!$G218,Database!$G218)/1000000,"")</f>
        <v/>
      </c>
      <c r="N218" s="63">
        <f>Database!O218</f>
        <v/>
      </c>
      <c r="O218" s="21">
        <f>IFERROR(BDH(Database!$A218&amp;" HK Equity","PE_RATIO",Database!$G218,Database!$G218),"")</f>
        <v/>
      </c>
      <c r="P218" s="60">
        <f>IF(Database!AI218="","(n/m or not derivable)",Database!AI218)</f>
        <v/>
      </c>
    </row>
    <row r="219">
      <c r="A219" s="4">
        <f>Database!A219&amp;"  "&amp;Database!B219</f>
        <v/>
      </c>
      <c r="B219" s="6">
        <f>IFERROR(INDEX(BDS(Database!$A219&amp;" HK Equity","EQUITY_OFFERINGS","array=t","endcol=1"),MATCH("IPO",BDS(Database!$A219&amp;" HK Equity","EQUITY_OFFERINGS","array=t","startcol=2","endcol=2"),0)),"")</f>
        <v/>
      </c>
      <c r="C219" s="64">
        <f>IF($B219="","",IFERROR(BDP($B219&amp;" Action","CP036"),""))</f>
        <v/>
      </c>
      <c r="D219" s="65">
        <f>Database!Q219</f>
        <v/>
      </c>
      <c r="E219" s="64">
        <f>IF($B219="","",IFERROR(BDP($B219&amp;" Action","CP037"),""))</f>
        <v/>
      </c>
      <c r="F219" s="65">
        <f>Database!R219</f>
        <v/>
      </c>
      <c r="G219" s="64">
        <f>IF($B219="","",IFERROR(BDP($B219&amp;" Action","GREENSHOE_FACILITY"),""))</f>
        <v/>
      </c>
      <c r="H219" s="64">
        <f>IF($B219="","",IFERROR(BDP($B219&amp;" Action","OFFERING_GREENSHOE_SHARES_EX"),""))</f>
        <v/>
      </c>
      <c r="I219" s="4">
        <f>Database!V219</f>
        <v/>
      </c>
      <c r="J219" s="21">
        <f>IFERROR(BDP(Database!$A219&amp;" HK Equity","PE_RATIO"),"")</f>
        <v/>
      </c>
      <c r="K219" s="6">
        <f>IFERROR(BDP(Database!$A219&amp;" HK Equity","A/H_SHARE_CONVERSION"),"")</f>
        <v/>
      </c>
      <c r="L219" s="4">
        <f>IF(Database!AL219="","(none found)",Database!AL219)</f>
        <v/>
      </c>
      <c r="M219" s="9">
        <f>IFERROR(BDH(Database!$A219&amp;" HK Equity","CUR_MKT_CAP",Database!$G219,Database!$G219)/1000000,"")</f>
        <v/>
      </c>
      <c r="N219" s="63">
        <f>Database!O219</f>
        <v/>
      </c>
      <c r="O219" s="21">
        <f>IFERROR(BDH(Database!$A219&amp;" HK Equity","PE_RATIO",Database!$G219,Database!$G219),"")</f>
        <v/>
      </c>
      <c r="P219" s="60">
        <f>IF(Database!AI219="","(n/m or not derivable)",Database!AI219)</f>
        <v/>
      </c>
    </row>
    <row r="220">
      <c r="A220" s="4">
        <f>Database!A220&amp;"  "&amp;Database!B220</f>
        <v/>
      </c>
      <c r="B220" s="6">
        <f>IFERROR(INDEX(BDS(Database!$A220&amp;" HK Equity","EQUITY_OFFERINGS","array=t","endcol=1"),MATCH("IPO",BDS(Database!$A220&amp;" HK Equity","EQUITY_OFFERINGS","array=t","startcol=2","endcol=2"),0)),"")</f>
        <v/>
      </c>
      <c r="C220" s="64">
        <f>IF($B220="","",IFERROR(BDP($B220&amp;" Action","CP036"),""))</f>
        <v/>
      </c>
      <c r="D220" s="65">
        <f>Database!Q220</f>
        <v/>
      </c>
      <c r="E220" s="64">
        <f>IF($B220="","",IFERROR(BDP($B220&amp;" Action","CP037"),""))</f>
        <v/>
      </c>
      <c r="F220" s="65">
        <f>Database!R220</f>
        <v/>
      </c>
      <c r="G220" s="64">
        <f>IF($B220="","",IFERROR(BDP($B220&amp;" Action","GREENSHOE_FACILITY"),""))</f>
        <v/>
      </c>
      <c r="H220" s="64">
        <f>IF($B220="","",IFERROR(BDP($B220&amp;" Action","OFFERING_GREENSHOE_SHARES_EX"),""))</f>
        <v/>
      </c>
      <c r="I220" s="4">
        <f>Database!V220</f>
        <v/>
      </c>
      <c r="J220" s="21">
        <f>IFERROR(BDP(Database!$A220&amp;" HK Equity","PE_RATIO"),"")</f>
        <v/>
      </c>
      <c r="K220" s="6">
        <f>IFERROR(BDP(Database!$A220&amp;" HK Equity","A/H_SHARE_CONVERSION"),"")</f>
        <v/>
      </c>
      <c r="L220" s="4">
        <f>IF(Database!AL220="","(none found)",Database!AL220)</f>
        <v/>
      </c>
      <c r="M220" s="9">
        <f>IFERROR(BDH(Database!$A220&amp;" HK Equity","CUR_MKT_CAP",Database!$G220,Database!$G220)/1000000,"")</f>
        <v/>
      </c>
      <c r="N220" s="63">
        <f>Database!O220</f>
        <v/>
      </c>
      <c r="O220" s="21">
        <f>IFERROR(BDH(Database!$A220&amp;" HK Equity","PE_RATIO",Database!$G220,Database!$G220),"")</f>
        <v/>
      </c>
      <c r="P220" s="60">
        <f>IF(Database!AI220="","(n/m or not derivable)",Database!AI220)</f>
        <v/>
      </c>
    </row>
    <row r="221">
      <c r="A221" s="4">
        <f>Database!A221&amp;"  "&amp;Database!B221</f>
        <v/>
      </c>
      <c r="B221" s="6">
        <f>IFERROR(INDEX(BDS(Database!$A221&amp;" HK Equity","EQUITY_OFFERINGS","array=t","endcol=1"),MATCH("IPO",BDS(Database!$A221&amp;" HK Equity","EQUITY_OFFERINGS","array=t","startcol=2","endcol=2"),0)),"")</f>
        <v/>
      </c>
      <c r="C221" s="64">
        <f>IF($B221="","",IFERROR(BDP($B221&amp;" Action","CP036"),""))</f>
        <v/>
      </c>
      <c r="D221" s="65">
        <f>Database!Q221</f>
        <v/>
      </c>
      <c r="E221" s="64">
        <f>IF($B221="","",IFERROR(BDP($B221&amp;" Action","CP037"),""))</f>
        <v/>
      </c>
      <c r="F221" s="65">
        <f>Database!R221</f>
        <v/>
      </c>
      <c r="G221" s="64">
        <f>IF($B221="","",IFERROR(BDP($B221&amp;" Action","GREENSHOE_FACILITY"),""))</f>
        <v/>
      </c>
      <c r="H221" s="64">
        <f>IF($B221="","",IFERROR(BDP($B221&amp;" Action","OFFERING_GREENSHOE_SHARES_EX"),""))</f>
        <v/>
      </c>
      <c r="I221" s="4">
        <f>Database!V221</f>
        <v/>
      </c>
      <c r="J221" s="21">
        <f>IFERROR(BDP(Database!$A221&amp;" HK Equity","PE_RATIO"),"")</f>
        <v/>
      </c>
      <c r="K221" s="6">
        <f>IFERROR(BDP(Database!$A221&amp;" HK Equity","A/H_SHARE_CONVERSION"),"")</f>
        <v/>
      </c>
      <c r="L221" s="4">
        <f>IF(Database!AL221="","(none found)",Database!AL221)</f>
        <v/>
      </c>
      <c r="M221" s="9">
        <f>IFERROR(BDH(Database!$A221&amp;" HK Equity","CUR_MKT_CAP",Database!$G221,Database!$G221)/1000000,"")</f>
        <v/>
      </c>
      <c r="N221" s="63">
        <f>Database!O221</f>
        <v/>
      </c>
      <c r="O221" s="21">
        <f>IFERROR(BDH(Database!$A221&amp;" HK Equity","PE_RATIO",Database!$G221,Database!$G221),"")</f>
        <v/>
      </c>
      <c r="P221" s="60">
        <f>IF(Database!AI221="","(n/m or not derivable)",Database!AI221)</f>
        <v/>
      </c>
    </row>
    <row r="222">
      <c r="A222" s="4">
        <f>Database!A222&amp;"  "&amp;Database!B222</f>
        <v/>
      </c>
      <c r="B222" s="6">
        <f>IFERROR(INDEX(BDS(Database!$A222&amp;" HK Equity","EQUITY_OFFERINGS","array=t","endcol=1"),MATCH("IPO",BDS(Database!$A222&amp;" HK Equity","EQUITY_OFFERINGS","array=t","startcol=2","endcol=2"),0)),"")</f>
        <v/>
      </c>
      <c r="C222" s="64">
        <f>IF($B222="","",IFERROR(BDP($B222&amp;" Action","CP036"),""))</f>
        <v/>
      </c>
      <c r="D222" s="65">
        <f>Database!Q222</f>
        <v/>
      </c>
      <c r="E222" s="64">
        <f>IF($B222="","",IFERROR(BDP($B222&amp;" Action","CP037"),""))</f>
        <v/>
      </c>
      <c r="F222" s="65">
        <f>Database!R222</f>
        <v/>
      </c>
      <c r="G222" s="64">
        <f>IF($B222="","",IFERROR(BDP($B222&amp;" Action","GREENSHOE_FACILITY"),""))</f>
        <v/>
      </c>
      <c r="H222" s="64">
        <f>IF($B222="","",IFERROR(BDP($B222&amp;" Action","OFFERING_GREENSHOE_SHARES_EX"),""))</f>
        <v/>
      </c>
      <c r="I222" s="4">
        <f>Database!V222</f>
        <v/>
      </c>
      <c r="J222" s="21">
        <f>IFERROR(BDP(Database!$A222&amp;" HK Equity","PE_RATIO"),"")</f>
        <v/>
      </c>
      <c r="K222" s="6">
        <f>IFERROR(BDP(Database!$A222&amp;" HK Equity","A/H_SHARE_CONVERSION"),"")</f>
        <v/>
      </c>
      <c r="L222" s="4">
        <f>IF(Database!AL222="","(none found)",Database!AL222)</f>
        <v/>
      </c>
      <c r="M222" s="9">
        <f>IFERROR(BDH(Database!$A222&amp;" HK Equity","CUR_MKT_CAP",Database!$G222,Database!$G222)/1000000,"")</f>
        <v/>
      </c>
      <c r="N222" s="63">
        <f>Database!O222</f>
        <v/>
      </c>
      <c r="O222" s="21">
        <f>IFERROR(BDH(Database!$A222&amp;" HK Equity","PE_RATIO",Database!$G222,Database!$G222),"")</f>
        <v/>
      </c>
      <c r="P222" s="60">
        <f>IF(Database!AI222="","(n/m or not derivable)",Database!AI222)</f>
        <v/>
      </c>
    </row>
    <row r="223">
      <c r="A223" s="4">
        <f>Database!A223&amp;"  "&amp;Database!B223</f>
        <v/>
      </c>
      <c r="B223" s="6">
        <f>IFERROR(INDEX(BDS(Database!$A223&amp;" HK Equity","EQUITY_OFFERINGS","array=t","endcol=1"),MATCH("IPO",BDS(Database!$A223&amp;" HK Equity","EQUITY_OFFERINGS","array=t","startcol=2","endcol=2"),0)),"")</f>
        <v/>
      </c>
      <c r="C223" s="64">
        <f>IF($B223="","",IFERROR(BDP($B223&amp;" Action","CP036"),""))</f>
        <v/>
      </c>
      <c r="D223" s="65">
        <f>Database!Q223</f>
        <v/>
      </c>
      <c r="E223" s="64">
        <f>IF($B223="","",IFERROR(BDP($B223&amp;" Action","CP037"),""))</f>
        <v/>
      </c>
      <c r="F223" s="65">
        <f>Database!R223</f>
        <v/>
      </c>
      <c r="G223" s="64">
        <f>IF($B223="","",IFERROR(BDP($B223&amp;" Action","GREENSHOE_FACILITY"),""))</f>
        <v/>
      </c>
      <c r="H223" s="64">
        <f>IF($B223="","",IFERROR(BDP($B223&amp;" Action","OFFERING_GREENSHOE_SHARES_EX"),""))</f>
        <v/>
      </c>
      <c r="I223" s="4">
        <f>Database!V223</f>
        <v/>
      </c>
      <c r="J223" s="21">
        <f>IFERROR(BDP(Database!$A223&amp;" HK Equity","PE_RATIO"),"")</f>
        <v/>
      </c>
      <c r="K223" s="6">
        <f>IFERROR(BDP(Database!$A223&amp;" HK Equity","A/H_SHARE_CONVERSION"),"")</f>
        <v/>
      </c>
      <c r="L223" s="4">
        <f>IF(Database!AL223="","(none found)",Database!AL223)</f>
        <v/>
      </c>
      <c r="M223" s="9">
        <f>IFERROR(BDH(Database!$A223&amp;" HK Equity","CUR_MKT_CAP",Database!$G223,Database!$G223)/1000000,"")</f>
        <v/>
      </c>
      <c r="N223" s="63">
        <f>Database!O223</f>
        <v/>
      </c>
      <c r="O223" s="21">
        <f>IFERROR(BDH(Database!$A223&amp;" HK Equity","PE_RATIO",Database!$G223,Database!$G223),"")</f>
        <v/>
      </c>
      <c r="P223" s="60">
        <f>IF(Database!AI223="","(n/m or not derivable)",Database!AI223)</f>
        <v/>
      </c>
    </row>
    <row r="224">
      <c r="A224" s="4">
        <f>Database!A224&amp;"  "&amp;Database!B224</f>
        <v/>
      </c>
      <c r="B224" s="6">
        <f>IFERROR(INDEX(BDS(Database!$A224&amp;" HK Equity","EQUITY_OFFERINGS","array=t","endcol=1"),MATCH("IPO",BDS(Database!$A224&amp;" HK Equity","EQUITY_OFFERINGS","array=t","startcol=2","endcol=2"),0)),"")</f>
        <v/>
      </c>
      <c r="C224" s="64">
        <f>IF($B224="","",IFERROR(BDP($B224&amp;" Action","CP036"),""))</f>
        <v/>
      </c>
      <c r="D224" s="65">
        <f>Database!Q224</f>
        <v/>
      </c>
      <c r="E224" s="64">
        <f>IF($B224="","",IFERROR(BDP($B224&amp;" Action","CP037"),""))</f>
        <v/>
      </c>
      <c r="F224" s="65">
        <f>Database!R224</f>
        <v/>
      </c>
      <c r="G224" s="64">
        <f>IF($B224="","",IFERROR(BDP($B224&amp;" Action","GREENSHOE_FACILITY"),""))</f>
        <v/>
      </c>
      <c r="H224" s="64">
        <f>IF($B224="","",IFERROR(BDP($B224&amp;" Action","OFFERING_GREENSHOE_SHARES_EX"),""))</f>
        <v/>
      </c>
      <c r="I224" s="4">
        <f>Database!V224</f>
        <v/>
      </c>
      <c r="J224" s="21">
        <f>IFERROR(BDP(Database!$A224&amp;" HK Equity","PE_RATIO"),"")</f>
        <v/>
      </c>
      <c r="K224" s="6">
        <f>IFERROR(BDP(Database!$A224&amp;" HK Equity","A/H_SHARE_CONVERSION"),"")</f>
        <v/>
      </c>
      <c r="L224" s="4">
        <f>IF(Database!AL224="","(none found)",Database!AL224)</f>
        <v/>
      </c>
      <c r="M224" s="9">
        <f>IFERROR(BDH(Database!$A224&amp;" HK Equity","CUR_MKT_CAP",Database!$G224,Database!$G224)/1000000,"")</f>
        <v/>
      </c>
      <c r="N224" s="63">
        <f>Database!O224</f>
        <v/>
      </c>
      <c r="O224" s="21">
        <f>IFERROR(BDH(Database!$A224&amp;" HK Equity","PE_RATIO",Database!$G224,Database!$G224),"")</f>
        <v/>
      </c>
      <c r="P224" s="60">
        <f>IF(Database!AI224="","(n/m or not derivable)",Database!AI224)</f>
        <v/>
      </c>
    </row>
    <row r="225">
      <c r="A225" s="4">
        <f>Database!A225&amp;"  "&amp;Database!B225</f>
        <v/>
      </c>
      <c r="B225" s="6">
        <f>IFERROR(INDEX(BDS(Database!$A225&amp;" HK Equity","EQUITY_OFFERINGS","array=t","endcol=1"),MATCH("IPO",BDS(Database!$A225&amp;" HK Equity","EQUITY_OFFERINGS","array=t","startcol=2","endcol=2"),0)),"")</f>
        <v/>
      </c>
      <c r="C225" s="64">
        <f>IF($B225="","",IFERROR(BDP($B225&amp;" Action","CP036"),""))</f>
        <v/>
      </c>
      <c r="D225" s="65">
        <f>Database!Q225</f>
        <v/>
      </c>
      <c r="E225" s="64">
        <f>IF($B225="","",IFERROR(BDP($B225&amp;" Action","CP037"),""))</f>
        <v/>
      </c>
      <c r="F225" s="65">
        <f>Database!R225</f>
        <v/>
      </c>
      <c r="G225" s="64">
        <f>IF($B225="","",IFERROR(BDP($B225&amp;" Action","GREENSHOE_FACILITY"),""))</f>
        <v/>
      </c>
      <c r="H225" s="64">
        <f>IF($B225="","",IFERROR(BDP($B225&amp;" Action","OFFERING_GREENSHOE_SHARES_EX"),""))</f>
        <v/>
      </c>
      <c r="I225" s="4">
        <f>Database!V225</f>
        <v/>
      </c>
      <c r="J225" s="21">
        <f>IFERROR(BDP(Database!$A225&amp;" HK Equity","PE_RATIO"),"")</f>
        <v/>
      </c>
      <c r="K225" s="6">
        <f>IFERROR(BDP(Database!$A225&amp;" HK Equity","A/H_SHARE_CONVERSION"),"")</f>
        <v/>
      </c>
      <c r="L225" s="4">
        <f>IF(Database!AL225="","(none found)",Database!AL225)</f>
        <v/>
      </c>
      <c r="M225" s="9">
        <f>IFERROR(BDH(Database!$A225&amp;" HK Equity","CUR_MKT_CAP",Database!$G225,Database!$G225)/1000000,"")</f>
        <v/>
      </c>
      <c r="N225" s="63">
        <f>Database!O225</f>
        <v/>
      </c>
      <c r="O225" s="21">
        <f>IFERROR(BDH(Database!$A225&amp;" HK Equity","PE_RATIO",Database!$G225,Database!$G225),"")</f>
        <v/>
      </c>
      <c r="P225" s="60">
        <f>IF(Database!AI225="","(n/m or not derivable)",Database!AI225)</f>
        <v/>
      </c>
    </row>
    <row r="226">
      <c r="A226" s="4">
        <f>Database!A226&amp;"  "&amp;Database!B226</f>
        <v/>
      </c>
      <c r="B226" s="6">
        <f>IFERROR(INDEX(BDS(Database!$A226&amp;" HK Equity","EQUITY_OFFERINGS","array=t","endcol=1"),MATCH("IPO",BDS(Database!$A226&amp;" HK Equity","EQUITY_OFFERINGS","array=t","startcol=2","endcol=2"),0)),"")</f>
        <v/>
      </c>
      <c r="C226" s="64">
        <f>IF($B226="","",IFERROR(BDP($B226&amp;" Action","CP036"),""))</f>
        <v/>
      </c>
      <c r="D226" s="65">
        <f>Database!Q226</f>
        <v/>
      </c>
      <c r="E226" s="64">
        <f>IF($B226="","",IFERROR(BDP($B226&amp;" Action","CP037"),""))</f>
        <v/>
      </c>
      <c r="F226" s="65">
        <f>Database!R226</f>
        <v/>
      </c>
      <c r="G226" s="64">
        <f>IF($B226="","",IFERROR(BDP($B226&amp;" Action","GREENSHOE_FACILITY"),""))</f>
        <v/>
      </c>
      <c r="H226" s="64">
        <f>IF($B226="","",IFERROR(BDP($B226&amp;" Action","OFFERING_GREENSHOE_SHARES_EX"),""))</f>
        <v/>
      </c>
      <c r="I226" s="4">
        <f>Database!V226</f>
        <v/>
      </c>
      <c r="J226" s="21">
        <f>IFERROR(BDP(Database!$A226&amp;" HK Equity","PE_RATIO"),"")</f>
        <v/>
      </c>
      <c r="K226" s="6">
        <f>IFERROR(BDP(Database!$A226&amp;" HK Equity","A/H_SHARE_CONVERSION"),"")</f>
        <v/>
      </c>
      <c r="L226" s="4">
        <f>IF(Database!AL226="","(none found)",Database!AL226)</f>
        <v/>
      </c>
      <c r="M226" s="9">
        <f>IFERROR(BDH(Database!$A226&amp;" HK Equity","CUR_MKT_CAP",Database!$G226,Database!$G226)/1000000,"")</f>
        <v/>
      </c>
      <c r="N226" s="63">
        <f>Database!O226</f>
        <v/>
      </c>
      <c r="O226" s="21">
        <f>IFERROR(BDH(Database!$A226&amp;" HK Equity","PE_RATIO",Database!$G226,Database!$G226),"")</f>
        <v/>
      </c>
      <c r="P226" s="60">
        <f>IF(Database!AI226="","(n/m or not derivable)",Database!AI226)</f>
        <v/>
      </c>
    </row>
    <row r="227">
      <c r="A227" s="4">
        <f>Database!A227&amp;"  "&amp;Database!B227</f>
        <v/>
      </c>
      <c r="B227" s="6">
        <f>IFERROR(INDEX(BDS(Database!$A227&amp;" HK Equity","EQUITY_OFFERINGS","array=t","endcol=1"),MATCH("IPO",BDS(Database!$A227&amp;" HK Equity","EQUITY_OFFERINGS","array=t","startcol=2","endcol=2"),0)),"")</f>
        <v/>
      </c>
      <c r="C227" s="64">
        <f>IF($B227="","",IFERROR(BDP($B227&amp;" Action","CP036"),""))</f>
        <v/>
      </c>
      <c r="D227" s="65">
        <f>Database!Q227</f>
        <v/>
      </c>
      <c r="E227" s="64">
        <f>IF($B227="","",IFERROR(BDP($B227&amp;" Action","CP037"),""))</f>
        <v/>
      </c>
      <c r="F227" s="65">
        <f>Database!R227</f>
        <v/>
      </c>
      <c r="G227" s="64">
        <f>IF($B227="","",IFERROR(BDP($B227&amp;" Action","GREENSHOE_FACILITY"),""))</f>
        <v/>
      </c>
      <c r="H227" s="64">
        <f>IF($B227="","",IFERROR(BDP($B227&amp;" Action","OFFERING_GREENSHOE_SHARES_EX"),""))</f>
        <v/>
      </c>
      <c r="I227" s="4">
        <f>Database!V227</f>
        <v/>
      </c>
      <c r="J227" s="21">
        <f>IFERROR(BDP(Database!$A227&amp;" HK Equity","PE_RATIO"),"")</f>
        <v/>
      </c>
      <c r="K227" s="6">
        <f>IFERROR(BDP(Database!$A227&amp;" HK Equity","A/H_SHARE_CONVERSION"),"")</f>
        <v/>
      </c>
      <c r="L227" s="4">
        <f>IF(Database!AL227="","(none found)",Database!AL227)</f>
        <v/>
      </c>
      <c r="M227" s="9">
        <f>IFERROR(BDH(Database!$A227&amp;" HK Equity","CUR_MKT_CAP",Database!$G227,Database!$G227)/1000000,"")</f>
        <v/>
      </c>
      <c r="N227" s="63">
        <f>Database!O227</f>
        <v/>
      </c>
      <c r="O227" s="21">
        <f>IFERROR(BDH(Database!$A227&amp;" HK Equity","PE_RATIO",Database!$G227,Database!$G227),"")</f>
        <v/>
      </c>
      <c r="P227" s="60">
        <f>IF(Database!AI227="","(n/m or not derivable)",Database!AI227)</f>
        <v/>
      </c>
    </row>
    <row r="228">
      <c r="A228" s="4">
        <f>Database!A228&amp;"  "&amp;Database!B228</f>
        <v/>
      </c>
      <c r="B228" s="6">
        <f>IFERROR(INDEX(BDS(Database!$A228&amp;" HK Equity","EQUITY_OFFERINGS","array=t","endcol=1"),MATCH("IPO",BDS(Database!$A228&amp;" HK Equity","EQUITY_OFFERINGS","array=t","startcol=2","endcol=2"),0)),"")</f>
        <v/>
      </c>
      <c r="C228" s="64">
        <f>IF($B228="","",IFERROR(BDP($B228&amp;" Action","CP036"),""))</f>
        <v/>
      </c>
      <c r="D228" s="65">
        <f>Database!Q228</f>
        <v/>
      </c>
      <c r="E228" s="64">
        <f>IF($B228="","",IFERROR(BDP($B228&amp;" Action","CP037"),""))</f>
        <v/>
      </c>
      <c r="F228" s="65">
        <f>Database!R228</f>
        <v/>
      </c>
      <c r="G228" s="64">
        <f>IF($B228="","",IFERROR(BDP($B228&amp;" Action","GREENSHOE_FACILITY"),""))</f>
        <v/>
      </c>
      <c r="H228" s="64">
        <f>IF($B228="","",IFERROR(BDP($B228&amp;" Action","OFFERING_GREENSHOE_SHARES_EX"),""))</f>
        <v/>
      </c>
      <c r="I228" s="4">
        <f>Database!V228</f>
        <v/>
      </c>
      <c r="J228" s="21">
        <f>IFERROR(BDP(Database!$A228&amp;" HK Equity","PE_RATIO"),"")</f>
        <v/>
      </c>
      <c r="K228" s="6">
        <f>IFERROR(BDP(Database!$A228&amp;" HK Equity","A/H_SHARE_CONVERSION"),"")</f>
        <v/>
      </c>
      <c r="L228" s="4">
        <f>IF(Database!AL228="","(none found)",Database!AL228)</f>
        <v/>
      </c>
      <c r="M228" s="9">
        <f>IFERROR(BDH(Database!$A228&amp;" HK Equity","CUR_MKT_CAP",Database!$G228,Database!$G228)/1000000,"")</f>
        <v/>
      </c>
      <c r="N228" s="63">
        <f>Database!O228</f>
        <v/>
      </c>
      <c r="O228" s="21">
        <f>IFERROR(BDH(Database!$A228&amp;" HK Equity","PE_RATIO",Database!$G228,Database!$G228),"")</f>
        <v/>
      </c>
      <c r="P228" s="60">
        <f>IF(Database!AI228="","(n/m or not derivable)",Database!AI228)</f>
        <v/>
      </c>
    </row>
    <row r="229">
      <c r="A229" s="4">
        <f>Database!A229&amp;"  "&amp;Database!B229</f>
        <v/>
      </c>
      <c r="B229" s="6">
        <f>IFERROR(INDEX(BDS(Database!$A229&amp;" HK Equity","EQUITY_OFFERINGS","array=t","endcol=1"),MATCH("IPO",BDS(Database!$A229&amp;" HK Equity","EQUITY_OFFERINGS","array=t","startcol=2","endcol=2"),0)),"")</f>
        <v/>
      </c>
      <c r="C229" s="64">
        <f>IF($B229="","",IFERROR(BDP($B229&amp;" Action","CP036"),""))</f>
        <v/>
      </c>
      <c r="D229" s="65">
        <f>Database!Q229</f>
        <v/>
      </c>
      <c r="E229" s="64">
        <f>IF($B229="","",IFERROR(BDP($B229&amp;" Action","CP037"),""))</f>
        <v/>
      </c>
      <c r="F229" s="65">
        <f>Database!R229</f>
        <v/>
      </c>
      <c r="G229" s="64">
        <f>IF($B229="","",IFERROR(BDP($B229&amp;" Action","GREENSHOE_FACILITY"),""))</f>
        <v/>
      </c>
      <c r="H229" s="64">
        <f>IF($B229="","",IFERROR(BDP($B229&amp;" Action","OFFERING_GREENSHOE_SHARES_EX"),""))</f>
        <v/>
      </c>
      <c r="I229" s="4">
        <f>Database!V229</f>
        <v/>
      </c>
      <c r="J229" s="21">
        <f>IFERROR(BDP(Database!$A229&amp;" HK Equity","PE_RATIO"),"")</f>
        <v/>
      </c>
      <c r="K229" s="6">
        <f>IFERROR(BDP(Database!$A229&amp;" HK Equity","A/H_SHARE_CONVERSION"),"")</f>
        <v/>
      </c>
      <c r="L229" s="4">
        <f>IF(Database!AL229="","(none found)",Database!AL229)</f>
        <v/>
      </c>
      <c r="M229" s="9">
        <f>IFERROR(BDH(Database!$A229&amp;" HK Equity","CUR_MKT_CAP",Database!$G229,Database!$G229)/1000000,"")</f>
        <v/>
      </c>
      <c r="N229" s="63">
        <f>Database!O229</f>
        <v/>
      </c>
      <c r="O229" s="21">
        <f>IFERROR(BDH(Database!$A229&amp;" HK Equity","PE_RATIO",Database!$G229,Database!$G229),"")</f>
        <v/>
      </c>
      <c r="P229" s="60">
        <f>IF(Database!AI229="","(n/m or not derivable)",Database!AI229)</f>
        <v/>
      </c>
    </row>
    <row r="230">
      <c r="A230" s="4">
        <f>Database!A230&amp;"  "&amp;Database!B230</f>
        <v/>
      </c>
      <c r="B230" s="6">
        <f>IFERROR(INDEX(BDS(Database!$A230&amp;" HK Equity","EQUITY_OFFERINGS","array=t","endcol=1"),MATCH("IPO",BDS(Database!$A230&amp;" HK Equity","EQUITY_OFFERINGS","array=t","startcol=2","endcol=2"),0)),"")</f>
        <v/>
      </c>
      <c r="C230" s="64">
        <f>IF($B230="","",IFERROR(BDP($B230&amp;" Action","CP036"),""))</f>
        <v/>
      </c>
      <c r="D230" s="65">
        <f>Database!Q230</f>
        <v/>
      </c>
      <c r="E230" s="64">
        <f>IF($B230="","",IFERROR(BDP($B230&amp;" Action","CP037"),""))</f>
        <v/>
      </c>
      <c r="F230" s="65">
        <f>Database!R230</f>
        <v/>
      </c>
      <c r="G230" s="64">
        <f>IF($B230="","",IFERROR(BDP($B230&amp;" Action","GREENSHOE_FACILITY"),""))</f>
        <v/>
      </c>
      <c r="H230" s="64">
        <f>IF($B230="","",IFERROR(BDP($B230&amp;" Action","OFFERING_GREENSHOE_SHARES_EX"),""))</f>
        <v/>
      </c>
      <c r="I230" s="4">
        <f>Database!V230</f>
        <v/>
      </c>
      <c r="J230" s="21">
        <f>IFERROR(BDP(Database!$A230&amp;" HK Equity","PE_RATIO"),"")</f>
        <v/>
      </c>
      <c r="K230" s="6">
        <f>IFERROR(BDP(Database!$A230&amp;" HK Equity","A/H_SHARE_CONVERSION"),"")</f>
        <v/>
      </c>
      <c r="L230" s="4">
        <f>IF(Database!AL230="","(none found)",Database!AL230)</f>
        <v/>
      </c>
      <c r="M230" s="9">
        <f>IFERROR(BDH(Database!$A230&amp;" HK Equity","CUR_MKT_CAP",Database!$G230,Database!$G230)/1000000,"")</f>
        <v/>
      </c>
      <c r="N230" s="63">
        <f>Database!O230</f>
        <v/>
      </c>
      <c r="O230" s="21">
        <f>IFERROR(BDH(Database!$A230&amp;" HK Equity","PE_RATIO",Database!$G230,Database!$G230),"")</f>
        <v/>
      </c>
      <c r="P230" s="60">
        <f>IF(Database!AI230="","(n/m or not derivable)",Database!AI230)</f>
        <v/>
      </c>
    </row>
    <row r="231">
      <c r="A231" s="4">
        <f>Database!A231&amp;"  "&amp;Database!B231</f>
        <v/>
      </c>
      <c r="B231" s="6">
        <f>IFERROR(INDEX(BDS(Database!$A231&amp;" HK Equity","EQUITY_OFFERINGS","array=t","endcol=1"),MATCH("IPO",BDS(Database!$A231&amp;" HK Equity","EQUITY_OFFERINGS","array=t","startcol=2","endcol=2"),0)),"")</f>
        <v/>
      </c>
      <c r="C231" s="64">
        <f>IF($B231="","",IFERROR(BDP($B231&amp;" Action","CP036"),""))</f>
        <v/>
      </c>
      <c r="D231" s="65">
        <f>Database!Q231</f>
        <v/>
      </c>
      <c r="E231" s="64">
        <f>IF($B231="","",IFERROR(BDP($B231&amp;" Action","CP037"),""))</f>
        <v/>
      </c>
      <c r="F231" s="65">
        <f>Database!R231</f>
        <v/>
      </c>
      <c r="G231" s="64">
        <f>IF($B231="","",IFERROR(BDP($B231&amp;" Action","GREENSHOE_FACILITY"),""))</f>
        <v/>
      </c>
      <c r="H231" s="64">
        <f>IF($B231="","",IFERROR(BDP($B231&amp;" Action","OFFERING_GREENSHOE_SHARES_EX"),""))</f>
        <v/>
      </c>
      <c r="I231" s="4">
        <f>Database!V231</f>
        <v/>
      </c>
      <c r="J231" s="21">
        <f>IFERROR(BDP(Database!$A231&amp;" HK Equity","PE_RATIO"),"")</f>
        <v/>
      </c>
      <c r="K231" s="6">
        <f>IFERROR(BDP(Database!$A231&amp;" HK Equity","A/H_SHARE_CONVERSION"),"")</f>
        <v/>
      </c>
      <c r="L231" s="4">
        <f>IF(Database!AL231="","(none found)",Database!AL231)</f>
        <v/>
      </c>
      <c r="M231" s="9">
        <f>IFERROR(BDH(Database!$A231&amp;" HK Equity","CUR_MKT_CAP",Database!$G231,Database!$G231)/1000000,"")</f>
        <v/>
      </c>
      <c r="N231" s="63">
        <f>Database!O231</f>
        <v/>
      </c>
      <c r="O231" s="21">
        <f>IFERROR(BDH(Database!$A231&amp;" HK Equity","PE_RATIO",Database!$G231,Database!$G231),"")</f>
        <v/>
      </c>
      <c r="P231" s="60">
        <f>IF(Database!AI231="","(n/m or not derivable)",Database!AI231)</f>
        <v/>
      </c>
    </row>
    <row r="232">
      <c r="A232" s="4">
        <f>Database!A232&amp;"  "&amp;Database!B232</f>
        <v/>
      </c>
      <c r="B232" s="6">
        <f>IFERROR(INDEX(BDS(Database!$A232&amp;" HK Equity","EQUITY_OFFERINGS","array=t","endcol=1"),MATCH("IPO",BDS(Database!$A232&amp;" HK Equity","EQUITY_OFFERINGS","array=t","startcol=2","endcol=2"),0)),"")</f>
        <v/>
      </c>
      <c r="C232" s="64">
        <f>IF($B232="","",IFERROR(BDP($B232&amp;" Action","CP036"),""))</f>
        <v/>
      </c>
      <c r="D232" s="65">
        <f>Database!Q232</f>
        <v/>
      </c>
      <c r="E232" s="64">
        <f>IF($B232="","",IFERROR(BDP($B232&amp;" Action","CP037"),""))</f>
        <v/>
      </c>
      <c r="F232" s="65">
        <f>Database!R232</f>
        <v/>
      </c>
      <c r="G232" s="64">
        <f>IF($B232="","",IFERROR(BDP($B232&amp;" Action","GREENSHOE_FACILITY"),""))</f>
        <v/>
      </c>
      <c r="H232" s="64">
        <f>IF($B232="","",IFERROR(BDP($B232&amp;" Action","OFFERING_GREENSHOE_SHARES_EX"),""))</f>
        <v/>
      </c>
      <c r="I232" s="4">
        <f>Database!V232</f>
        <v/>
      </c>
      <c r="J232" s="21">
        <f>IFERROR(BDP(Database!$A232&amp;" HK Equity","PE_RATIO"),"")</f>
        <v/>
      </c>
      <c r="K232" s="6">
        <f>IFERROR(BDP(Database!$A232&amp;" HK Equity","A/H_SHARE_CONVERSION"),"")</f>
        <v/>
      </c>
      <c r="L232" s="4">
        <f>IF(Database!AL232="","(none found)",Database!AL232)</f>
        <v/>
      </c>
      <c r="M232" s="9">
        <f>IFERROR(BDH(Database!$A232&amp;" HK Equity","CUR_MKT_CAP",Database!$G232,Database!$G232)/1000000,"")</f>
        <v/>
      </c>
      <c r="N232" s="63">
        <f>Database!O232</f>
        <v/>
      </c>
      <c r="O232" s="21">
        <f>IFERROR(BDH(Database!$A232&amp;" HK Equity","PE_RATIO",Database!$G232,Database!$G232),"")</f>
        <v/>
      </c>
      <c r="P232" s="60">
        <f>IF(Database!AI232="","(n/m or not derivable)",Database!AI232)</f>
        <v/>
      </c>
    </row>
    <row r="233">
      <c r="A233" s="4">
        <f>Database!A233&amp;"  "&amp;Database!B233</f>
        <v/>
      </c>
      <c r="B233" s="6">
        <f>IFERROR(INDEX(BDS(Database!$A233&amp;" HK Equity","EQUITY_OFFERINGS","array=t","endcol=1"),MATCH("IPO",BDS(Database!$A233&amp;" HK Equity","EQUITY_OFFERINGS","array=t","startcol=2","endcol=2"),0)),"")</f>
        <v/>
      </c>
      <c r="C233" s="64">
        <f>IF($B233="","",IFERROR(BDP($B233&amp;" Action","CP036"),""))</f>
        <v/>
      </c>
      <c r="D233" s="65">
        <f>Database!Q233</f>
        <v/>
      </c>
      <c r="E233" s="64">
        <f>IF($B233="","",IFERROR(BDP($B233&amp;" Action","CP037"),""))</f>
        <v/>
      </c>
      <c r="F233" s="65">
        <f>Database!R233</f>
        <v/>
      </c>
      <c r="G233" s="64">
        <f>IF($B233="","",IFERROR(BDP($B233&amp;" Action","GREENSHOE_FACILITY"),""))</f>
        <v/>
      </c>
      <c r="H233" s="64">
        <f>IF($B233="","",IFERROR(BDP($B233&amp;" Action","OFFERING_GREENSHOE_SHARES_EX"),""))</f>
        <v/>
      </c>
      <c r="I233" s="4">
        <f>Database!V233</f>
        <v/>
      </c>
      <c r="J233" s="21">
        <f>IFERROR(BDP(Database!$A233&amp;" HK Equity","PE_RATIO"),"")</f>
        <v/>
      </c>
      <c r="K233" s="6">
        <f>IFERROR(BDP(Database!$A233&amp;" HK Equity","A/H_SHARE_CONVERSION"),"")</f>
        <v/>
      </c>
      <c r="L233" s="4">
        <f>IF(Database!AL233="","(none found)",Database!AL233)</f>
        <v/>
      </c>
      <c r="M233" s="9">
        <f>IFERROR(BDH(Database!$A233&amp;" HK Equity","CUR_MKT_CAP",Database!$G233,Database!$G233)/1000000,"")</f>
        <v/>
      </c>
      <c r="N233" s="63">
        <f>Database!O233</f>
        <v/>
      </c>
      <c r="O233" s="21">
        <f>IFERROR(BDH(Database!$A233&amp;" HK Equity","PE_RATIO",Database!$G233,Database!$G233),"")</f>
        <v/>
      </c>
      <c r="P233" s="60">
        <f>IF(Database!AI233="","(n/m or not derivable)",Database!AI233)</f>
        <v/>
      </c>
    </row>
    <row r="234">
      <c r="A234" s="4">
        <f>Database!A234&amp;"  "&amp;Database!B234</f>
        <v/>
      </c>
      <c r="B234" s="6">
        <f>IFERROR(INDEX(BDS(Database!$A234&amp;" HK Equity","EQUITY_OFFERINGS","array=t","endcol=1"),MATCH("IPO",BDS(Database!$A234&amp;" HK Equity","EQUITY_OFFERINGS","array=t","startcol=2","endcol=2"),0)),"")</f>
        <v/>
      </c>
      <c r="C234" s="64">
        <f>IF($B234="","",IFERROR(BDP($B234&amp;" Action","CP036"),""))</f>
        <v/>
      </c>
      <c r="D234" s="65">
        <f>Database!Q234</f>
        <v/>
      </c>
      <c r="E234" s="64">
        <f>IF($B234="","",IFERROR(BDP($B234&amp;" Action","CP037"),""))</f>
        <v/>
      </c>
      <c r="F234" s="65">
        <f>Database!R234</f>
        <v/>
      </c>
      <c r="G234" s="64">
        <f>IF($B234="","",IFERROR(BDP($B234&amp;" Action","GREENSHOE_FACILITY"),""))</f>
        <v/>
      </c>
      <c r="H234" s="64">
        <f>IF($B234="","",IFERROR(BDP($B234&amp;" Action","OFFERING_GREENSHOE_SHARES_EX"),""))</f>
        <v/>
      </c>
      <c r="I234" s="4">
        <f>Database!V234</f>
        <v/>
      </c>
      <c r="J234" s="21">
        <f>IFERROR(BDP(Database!$A234&amp;" HK Equity","PE_RATIO"),"")</f>
        <v/>
      </c>
      <c r="K234" s="6">
        <f>IFERROR(BDP(Database!$A234&amp;" HK Equity","A/H_SHARE_CONVERSION"),"")</f>
        <v/>
      </c>
      <c r="L234" s="4">
        <f>IF(Database!AL234="","(none found)",Database!AL234)</f>
        <v/>
      </c>
      <c r="M234" s="9">
        <f>IFERROR(BDH(Database!$A234&amp;" HK Equity","CUR_MKT_CAP",Database!$G234,Database!$G234)/1000000,"")</f>
        <v/>
      </c>
      <c r="N234" s="63">
        <f>Database!O234</f>
        <v/>
      </c>
      <c r="O234" s="21">
        <f>IFERROR(BDH(Database!$A234&amp;" HK Equity","PE_RATIO",Database!$G234,Database!$G234),"")</f>
        <v/>
      </c>
      <c r="P234" s="60">
        <f>IF(Database!AI234="","(n/m or not derivable)",Database!AI234)</f>
        <v/>
      </c>
    </row>
    <row r="235">
      <c r="A235" s="4">
        <f>Database!A235&amp;"  "&amp;Database!B235</f>
        <v/>
      </c>
      <c r="B235" s="6">
        <f>IFERROR(INDEX(BDS(Database!$A235&amp;" HK Equity","EQUITY_OFFERINGS","array=t","endcol=1"),MATCH("IPO",BDS(Database!$A235&amp;" HK Equity","EQUITY_OFFERINGS","array=t","startcol=2","endcol=2"),0)),"")</f>
        <v/>
      </c>
      <c r="C235" s="64">
        <f>IF($B235="","",IFERROR(BDP($B235&amp;" Action","CP036"),""))</f>
        <v/>
      </c>
      <c r="D235" s="65">
        <f>Database!Q235</f>
        <v/>
      </c>
      <c r="E235" s="64">
        <f>IF($B235="","",IFERROR(BDP($B235&amp;" Action","CP037"),""))</f>
        <v/>
      </c>
      <c r="F235" s="65">
        <f>Database!R235</f>
        <v/>
      </c>
      <c r="G235" s="64">
        <f>IF($B235="","",IFERROR(BDP($B235&amp;" Action","GREENSHOE_FACILITY"),""))</f>
        <v/>
      </c>
      <c r="H235" s="64">
        <f>IF($B235="","",IFERROR(BDP($B235&amp;" Action","OFFERING_GREENSHOE_SHARES_EX"),""))</f>
        <v/>
      </c>
      <c r="I235" s="4">
        <f>Database!V235</f>
        <v/>
      </c>
      <c r="J235" s="21">
        <f>IFERROR(BDP(Database!$A235&amp;" HK Equity","PE_RATIO"),"")</f>
        <v/>
      </c>
      <c r="K235" s="6">
        <f>IFERROR(BDP(Database!$A235&amp;" HK Equity","A/H_SHARE_CONVERSION"),"")</f>
        <v/>
      </c>
      <c r="L235" s="4">
        <f>IF(Database!AL235="","(none found)",Database!AL235)</f>
        <v/>
      </c>
      <c r="M235" s="9">
        <f>IFERROR(BDH(Database!$A235&amp;" HK Equity","CUR_MKT_CAP",Database!$G235,Database!$G235)/1000000,"")</f>
        <v/>
      </c>
      <c r="N235" s="63">
        <f>Database!O235</f>
        <v/>
      </c>
      <c r="O235" s="21">
        <f>IFERROR(BDH(Database!$A235&amp;" HK Equity","PE_RATIO",Database!$G235,Database!$G235),"")</f>
        <v/>
      </c>
      <c r="P235" s="60">
        <f>IF(Database!AI235="","(n/m or not derivable)",Database!AI235)</f>
        <v/>
      </c>
    </row>
    <row r="236">
      <c r="A236" s="4">
        <f>Database!A236&amp;"  "&amp;Database!B236</f>
        <v/>
      </c>
      <c r="B236" s="6">
        <f>IFERROR(INDEX(BDS(Database!$A236&amp;" HK Equity","EQUITY_OFFERINGS","array=t","endcol=1"),MATCH("IPO",BDS(Database!$A236&amp;" HK Equity","EQUITY_OFFERINGS","array=t","startcol=2","endcol=2"),0)),"")</f>
        <v/>
      </c>
      <c r="C236" s="64">
        <f>IF($B236="","",IFERROR(BDP($B236&amp;" Action","CP036"),""))</f>
        <v/>
      </c>
      <c r="D236" s="65">
        <f>Database!Q236</f>
        <v/>
      </c>
      <c r="E236" s="64">
        <f>IF($B236="","",IFERROR(BDP($B236&amp;" Action","CP037"),""))</f>
        <v/>
      </c>
      <c r="F236" s="65">
        <f>Database!R236</f>
        <v/>
      </c>
      <c r="G236" s="64">
        <f>IF($B236="","",IFERROR(BDP($B236&amp;" Action","GREENSHOE_FACILITY"),""))</f>
        <v/>
      </c>
      <c r="H236" s="64">
        <f>IF($B236="","",IFERROR(BDP($B236&amp;" Action","OFFERING_GREENSHOE_SHARES_EX"),""))</f>
        <v/>
      </c>
      <c r="I236" s="4">
        <f>Database!V236</f>
        <v/>
      </c>
      <c r="J236" s="21">
        <f>IFERROR(BDP(Database!$A236&amp;" HK Equity","PE_RATIO"),"")</f>
        <v/>
      </c>
      <c r="K236" s="6">
        <f>IFERROR(BDP(Database!$A236&amp;" HK Equity","A/H_SHARE_CONVERSION"),"")</f>
        <v/>
      </c>
      <c r="L236" s="4">
        <f>IF(Database!AL236="","(none found)",Database!AL236)</f>
        <v/>
      </c>
      <c r="M236" s="9">
        <f>IFERROR(BDH(Database!$A236&amp;" HK Equity","CUR_MKT_CAP",Database!$G236,Database!$G236)/1000000,"")</f>
        <v/>
      </c>
      <c r="N236" s="63">
        <f>Database!O236</f>
        <v/>
      </c>
      <c r="O236" s="21">
        <f>IFERROR(BDH(Database!$A236&amp;" HK Equity","PE_RATIO",Database!$G236,Database!$G236),"")</f>
        <v/>
      </c>
      <c r="P236" s="60">
        <f>IF(Database!AI236="","(n/m or not derivable)",Database!AI236)</f>
        <v/>
      </c>
    </row>
    <row r="237">
      <c r="A237" s="4">
        <f>Database!A237&amp;"  "&amp;Database!B237</f>
        <v/>
      </c>
      <c r="B237" s="6">
        <f>IFERROR(INDEX(BDS(Database!$A237&amp;" HK Equity","EQUITY_OFFERINGS","array=t","endcol=1"),MATCH("IPO",BDS(Database!$A237&amp;" HK Equity","EQUITY_OFFERINGS","array=t","startcol=2","endcol=2"),0)),"")</f>
        <v/>
      </c>
      <c r="C237" s="64">
        <f>IF($B237="","",IFERROR(BDP($B237&amp;" Action","CP036"),""))</f>
        <v/>
      </c>
      <c r="D237" s="65">
        <f>Database!Q237</f>
        <v/>
      </c>
      <c r="E237" s="64">
        <f>IF($B237="","",IFERROR(BDP($B237&amp;" Action","CP037"),""))</f>
        <v/>
      </c>
      <c r="F237" s="65">
        <f>Database!R237</f>
        <v/>
      </c>
      <c r="G237" s="64">
        <f>IF($B237="","",IFERROR(BDP($B237&amp;" Action","GREENSHOE_FACILITY"),""))</f>
        <v/>
      </c>
      <c r="H237" s="64">
        <f>IF($B237="","",IFERROR(BDP($B237&amp;" Action","OFFERING_GREENSHOE_SHARES_EX"),""))</f>
        <v/>
      </c>
      <c r="I237" s="4">
        <f>Database!V237</f>
        <v/>
      </c>
      <c r="J237" s="21">
        <f>IFERROR(BDP(Database!$A237&amp;" HK Equity","PE_RATIO"),"")</f>
        <v/>
      </c>
      <c r="K237" s="6">
        <f>IFERROR(BDP(Database!$A237&amp;" HK Equity","A/H_SHARE_CONVERSION"),"")</f>
        <v/>
      </c>
      <c r="L237" s="4">
        <f>IF(Database!AL237="","(none found)",Database!AL237)</f>
        <v/>
      </c>
      <c r="M237" s="9">
        <f>IFERROR(BDH(Database!$A237&amp;" HK Equity","CUR_MKT_CAP",Database!$G237,Database!$G237)/1000000,"")</f>
        <v/>
      </c>
      <c r="N237" s="63">
        <f>Database!O237</f>
        <v/>
      </c>
      <c r="O237" s="21">
        <f>IFERROR(BDH(Database!$A237&amp;" HK Equity","PE_RATIO",Database!$G237,Database!$G237),"")</f>
        <v/>
      </c>
      <c r="P237" s="60">
        <f>IF(Database!AI237="","(n/m or not derivable)",Database!AI237)</f>
        <v/>
      </c>
    </row>
    <row r="238">
      <c r="A238" s="4">
        <f>Database!A238&amp;"  "&amp;Database!B238</f>
        <v/>
      </c>
      <c r="B238" s="6">
        <f>IFERROR(INDEX(BDS(Database!$A238&amp;" HK Equity","EQUITY_OFFERINGS","array=t","endcol=1"),MATCH("IPO",BDS(Database!$A238&amp;" HK Equity","EQUITY_OFFERINGS","array=t","startcol=2","endcol=2"),0)),"")</f>
        <v/>
      </c>
      <c r="C238" s="64">
        <f>IF($B238="","",IFERROR(BDP($B238&amp;" Action","CP036"),""))</f>
        <v/>
      </c>
      <c r="D238" s="65">
        <f>Database!Q238</f>
        <v/>
      </c>
      <c r="E238" s="64">
        <f>IF($B238="","",IFERROR(BDP($B238&amp;" Action","CP037"),""))</f>
        <v/>
      </c>
      <c r="F238" s="65">
        <f>Database!R238</f>
        <v/>
      </c>
      <c r="G238" s="64">
        <f>IF($B238="","",IFERROR(BDP($B238&amp;" Action","GREENSHOE_FACILITY"),""))</f>
        <v/>
      </c>
      <c r="H238" s="64">
        <f>IF($B238="","",IFERROR(BDP($B238&amp;" Action","OFFERING_GREENSHOE_SHARES_EX"),""))</f>
        <v/>
      </c>
      <c r="I238" s="4">
        <f>Database!V238</f>
        <v/>
      </c>
      <c r="J238" s="21">
        <f>IFERROR(BDP(Database!$A238&amp;" HK Equity","PE_RATIO"),"")</f>
        <v/>
      </c>
      <c r="K238" s="6">
        <f>IFERROR(BDP(Database!$A238&amp;" HK Equity","A/H_SHARE_CONVERSION"),"")</f>
        <v/>
      </c>
      <c r="L238" s="4">
        <f>IF(Database!AL238="","(none found)",Database!AL238)</f>
        <v/>
      </c>
      <c r="M238" s="9">
        <f>IFERROR(BDH(Database!$A238&amp;" HK Equity","CUR_MKT_CAP",Database!$G238,Database!$G238)/1000000,"")</f>
        <v/>
      </c>
      <c r="N238" s="63">
        <f>Database!O238</f>
        <v/>
      </c>
      <c r="O238" s="21">
        <f>IFERROR(BDH(Database!$A238&amp;" HK Equity","PE_RATIO",Database!$G238,Database!$G238),"")</f>
        <v/>
      </c>
      <c r="P238" s="60">
        <f>IF(Database!AI238="","(n/m or not derivable)",Database!AI238)</f>
        <v/>
      </c>
    </row>
    <row r="239">
      <c r="A239" s="4">
        <f>Database!A239&amp;"  "&amp;Database!B239</f>
        <v/>
      </c>
      <c r="B239" s="6">
        <f>IFERROR(INDEX(BDS(Database!$A239&amp;" HK Equity","EQUITY_OFFERINGS","array=t","endcol=1"),MATCH("IPO",BDS(Database!$A239&amp;" HK Equity","EQUITY_OFFERINGS","array=t","startcol=2","endcol=2"),0)),"")</f>
        <v/>
      </c>
      <c r="C239" s="64">
        <f>IF($B239="","",IFERROR(BDP($B239&amp;" Action","CP036"),""))</f>
        <v/>
      </c>
      <c r="D239" s="65">
        <f>Database!Q239</f>
        <v/>
      </c>
      <c r="E239" s="64">
        <f>IF($B239="","",IFERROR(BDP($B239&amp;" Action","CP037"),""))</f>
        <v/>
      </c>
      <c r="F239" s="65">
        <f>Database!R239</f>
        <v/>
      </c>
      <c r="G239" s="64">
        <f>IF($B239="","",IFERROR(BDP($B239&amp;" Action","GREENSHOE_FACILITY"),""))</f>
        <v/>
      </c>
      <c r="H239" s="64">
        <f>IF($B239="","",IFERROR(BDP($B239&amp;" Action","OFFERING_GREENSHOE_SHARES_EX"),""))</f>
        <v/>
      </c>
      <c r="I239" s="4">
        <f>Database!V239</f>
        <v/>
      </c>
      <c r="J239" s="21">
        <f>IFERROR(BDP(Database!$A239&amp;" HK Equity","PE_RATIO"),"")</f>
        <v/>
      </c>
      <c r="K239" s="6">
        <f>IFERROR(BDP(Database!$A239&amp;" HK Equity","A/H_SHARE_CONVERSION"),"")</f>
        <v/>
      </c>
      <c r="L239" s="4">
        <f>IF(Database!AL239="","(none found)",Database!AL239)</f>
        <v/>
      </c>
      <c r="M239" s="9">
        <f>IFERROR(BDH(Database!$A239&amp;" HK Equity","CUR_MKT_CAP",Database!$G239,Database!$G239)/1000000,"")</f>
        <v/>
      </c>
      <c r="N239" s="63">
        <f>Database!O239</f>
        <v/>
      </c>
      <c r="O239" s="21">
        <f>IFERROR(BDH(Database!$A239&amp;" HK Equity","PE_RATIO",Database!$G239,Database!$G239),"")</f>
        <v/>
      </c>
      <c r="P239" s="60">
        <f>IF(Database!AI239="","(n/m or not derivable)",Database!AI239)</f>
        <v/>
      </c>
    </row>
    <row r="240">
      <c r="A240" s="4">
        <f>Database!A240&amp;"  "&amp;Database!B240</f>
        <v/>
      </c>
      <c r="B240" s="6">
        <f>IFERROR(INDEX(BDS(Database!$A240&amp;" HK Equity","EQUITY_OFFERINGS","array=t","endcol=1"),MATCH("IPO",BDS(Database!$A240&amp;" HK Equity","EQUITY_OFFERINGS","array=t","startcol=2","endcol=2"),0)),"")</f>
        <v/>
      </c>
      <c r="C240" s="64">
        <f>IF($B240="","",IFERROR(BDP($B240&amp;" Action","CP036"),""))</f>
        <v/>
      </c>
      <c r="D240" s="65">
        <f>Database!Q240</f>
        <v/>
      </c>
      <c r="E240" s="64">
        <f>IF($B240="","",IFERROR(BDP($B240&amp;" Action","CP037"),""))</f>
        <v/>
      </c>
      <c r="F240" s="65">
        <f>Database!R240</f>
        <v/>
      </c>
      <c r="G240" s="64">
        <f>IF($B240="","",IFERROR(BDP($B240&amp;" Action","GREENSHOE_FACILITY"),""))</f>
        <v/>
      </c>
      <c r="H240" s="64">
        <f>IF($B240="","",IFERROR(BDP($B240&amp;" Action","OFFERING_GREENSHOE_SHARES_EX"),""))</f>
        <v/>
      </c>
      <c r="I240" s="4">
        <f>Database!V240</f>
        <v/>
      </c>
      <c r="J240" s="21">
        <f>IFERROR(BDP(Database!$A240&amp;" HK Equity","PE_RATIO"),"")</f>
        <v/>
      </c>
      <c r="K240" s="6">
        <f>IFERROR(BDP(Database!$A240&amp;" HK Equity","A/H_SHARE_CONVERSION"),"")</f>
        <v/>
      </c>
      <c r="L240" s="4">
        <f>IF(Database!AL240="","(none found)",Database!AL240)</f>
        <v/>
      </c>
      <c r="M240" s="9">
        <f>IFERROR(BDH(Database!$A240&amp;" HK Equity","CUR_MKT_CAP",Database!$G240,Database!$G240)/1000000,"")</f>
        <v/>
      </c>
      <c r="N240" s="63">
        <f>Database!O240</f>
        <v/>
      </c>
      <c r="O240" s="21">
        <f>IFERROR(BDH(Database!$A240&amp;" HK Equity","PE_RATIO",Database!$G240,Database!$G240),"")</f>
        <v/>
      </c>
      <c r="P240" s="60">
        <f>IF(Database!AI240="","(n/m or not derivable)",Database!AI240)</f>
        <v/>
      </c>
    </row>
    <row r="241">
      <c r="A241" s="4">
        <f>Database!A241&amp;"  "&amp;Database!B241</f>
        <v/>
      </c>
      <c r="B241" s="6">
        <f>IFERROR(INDEX(BDS(Database!$A241&amp;" HK Equity","EQUITY_OFFERINGS","array=t","endcol=1"),MATCH("IPO",BDS(Database!$A241&amp;" HK Equity","EQUITY_OFFERINGS","array=t","startcol=2","endcol=2"),0)),"")</f>
        <v/>
      </c>
      <c r="C241" s="64">
        <f>IF($B241="","",IFERROR(BDP($B241&amp;" Action","CP036"),""))</f>
        <v/>
      </c>
      <c r="D241" s="65">
        <f>Database!Q241</f>
        <v/>
      </c>
      <c r="E241" s="64">
        <f>IF($B241="","",IFERROR(BDP($B241&amp;" Action","CP037"),""))</f>
        <v/>
      </c>
      <c r="F241" s="65">
        <f>Database!R241</f>
        <v/>
      </c>
      <c r="G241" s="64">
        <f>IF($B241="","",IFERROR(BDP($B241&amp;" Action","GREENSHOE_FACILITY"),""))</f>
        <v/>
      </c>
      <c r="H241" s="64">
        <f>IF($B241="","",IFERROR(BDP($B241&amp;" Action","OFFERING_GREENSHOE_SHARES_EX"),""))</f>
        <v/>
      </c>
      <c r="I241" s="4">
        <f>Database!V241</f>
        <v/>
      </c>
      <c r="J241" s="21">
        <f>IFERROR(BDP(Database!$A241&amp;" HK Equity","PE_RATIO"),"")</f>
        <v/>
      </c>
      <c r="K241" s="6">
        <f>IFERROR(BDP(Database!$A241&amp;" HK Equity","A/H_SHARE_CONVERSION"),"")</f>
        <v/>
      </c>
      <c r="L241" s="4">
        <f>IF(Database!AL241="","(none found)",Database!AL241)</f>
        <v/>
      </c>
      <c r="M241" s="9">
        <f>IFERROR(BDH(Database!$A241&amp;" HK Equity","CUR_MKT_CAP",Database!$G241,Database!$G241)/1000000,"")</f>
        <v/>
      </c>
      <c r="N241" s="63">
        <f>Database!O241</f>
        <v/>
      </c>
      <c r="O241" s="21">
        <f>IFERROR(BDH(Database!$A241&amp;" HK Equity","PE_RATIO",Database!$G241,Database!$G241),"")</f>
        <v/>
      </c>
      <c r="P241" s="60">
        <f>IF(Database!AI241="","(n/m or not derivable)",Database!AI241)</f>
        <v/>
      </c>
    </row>
    <row r="242">
      <c r="A242" s="4">
        <f>Database!A242&amp;"  "&amp;Database!B242</f>
        <v/>
      </c>
      <c r="B242" s="6">
        <f>IFERROR(INDEX(BDS(Database!$A242&amp;" HK Equity","EQUITY_OFFERINGS","array=t","endcol=1"),MATCH("IPO",BDS(Database!$A242&amp;" HK Equity","EQUITY_OFFERINGS","array=t","startcol=2","endcol=2"),0)),"")</f>
        <v/>
      </c>
      <c r="C242" s="64">
        <f>IF($B242="","",IFERROR(BDP($B242&amp;" Action","CP036"),""))</f>
        <v/>
      </c>
      <c r="D242" s="65">
        <f>Database!Q242</f>
        <v/>
      </c>
      <c r="E242" s="64">
        <f>IF($B242="","",IFERROR(BDP($B242&amp;" Action","CP037"),""))</f>
        <v/>
      </c>
      <c r="F242" s="65">
        <f>Database!R242</f>
        <v/>
      </c>
      <c r="G242" s="64">
        <f>IF($B242="","",IFERROR(BDP($B242&amp;" Action","GREENSHOE_FACILITY"),""))</f>
        <v/>
      </c>
      <c r="H242" s="64">
        <f>IF($B242="","",IFERROR(BDP($B242&amp;" Action","OFFERING_GREENSHOE_SHARES_EX"),""))</f>
        <v/>
      </c>
      <c r="I242" s="4">
        <f>Database!V242</f>
        <v/>
      </c>
      <c r="J242" s="21">
        <f>IFERROR(BDP(Database!$A242&amp;" HK Equity","PE_RATIO"),"")</f>
        <v/>
      </c>
      <c r="K242" s="6">
        <f>IFERROR(BDP(Database!$A242&amp;" HK Equity","A/H_SHARE_CONVERSION"),"")</f>
        <v/>
      </c>
      <c r="L242" s="4">
        <f>IF(Database!AL242="","(none found)",Database!AL242)</f>
        <v/>
      </c>
      <c r="M242" s="9">
        <f>IFERROR(BDH(Database!$A242&amp;" HK Equity","CUR_MKT_CAP",Database!$G242,Database!$G242)/1000000,"")</f>
        <v/>
      </c>
      <c r="N242" s="63">
        <f>Database!O242</f>
        <v/>
      </c>
      <c r="O242" s="21">
        <f>IFERROR(BDH(Database!$A242&amp;" HK Equity","PE_RATIO",Database!$G242,Database!$G242),"")</f>
        <v/>
      </c>
      <c r="P242" s="60">
        <f>IF(Database!AI242="","(n/m or not derivable)",Database!AI242)</f>
        <v/>
      </c>
    </row>
    <row r="243">
      <c r="A243" s="4">
        <f>Database!A243&amp;"  "&amp;Database!B243</f>
        <v/>
      </c>
      <c r="B243" s="6">
        <f>IFERROR(INDEX(BDS(Database!$A243&amp;" HK Equity","EQUITY_OFFERINGS","array=t","endcol=1"),MATCH("IPO",BDS(Database!$A243&amp;" HK Equity","EQUITY_OFFERINGS","array=t","startcol=2","endcol=2"),0)),"")</f>
        <v/>
      </c>
      <c r="C243" s="64">
        <f>IF($B243="","",IFERROR(BDP($B243&amp;" Action","CP036"),""))</f>
        <v/>
      </c>
      <c r="D243" s="65">
        <f>Database!Q243</f>
        <v/>
      </c>
      <c r="E243" s="64">
        <f>IF($B243="","",IFERROR(BDP($B243&amp;" Action","CP037"),""))</f>
        <v/>
      </c>
      <c r="F243" s="65">
        <f>Database!R243</f>
        <v/>
      </c>
      <c r="G243" s="64">
        <f>IF($B243="","",IFERROR(BDP($B243&amp;" Action","GREENSHOE_FACILITY"),""))</f>
        <v/>
      </c>
      <c r="H243" s="64">
        <f>IF($B243="","",IFERROR(BDP($B243&amp;" Action","OFFERING_GREENSHOE_SHARES_EX"),""))</f>
        <v/>
      </c>
      <c r="I243" s="4">
        <f>Database!V243</f>
        <v/>
      </c>
      <c r="J243" s="21">
        <f>IFERROR(BDP(Database!$A243&amp;" HK Equity","PE_RATIO"),"")</f>
        <v/>
      </c>
      <c r="K243" s="6">
        <f>IFERROR(BDP(Database!$A243&amp;" HK Equity","A/H_SHARE_CONVERSION"),"")</f>
        <v/>
      </c>
      <c r="L243" s="4">
        <f>IF(Database!AL243="","(none found)",Database!AL243)</f>
        <v/>
      </c>
      <c r="M243" s="9">
        <f>IFERROR(BDH(Database!$A243&amp;" HK Equity","CUR_MKT_CAP",Database!$G243,Database!$G243)/1000000,"")</f>
        <v/>
      </c>
      <c r="N243" s="63">
        <f>Database!O243</f>
        <v/>
      </c>
      <c r="O243" s="21">
        <f>IFERROR(BDH(Database!$A243&amp;" HK Equity","PE_RATIO",Database!$G243,Database!$G243),"")</f>
        <v/>
      </c>
      <c r="P243" s="60">
        <f>IF(Database!AI243="","(n/m or not derivable)",Database!AI243)</f>
        <v/>
      </c>
    </row>
    <row r="244">
      <c r="A244" s="4">
        <f>Database!A244&amp;"  "&amp;Database!B244</f>
        <v/>
      </c>
      <c r="B244" s="6">
        <f>IFERROR(INDEX(BDS(Database!$A244&amp;" HK Equity","EQUITY_OFFERINGS","array=t","endcol=1"),MATCH("IPO",BDS(Database!$A244&amp;" HK Equity","EQUITY_OFFERINGS","array=t","startcol=2","endcol=2"),0)),"")</f>
        <v/>
      </c>
      <c r="C244" s="64">
        <f>IF($B244="","",IFERROR(BDP($B244&amp;" Action","CP036"),""))</f>
        <v/>
      </c>
      <c r="D244" s="65">
        <f>Database!Q244</f>
        <v/>
      </c>
      <c r="E244" s="64">
        <f>IF($B244="","",IFERROR(BDP($B244&amp;" Action","CP037"),""))</f>
        <v/>
      </c>
      <c r="F244" s="65">
        <f>Database!R244</f>
        <v/>
      </c>
      <c r="G244" s="64">
        <f>IF($B244="","",IFERROR(BDP($B244&amp;" Action","GREENSHOE_FACILITY"),""))</f>
        <v/>
      </c>
      <c r="H244" s="64">
        <f>IF($B244="","",IFERROR(BDP($B244&amp;" Action","OFFERING_GREENSHOE_SHARES_EX"),""))</f>
        <v/>
      </c>
      <c r="I244" s="4">
        <f>Database!V244</f>
        <v/>
      </c>
      <c r="J244" s="21">
        <f>IFERROR(BDP(Database!$A244&amp;" HK Equity","PE_RATIO"),"")</f>
        <v/>
      </c>
      <c r="K244" s="6">
        <f>IFERROR(BDP(Database!$A244&amp;" HK Equity","A/H_SHARE_CONVERSION"),"")</f>
        <v/>
      </c>
      <c r="L244" s="4">
        <f>IF(Database!AL244="","(none found)",Database!AL244)</f>
        <v/>
      </c>
      <c r="M244" s="9">
        <f>IFERROR(BDH(Database!$A244&amp;" HK Equity","CUR_MKT_CAP",Database!$G244,Database!$G244)/1000000,"")</f>
        <v/>
      </c>
      <c r="N244" s="63">
        <f>Database!O244</f>
        <v/>
      </c>
      <c r="O244" s="21">
        <f>IFERROR(BDH(Database!$A244&amp;" HK Equity","PE_RATIO",Database!$G244,Database!$G244),"")</f>
        <v/>
      </c>
      <c r="P244" s="60">
        <f>IF(Database!AI244="","(n/m or not derivable)",Database!AI244)</f>
        <v/>
      </c>
    </row>
    <row r="245">
      <c r="A245" s="4">
        <f>Database!A245&amp;"  "&amp;Database!B245</f>
        <v/>
      </c>
      <c r="B245" s="6">
        <f>IFERROR(INDEX(BDS(Database!$A245&amp;" HK Equity","EQUITY_OFFERINGS","array=t","endcol=1"),MATCH("IPO",BDS(Database!$A245&amp;" HK Equity","EQUITY_OFFERINGS","array=t","startcol=2","endcol=2"),0)),"")</f>
        <v/>
      </c>
      <c r="C245" s="64">
        <f>IF($B245="","",IFERROR(BDP($B245&amp;" Action","CP036"),""))</f>
        <v/>
      </c>
      <c r="D245" s="65">
        <f>Database!Q245</f>
        <v/>
      </c>
      <c r="E245" s="64">
        <f>IF($B245="","",IFERROR(BDP($B245&amp;" Action","CP037"),""))</f>
        <v/>
      </c>
      <c r="F245" s="65">
        <f>Database!R245</f>
        <v/>
      </c>
      <c r="G245" s="64">
        <f>IF($B245="","",IFERROR(BDP($B245&amp;" Action","GREENSHOE_FACILITY"),""))</f>
        <v/>
      </c>
      <c r="H245" s="64">
        <f>IF($B245="","",IFERROR(BDP($B245&amp;" Action","OFFERING_GREENSHOE_SHARES_EX"),""))</f>
        <v/>
      </c>
      <c r="I245" s="4">
        <f>Database!V245</f>
        <v/>
      </c>
      <c r="J245" s="21">
        <f>IFERROR(BDP(Database!$A245&amp;" HK Equity","PE_RATIO"),"")</f>
        <v/>
      </c>
      <c r="K245" s="6">
        <f>IFERROR(BDP(Database!$A245&amp;" HK Equity","A/H_SHARE_CONVERSION"),"")</f>
        <v/>
      </c>
      <c r="L245" s="4">
        <f>IF(Database!AL245="","(none found)",Database!AL245)</f>
        <v/>
      </c>
      <c r="M245" s="9">
        <f>IFERROR(BDH(Database!$A245&amp;" HK Equity","CUR_MKT_CAP",Database!$G245,Database!$G245)/1000000,"")</f>
        <v/>
      </c>
      <c r="N245" s="63">
        <f>Database!O245</f>
        <v/>
      </c>
      <c r="O245" s="21">
        <f>IFERROR(BDH(Database!$A245&amp;" HK Equity","PE_RATIO",Database!$G245,Database!$G245),"")</f>
        <v/>
      </c>
      <c r="P245" s="60">
        <f>IF(Database!AI245="","(n/m or not derivable)",Database!AI245)</f>
        <v/>
      </c>
    </row>
    <row r="246">
      <c r="A246" s="4">
        <f>Database!A246&amp;"  "&amp;Database!B246</f>
        <v/>
      </c>
      <c r="B246" s="6">
        <f>IFERROR(INDEX(BDS(Database!$A246&amp;" HK Equity","EQUITY_OFFERINGS","array=t","endcol=1"),MATCH("IPO",BDS(Database!$A246&amp;" HK Equity","EQUITY_OFFERINGS","array=t","startcol=2","endcol=2"),0)),"")</f>
        <v/>
      </c>
      <c r="C246" s="64">
        <f>IF($B246="","",IFERROR(BDP($B246&amp;" Action","CP036"),""))</f>
        <v/>
      </c>
      <c r="D246" s="65">
        <f>Database!Q246</f>
        <v/>
      </c>
      <c r="E246" s="64">
        <f>IF($B246="","",IFERROR(BDP($B246&amp;" Action","CP037"),""))</f>
        <v/>
      </c>
      <c r="F246" s="65">
        <f>Database!R246</f>
        <v/>
      </c>
      <c r="G246" s="64">
        <f>IF($B246="","",IFERROR(BDP($B246&amp;" Action","GREENSHOE_FACILITY"),""))</f>
        <v/>
      </c>
      <c r="H246" s="64">
        <f>IF($B246="","",IFERROR(BDP($B246&amp;" Action","OFFERING_GREENSHOE_SHARES_EX"),""))</f>
        <v/>
      </c>
      <c r="I246" s="4">
        <f>Database!V246</f>
        <v/>
      </c>
      <c r="J246" s="21">
        <f>IFERROR(BDP(Database!$A246&amp;" HK Equity","PE_RATIO"),"")</f>
        <v/>
      </c>
      <c r="K246" s="6">
        <f>IFERROR(BDP(Database!$A246&amp;" HK Equity","A/H_SHARE_CONVERSION"),"")</f>
        <v/>
      </c>
      <c r="L246" s="4">
        <f>IF(Database!AL246="","(none found)",Database!AL246)</f>
        <v/>
      </c>
      <c r="M246" s="9">
        <f>IFERROR(BDH(Database!$A246&amp;" HK Equity","CUR_MKT_CAP",Database!$G246,Database!$G246)/1000000,"")</f>
        <v/>
      </c>
      <c r="N246" s="63">
        <f>Database!O246</f>
        <v/>
      </c>
      <c r="O246" s="21">
        <f>IFERROR(BDH(Database!$A246&amp;" HK Equity","PE_RATIO",Database!$G246,Database!$G246),"")</f>
        <v/>
      </c>
      <c r="P246" s="60">
        <f>IF(Database!AI246="","(n/m or not derivable)",Database!AI246)</f>
        <v/>
      </c>
    </row>
    <row r="247">
      <c r="A247" s="4">
        <f>Database!A247&amp;"  "&amp;Database!B247</f>
        <v/>
      </c>
      <c r="B247" s="6">
        <f>IFERROR(INDEX(BDS(Database!$A247&amp;" HK Equity","EQUITY_OFFERINGS","array=t","endcol=1"),MATCH("IPO",BDS(Database!$A247&amp;" HK Equity","EQUITY_OFFERINGS","array=t","startcol=2","endcol=2"),0)),"")</f>
        <v/>
      </c>
      <c r="C247" s="64">
        <f>IF($B247="","",IFERROR(BDP($B247&amp;" Action","CP036"),""))</f>
        <v/>
      </c>
      <c r="D247" s="65">
        <f>Database!Q247</f>
        <v/>
      </c>
      <c r="E247" s="64">
        <f>IF($B247="","",IFERROR(BDP($B247&amp;" Action","CP037"),""))</f>
        <v/>
      </c>
      <c r="F247" s="65">
        <f>Database!R247</f>
        <v/>
      </c>
      <c r="G247" s="64">
        <f>IF($B247="","",IFERROR(BDP($B247&amp;" Action","GREENSHOE_FACILITY"),""))</f>
        <v/>
      </c>
      <c r="H247" s="64">
        <f>IF($B247="","",IFERROR(BDP($B247&amp;" Action","OFFERING_GREENSHOE_SHARES_EX"),""))</f>
        <v/>
      </c>
      <c r="I247" s="4">
        <f>Database!V247</f>
        <v/>
      </c>
      <c r="J247" s="21">
        <f>IFERROR(BDP(Database!$A247&amp;" HK Equity","PE_RATIO"),"")</f>
        <v/>
      </c>
      <c r="K247" s="6">
        <f>IFERROR(BDP(Database!$A247&amp;" HK Equity","A/H_SHARE_CONVERSION"),"")</f>
        <v/>
      </c>
      <c r="L247" s="4">
        <f>IF(Database!AL247="","(none found)",Database!AL247)</f>
        <v/>
      </c>
      <c r="M247" s="9">
        <f>IFERROR(BDH(Database!$A247&amp;" HK Equity","CUR_MKT_CAP",Database!$G247,Database!$G247)/1000000,"")</f>
        <v/>
      </c>
      <c r="N247" s="63">
        <f>Database!O247</f>
        <v/>
      </c>
      <c r="O247" s="21">
        <f>IFERROR(BDH(Database!$A247&amp;" HK Equity","PE_RATIO",Database!$G247,Database!$G247),"")</f>
        <v/>
      </c>
      <c r="P247" s="60">
        <f>IF(Database!AI247="","(n/m or not derivable)",Database!AI247)</f>
        <v/>
      </c>
    </row>
    <row r="248">
      <c r="A248" s="4">
        <f>Database!A248&amp;"  "&amp;Database!B248</f>
        <v/>
      </c>
      <c r="B248" s="6">
        <f>IFERROR(INDEX(BDS(Database!$A248&amp;" HK Equity","EQUITY_OFFERINGS","array=t","endcol=1"),MATCH("IPO",BDS(Database!$A248&amp;" HK Equity","EQUITY_OFFERINGS","array=t","startcol=2","endcol=2"),0)),"")</f>
        <v/>
      </c>
      <c r="C248" s="64">
        <f>IF($B248="","",IFERROR(BDP($B248&amp;" Action","CP036"),""))</f>
        <v/>
      </c>
      <c r="D248" s="65">
        <f>Database!Q248</f>
        <v/>
      </c>
      <c r="E248" s="64">
        <f>IF($B248="","",IFERROR(BDP($B248&amp;" Action","CP037"),""))</f>
        <v/>
      </c>
      <c r="F248" s="65">
        <f>Database!R248</f>
        <v/>
      </c>
      <c r="G248" s="64">
        <f>IF($B248="","",IFERROR(BDP($B248&amp;" Action","GREENSHOE_FACILITY"),""))</f>
        <v/>
      </c>
      <c r="H248" s="64">
        <f>IF($B248="","",IFERROR(BDP($B248&amp;" Action","OFFERING_GREENSHOE_SHARES_EX"),""))</f>
        <v/>
      </c>
      <c r="I248" s="4">
        <f>Database!V248</f>
        <v/>
      </c>
      <c r="J248" s="21">
        <f>IFERROR(BDP(Database!$A248&amp;" HK Equity","PE_RATIO"),"")</f>
        <v/>
      </c>
      <c r="K248" s="6">
        <f>IFERROR(BDP(Database!$A248&amp;" HK Equity","A/H_SHARE_CONVERSION"),"")</f>
        <v/>
      </c>
      <c r="L248" s="4">
        <f>IF(Database!AL248="","(none found)",Database!AL248)</f>
        <v/>
      </c>
      <c r="M248" s="9">
        <f>IFERROR(BDH(Database!$A248&amp;" HK Equity","CUR_MKT_CAP",Database!$G248,Database!$G248)/1000000,"")</f>
        <v/>
      </c>
      <c r="N248" s="63">
        <f>Database!O248</f>
        <v/>
      </c>
      <c r="O248" s="21">
        <f>IFERROR(BDH(Database!$A248&amp;" HK Equity","PE_RATIO",Database!$G248,Database!$G248),"")</f>
        <v/>
      </c>
      <c r="P248" s="60">
        <f>IF(Database!AI248="","(n/m or not derivable)",Database!AI248)</f>
        <v/>
      </c>
    </row>
    <row r="249">
      <c r="A249" s="4">
        <f>Database!A249&amp;"  "&amp;Database!B249</f>
        <v/>
      </c>
      <c r="B249" s="6">
        <f>IFERROR(INDEX(BDS(Database!$A249&amp;" HK Equity","EQUITY_OFFERINGS","array=t","endcol=1"),MATCH("IPO",BDS(Database!$A249&amp;" HK Equity","EQUITY_OFFERINGS","array=t","startcol=2","endcol=2"),0)),"")</f>
        <v/>
      </c>
      <c r="C249" s="64">
        <f>IF($B249="","",IFERROR(BDP($B249&amp;" Action","CP036"),""))</f>
        <v/>
      </c>
      <c r="D249" s="65">
        <f>Database!Q249</f>
        <v/>
      </c>
      <c r="E249" s="64">
        <f>IF($B249="","",IFERROR(BDP($B249&amp;" Action","CP037"),""))</f>
        <v/>
      </c>
      <c r="F249" s="65">
        <f>Database!R249</f>
        <v/>
      </c>
      <c r="G249" s="64">
        <f>IF($B249="","",IFERROR(BDP($B249&amp;" Action","GREENSHOE_FACILITY"),""))</f>
        <v/>
      </c>
      <c r="H249" s="64">
        <f>IF($B249="","",IFERROR(BDP($B249&amp;" Action","OFFERING_GREENSHOE_SHARES_EX"),""))</f>
        <v/>
      </c>
      <c r="I249" s="4">
        <f>Database!V249</f>
        <v/>
      </c>
      <c r="J249" s="21">
        <f>IFERROR(BDP(Database!$A249&amp;" HK Equity","PE_RATIO"),"")</f>
        <v/>
      </c>
      <c r="K249" s="6">
        <f>IFERROR(BDP(Database!$A249&amp;" HK Equity","A/H_SHARE_CONVERSION"),"")</f>
        <v/>
      </c>
      <c r="L249" s="4">
        <f>IF(Database!AL249="","(none found)",Database!AL249)</f>
        <v/>
      </c>
      <c r="M249" s="9">
        <f>IFERROR(BDH(Database!$A249&amp;" HK Equity","CUR_MKT_CAP",Database!$G249,Database!$G249)/1000000,"")</f>
        <v/>
      </c>
      <c r="N249" s="63">
        <f>Database!O249</f>
        <v/>
      </c>
      <c r="O249" s="21">
        <f>IFERROR(BDH(Database!$A249&amp;" HK Equity","PE_RATIO",Database!$G249,Database!$G249),"")</f>
        <v/>
      </c>
      <c r="P249" s="60">
        <f>IF(Database!AI249="","(n/m or not derivable)",Database!AI249)</f>
        <v/>
      </c>
    </row>
    <row r="250">
      <c r="A250" s="4">
        <f>Database!A250&amp;"  "&amp;Database!B250</f>
        <v/>
      </c>
      <c r="B250" s="6">
        <f>IFERROR(INDEX(BDS(Database!$A250&amp;" HK Equity","EQUITY_OFFERINGS","array=t","endcol=1"),MATCH("IPO",BDS(Database!$A250&amp;" HK Equity","EQUITY_OFFERINGS","array=t","startcol=2","endcol=2"),0)),"")</f>
        <v/>
      </c>
      <c r="C250" s="64">
        <f>IF($B250="","",IFERROR(BDP($B250&amp;" Action","CP036"),""))</f>
        <v/>
      </c>
      <c r="D250" s="65">
        <f>Database!Q250</f>
        <v/>
      </c>
      <c r="E250" s="64">
        <f>IF($B250="","",IFERROR(BDP($B250&amp;" Action","CP037"),""))</f>
        <v/>
      </c>
      <c r="F250" s="65">
        <f>Database!R250</f>
        <v/>
      </c>
      <c r="G250" s="64">
        <f>IF($B250="","",IFERROR(BDP($B250&amp;" Action","GREENSHOE_FACILITY"),""))</f>
        <v/>
      </c>
      <c r="H250" s="64">
        <f>IF($B250="","",IFERROR(BDP($B250&amp;" Action","OFFERING_GREENSHOE_SHARES_EX"),""))</f>
        <v/>
      </c>
      <c r="I250" s="4">
        <f>Database!V250</f>
        <v/>
      </c>
      <c r="J250" s="21">
        <f>IFERROR(BDP(Database!$A250&amp;" HK Equity","PE_RATIO"),"")</f>
        <v/>
      </c>
      <c r="K250" s="6">
        <f>IFERROR(BDP(Database!$A250&amp;" HK Equity","A/H_SHARE_CONVERSION"),"")</f>
        <v/>
      </c>
      <c r="L250" s="4">
        <f>IF(Database!AL250="","(none found)",Database!AL250)</f>
        <v/>
      </c>
      <c r="M250" s="9">
        <f>IFERROR(BDH(Database!$A250&amp;" HK Equity","CUR_MKT_CAP",Database!$G250,Database!$G250)/1000000,"")</f>
        <v/>
      </c>
      <c r="N250" s="63">
        <f>Database!O250</f>
        <v/>
      </c>
      <c r="O250" s="21">
        <f>IFERROR(BDH(Database!$A250&amp;" HK Equity","PE_RATIO",Database!$G250,Database!$G250),"")</f>
        <v/>
      </c>
      <c r="P250" s="60">
        <f>IF(Database!AI250="","(n/m or not derivable)",Database!AI250)</f>
        <v/>
      </c>
    </row>
    <row r="251">
      <c r="A251" s="4">
        <f>Database!A251&amp;"  "&amp;Database!B251</f>
        <v/>
      </c>
      <c r="B251" s="6">
        <f>IFERROR(INDEX(BDS(Database!$A251&amp;" HK Equity","EQUITY_OFFERINGS","array=t","endcol=1"),MATCH("IPO",BDS(Database!$A251&amp;" HK Equity","EQUITY_OFFERINGS","array=t","startcol=2","endcol=2"),0)),"")</f>
        <v/>
      </c>
      <c r="C251" s="64">
        <f>IF($B251="","",IFERROR(BDP($B251&amp;" Action","CP036"),""))</f>
        <v/>
      </c>
      <c r="D251" s="65">
        <f>Database!Q251</f>
        <v/>
      </c>
      <c r="E251" s="64">
        <f>IF($B251="","",IFERROR(BDP($B251&amp;" Action","CP037"),""))</f>
        <v/>
      </c>
      <c r="F251" s="65">
        <f>Database!R251</f>
        <v/>
      </c>
      <c r="G251" s="64">
        <f>IF($B251="","",IFERROR(BDP($B251&amp;" Action","GREENSHOE_FACILITY"),""))</f>
        <v/>
      </c>
      <c r="H251" s="64">
        <f>IF($B251="","",IFERROR(BDP($B251&amp;" Action","OFFERING_GREENSHOE_SHARES_EX"),""))</f>
        <v/>
      </c>
      <c r="I251" s="4">
        <f>Database!V251</f>
        <v/>
      </c>
      <c r="J251" s="21">
        <f>IFERROR(BDP(Database!$A251&amp;" HK Equity","PE_RATIO"),"")</f>
        <v/>
      </c>
      <c r="K251" s="6">
        <f>IFERROR(BDP(Database!$A251&amp;" HK Equity","A/H_SHARE_CONVERSION"),"")</f>
        <v/>
      </c>
      <c r="L251" s="4">
        <f>IF(Database!AL251="","(none found)",Database!AL251)</f>
        <v/>
      </c>
      <c r="M251" s="9">
        <f>IFERROR(BDH(Database!$A251&amp;" HK Equity","CUR_MKT_CAP",Database!$G251,Database!$G251)/1000000,"")</f>
        <v/>
      </c>
      <c r="N251" s="63">
        <f>Database!O251</f>
        <v/>
      </c>
      <c r="O251" s="21">
        <f>IFERROR(BDH(Database!$A251&amp;" HK Equity","PE_RATIO",Database!$G251,Database!$G251),"")</f>
        <v/>
      </c>
      <c r="P251" s="60">
        <f>IF(Database!AI251="","(n/m or not derivable)",Database!AI251)</f>
        <v/>
      </c>
    </row>
    <row r="252">
      <c r="A252" s="4">
        <f>Database!A252&amp;"  "&amp;Database!B252</f>
        <v/>
      </c>
      <c r="B252" s="6">
        <f>IFERROR(INDEX(BDS(Database!$A252&amp;" HK Equity","EQUITY_OFFERINGS","array=t","endcol=1"),MATCH("IPO",BDS(Database!$A252&amp;" HK Equity","EQUITY_OFFERINGS","array=t","startcol=2","endcol=2"),0)),"")</f>
        <v/>
      </c>
      <c r="C252" s="64">
        <f>IF($B252="","",IFERROR(BDP($B252&amp;" Action","CP036"),""))</f>
        <v/>
      </c>
      <c r="D252" s="65">
        <f>Database!Q252</f>
        <v/>
      </c>
      <c r="E252" s="64">
        <f>IF($B252="","",IFERROR(BDP($B252&amp;" Action","CP037"),""))</f>
        <v/>
      </c>
      <c r="F252" s="65">
        <f>Database!R252</f>
        <v/>
      </c>
      <c r="G252" s="64">
        <f>IF($B252="","",IFERROR(BDP($B252&amp;" Action","GREENSHOE_FACILITY"),""))</f>
        <v/>
      </c>
      <c r="H252" s="64">
        <f>IF($B252="","",IFERROR(BDP($B252&amp;" Action","OFFERING_GREENSHOE_SHARES_EX"),""))</f>
        <v/>
      </c>
      <c r="I252" s="4">
        <f>Database!V252</f>
        <v/>
      </c>
      <c r="J252" s="21">
        <f>IFERROR(BDP(Database!$A252&amp;" HK Equity","PE_RATIO"),"")</f>
        <v/>
      </c>
      <c r="K252" s="6">
        <f>IFERROR(BDP(Database!$A252&amp;" HK Equity","A/H_SHARE_CONVERSION"),"")</f>
        <v/>
      </c>
      <c r="L252" s="4">
        <f>IF(Database!AL252="","(none found)",Database!AL252)</f>
        <v/>
      </c>
      <c r="M252" s="9">
        <f>IFERROR(BDH(Database!$A252&amp;" HK Equity","CUR_MKT_CAP",Database!$G252,Database!$G252)/1000000,"")</f>
        <v/>
      </c>
      <c r="N252" s="63">
        <f>Database!O252</f>
        <v/>
      </c>
      <c r="O252" s="21">
        <f>IFERROR(BDH(Database!$A252&amp;" HK Equity","PE_RATIO",Database!$G252,Database!$G252),"")</f>
        <v/>
      </c>
      <c r="P252" s="60">
        <f>IF(Database!AI252="","(n/m or not derivable)",Database!AI252)</f>
        <v/>
      </c>
    </row>
    <row r="253">
      <c r="A253" s="4">
        <f>Database!A253&amp;"  "&amp;Database!B253</f>
        <v/>
      </c>
      <c r="B253" s="6">
        <f>IFERROR(INDEX(BDS(Database!$A253&amp;" HK Equity","EQUITY_OFFERINGS","array=t","endcol=1"),MATCH("IPO",BDS(Database!$A253&amp;" HK Equity","EQUITY_OFFERINGS","array=t","startcol=2","endcol=2"),0)),"")</f>
        <v/>
      </c>
      <c r="C253" s="64">
        <f>IF($B253="","",IFERROR(BDP($B253&amp;" Action","CP036"),""))</f>
        <v/>
      </c>
      <c r="D253" s="65">
        <f>Database!Q253</f>
        <v/>
      </c>
      <c r="E253" s="64">
        <f>IF($B253="","",IFERROR(BDP($B253&amp;" Action","CP037"),""))</f>
        <v/>
      </c>
      <c r="F253" s="65">
        <f>Database!R253</f>
        <v/>
      </c>
      <c r="G253" s="64">
        <f>IF($B253="","",IFERROR(BDP($B253&amp;" Action","GREENSHOE_FACILITY"),""))</f>
        <v/>
      </c>
      <c r="H253" s="64">
        <f>IF($B253="","",IFERROR(BDP($B253&amp;" Action","OFFERING_GREENSHOE_SHARES_EX"),""))</f>
        <v/>
      </c>
      <c r="I253" s="4">
        <f>Database!V253</f>
        <v/>
      </c>
      <c r="J253" s="21">
        <f>IFERROR(BDP(Database!$A253&amp;" HK Equity","PE_RATIO"),"")</f>
        <v/>
      </c>
      <c r="K253" s="6">
        <f>IFERROR(BDP(Database!$A253&amp;" HK Equity","A/H_SHARE_CONVERSION"),"")</f>
        <v/>
      </c>
      <c r="L253" s="4">
        <f>IF(Database!AL253="","(none found)",Database!AL253)</f>
        <v/>
      </c>
      <c r="M253" s="9">
        <f>IFERROR(BDH(Database!$A253&amp;" HK Equity","CUR_MKT_CAP",Database!$G253,Database!$G253)/1000000,"")</f>
        <v/>
      </c>
      <c r="N253" s="63">
        <f>Database!O253</f>
        <v/>
      </c>
      <c r="O253" s="21">
        <f>IFERROR(BDH(Database!$A253&amp;" HK Equity","PE_RATIO",Database!$G253,Database!$G253),"")</f>
        <v/>
      </c>
      <c r="P253" s="60">
        <f>IF(Database!AI253="","(n/m or not derivable)",Database!AI253)</f>
        <v/>
      </c>
    </row>
    <row r="254">
      <c r="A254" s="4">
        <f>Database!A254&amp;"  "&amp;Database!B254</f>
        <v/>
      </c>
      <c r="B254" s="6">
        <f>IFERROR(INDEX(BDS(Database!$A254&amp;" HK Equity","EQUITY_OFFERINGS","array=t","endcol=1"),MATCH("IPO",BDS(Database!$A254&amp;" HK Equity","EQUITY_OFFERINGS","array=t","startcol=2","endcol=2"),0)),"")</f>
        <v/>
      </c>
      <c r="C254" s="64">
        <f>IF($B254="","",IFERROR(BDP($B254&amp;" Action","CP036"),""))</f>
        <v/>
      </c>
      <c r="D254" s="65">
        <f>Database!Q254</f>
        <v/>
      </c>
      <c r="E254" s="64">
        <f>IF($B254="","",IFERROR(BDP($B254&amp;" Action","CP037"),""))</f>
        <v/>
      </c>
      <c r="F254" s="65">
        <f>Database!R254</f>
        <v/>
      </c>
      <c r="G254" s="64">
        <f>IF($B254="","",IFERROR(BDP($B254&amp;" Action","GREENSHOE_FACILITY"),""))</f>
        <v/>
      </c>
      <c r="H254" s="64">
        <f>IF($B254="","",IFERROR(BDP($B254&amp;" Action","OFFERING_GREENSHOE_SHARES_EX"),""))</f>
        <v/>
      </c>
      <c r="I254" s="4">
        <f>Database!V254</f>
        <v/>
      </c>
      <c r="J254" s="21">
        <f>IFERROR(BDP(Database!$A254&amp;" HK Equity","PE_RATIO"),"")</f>
        <v/>
      </c>
      <c r="K254" s="6">
        <f>IFERROR(BDP(Database!$A254&amp;" HK Equity","A/H_SHARE_CONVERSION"),"")</f>
        <v/>
      </c>
      <c r="L254" s="4">
        <f>IF(Database!AL254="","(none found)",Database!AL254)</f>
        <v/>
      </c>
      <c r="M254" s="9">
        <f>IFERROR(BDH(Database!$A254&amp;" HK Equity","CUR_MKT_CAP",Database!$G254,Database!$G254)/1000000,"")</f>
        <v/>
      </c>
      <c r="N254" s="63">
        <f>Database!O254</f>
        <v/>
      </c>
      <c r="O254" s="21">
        <f>IFERROR(BDH(Database!$A254&amp;" HK Equity","PE_RATIO",Database!$G254,Database!$G254),"")</f>
        <v/>
      </c>
      <c r="P254" s="60">
        <f>IF(Database!AI254="","(n/m or not derivable)",Database!AI254)</f>
        <v/>
      </c>
    </row>
    <row r="255">
      <c r="A255" s="4">
        <f>Database!A255&amp;"  "&amp;Database!B255</f>
        <v/>
      </c>
      <c r="B255" s="6">
        <f>IFERROR(INDEX(BDS(Database!$A255&amp;" HK Equity","EQUITY_OFFERINGS","array=t","endcol=1"),MATCH("IPO",BDS(Database!$A255&amp;" HK Equity","EQUITY_OFFERINGS","array=t","startcol=2","endcol=2"),0)),"")</f>
        <v/>
      </c>
      <c r="C255" s="64">
        <f>IF($B255="","",IFERROR(BDP($B255&amp;" Action","CP036"),""))</f>
        <v/>
      </c>
      <c r="D255" s="65">
        <f>Database!Q255</f>
        <v/>
      </c>
      <c r="E255" s="64">
        <f>IF($B255="","",IFERROR(BDP($B255&amp;" Action","CP037"),""))</f>
        <v/>
      </c>
      <c r="F255" s="65">
        <f>Database!R255</f>
        <v/>
      </c>
      <c r="G255" s="64">
        <f>IF($B255="","",IFERROR(BDP($B255&amp;" Action","GREENSHOE_FACILITY"),""))</f>
        <v/>
      </c>
      <c r="H255" s="64">
        <f>IF($B255="","",IFERROR(BDP($B255&amp;" Action","OFFERING_GREENSHOE_SHARES_EX"),""))</f>
        <v/>
      </c>
      <c r="I255" s="4">
        <f>Database!V255</f>
        <v/>
      </c>
      <c r="J255" s="21">
        <f>IFERROR(BDP(Database!$A255&amp;" HK Equity","PE_RATIO"),"")</f>
        <v/>
      </c>
      <c r="K255" s="6">
        <f>IFERROR(BDP(Database!$A255&amp;" HK Equity","A/H_SHARE_CONVERSION"),"")</f>
        <v/>
      </c>
      <c r="L255" s="4">
        <f>IF(Database!AL255="","(none found)",Database!AL255)</f>
        <v/>
      </c>
      <c r="M255" s="9">
        <f>IFERROR(BDH(Database!$A255&amp;" HK Equity","CUR_MKT_CAP",Database!$G255,Database!$G255)/1000000,"")</f>
        <v/>
      </c>
      <c r="N255" s="63">
        <f>Database!O255</f>
        <v/>
      </c>
      <c r="O255" s="21">
        <f>IFERROR(BDH(Database!$A255&amp;" HK Equity","PE_RATIO",Database!$G255,Database!$G255),"")</f>
        <v/>
      </c>
      <c r="P255" s="60">
        <f>IF(Database!AI255="","(n/m or not derivable)",Database!AI255)</f>
        <v/>
      </c>
    </row>
    <row r="256">
      <c r="A256" s="4">
        <f>Database!A256&amp;"  "&amp;Database!B256</f>
        <v/>
      </c>
      <c r="B256" s="6">
        <f>IFERROR(INDEX(BDS(Database!$A256&amp;" HK Equity","EQUITY_OFFERINGS","array=t","endcol=1"),MATCH("IPO",BDS(Database!$A256&amp;" HK Equity","EQUITY_OFFERINGS","array=t","startcol=2","endcol=2"),0)),"")</f>
        <v/>
      </c>
      <c r="C256" s="64">
        <f>IF($B256="","",IFERROR(BDP($B256&amp;" Action","CP036"),""))</f>
        <v/>
      </c>
      <c r="D256" s="65">
        <f>Database!Q256</f>
        <v/>
      </c>
      <c r="E256" s="64">
        <f>IF($B256="","",IFERROR(BDP($B256&amp;" Action","CP037"),""))</f>
        <v/>
      </c>
      <c r="F256" s="65">
        <f>Database!R256</f>
        <v/>
      </c>
      <c r="G256" s="64">
        <f>IF($B256="","",IFERROR(BDP($B256&amp;" Action","GREENSHOE_FACILITY"),""))</f>
        <v/>
      </c>
      <c r="H256" s="64">
        <f>IF($B256="","",IFERROR(BDP($B256&amp;" Action","OFFERING_GREENSHOE_SHARES_EX"),""))</f>
        <v/>
      </c>
      <c r="I256" s="4">
        <f>Database!V256</f>
        <v/>
      </c>
      <c r="J256" s="21">
        <f>IFERROR(BDP(Database!$A256&amp;" HK Equity","PE_RATIO"),"")</f>
        <v/>
      </c>
      <c r="K256" s="6">
        <f>IFERROR(BDP(Database!$A256&amp;" HK Equity","A/H_SHARE_CONVERSION"),"")</f>
        <v/>
      </c>
      <c r="L256" s="4">
        <f>IF(Database!AL256="","(none found)",Database!AL256)</f>
        <v/>
      </c>
      <c r="M256" s="9">
        <f>IFERROR(BDH(Database!$A256&amp;" HK Equity","CUR_MKT_CAP",Database!$G256,Database!$G256)/1000000,"")</f>
        <v/>
      </c>
      <c r="N256" s="63">
        <f>Database!O256</f>
        <v/>
      </c>
      <c r="O256" s="21">
        <f>IFERROR(BDH(Database!$A256&amp;" HK Equity","PE_RATIO",Database!$G256,Database!$G256),"")</f>
        <v/>
      </c>
      <c r="P256" s="60">
        <f>IF(Database!AI256="","(n/m or not derivable)",Database!AI256)</f>
        <v/>
      </c>
    </row>
    <row r="257">
      <c r="A257" s="4">
        <f>Database!A257&amp;"  "&amp;Database!B257</f>
        <v/>
      </c>
      <c r="B257" s="6">
        <f>IFERROR(INDEX(BDS(Database!$A257&amp;" HK Equity","EQUITY_OFFERINGS","array=t","endcol=1"),MATCH("IPO",BDS(Database!$A257&amp;" HK Equity","EQUITY_OFFERINGS","array=t","startcol=2","endcol=2"),0)),"")</f>
        <v/>
      </c>
      <c r="C257" s="64">
        <f>IF($B257="","",IFERROR(BDP($B257&amp;" Action","CP036"),""))</f>
        <v/>
      </c>
      <c r="D257" s="65">
        <f>Database!Q257</f>
        <v/>
      </c>
      <c r="E257" s="64">
        <f>IF($B257="","",IFERROR(BDP($B257&amp;" Action","CP037"),""))</f>
        <v/>
      </c>
      <c r="F257" s="65">
        <f>Database!R257</f>
        <v/>
      </c>
      <c r="G257" s="64">
        <f>IF($B257="","",IFERROR(BDP($B257&amp;" Action","GREENSHOE_FACILITY"),""))</f>
        <v/>
      </c>
      <c r="H257" s="64">
        <f>IF($B257="","",IFERROR(BDP($B257&amp;" Action","OFFERING_GREENSHOE_SHARES_EX"),""))</f>
        <v/>
      </c>
      <c r="I257" s="4">
        <f>Database!V257</f>
        <v/>
      </c>
      <c r="J257" s="21">
        <f>IFERROR(BDP(Database!$A257&amp;" HK Equity","PE_RATIO"),"")</f>
        <v/>
      </c>
      <c r="K257" s="6">
        <f>IFERROR(BDP(Database!$A257&amp;" HK Equity","A/H_SHARE_CONVERSION"),"")</f>
        <v/>
      </c>
      <c r="L257" s="4">
        <f>IF(Database!AL257="","(none found)",Database!AL257)</f>
        <v/>
      </c>
      <c r="M257" s="9">
        <f>IFERROR(BDH(Database!$A257&amp;" HK Equity","CUR_MKT_CAP",Database!$G257,Database!$G257)/1000000,"")</f>
        <v/>
      </c>
      <c r="N257" s="63">
        <f>Database!O257</f>
        <v/>
      </c>
      <c r="O257" s="21">
        <f>IFERROR(BDH(Database!$A257&amp;" HK Equity","PE_RATIO",Database!$G257,Database!$G257),"")</f>
        <v/>
      </c>
      <c r="P257" s="60">
        <f>IF(Database!AI257="","(n/m or not derivable)",Database!AI257)</f>
        <v/>
      </c>
    </row>
    <row r="258">
      <c r="A258" s="4">
        <f>Database!A258&amp;"  "&amp;Database!B258</f>
        <v/>
      </c>
      <c r="B258" s="6">
        <f>IFERROR(INDEX(BDS(Database!$A258&amp;" HK Equity","EQUITY_OFFERINGS","array=t","endcol=1"),MATCH("IPO",BDS(Database!$A258&amp;" HK Equity","EQUITY_OFFERINGS","array=t","startcol=2","endcol=2"),0)),"")</f>
        <v/>
      </c>
      <c r="C258" s="64">
        <f>IF($B258="","",IFERROR(BDP($B258&amp;" Action","CP036"),""))</f>
        <v/>
      </c>
      <c r="D258" s="65">
        <f>Database!Q258</f>
        <v/>
      </c>
      <c r="E258" s="64">
        <f>IF($B258="","",IFERROR(BDP($B258&amp;" Action","CP037"),""))</f>
        <v/>
      </c>
      <c r="F258" s="65">
        <f>Database!R258</f>
        <v/>
      </c>
      <c r="G258" s="64">
        <f>IF($B258="","",IFERROR(BDP($B258&amp;" Action","GREENSHOE_FACILITY"),""))</f>
        <v/>
      </c>
      <c r="H258" s="64">
        <f>IF($B258="","",IFERROR(BDP($B258&amp;" Action","OFFERING_GREENSHOE_SHARES_EX"),""))</f>
        <v/>
      </c>
      <c r="I258" s="4">
        <f>Database!V258</f>
        <v/>
      </c>
      <c r="J258" s="21">
        <f>IFERROR(BDP(Database!$A258&amp;" HK Equity","PE_RATIO"),"")</f>
        <v/>
      </c>
      <c r="K258" s="6">
        <f>IFERROR(BDP(Database!$A258&amp;" HK Equity","A/H_SHARE_CONVERSION"),"")</f>
        <v/>
      </c>
      <c r="L258" s="4">
        <f>IF(Database!AL258="","(none found)",Database!AL258)</f>
        <v/>
      </c>
      <c r="M258" s="9">
        <f>IFERROR(BDH(Database!$A258&amp;" HK Equity","CUR_MKT_CAP",Database!$G258,Database!$G258)/1000000,"")</f>
        <v/>
      </c>
      <c r="N258" s="63">
        <f>Database!O258</f>
        <v/>
      </c>
      <c r="O258" s="21">
        <f>IFERROR(BDH(Database!$A258&amp;" HK Equity","PE_RATIO",Database!$G258,Database!$G258),"")</f>
        <v/>
      </c>
      <c r="P258" s="60">
        <f>IF(Database!AI258="","(n/m or not derivable)",Database!AI258)</f>
        <v/>
      </c>
    </row>
    <row r="259">
      <c r="A259" s="4">
        <f>Database!A259&amp;"  "&amp;Database!B259</f>
        <v/>
      </c>
      <c r="B259" s="6">
        <f>IFERROR(INDEX(BDS(Database!$A259&amp;" HK Equity","EQUITY_OFFERINGS","array=t","endcol=1"),MATCH("IPO",BDS(Database!$A259&amp;" HK Equity","EQUITY_OFFERINGS","array=t","startcol=2","endcol=2"),0)),"")</f>
        <v/>
      </c>
      <c r="C259" s="64">
        <f>IF($B259="","",IFERROR(BDP($B259&amp;" Action","CP036"),""))</f>
        <v/>
      </c>
      <c r="D259" s="65">
        <f>Database!Q259</f>
        <v/>
      </c>
      <c r="E259" s="64">
        <f>IF($B259="","",IFERROR(BDP($B259&amp;" Action","CP037"),""))</f>
        <v/>
      </c>
      <c r="F259" s="65">
        <f>Database!R259</f>
        <v/>
      </c>
      <c r="G259" s="64">
        <f>IF($B259="","",IFERROR(BDP($B259&amp;" Action","GREENSHOE_FACILITY"),""))</f>
        <v/>
      </c>
      <c r="H259" s="64">
        <f>IF($B259="","",IFERROR(BDP($B259&amp;" Action","OFFERING_GREENSHOE_SHARES_EX"),""))</f>
        <v/>
      </c>
      <c r="I259" s="4">
        <f>Database!V259</f>
        <v/>
      </c>
      <c r="J259" s="21">
        <f>IFERROR(BDP(Database!$A259&amp;" HK Equity","PE_RATIO"),"")</f>
        <v/>
      </c>
      <c r="K259" s="6">
        <f>IFERROR(BDP(Database!$A259&amp;" HK Equity","A/H_SHARE_CONVERSION"),"")</f>
        <v/>
      </c>
      <c r="L259" s="4">
        <f>IF(Database!AL259="","(none found)",Database!AL259)</f>
        <v/>
      </c>
      <c r="M259" s="9">
        <f>IFERROR(BDH(Database!$A259&amp;" HK Equity","CUR_MKT_CAP",Database!$G259,Database!$G259)/1000000,"")</f>
        <v/>
      </c>
      <c r="N259" s="63">
        <f>Database!O259</f>
        <v/>
      </c>
      <c r="O259" s="21">
        <f>IFERROR(BDH(Database!$A259&amp;" HK Equity","PE_RATIO",Database!$G259,Database!$G259),"")</f>
        <v/>
      </c>
      <c r="P259" s="60">
        <f>IF(Database!AI259="","(n/m or not derivable)",Database!AI259)</f>
        <v/>
      </c>
    </row>
    <row r="260">
      <c r="A260" s="4">
        <f>Database!A260&amp;"  "&amp;Database!B260</f>
        <v/>
      </c>
      <c r="B260" s="6">
        <f>IFERROR(INDEX(BDS(Database!$A260&amp;" HK Equity","EQUITY_OFFERINGS","array=t","endcol=1"),MATCH("IPO",BDS(Database!$A260&amp;" HK Equity","EQUITY_OFFERINGS","array=t","startcol=2","endcol=2"),0)),"")</f>
        <v/>
      </c>
      <c r="C260" s="64">
        <f>IF($B260="","",IFERROR(BDP($B260&amp;" Action","CP036"),""))</f>
        <v/>
      </c>
      <c r="D260" s="65">
        <f>Database!Q260</f>
        <v/>
      </c>
      <c r="E260" s="64">
        <f>IF($B260="","",IFERROR(BDP($B260&amp;" Action","CP037"),""))</f>
        <v/>
      </c>
      <c r="F260" s="65">
        <f>Database!R260</f>
        <v/>
      </c>
      <c r="G260" s="64">
        <f>IF($B260="","",IFERROR(BDP($B260&amp;" Action","GREENSHOE_FACILITY"),""))</f>
        <v/>
      </c>
      <c r="H260" s="64">
        <f>IF($B260="","",IFERROR(BDP($B260&amp;" Action","OFFERING_GREENSHOE_SHARES_EX"),""))</f>
        <v/>
      </c>
      <c r="I260" s="4">
        <f>Database!V260</f>
        <v/>
      </c>
      <c r="J260" s="21">
        <f>IFERROR(BDP(Database!$A260&amp;" HK Equity","PE_RATIO"),"")</f>
        <v/>
      </c>
      <c r="K260" s="6">
        <f>IFERROR(BDP(Database!$A260&amp;" HK Equity","A/H_SHARE_CONVERSION"),"")</f>
        <v/>
      </c>
      <c r="L260" s="4">
        <f>IF(Database!AL260="","(none found)",Database!AL260)</f>
        <v/>
      </c>
      <c r="M260" s="9">
        <f>IFERROR(BDH(Database!$A260&amp;" HK Equity","CUR_MKT_CAP",Database!$G260,Database!$G260)/1000000,"")</f>
        <v/>
      </c>
      <c r="N260" s="63">
        <f>Database!O260</f>
        <v/>
      </c>
      <c r="O260" s="21">
        <f>IFERROR(BDH(Database!$A260&amp;" HK Equity","PE_RATIO",Database!$G260,Database!$G260),"")</f>
        <v/>
      </c>
      <c r="P260" s="60">
        <f>IF(Database!AI260="","(n/m or not derivable)",Database!AI260)</f>
        <v/>
      </c>
    </row>
    <row r="261">
      <c r="A261" s="4">
        <f>Database!A261&amp;"  "&amp;Database!B261</f>
        <v/>
      </c>
      <c r="B261" s="6">
        <f>IFERROR(INDEX(BDS(Database!$A261&amp;" HK Equity","EQUITY_OFFERINGS","array=t","endcol=1"),MATCH("IPO",BDS(Database!$A261&amp;" HK Equity","EQUITY_OFFERINGS","array=t","startcol=2","endcol=2"),0)),"")</f>
        <v/>
      </c>
      <c r="C261" s="64">
        <f>IF($B261="","",IFERROR(BDP($B261&amp;" Action","CP036"),""))</f>
        <v/>
      </c>
      <c r="D261" s="65">
        <f>Database!Q261</f>
        <v/>
      </c>
      <c r="E261" s="64">
        <f>IF($B261="","",IFERROR(BDP($B261&amp;" Action","CP037"),""))</f>
        <v/>
      </c>
      <c r="F261" s="65">
        <f>Database!R261</f>
        <v/>
      </c>
      <c r="G261" s="64">
        <f>IF($B261="","",IFERROR(BDP($B261&amp;" Action","GREENSHOE_FACILITY"),""))</f>
        <v/>
      </c>
      <c r="H261" s="64">
        <f>IF($B261="","",IFERROR(BDP($B261&amp;" Action","OFFERING_GREENSHOE_SHARES_EX"),""))</f>
        <v/>
      </c>
      <c r="I261" s="4">
        <f>Database!V261</f>
        <v/>
      </c>
      <c r="J261" s="21">
        <f>IFERROR(BDP(Database!$A261&amp;" HK Equity","PE_RATIO"),"")</f>
        <v/>
      </c>
      <c r="K261" s="6">
        <f>IFERROR(BDP(Database!$A261&amp;" HK Equity","A/H_SHARE_CONVERSION"),"")</f>
        <v/>
      </c>
      <c r="L261" s="4">
        <f>IF(Database!AL261="","(none found)",Database!AL261)</f>
        <v/>
      </c>
      <c r="M261" s="9">
        <f>IFERROR(BDH(Database!$A261&amp;" HK Equity","CUR_MKT_CAP",Database!$G261,Database!$G261)/1000000,"")</f>
        <v/>
      </c>
      <c r="N261" s="63">
        <f>Database!O261</f>
        <v/>
      </c>
      <c r="O261" s="21">
        <f>IFERROR(BDH(Database!$A261&amp;" HK Equity","PE_RATIO",Database!$G261,Database!$G261),"")</f>
        <v/>
      </c>
      <c r="P261" s="60">
        <f>IF(Database!AI261="","(n/m or not derivable)",Database!AI261)</f>
        <v/>
      </c>
    </row>
    <row r="262">
      <c r="A262" s="4">
        <f>Database!A262&amp;"  "&amp;Database!B262</f>
        <v/>
      </c>
      <c r="B262" s="6">
        <f>IFERROR(INDEX(BDS(Database!$A262&amp;" HK Equity","EQUITY_OFFERINGS","array=t","endcol=1"),MATCH("IPO",BDS(Database!$A262&amp;" HK Equity","EQUITY_OFFERINGS","array=t","startcol=2","endcol=2"),0)),"")</f>
        <v/>
      </c>
      <c r="C262" s="64">
        <f>IF($B262="","",IFERROR(BDP($B262&amp;" Action","CP036"),""))</f>
        <v/>
      </c>
      <c r="D262" s="65">
        <f>Database!Q262</f>
        <v/>
      </c>
      <c r="E262" s="64">
        <f>IF($B262="","",IFERROR(BDP($B262&amp;" Action","CP037"),""))</f>
        <v/>
      </c>
      <c r="F262" s="65">
        <f>Database!R262</f>
        <v/>
      </c>
      <c r="G262" s="64">
        <f>IF($B262="","",IFERROR(BDP($B262&amp;" Action","GREENSHOE_FACILITY"),""))</f>
        <v/>
      </c>
      <c r="H262" s="64">
        <f>IF($B262="","",IFERROR(BDP($B262&amp;" Action","OFFERING_GREENSHOE_SHARES_EX"),""))</f>
        <v/>
      </c>
      <c r="I262" s="4">
        <f>Database!V262</f>
        <v/>
      </c>
      <c r="J262" s="21">
        <f>IFERROR(BDP(Database!$A262&amp;" HK Equity","PE_RATIO"),"")</f>
        <v/>
      </c>
      <c r="K262" s="6">
        <f>IFERROR(BDP(Database!$A262&amp;" HK Equity","A/H_SHARE_CONVERSION"),"")</f>
        <v/>
      </c>
      <c r="L262" s="4">
        <f>IF(Database!AL262="","(none found)",Database!AL262)</f>
        <v/>
      </c>
      <c r="M262" s="9">
        <f>IFERROR(BDH(Database!$A262&amp;" HK Equity","CUR_MKT_CAP",Database!$G262,Database!$G262)/1000000,"")</f>
        <v/>
      </c>
      <c r="N262" s="63">
        <f>Database!O262</f>
        <v/>
      </c>
      <c r="O262" s="21">
        <f>IFERROR(BDH(Database!$A262&amp;" HK Equity","PE_RATIO",Database!$G262,Database!$G262),"")</f>
        <v/>
      </c>
      <c r="P262" s="60">
        <f>IF(Database!AI262="","(n/m or not derivable)",Database!AI262)</f>
        <v/>
      </c>
    </row>
    <row r="263">
      <c r="A263" s="4">
        <f>Database!A263&amp;"  "&amp;Database!B263</f>
        <v/>
      </c>
      <c r="B263" s="6">
        <f>IFERROR(INDEX(BDS(Database!$A263&amp;" HK Equity","EQUITY_OFFERINGS","array=t","endcol=1"),MATCH("IPO",BDS(Database!$A263&amp;" HK Equity","EQUITY_OFFERINGS","array=t","startcol=2","endcol=2"),0)),"")</f>
        <v/>
      </c>
      <c r="C263" s="64">
        <f>IF($B263="","",IFERROR(BDP($B263&amp;" Action","CP036"),""))</f>
        <v/>
      </c>
      <c r="D263" s="65">
        <f>Database!Q263</f>
        <v/>
      </c>
      <c r="E263" s="64">
        <f>IF($B263="","",IFERROR(BDP($B263&amp;" Action","CP037"),""))</f>
        <v/>
      </c>
      <c r="F263" s="65">
        <f>Database!R263</f>
        <v/>
      </c>
      <c r="G263" s="64">
        <f>IF($B263="","",IFERROR(BDP($B263&amp;" Action","GREENSHOE_FACILITY"),""))</f>
        <v/>
      </c>
      <c r="H263" s="64">
        <f>IF($B263="","",IFERROR(BDP($B263&amp;" Action","OFFERING_GREENSHOE_SHARES_EX"),""))</f>
        <v/>
      </c>
      <c r="I263" s="4">
        <f>Database!V263</f>
        <v/>
      </c>
      <c r="J263" s="21">
        <f>IFERROR(BDP(Database!$A263&amp;" HK Equity","PE_RATIO"),"")</f>
        <v/>
      </c>
      <c r="K263" s="6">
        <f>IFERROR(BDP(Database!$A263&amp;" HK Equity","A/H_SHARE_CONVERSION"),"")</f>
        <v/>
      </c>
      <c r="L263" s="4">
        <f>IF(Database!AL263="","(none found)",Database!AL263)</f>
        <v/>
      </c>
      <c r="M263" s="9">
        <f>IFERROR(BDH(Database!$A263&amp;" HK Equity","CUR_MKT_CAP",Database!$G263,Database!$G263)/1000000,"")</f>
        <v/>
      </c>
      <c r="N263" s="63">
        <f>Database!O263</f>
        <v/>
      </c>
      <c r="O263" s="21">
        <f>IFERROR(BDH(Database!$A263&amp;" HK Equity","PE_RATIO",Database!$G263,Database!$G263),"")</f>
        <v/>
      </c>
      <c r="P263" s="60">
        <f>IF(Database!AI263="","(n/m or not derivable)",Database!AI263)</f>
        <v/>
      </c>
    </row>
    <row r="264">
      <c r="A264" s="4">
        <f>Database!A264&amp;"  "&amp;Database!B264</f>
        <v/>
      </c>
      <c r="B264" s="6">
        <f>IFERROR(INDEX(BDS(Database!$A264&amp;" HK Equity","EQUITY_OFFERINGS","array=t","endcol=1"),MATCH("IPO",BDS(Database!$A264&amp;" HK Equity","EQUITY_OFFERINGS","array=t","startcol=2","endcol=2"),0)),"")</f>
        <v/>
      </c>
      <c r="C264" s="64">
        <f>IF($B264="","",IFERROR(BDP($B264&amp;" Action","CP036"),""))</f>
        <v/>
      </c>
      <c r="D264" s="65">
        <f>Database!Q264</f>
        <v/>
      </c>
      <c r="E264" s="64">
        <f>IF($B264="","",IFERROR(BDP($B264&amp;" Action","CP037"),""))</f>
        <v/>
      </c>
      <c r="F264" s="65">
        <f>Database!R264</f>
        <v/>
      </c>
      <c r="G264" s="64">
        <f>IF($B264="","",IFERROR(BDP($B264&amp;" Action","GREENSHOE_FACILITY"),""))</f>
        <v/>
      </c>
      <c r="H264" s="64">
        <f>IF($B264="","",IFERROR(BDP($B264&amp;" Action","OFFERING_GREENSHOE_SHARES_EX"),""))</f>
        <v/>
      </c>
      <c r="I264" s="4">
        <f>Database!V264</f>
        <v/>
      </c>
      <c r="J264" s="21">
        <f>IFERROR(BDP(Database!$A264&amp;" HK Equity","PE_RATIO"),"")</f>
        <v/>
      </c>
      <c r="K264" s="6">
        <f>IFERROR(BDP(Database!$A264&amp;" HK Equity","A/H_SHARE_CONVERSION"),"")</f>
        <v/>
      </c>
      <c r="L264" s="4">
        <f>IF(Database!AL264="","(none found)",Database!AL264)</f>
        <v/>
      </c>
      <c r="M264" s="9">
        <f>IFERROR(BDH(Database!$A264&amp;" HK Equity","CUR_MKT_CAP",Database!$G264,Database!$G264)/1000000,"")</f>
        <v/>
      </c>
      <c r="N264" s="63">
        <f>Database!O264</f>
        <v/>
      </c>
      <c r="O264" s="21">
        <f>IFERROR(BDH(Database!$A264&amp;" HK Equity","PE_RATIO",Database!$G264,Database!$G264),"")</f>
        <v/>
      </c>
      <c r="P264" s="60">
        <f>IF(Database!AI264="","(n/m or not derivable)",Database!AI264)</f>
        <v/>
      </c>
    </row>
    <row r="265">
      <c r="A265" s="4">
        <f>Database!A265&amp;"  "&amp;Database!B265</f>
        <v/>
      </c>
      <c r="B265" s="6">
        <f>IFERROR(INDEX(BDS(Database!$A265&amp;" HK Equity","EQUITY_OFFERINGS","array=t","endcol=1"),MATCH("IPO",BDS(Database!$A265&amp;" HK Equity","EQUITY_OFFERINGS","array=t","startcol=2","endcol=2"),0)),"")</f>
        <v/>
      </c>
      <c r="C265" s="64">
        <f>IF($B265="","",IFERROR(BDP($B265&amp;" Action","CP036"),""))</f>
        <v/>
      </c>
      <c r="D265" s="65">
        <f>Database!Q265</f>
        <v/>
      </c>
      <c r="E265" s="64">
        <f>IF($B265="","",IFERROR(BDP($B265&amp;" Action","CP037"),""))</f>
        <v/>
      </c>
      <c r="F265" s="65">
        <f>Database!R265</f>
        <v/>
      </c>
      <c r="G265" s="64">
        <f>IF($B265="","",IFERROR(BDP($B265&amp;" Action","GREENSHOE_FACILITY"),""))</f>
        <v/>
      </c>
      <c r="H265" s="64">
        <f>IF($B265="","",IFERROR(BDP($B265&amp;" Action","OFFERING_GREENSHOE_SHARES_EX"),""))</f>
        <v/>
      </c>
      <c r="I265" s="4">
        <f>Database!V265</f>
        <v/>
      </c>
      <c r="J265" s="21">
        <f>IFERROR(BDP(Database!$A265&amp;" HK Equity","PE_RATIO"),"")</f>
        <v/>
      </c>
      <c r="K265" s="6">
        <f>IFERROR(BDP(Database!$A265&amp;" HK Equity","A/H_SHARE_CONVERSION"),"")</f>
        <v/>
      </c>
      <c r="L265" s="4">
        <f>IF(Database!AL265="","(none found)",Database!AL265)</f>
        <v/>
      </c>
      <c r="M265" s="9">
        <f>IFERROR(BDH(Database!$A265&amp;" HK Equity","CUR_MKT_CAP",Database!$G265,Database!$G265)/1000000,"")</f>
        <v/>
      </c>
      <c r="N265" s="63">
        <f>Database!O265</f>
        <v/>
      </c>
      <c r="O265" s="21">
        <f>IFERROR(BDH(Database!$A265&amp;" HK Equity","PE_RATIO",Database!$G265,Database!$G265),"")</f>
        <v/>
      </c>
      <c r="P265" s="60">
        <f>IF(Database!AI265="","(n/m or not derivable)",Database!AI265)</f>
        <v/>
      </c>
    </row>
    <row r="266">
      <c r="A266" s="4">
        <f>Database!A266&amp;"  "&amp;Database!B266</f>
        <v/>
      </c>
      <c r="B266" s="6">
        <f>IFERROR(INDEX(BDS(Database!$A266&amp;" HK Equity","EQUITY_OFFERINGS","array=t","endcol=1"),MATCH("IPO",BDS(Database!$A266&amp;" HK Equity","EQUITY_OFFERINGS","array=t","startcol=2","endcol=2"),0)),"")</f>
        <v/>
      </c>
      <c r="C266" s="64">
        <f>IF($B266="","",IFERROR(BDP($B266&amp;" Action","CP036"),""))</f>
        <v/>
      </c>
      <c r="D266" s="65">
        <f>Database!Q266</f>
        <v/>
      </c>
      <c r="E266" s="64">
        <f>IF($B266="","",IFERROR(BDP($B266&amp;" Action","CP037"),""))</f>
        <v/>
      </c>
      <c r="F266" s="65">
        <f>Database!R266</f>
        <v/>
      </c>
      <c r="G266" s="64">
        <f>IF($B266="","",IFERROR(BDP($B266&amp;" Action","GREENSHOE_FACILITY"),""))</f>
        <v/>
      </c>
      <c r="H266" s="64">
        <f>IF($B266="","",IFERROR(BDP($B266&amp;" Action","OFFERING_GREENSHOE_SHARES_EX"),""))</f>
        <v/>
      </c>
      <c r="I266" s="4">
        <f>Database!V266</f>
        <v/>
      </c>
      <c r="J266" s="21">
        <f>IFERROR(BDP(Database!$A266&amp;" HK Equity","PE_RATIO"),"")</f>
        <v/>
      </c>
      <c r="K266" s="6">
        <f>IFERROR(BDP(Database!$A266&amp;" HK Equity","A/H_SHARE_CONVERSION"),"")</f>
        <v/>
      </c>
      <c r="L266" s="4">
        <f>IF(Database!AL266="","(none found)",Database!AL266)</f>
        <v/>
      </c>
      <c r="M266" s="9">
        <f>IFERROR(BDH(Database!$A266&amp;" HK Equity","CUR_MKT_CAP",Database!$G266,Database!$G266)/1000000,"")</f>
        <v/>
      </c>
      <c r="N266" s="63">
        <f>Database!O266</f>
        <v/>
      </c>
      <c r="O266" s="21">
        <f>IFERROR(BDH(Database!$A266&amp;" HK Equity","PE_RATIO",Database!$G266,Database!$G266),"")</f>
        <v/>
      </c>
      <c r="P266" s="60">
        <f>IF(Database!AI266="","(n/m or not derivable)",Database!AI266)</f>
        <v/>
      </c>
    </row>
    <row r="267">
      <c r="A267" s="4">
        <f>Database!A267&amp;"  "&amp;Database!B267</f>
        <v/>
      </c>
      <c r="B267" s="6">
        <f>IFERROR(INDEX(BDS(Database!$A267&amp;" HK Equity","EQUITY_OFFERINGS","array=t","endcol=1"),MATCH("IPO",BDS(Database!$A267&amp;" HK Equity","EQUITY_OFFERINGS","array=t","startcol=2","endcol=2"),0)),"")</f>
        <v/>
      </c>
      <c r="C267" s="64">
        <f>IF($B267="","",IFERROR(BDP($B267&amp;" Action","CP036"),""))</f>
        <v/>
      </c>
      <c r="D267" s="65">
        <f>Database!Q267</f>
        <v/>
      </c>
      <c r="E267" s="64">
        <f>IF($B267="","",IFERROR(BDP($B267&amp;" Action","CP037"),""))</f>
        <v/>
      </c>
      <c r="F267" s="65">
        <f>Database!R267</f>
        <v/>
      </c>
      <c r="G267" s="64">
        <f>IF($B267="","",IFERROR(BDP($B267&amp;" Action","GREENSHOE_FACILITY"),""))</f>
        <v/>
      </c>
      <c r="H267" s="64">
        <f>IF($B267="","",IFERROR(BDP($B267&amp;" Action","OFFERING_GREENSHOE_SHARES_EX"),""))</f>
        <v/>
      </c>
      <c r="I267" s="4">
        <f>Database!V267</f>
        <v/>
      </c>
      <c r="J267" s="21">
        <f>IFERROR(BDP(Database!$A267&amp;" HK Equity","PE_RATIO"),"")</f>
        <v/>
      </c>
      <c r="K267" s="6">
        <f>IFERROR(BDP(Database!$A267&amp;" HK Equity","A/H_SHARE_CONVERSION"),"")</f>
        <v/>
      </c>
      <c r="L267" s="4">
        <f>IF(Database!AL267="","(none found)",Database!AL267)</f>
        <v/>
      </c>
      <c r="M267" s="9">
        <f>IFERROR(BDH(Database!$A267&amp;" HK Equity","CUR_MKT_CAP",Database!$G267,Database!$G267)/1000000,"")</f>
        <v/>
      </c>
      <c r="N267" s="63">
        <f>Database!O267</f>
        <v/>
      </c>
      <c r="O267" s="21">
        <f>IFERROR(BDH(Database!$A267&amp;" HK Equity","PE_RATIO",Database!$G267,Database!$G267),"")</f>
        <v/>
      </c>
      <c r="P267" s="60">
        <f>IF(Database!AI267="","(n/m or not derivable)",Database!AI267)</f>
        <v/>
      </c>
    </row>
    <row r="268">
      <c r="A268" s="4">
        <f>Database!A268&amp;"  "&amp;Database!B268</f>
        <v/>
      </c>
      <c r="B268" s="6">
        <f>IFERROR(INDEX(BDS(Database!$A268&amp;" HK Equity","EQUITY_OFFERINGS","array=t","endcol=1"),MATCH("IPO",BDS(Database!$A268&amp;" HK Equity","EQUITY_OFFERINGS","array=t","startcol=2","endcol=2"),0)),"")</f>
        <v/>
      </c>
      <c r="C268" s="64">
        <f>IF($B268="","",IFERROR(BDP($B268&amp;" Action","CP036"),""))</f>
        <v/>
      </c>
      <c r="D268" s="65">
        <f>Database!Q268</f>
        <v/>
      </c>
      <c r="E268" s="64">
        <f>IF($B268="","",IFERROR(BDP($B268&amp;" Action","CP037"),""))</f>
        <v/>
      </c>
      <c r="F268" s="65">
        <f>Database!R268</f>
        <v/>
      </c>
      <c r="G268" s="64">
        <f>IF($B268="","",IFERROR(BDP($B268&amp;" Action","GREENSHOE_FACILITY"),""))</f>
        <v/>
      </c>
      <c r="H268" s="64">
        <f>IF($B268="","",IFERROR(BDP($B268&amp;" Action","OFFERING_GREENSHOE_SHARES_EX"),""))</f>
        <v/>
      </c>
      <c r="I268" s="4">
        <f>Database!V268</f>
        <v/>
      </c>
      <c r="J268" s="21">
        <f>IFERROR(BDP(Database!$A268&amp;" HK Equity","PE_RATIO"),"")</f>
        <v/>
      </c>
      <c r="K268" s="6">
        <f>IFERROR(BDP(Database!$A268&amp;" HK Equity","A/H_SHARE_CONVERSION"),"")</f>
        <v/>
      </c>
      <c r="L268" s="4">
        <f>IF(Database!AL268="","(none found)",Database!AL268)</f>
        <v/>
      </c>
      <c r="M268" s="9">
        <f>IFERROR(BDH(Database!$A268&amp;" HK Equity","CUR_MKT_CAP",Database!$G268,Database!$G268)/1000000,"")</f>
        <v/>
      </c>
      <c r="N268" s="63">
        <f>Database!O268</f>
        <v/>
      </c>
      <c r="O268" s="21">
        <f>IFERROR(BDH(Database!$A268&amp;" HK Equity","PE_RATIO",Database!$G268,Database!$G268),"")</f>
        <v/>
      </c>
      <c r="P268" s="60">
        <f>IF(Database!AI268="","(n/m or not derivable)",Database!AI268)</f>
        <v/>
      </c>
    </row>
    <row r="269">
      <c r="A269" s="4">
        <f>Database!A269&amp;"  "&amp;Database!B269</f>
        <v/>
      </c>
      <c r="B269" s="6">
        <f>IFERROR(INDEX(BDS(Database!$A269&amp;" HK Equity","EQUITY_OFFERINGS","array=t","endcol=1"),MATCH("IPO",BDS(Database!$A269&amp;" HK Equity","EQUITY_OFFERINGS","array=t","startcol=2","endcol=2"),0)),"")</f>
        <v/>
      </c>
      <c r="C269" s="64">
        <f>IF($B269="","",IFERROR(BDP($B269&amp;" Action","CP036"),""))</f>
        <v/>
      </c>
      <c r="D269" s="65">
        <f>Database!Q269</f>
        <v/>
      </c>
      <c r="E269" s="64">
        <f>IF($B269="","",IFERROR(BDP($B269&amp;" Action","CP037"),""))</f>
        <v/>
      </c>
      <c r="F269" s="65">
        <f>Database!R269</f>
        <v/>
      </c>
      <c r="G269" s="64">
        <f>IF($B269="","",IFERROR(BDP($B269&amp;" Action","GREENSHOE_FACILITY"),""))</f>
        <v/>
      </c>
      <c r="H269" s="64">
        <f>IF($B269="","",IFERROR(BDP($B269&amp;" Action","OFFERING_GREENSHOE_SHARES_EX"),""))</f>
        <v/>
      </c>
      <c r="I269" s="4">
        <f>Database!V269</f>
        <v/>
      </c>
      <c r="J269" s="21">
        <f>IFERROR(BDP(Database!$A269&amp;" HK Equity","PE_RATIO"),"")</f>
        <v/>
      </c>
      <c r="K269" s="6">
        <f>IFERROR(BDP(Database!$A269&amp;" HK Equity","A/H_SHARE_CONVERSION"),"")</f>
        <v/>
      </c>
      <c r="L269" s="4">
        <f>IF(Database!AL269="","(none found)",Database!AL269)</f>
        <v/>
      </c>
      <c r="M269" s="9">
        <f>IFERROR(BDH(Database!$A269&amp;" HK Equity","CUR_MKT_CAP",Database!$G269,Database!$G269)/1000000,"")</f>
        <v/>
      </c>
      <c r="N269" s="63">
        <f>Database!O269</f>
        <v/>
      </c>
      <c r="O269" s="21">
        <f>IFERROR(BDH(Database!$A269&amp;" HK Equity","PE_RATIO",Database!$G269,Database!$G269),"")</f>
        <v/>
      </c>
      <c r="P269" s="60">
        <f>IF(Database!AI269="","(n/m or not derivable)",Database!AI269)</f>
        <v/>
      </c>
    </row>
    <row r="270">
      <c r="A270" s="4">
        <f>Database!A270&amp;"  "&amp;Database!B270</f>
        <v/>
      </c>
      <c r="B270" s="6">
        <f>IFERROR(INDEX(BDS(Database!$A270&amp;" HK Equity","EQUITY_OFFERINGS","array=t","endcol=1"),MATCH("IPO",BDS(Database!$A270&amp;" HK Equity","EQUITY_OFFERINGS","array=t","startcol=2","endcol=2"),0)),"")</f>
        <v/>
      </c>
      <c r="C270" s="64">
        <f>IF($B270="","",IFERROR(BDP($B270&amp;" Action","CP036"),""))</f>
        <v/>
      </c>
      <c r="D270" s="65">
        <f>Database!Q270</f>
        <v/>
      </c>
      <c r="E270" s="64">
        <f>IF($B270="","",IFERROR(BDP($B270&amp;" Action","CP037"),""))</f>
        <v/>
      </c>
      <c r="F270" s="65">
        <f>Database!R270</f>
        <v/>
      </c>
      <c r="G270" s="64">
        <f>IF($B270="","",IFERROR(BDP($B270&amp;" Action","GREENSHOE_FACILITY"),""))</f>
        <v/>
      </c>
      <c r="H270" s="64">
        <f>IF($B270="","",IFERROR(BDP($B270&amp;" Action","OFFERING_GREENSHOE_SHARES_EX"),""))</f>
        <v/>
      </c>
      <c r="I270" s="4">
        <f>Database!V270</f>
        <v/>
      </c>
      <c r="J270" s="21">
        <f>IFERROR(BDP(Database!$A270&amp;" HK Equity","PE_RATIO"),"")</f>
        <v/>
      </c>
      <c r="K270" s="6">
        <f>IFERROR(BDP(Database!$A270&amp;" HK Equity","A/H_SHARE_CONVERSION"),"")</f>
        <v/>
      </c>
      <c r="L270" s="4">
        <f>IF(Database!AL270="","(none found)",Database!AL270)</f>
        <v/>
      </c>
      <c r="M270" s="9">
        <f>IFERROR(BDH(Database!$A270&amp;" HK Equity","CUR_MKT_CAP",Database!$G270,Database!$G270)/1000000,"")</f>
        <v/>
      </c>
      <c r="N270" s="63">
        <f>Database!O270</f>
        <v/>
      </c>
      <c r="O270" s="21">
        <f>IFERROR(BDH(Database!$A270&amp;" HK Equity","PE_RATIO",Database!$G270,Database!$G270),"")</f>
        <v/>
      </c>
      <c r="P270" s="60">
        <f>IF(Database!AI270="","(n/m or not derivable)",Database!AI270)</f>
        <v/>
      </c>
    </row>
    <row r="271">
      <c r="A271" s="4">
        <f>Database!A271&amp;"  "&amp;Database!B271</f>
        <v/>
      </c>
      <c r="B271" s="6">
        <f>IFERROR(INDEX(BDS(Database!$A271&amp;" HK Equity","EQUITY_OFFERINGS","array=t","endcol=1"),MATCH("IPO",BDS(Database!$A271&amp;" HK Equity","EQUITY_OFFERINGS","array=t","startcol=2","endcol=2"),0)),"")</f>
        <v/>
      </c>
      <c r="C271" s="64">
        <f>IF($B271="","",IFERROR(BDP($B271&amp;" Action","CP036"),""))</f>
        <v/>
      </c>
      <c r="D271" s="65">
        <f>Database!Q271</f>
        <v/>
      </c>
      <c r="E271" s="64">
        <f>IF($B271="","",IFERROR(BDP($B271&amp;" Action","CP037"),""))</f>
        <v/>
      </c>
      <c r="F271" s="65">
        <f>Database!R271</f>
        <v/>
      </c>
      <c r="G271" s="64">
        <f>IF($B271="","",IFERROR(BDP($B271&amp;" Action","GREENSHOE_FACILITY"),""))</f>
        <v/>
      </c>
      <c r="H271" s="64">
        <f>IF($B271="","",IFERROR(BDP($B271&amp;" Action","OFFERING_GREENSHOE_SHARES_EX"),""))</f>
        <v/>
      </c>
      <c r="I271" s="4">
        <f>Database!V271</f>
        <v/>
      </c>
      <c r="J271" s="21">
        <f>IFERROR(BDP(Database!$A271&amp;" HK Equity","PE_RATIO"),"")</f>
        <v/>
      </c>
      <c r="K271" s="6">
        <f>IFERROR(BDP(Database!$A271&amp;" HK Equity","A/H_SHARE_CONVERSION"),"")</f>
        <v/>
      </c>
      <c r="L271" s="4">
        <f>IF(Database!AL271="","(none found)",Database!AL271)</f>
        <v/>
      </c>
      <c r="M271" s="9">
        <f>IFERROR(BDH(Database!$A271&amp;" HK Equity","CUR_MKT_CAP",Database!$G271,Database!$G271)/1000000,"")</f>
        <v/>
      </c>
      <c r="N271" s="63">
        <f>Database!O271</f>
        <v/>
      </c>
      <c r="O271" s="21">
        <f>IFERROR(BDH(Database!$A271&amp;" HK Equity","PE_RATIO",Database!$G271,Database!$G271),"")</f>
        <v/>
      </c>
      <c r="P271" s="60">
        <f>IF(Database!AI271="","(n/m or not derivable)",Database!AI271)</f>
        <v/>
      </c>
    </row>
    <row r="272">
      <c r="A272" s="4">
        <f>Database!A272&amp;"  "&amp;Database!B272</f>
        <v/>
      </c>
      <c r="B272" s="6">
        <f>IFERROR(INDEX(BDS(Database!$A272&amp;" HK Equity","EQUITY_OFFERINGS","array=t","endcol=1"),MATCH("IPO",BDS(Database!$A272&amp;" HK Equity","EQUITY_OFFERINGS","array=t","startcol=2","endcol=2"),0)),"")</f>
        <v/>
      </c>
      <c r="C272" s="64">
        <f>IF($B272="","",IFERROR(BDP($B272&amp;" Action","CP036"),""))</f>
        <v/>
      </c>
      <c r="D272" s="65">
        <f>Database!Q272</f>
        <v/>
      </c>
      <c r="E272" s="64">
        <f>IF($B272="","",IFERROR(BDP($B272&amp;" Action","CP037"),""))</f>
        <v/>
      </c>
      <c r="F272" s="65">
        <f>Database!R272</f>
        <v/>
      </c>
      <c r="G272" s="64">
        <f>IF($B272="","",IFERROR(BDP($B272&amp;" Action","GREENSHOE_FACILITY"),""))</f>
        <v/>
      </c>
      <c r="H272" s="64">
        <f>IF($B272="","",IFERROR(BDP($B272&amp;" Action","OFFERING_GREENSHOE_SHARES_EX"),""))</f>
        <v/>
      </c>
      <c r="I272" s="4">
        <f>Database!V272</f>
        <v/>
      </c>
      <c r="J272" s="21">
        <f>IFERROR(BDP(Database!$A272&amp;" HK Equity","PE_RATIO"),"")</f>
        <v/>
      </c>
      <c r="K272" s="6">
        <f>IFERROR(BDP(Database!$A272&amp;" HK Equity","A/H_SHARE_CONVERSION"),"")</f>
        <v/>
      </c>
      <c r="L272" s="4">
        <f>IF(Database!AL272="","(none found)",Database!AL272)</f>
        <v/>
      </c>
      <c r="M272" s="9">
        <f>IFERROR(BDH(Database!$A272&amp;" HK Equity","CUR_MKT_CAP",Database!$G272,Database!$G272)/1000000,"")</f>
        <v/>
      </c>
      <c r="N272" s="63">
        <f>Database!O272</f>
        <v/>
      </c>
      <c r="O272" s="21">
        <f>IFERROR(BDH(Database!$A272&amp;" HK Equity","PE_RATIO",Database!$G272,Database!$G272),"")</f>
        <v/>
      </c>
      <c r="P272" s="60">
        <f>IF(Database!AI272="","(n/m or not derivable)",Database!AI272)</f>
        <v/>
      </c>
    </row>
    <row r="273">
      <c r="A273" s="4">
        <f>Database!A273&amp;"  "&amp;Database!B273</f>
        <v/>
      </c>
      <c r="B273" s="6">
        <f>IFERROR(INDEX(BDS(Database!$A273&amp;" HK Equity","EQUITY_OFFERINGS","array=t","endcol=1"),MATCH("IPO",BDS(Database!$A273&amp;" HK Equity","EQUITY_OFFERINGS","array=t","startcol=2","endcol=2"),0)),"")</f>
        <v/>
      </c>
      <c r="C273" s="64">
        <f>IF($B273="","",IFERROR(BDP($B273&amp;" Action","CP036"),""))</f>
        <v/>
      </c>
      <c r="D273" s="65">
        <f>Database!Q273</f>
        <v/>
      </c>
      <c r="E273" s="64">
        <f>IF($B273="","",IFERROR(BDP($B273&amp;" Action","CP037"),""))</f>
        <v/>
      </c>
      <c r="F273" s="65">
        <f>Database!R273</f>
        <v/>
      </c>
      <c r="G273" s="64">
        <f>IF($B273="","",IFERROR(BDP($B273&amp;" Action","GREENSHOE_FACILITY"),""))</f>
        <v/>
      </c>
      <c r="H273" s="64">
        <f>IF($B273="","",IFERROR(BDP($B273&amp;" Action","OFFERING_GREENSHOE_SHARES_EX"),""))</f>
        <v/>
      </c>
      <c r="I273" s="4">
        <f>Database!V273</f>
        <v/>
      </c>
      <c r="J273" s="21">
        <f>IFERROR(BDP(Database!$A273&amp;" HK Equity","PE_RATIO"),"")</f>
        <v/>
      </c>
      <c r="K273" s="6">
        <f>IFERROR(BDP(Database!$A273&amp;" HK Equity","A/H_SHARE_CONVERSION"),"")</f>
        <v/>
      </c>
      <c r="L273" s="4">
        <f>IF(Database!AL273="","(none found)",Database!AL273)</f>
        <v/>
      </c>
      <c r="M273" s="9">
        <f>IFERROR(BDH(Database!$A273&amp;" HK Equity","CUR_MKT_CAP",Database!$G273,Database!$G273)/1000000,"")</f>
        <v/>
      </c>
      <c r="N273" s="63">
        <f>Database!O273</f>
        <v/>
      </c>
      <c r="O273" s="21">
        <f>IFERROR(BDH(Database!$A273&amp;" HK Equity","PE_RATIO",Database!$G273,Database!$G273),"")</f>
        <v/>
      </c>
      <c r="P273" s="60">
        <f>IF(Database!AI273="","(n/m or not derivable)",Database!AI273)</f>
        <v/>
      </c>
    </row>
    <row r="274">
      <c r="A274" s="4">
        <f>Database!A274&amp;"  "&amp;Database!B274</f>
        <v/>
      </c>
      <c r="B274" s="6">
        <f>IFERROR(INDEX(BDS(Database!$A274&amp;" HK Equity","EQUITY_OFFERINGS","array=t","endcol=1"),MATCH("IPO",BDS(Database!$A274&amp;" HK Equity","EQUITY_OFFERINGS","array=t","startcol=2","endcol=2"),0)),"")</f>
        <v/>
      </c>
      <c r="C274" s="64">
        <f>IF($B274="","",IFERROR(BDP($B274&amp;" Action","CP036"),""))</f>
        <v/>
      </c>
      <c r="D274" s="65">
        <f>Database!Q274</f>
        <v/>
      </c>
      <c r="E274" s="64">
        <f>IF($B274="","",IFERROR(BDP($B274&amp;" Action","CP037"),""))</f>
        <v/>
      </c>
      <c r="F274" s="65">
        <f>Database!R274</f>
        <v/>
      </c>
      <c r="G274" s="64">
        <f>IF($B274="","",IFERROR(BDP($B274&amp;" Action","GREENSHOE_FACILITY"),""))</f>
        <v/>
      </c>
      <c r="H274" s="64">
        <f>IF($B274="","",IFERROR(BDP($B274&amp;" Action","OFFERING_GREENSHOE_SHARES_EX"),""))</f>
        <v/>
      </c>
      <c r="I274" s="4">
        <f>Database!V274</f>
        <v/>
      </c>
      <c r="J274" s="21">
        <f>IFERROR(BDP(Database!$A274&amp;" HK Equity","PE_RATIO"),"")</f>
        <v/>
      </c>
      <c r="K274" s="6">
        <f>IFERROR(BDP(Database!$A274&amp;" HK Equity","A/H_SHARE_CONVERSION"),"")</f>
        <v/>
      </c>
      <c r="L274" s="4">
        <f>IF(Database!AL274="","(none found)",Database!AL274)</f>
        <v/>
      </c>
      <c r="M274" s="9">
        <f>IFERROR(BDH(Database!$A274&amp;" HK Equity","CUR_MKT_CAP",Database!$G274,Database!$G274)/1000000,"")</f>
        <v/>
      </c>
      <c r="N274" s="63">
        <f>Database!O274</f>
        <v/>
      </c>
      <c r="O274" s="21">
        <f>IFERROR(BDH(Database!$A274&amp;" HK Equity","PE_RATIO",Database!$G274,Database!$G274),"")</f>
        <v/>
      </c>
      <c r="P274" s="60">
        <f>IF(Database!AI274="","(n/m or not derivable)",Database!AI274)</f>
        <v/>
      </c>
    </row>
    <row r="275">
      <c r="A275" s="4">
        <f>Database!A275&amp;"  "&amp;Database!B275</f>
        <v/>
      </c>
      <c r="B275" s="6">
        <f>IFERROR(INDEX(BDS(Database!$A275&amp;" HK Equity","EQUITY_OFFERINGS","array=t","endcol=1"),MATCH("IPO",BDS(Database!$A275&amp;" HK Equity","EQUITY_OFFERINGS","array=t","startcol=2","endcol=2"),0)),"")</f>
        <v/>
      </c>
      <c r="C275" s="64">
        <f>IF($B275="","",IFERROR(BDP($B275&amp;" Action","CP036"),""))</f>
        <v/>
      </c>
      <c r="D275" s="65">
        <f>Database!Q275</f>
        <v/>
      </c>
      <c r="E275" s="64">
        <f>IF($B275="","",IFERROR(BDP($B275&amp;" Action","CP037"),""))</f>
        <v/>
      </c>
      <c r="F275" s="65">
        <f>Database!R275</f>
        <v/>
      </c>
      <c r="G275" s="64">
        <f>IF($B275="","",IFERROR(BDP($B275&amp;" Action","GREENSHOE_FACILITY"),""))</f>
        <v/>
      </c>
      <c r="H275" s="64">
        <f>IF($B275="","",IFERROR(BDP($B275&amp;" Action","OFFERING_GREENSHOE_SHARES_EX"),""))</f>
        <v/>
      </c>
      <c r="I275" s="4">
        <f>Database!V275</f>
        <v/>
      </c>
      <c r="J275" s="21">
        <f>IFERROR(BDP(Database!$A275&amp;" HK Equity","PE_RATIO"),"")</f>
        <v/>
      </c>
      <c r="K275" s="6">
        <f>IFERROR(BDP(Database!$A275&amp;" HK Equity","A/H_SHARE_CONVERSION"),"")</f>
        <v/>
      </c>
      <c r="L275" s="4">
        <f>IF(Database!AL275="","(none found)",Database!AL275)</f>
        <v/>
      </c>
      <c r="M275" s="9">
        <f>IFERROR(BDH(Database!$A275&amp;" HK Equity","CUR_MKT_CAP",Database!$G275,Database!$G275)/1000000,"")</f>
        <v/>
      </c>
      <c r="N275" s="63">
        <f>Database!O275</f>
        <v/>
      </c>
      <c r="O275" s="21">
        <f>IFERROR(BDH(Database!$A275&amp;" HK Equity","PE_RATIO",Database!$G275,Database!$G275),"")</f>
        <v/>
      </c>
      <c r="P275" s="60">
        <f>IF(Database!AI275="","(n/m or not derivable)",Database!AI275)</f>
        <v/>
      </c>
    </row>
    <row r="276">
      <c r="A276" s="4">
        <f>Database!A276&amp;"  "&amp;Database!B276</f>
        <v/>
      </c>
      <c r="B276" s="6">
        <f>IFERROR(INDEX(BDS(Database!$A276&amp;" HK Equity","EQUITY_OFFERINGS","array=t","endcol=1"),MATCH("IPO",BDS(Database!$A276&amp;" HK Equity","EQUITY_OFFERINGS","array=t","startcol=2","endcol=2"),0)),"")</f>
        <v/>
      </c>
      <c r="C276" s="64">
        <f>IF($B276="","",IFERROR(BDP($B276&amp;" Action","CP036"),""))</f>
        <v/>
      </c>
      <c r="D276" s="65">
        <f>Database!Q276</f>
        <v/>
      </c>
      <c r="E276" s="64">
        <f>IF($B276="","",IFERROR(BDP($B276&amp;" Action","CP037"),""))</f>
        <v/>
      </c>
      <c r="F276" s="65">
        <f>Database!R276</f>
        <v/>
      </c>
      <c r="G276" s="64">
        <f>IF($B276="","",IFERROR(BDP($B276&amp;" Action","GREENSHOE_FACILITY"),""))</f>
        <v/>
      </c>
      <c r="H276" s="64">
        <f>IF($B276="","",IFERROR(BDP($B276&amp;" Action","OFFERING_GREENSHOE_SHARES_EX"),""))</f>
        <v/>
      </c>
      <c r="I276" s="4">
        <f>Database!V276</f>
        <v/>
      </c>
      <c r="J276" s="21">
        <f>IFERROR(BDP(Database!$A276&amp;" HK Equity","PE_RATIO"),"")</f>
        <v/>
      </c>
      <c r="K276" s="6">
        <f>IFERROR(BDP(Database!$A276&amp;" HK Equity","A/H_SHARE_CONVERSION"),"")</f>
        <v/>
      </c>
      <c r="L276" s="4">
        <f>IF(Database!AL276="","(none found)",Database!AL276)</f>
        <v/>
      </c>
      <c r="M276" s="9">
        <f>IFERROR(BDH(Database!$A276&amp;" HK Equity","CUR_MKT_CAP",Database!$G276,Database!$G276)/1000000,"")</f>
        <v/>
      </c>
      <c r="N276" s="63">
        <f>Database!O276</f>
        <v/>
      </c>
      <c r="O276" s="21">
        <f>IFERROR(BDH(Database!$A276&amp;" HK Equity","PE_RATIO",Database!$G276,Database!$G276),"")</f>
        <v/>
      </c>
      <c r="P276" s="60">
        <f>IF(Database!AI276="","(n/m or not derivable)",Database!AI276)</f>
        <v/>
      </c>
    </row>
    <row r="277">
      <c r="A277" s="4">
        <f>Database!A277&amp;"  "&amp;Database!B277</f>
        <v/>
      </c>
      <c r="B277" s="6">
        <f>IFERROR(INDEX(BDS(Database!$A277&amp;" HK Equity","EQUITY_OFFERINGS","array=t","endcol=1"),MATCH("IPO",BDS(Database!$A277&amp;" HK Equity","EQUITY_OFFERINGS","array=t","startcol=2","endcol=2"),0)),"")</f>
        <v/>
      </c>
      <c r="C277" s="64">
        <f>IF($B277="","",IFERROR(BDP($B277&amp;" Action","CP036"),""))</f>
        <v/>
      </c>
      <c r="D277" s="65">
        <f>Database!Q277</f>
        <v/>
      </c>
      <c r="E277" s="64">
        <f>IF($B277="","",IFERROR(BDP($B277&amp;" Action","CP037"),""))</f>
        <v/>
      </c>
      <c r="F277" s="65">
        <f>Database!R277</f>
        <v/>
      </c>
      <c r="G277" s="64">
        <f>IF($B277="","",IFERROR(BDP($B277&amp;" Action","GREENSHOE_FACILITY"),""))</f>
        <v/>
      </c>
      <c r="H277" s="64">
        <f>IF($B277="","",IFERROR(BDP($B277&amp;" Action","OFFERING_GREENSHOE_SHARES_EX"),""))</f>
        <v/>
      </c>
      <c r="I277" s="4">
        <f>Database!V277</f>
        <v/>
      </c>
      <c r="J277" s="21">
        <f>IFERROR(BDP(Database!$A277&amp;" HK Equity","PE_RATIO"),"")</f>
        <v/>
      </c>
      <c r="K277" s="6">
        <f>IFERROR(BDP(Database!$A277&amp;" HK Equity","A/H_SHARE_CONVERSION"),"")</f>
        <v/>
      </c>
      <c r="L277" s="4">
        <f>IF(Database!AL277="","(none found)",Database!AL277)</f>
        <v/>
      </c>
      <c r="M277" s="9">
        <f>IFERROR(BDH(Database!$A277&amp;" HK Equity","CUR_MKT_CAP",Database!$G277,Database!$G277)/1000000,"")</f>
        <v/>
      </c>
      <c r="N277" s="63">
        <f>Database!O277</f>
        <v/>
      </c>
      <c r="O277" s="21">
        <f>IFERROR(BDH(Database!$A277&amp;" HK Equity","PE_RATIO",Database!$G277,Database!$G277),"")</f>
        <v/>
      </c>
      <c r="P277" s="60">
        <f>IF(Database!AI277="","(n/m or not derivable)",Database!AI277)</f>
        <v/>
      </c>
    </row>
    <row r="278">
      <c r="A278" s="4">
        <f>Database!A278&amp;"  "&amp;Database!B278</f>
        <v/>
      </c>
      <c r="B278" s="6">
        <f>IFERROR(INDEX(BDS(Database!$A278&amp;" HK Equity","EQUITY_OFFERINGS","array=t","endcol=1"),MATCH("IPO",BDS(Database!$A278&amp;" HK Equity","EQUITY_OFFERINGS","array=t","startcol=2","endcol=2"),0)),"")</f>
        <v/>
      </c>
      <c r="C278" s="64">
        <f>IF($B278="","",IFERROR(BDP($B278&amp;" Action","CP036"),""))</f>
        <v/>
      </c>
      <c r="D278" s="65">
        <f>Database!Q278</f>
        <v/>
      </c>
      <c r="E278" s="64">
        <f>IF($B278="","",IFERROR(BDP($B278&amp;" Action","CP037"),""))</f>
        <v/>
      </c>
      <c r="F278" s="65">
        <f>Database!R278</f>
        <v/>
      </c>
      <c r="G278" s="64">
        <f>IF($B278="","",IFERROR(BDP($B278&amp;" Action","GREENSHOE_FACILITY"),""))</f>
        <v/>
      </c>
      <c r="H278" s="64">
        <f>IF($B278="","",IFERROR(BDP($B278&amp;" Action","OFFERING_GREENSHOE_SHARES_EX"),""))</f>
        <v/>
      </c>
      <c r="I278" s="4">
        <f>Database!V278</f>
        <v/>
      </c>
      <c r="J278" s="21">
        <f>IFERROR(BDP(Database!$A278&amp;" HK Equity","PE_RATIO"),"")</f>
        <v/>
      </c>
      <c r="K278" s="6">
        <f>IFERROR(BDP(Database!$A278&amp;" HK Equity","A/H_SHARE_CONVERSION"),"")</f>
        <v/>
      </c>
      <c r="L278" s="4">
        <f>IF(Database!AL278="","(none found)",Database!AL278)</f>
        <v/>
      </c>
      <c r="M278" s="9">
        <f>IFERROR(BDH(Database!$A278&amp;" HK Equity","CUR_MKT_CAP",Database!$G278,Database!$G278)/1000000,"")</f>
        <v/>
      </c>
      <c r="N278" s="63">
        <f>Database!O278</f>
        <v/>
      </c>
      <c r="O278" s="21">
        <f>IFERROR(BDH(Database!$A278&amp;" HK Equity","PE_RATIO",Database!$G278,Database!$G278),"")</f>
        <v/>
      </c>
      <c r="P278" s="60">
        <f>IF(Database!AI278="","(n/m or not derivable)",Database!AI278)</f>
        <v/>
      </c>
    </row>
    <row r="279">
      <c r="A279" s="4">
        <f>Database!A279&amp;"  "&amp;Database!B279</f>
        <v/>
      </c>
      <c r="B279" s="6">
        <f>IFERROR(INDEX(BDS(Database!$A279&amp;" HK Equity","EQUITY_OFFERINGS","array=t","endcol=1"),MATCH("IPO",BDS(Database!$A279&amp;" HK Equity","EQUITY_OFFERINGS","array=t","startcol=2","endcol=2"),0)),"")</f>
        <v/>
      </c>
      <c r="C279" s="64">
        <f>IF($B279="","",IFERROR(BDP($B279&amp;" Action","CP036"),""))</f>
        <v/>
      </c>
      <c r="D279" s="65">
        <f>Database!Q279</f>
        <v/>
      </c>
      <c r="E279" s="64">
        <f>IF($B279="","",IFERROR(BDP($B279&amp;" Action","CP037"),""))</f>
        <v/>
      </c>
      <c r="F279" s="65">
        <f>Database!R279</f>
        <v/>
      </c>
      <c r="G279" s="64">
        <f>IF($B279="","",IFERROR(BDP($B279&amp;" Action","GREENSHOE_FACILITY"),""))</f>
        <v/>
      </c>
      <c r="H279" s="64">
        <f>IF($B279="","",IFERROR(BDP($B279&amp;" Action","OFFERING_GREENSHOE_SHARES_EX"),""))</f>
        <v/>
      </c>
      <c r="I279" s="4">
        <f>Database!V279</f>
        <v/>
      </c>
      <c r="J279" s="21">
        <f>IFERROR(BDP(Database!$A279&amp;" HK Equity","PE_RATIO"),"")</f>
        <v/>
      </c>
      <c r="K279" s="6">
        <f>IFERROR(BDP(Database!$A279&amp;" HK Equity","A/H_SHARE_CONVERSION"),"")</f>
        <v/>
      </c>
      <c r="L279" s="4">
        <f>IF(Database!AL279="","(none found)",Database!AL279)</f>
        <v/>
      </c>
      <c r="M279" s="9">
        <f>IFERROR(BDH(Database!$A279&amp;" HK Equity","CUR_MKT_CAP",Database!$G279,Database!$G279)/1000000,"")</f>
        <v/>
      </c>
      <c r="N279" s="63">
        <f>Database!O279</f>
        <v/>
      </c>
      <c r="O279" s="21">
        <f>IFERROR(BDH(Database!$A279&amp;" HK Equity","PE_RATIO",Database!$G279,Database!$G279),"")</f>
        <v/>
      </c>
      <c r="P279" s="60">
        <f>IF(Database!AI279="","(n/m or not derivable)",Database!AI279)</f>
        <v/>
      </c>
    </row>
    <row r="280">
      <c r="A280" s="4">
        <f>Database!A280&amp;"  "&amp;Database!B280</f>
        <v/>
      </c>
      <c r="B280" s="6">
        <f>IFERROR(INDEX(BDS(Database!$A280&amp;" HK Equity","EQUITY_OFFERINGS","array=t","endcol=1"),MATCH("IPO",BDS(Database!$A280&amp;" HK Equity","EQUITY_OFFERINGS","array=t","startcol=2","endcol=2"),0)),"")</f>
        <v/>
      </c>
      <c r="C280" s="64">
        <f>IF($B280="","",IFERROR(BDP($B280&amp;" Action","CP036"),""))</f>
        <v/>
      </c>
      <c r="D280" s="65">
        <f>Database!Q280</f>
        <v/>
      </c>
      <c r="E280" s="64">
        <f>IF($B280="","",IFERROR(BDP($B280&amp;" Action","CP037"),""))</f>
        <v/>
      </c>
      <c r="F280" s="65">
        <f>Database!R280</f>
        <v/>
      </c>
      <c r="G280" s="64">
        <f>IF($B280="","",IFERROR(BDP($B280&amp;" Action","GREENSHOE_FACILITY"),""))</f>
        <v/>
      </c>
      <c r="H280" s="64">
        <f>IF($B280="","",IFERROR(BDP($B280&amp;" Action","OFFERING_GREENSHOE_SHARES_EX"),""))</f>
        <v/>
      </c>
      <c r="I280" s="4">
        <f>Database!V280</f>
        <v/>
      </c>
      <c r="J280" s="21">
        <f>IFERROR(BDP(Database!$A280&amp;" HK Equity","PE_RATIO"),"")</f>
        <v/>
      </c>
      <c r="K280" s="6">
        <f>IFERROR(BDP(Database!$A280&amp;" HK Equity","A/H_SHARE_CONVERSION"),"")</f>
        <v/>
      </c>
      <c r="L280" s="4">
        <f>IF(Database!AL280="","(none found)",Database!AL280)</f>
        <v/>
      </c>
      <c r="M280" s="9">
        <f>IFERROR(BDH(Database!$A280&amp;" HK Equity","CUR_MKT_CAP",Database!$G280,Database!$G280)/1000000,"")</f>
        <v/>
      </c>
      <c r="N280" s="63">
        <f>Database!O280</f>
        <v/>
      </c>
      <c r="O280" s="21">
        <f>IFERROR(BDH(Database!$A280&amp;" HK Equity","PE_RATIO",Database!$G280,Database!$G280),"")</f>
        <v/>
      </c>
      <c r="P280" s="60">
        <f>IF(Database!AI280="","(n/m or not derivable)",Database!AI280)</f>
        <v/>
      </c>
    </row>
    <row r="281">
      <c r="A281" s="4">
        <f>Database!A281&amp;"  "&amp;Database!B281</f>
        <v/>
      </c>
      <c r="B281" s="6">
        <f>IFERROR(INDEX(BDS(Database!$A281&amp;" HK Equity","EQUITY_OFFERINGS","array=t","endcol=1"),MATCH("IPO",BDS(Database!$A281&amp;" HK Equity","EQUITY_OFFERINGS","array=t","startcol=2","endcol=2"),0)),"")</f>
        <v/>
      </c>
      <c r="C281" s="64">
        <f>IF($B281="","",IFERROR(BDP($B281&amp;" Action","CP036"),""))</f>
        <v/>
      </c>
      <c r="D281" s="65">
        <f>Database!Q281</f>
        <v/>
      </c>
      <c r="E281" s="64">
        <f>IF($B281="","",IFERROR(BDP($B281&amp;" Action","CP037"),""))</f>
        <v/>
      </c>
      <c r="F281" s="65">
        <f>Database!R281</f>
        <v/>
      </c>
      <c r="G281" s="64">
        <f>IF($B281="","",IFERROR(BDP($B281&amp;" Action","GREENSHOE_FACILITY"),""))</f>
        <v/>
      </c>
      <c r="H281" s="64">
        <f>IF($B281="","",IFERROR(BDP($B281&amp;" Action","OFFERING_GREENSHOE_SHARES_EX"),""))</f>
        <v/>
      </c>
      <c r="I281" s="4">
        <f>Database!V281</f>
        <v/>
      </c>
      <c r="J281" s="21">
        <f>IFERROR(BDP(Database!$A281&amp;" HK Equity","PE_RATIO"),"")</f>
        <v/>
      </c>
      <c r="K281" s="6">
        <f>IFERROR(BDP(Database!$A281&amp;" HK Equity","A/H_SHARE_CONVERSION"),"")</f>
        <v/>
      </c>
      <c r="L281" s="4">
        <f>IF(Database!AL281="","(none found)",Database!AL281)</f>
        <v/>
      </c>
      <c r="M281" s="9">
        <f>IFERROR(BDH(Database!$A281&amp;" HK Equity","CUR_MKT_CAP",Database!$G281,Database!$G281)/1000000,"")</f>
        <v/>
      </c>
      <c r="N281" s="63">
        <f>Database!O281</f>
        <v/>
      </c>
      <c r="O281" s="21">
        <f>IFERROR(BDH(Database!$A281&amp;" HK Equity","PE_RATIO",Database!$G281,Database!$G281),"")</f>
        <v/>
      </c>
      <c r="P281" s="60">
        <f>IF(Database!AI281="","(n/m or not derivable)",Database!AI281)</f>
        <v/>
      </c>
    </row>
    <row r="282">
      <c r="A282" s="4">
        <f>Database!A282&amp;"  "&amp;Database!B282</f>
        <v/>
      </c>
      <c r="B282" s="6">
        <f>IFERROR(INDEX(BDS(Database!$A282&amp;" HK Equity","EQUITY_OFFERINGS","array=t","endcol=1"),MATCH("IPO",BDS(Database!$A282&amp;" HK Equity","EQUITY_OFFERINGS","array=t","startcol=2","endcol=2"),0)),"")</f>
        <v/>
      </c>
      <c r="C282" s="64">
        <f>IF($B282="","",IFERROR(BDP($B282&amp;" Action","CP036"),""))</f>
        <v/>
      </c>
      <c r="D282" s="65">
        <f>Database!Q282</f>
        <v/>
      </c>
      <c r="E282" s="64">
        <f>IF($B282="","",IFERROR(BDP($B282&amp;" Action","CP037"),""))</f>
        <v/>
      </c>
      <c r="F282" s="65">
        <f>Database!R282</f>
        <v/>
      </c>
      <c r="G282" s="64">
        <f>IF($B282="","",IFERROR(BDP($B282&amp;" Action","GREENSHOE_FACILITY"),""))</f>
        <v/>
      </c>
      <c r="H282" s="64">
        <f>IF($B282="","",IFERROR(BDP($B282&amp;" Action","OFFERING_GREENSHOE_SHARES_EX"),""))</f>
        <v/>
      </c>
      <c r="I282" s="4">
        <f>Database!V282</f>
        <v/>
      </c>
      <c r="J282" s="21">
        <f>IFERROR(BDP(Database!$A282&amp;" HK Equity","PE_RATIO"),"")</f>
        <v/>
      </c>
      <c r="K282" s="6">
        <f>IFERROR(BDP(Database!$A282&amp;" HK Equity","A/H_SHARE_CONVERSION"),"")</f>
        <v/>
      </c>
      <c r="L282" s="4">
        <f>IF(Database!AL282="","(none found)",Database!AL282)</f>
        <v/>
      </c>
      <c r="M282" s="9">
        <f>IFERROR(BDH(Database!$A282&amp;" HK Equity","CUR_MKT_CAP",Database!$G282,Database!$G282)/1000000,"")</f>
        <v/>
      </c>
      <c r="N282" s="63">
        <f>Database!O282</f>
        <v/>
      </c>
      <c r="O282" s="21">
        <f>IFERROR(BDH(Database!$A282&amp;" HK Equity","PE_RATIO",Database!$G282,Database!$G282),"")</f>
        <v/>
      </c>
      <c r="P282" s="60">
        <f>IF(Database!AI282="","(n/m or not derivable)",Database!AI282)</f>
        <v/>
      </c>
    </row>
    <row r="283">
      <c r="A283" s="4">
        <f>Database!A283&amp;"  "&amp;Database!B283</f>
        <v/>
      </c>
      <c r="B283" s="6">
        <f>IFERROR(INDEX(BDS(Database!$A283&amp;" HK Equity","EQUITY_OFFERINGS","array=t","endcol=1"),MATCH("IPO",BDS(Database!$A283&amp;" HK Equity","EQUITY_OFFERINGS","array=t","startcol=2","endcol=2"),0)),"")</f>
        <v/>
      </c>
      <c r="C283" s="64">
        <f>IF($B283="","",IFERROR(BDP($B283&amp;" Action","CP036"),""))</f>
        <v/>
      </c>
      <c r="D283" s="65">
        <f>Database!Q283</f>
        <v/>
      </c>
      <c r="E283" s="64">
        <f>IF($B283="","",IFERROR(BDP($B283&amp;" Action","CP037"),""))</f>
        <v/>
      </c>
      <c r="F283" s="65">
        <f>Database!R283</f>
        <v/>
      </c>
      <c r="G283" s="64">
        <f>IF($B283="","",IFERROR(BDP($B283&amp;" Action","GREENSHOE_FACILITY"),""))</f>
        <v/>
      </c>
      <c r="H283" s="64">
        <f>IF($B283="","",IFERROR(BDP($B283&amp;" Action","OFFERING_GREENSHOE_SHARES_EX"),""))</f>
        <v/>
      </c>
      <c r="I283" s="4">
        <f>Database!V283</f>
        <v/>
      </c>
      <c r="J283" s="21">
        <f>IFERROR(BDP(Database!$A283&amp;" HK Equity","PE_RATIO"),"")</f>
        <v/>
      </c>
      <c r="K283" s="6">
        <f>IFERROR(BDP(Database!$A283&amp;" HK Equity","A/H_SHARE_CONVERSION"),"")</f>
        <v/>
      </c>
      <c r="L283" s="4">
        <f>IF(Database!AL283="","(none found)",Database!AL283)</f>
        <v/>
      </c>
      <c r="M283" s="9">
        <f>IFERROR(BDH(Database!$A283&amp;" HK Equity","CUR_MKT_CAP",Database!$G283,Database!$G283)/1000000,"")</f>
        <v/>
      </c>
      <c r="N283" s="63">
        <f>Database!O283</f>
        <v/>
      </c>
      <c r="O283" s="21">
        <f>IFERROR(BDH(Database!$A283&amp;" HK Equity","PE_RATIO",Database!$G283,Database!$G283),"")</f>
        <v/>
      </c>
      <c r="P283" s="60">
        <f>IF(Database!AI283="","(n/m or not derivable)",Database!AI283)</f>
        <v/>
      </c>
    </row>
    <row r="284">
      <c r="A284" s="4">
        <f>Database!A284&amp;"  "&amp;Database!B284</f>
        <v/>
      </c>
      <c r="B284" s="6">
        <f>IFERROR(INDEX(BDS(Database!$A284&amp;" HK Equity","EQUITY_OFFERINGS","array=t","endcol=1"),MATCH("IPO",BDS(Database!$A284&amp;" HK Equity","EQUITY_OFFERINGS","array=t","startcol=2","endcol=2"),0)),"")</f>
        <v/>
      </c>
      <c r="C284" s="64">
        <f>IF($B284="","",IFERROR(BDP($B284&amp;" Action","CP036"),""))</f>
        <v/>
      </c>
      <c r="D284" s="65">
        <f>Database!Q284</f>
        <v/>
      </c>
      <c r="E284" s="64">
        <f>IF($B284="","",IFERROR(BDP($B284&amp;" Action","CP037"),""))</f>
        <v/>
      </c>
      <c r="F284" s="65">
        <f>Database!R284</f>
        <v/>
      </c>
      <c r="G284" s="64">
        <f>IF($B284="","",IFERROR(BDP($B284&amp;" Action","GREENSHOE_FACILITY"),""))</f>
        <v/>
      </c>
      <c r="H284" s="64">
        <f>IF($B284="","",IFERROR(BDP($B284&amp;" Action","OFFERING_GREENSHOE_SHARES_EX"),""))</f>
        <v/>
      </c>
      <c r="I284" s="4">
        <f>Database!V284</f>
        <v/>
      </c>
      <c r="J284" s="21">
        <f>IFERROR(BDP(Database!$A284&amp;" HK Equity","PE_RATIO"),"")</f>
        <v/>
      </c>
      <c r="K284" s="6">
        <f>IFERROR(BDP(Database!$A284&amp;" HK Equity","A/H_SHARE_CONVERSION"),"")</f>
        <v/>
      </c>
      <c r="L284" s="4">
        <f>IF(Database!AL284="","(none found)",Database!AL284)</f>
        <v/>
      </c>
      <c r="M284" s="9">
        <f>IFERROR(BDH(Database!$A284&amp;" HK Equity","CUR_MKT_CAP",Database!$G284,Database!$G284)/1000000,"")</f>
        <v/>
      </c>
      <c r="N284" s="63">
        <f>Database!O284</f>
        <v/>
      </c>
      <c r="O284" s="21">
        <f>IFERROR(BDH(Database!$A284&amp;" HK Equity","PE_RATIO",Database!$G284,Database!$G284),"")</f>
        <v/>
      </c>
      <c r="P284" s="60">
        <f>IF(Database!AI284="","(n/m or not derivable)",Database!AI284)</f>
        <v/>
      </c>
    </row>
    <row r="285">
      <c r="A285" s="4">
        <f>Database!A285&amp;"  "&amp;Database!B285</f>
        <v/>
      </c>
      <c r="B285" s="6">
        <f>IFERROR(INDEX(BDS(Database!$A285&amp;" HK Equity","EQUITY_OFFERINGS","array=t","endcol=1"),MATCH("IPO",BDS(Database!$A285&amp;" HK Equity","EQUITY_OFFERINGS","array=t","startcol=2","endcol=2"),0)),"")</f>
        <v/>
      </c>
      <c r="C285" s="64">
        <f>IF($B285="","",IFERROR(BDP($B285&amp;" Action","CP036"),""))</f>
        <v/>
      </c>
      <c r="D285" s="65">
        <f>Database!Q285</f>
        <v/>
      </c>
      <c r="E285" s="64">
        <f>IF($B285="","",IFERROR(BDP($B285&amp;" Action","CP037"),""))</f>
        <v/>
      </c>
      <c r="F285" s="65">
        <f>Database!R285</f>
        <v/>
      </c>
      <c r="G285" s="64">
        <f>IF($B285="","",IFERROR(BDP($B285&amp;" Action","GREENSHOE_FACILITY"),""))</f>
        <v/>
      </c>
      <c r="H285" s="64">
        <f>IF($B285="","",IFERROR(BDP($B285&amp;" Action","OFFERING_GREENSHOE_SHARES_EX"),""))</f>
        <v/>
      </c>
      <c r="I285" s="4">
        <f>Database!V285</f>
        <v/>
      </c>
      <c r="J285" s="21">
        <f>IFERROR(BDP(Database!$A285&amp;" HK Equity","PE_RATIO"),"")</f>
        <v/>
      </c>
      <c r="K285" s="6">
        <f>IFERROR(BDP(Database!$A285&amp;" HK Equity","A/H_SHARE_CONVERSION"),"")</f>
        <v/>
      </c>
      <c r="L285" s="4">
        <f>IF(Database!AL285="","(none found)",Database!AL285)</f>
        <v/>
      </c>
      <c r="M285" s="9">
        <f>IFERROR(BDH(Database!$A285&amp;" HK Equity","CUR_MKT_CAP",Database!$G285,Database!$G285)/1000000,"")</f>
        <v/>
      </c>
      <c r="N285" s="63">
        <f>Database!O285</f>
        <v/>
      </c>
      <c r="O285" s="21">
        <f>IFERROR(BDH(Database!$A285&amp;" HK Equity","PE_RATIO",Database!$G285,Database!$G285),"")</f>
        <v/>
      </c>
      <c r="P285" s="60">
        <f>IF(Database!AI285="","(n/m or not derivable)",Database!AI285)</f>
        <v/>
      </c>
    </row>
    <row r="286">
      <c r="A286" s="4">
        <f>Database!A286&amp;"  "&amp;Database!B286</f>
        <v/>
      </c>
      <c r="B286" s="6">
        <f>IFERROR(INDEX(BDS(Database!$A286&amp;" HK Equity","EQUITY_OFFERINGS","array=t","endcol=1"),MATCH("IPO",BDS(Database!$A286&amp;" HK Equity","EQUITY_OFFERINGS","array=t","startcol=2","endcol=2"),0)),"")</f>
        <v/>
      </c>
      <c r="C286" s="64">
        <f>IF($B286="","",IFERROR(BDP($B286&amp;" Action","CP036"),""))</f>
        <v/>
      </c>
      <c r="D286" s="65">
        <f>Database!Q286</f>
        <v/>
      </c>
      <c r="E286" s="64">
        <f>IF($B286="","",IFERROR(BDP($B286&amp;" Action","CP037"),""))</f>
        <v/>
      </c>
      <c r="F286" s="65">
        <f>Database!R286</f>
        <v/>
      </c>
      <c r="G286" s="64">
        <f>IF($B286="","",IFERROR(BDP($B286&amp;" Action","GREENSHOE_FACILITY"),""))</f>
        <v/>
      </c>
      <c r="H286" s="64">
        <f>IF($B286="","",IFERROR(BDP($B286&amp;" Action","OFFERING_GREENSHOE_SHARES_EX"),""))</f>
        <v/>
      </c>
      <c r="I286" s="4">
        <f>Database!V286</f>
        <v/>
      </c>
      <c r="J286" s="21">
        <f>IFERROR(BDP(Database!$A286&amp;" HK Equity","PE_RATIO"),"")</f>
        <v/>
      </c>
      <c r="K286" s="6">
        <f>IFERROR(BDP(Database!$A286&amp;" HK Equity","A/H_SHARE_CONVERSION"),"")</f>
        <v/>
      </c>
      <c r="L286" s="4">
        <f>IF(Database!AL286="","(none found)",Database!AL286)</f>
        <v/>
      </c>
      <c r="M286" s="9">
        <f>IFERROR(BDH(Database!$A286&amp;" HK Equity","CUR_MKT_CAP",Database!$G286,Database!$G286)/1000000,"")</f>
        <v/>
      </c>
      <c r="N286" s="63">
        <f>Database!O286</f>
        <v/>
      </c>
      <c r="O286" s="21">
        <f>IFERROR(BDH(Database!$A286&amp;" HK Equity","PE_RATIO",Database!$G286,Database!$G286),"")</f>
        <v/>
      </c>
      <c r="P286" s="60">
        <f>IF(Database!AI286="","(n/m or not derivable)",Database!AI286)</f>
        <v/>
      </c>
    </row>
    <row r="287">
      <c r="A287" s="4">
        <f>Database!A287&amp;"  "&amp;Database!B287</f>
        <v/>
      </c>
      <c r="B287" s="6">
        <f>IFERROR(INDEX(BDS(Database!$A287&amp;" HK Equity","EQUITY_OFFERINGS","array=t","endcol=1"),MATCH("IPO",BDS(Database!$A287&amp;" HK Equity","EQUITY_OFFERINGS","array=t","startcol=2","endcol=2"),0)),"")</f>
        <v/>
      </c>
      <c r="C287" s="64">
        <f>IF($B287="","",IFERROR(BDP($B287&amp;" Action","CP036"),""))</f>
        <v/>
      </c>
      <c r="D287" s="65">
        <f>Database!Q287</f>
        <v/>
      </c>
      <c r="E287" s="64">
        <f>IF($B287="","",IFERROR(BDP($B287&amp;" Action","CP037"),""))</f>
        <v/>
      </c>
      <c r="F287" s="65">
        <f>Database!R287</f>
        <v/>
      </c>
      <c r="G287" s="64">
        <f>IF($B287="","",IFERROR(BDP($B287&amp;" Action","GREENSHOE_FACILITY"),""))</f>
        <v/>
      </c>
      <c r="H287" s="64">
        <f>IF($B287="","",IFERROR(BDP($B287&amp;" Action","OFFERING_GREENSHOE_SHARES_EX"),""))</f>
        <v/>
      </c>
      <c r="I287" s="4">
        <f>Database!V287</f>
        <v/>
      </c>
      <c r="J287" s="21">
        <f>IFERROR(BDP(Database!$A287&amp;" HK Equity","PE_RATIO"),"")</f>
        <v/>
      </c>
      <c r="K287" s="6">
        <f>IFERROR(BDP(Database!$A287&amp;" HK Equity","A/H_SHARE_CONVERSION"),"")</f>
        <v/>
      </c>
      <c r="L287" s="4">
        <f>IF(Database!AL287="","(none found)",Database!AL287)</f>
        <v/>
      </c>
      <c r="M287" s="9">
        <f>IFERROR(BDH(Database!$A287&amp;" HK Equity","CUR_MKT_CAP",Database!$G287,Database!$G287)/1000000,"")</f>
        <v/>
      </c>
      <c r="N287" s="63">
        <f>Database!O287</f>
        <v/>
      </c>
      <c r="O287" s="21">
        <f>IFERROR(BDH(Database!$A287&amp;" HK Equity","PE_RATIO",Database!$G287,Database!$G287),"")</f>
        <v/>
      </c>
      <c r="P287" s="60">
        <f>IF(Database!AI287="","(n/m or not derivable)",Database!AI287)</f>
        <v/>
      </c>
    </row>
    <row r="288">
      <c r="A288" s="4">
        <f>Database!A288&amp;"  "&amp;Database!B288</f>
        <v/>
      </c>
      <c r="B288" s="6">
        <f>IFERROR(INDEX(BDS(Database!$A288&amp;" HK Equity","EQUITY_OFFERINGS","array=t","endcol=1"),MATCH("IPO",BDS(Database!$A288&amp;" HK Equity","EQUITY_OFFERINGS","array=t","startcol=2","endcol=2"),0)),"")</f>
        <v/>
      </c>
      <c r="C288" s="64">
        <f>IF($B288="","",IFERROR(BDP($B288&amp;" Action","CP036"),""))</f>
        <v/>
      </c>
      <c r="D288" s="65">
        <f>Database!Q288</f>
        <v/>
      </c>
      <c r="E288" s="64">
        <f>IF($B288="","",IFERROR(BDP($B288&amp;" Action","CP037"),""))</f>
        <v/>
      </c>
      <c r="F288" s="65">
        <f>Database!R288</f>
        <v/>
      </c>
      <c r="G288" s="64">
        <f>IF($B288="","",IFERROR(BDP($B288&amp;" Action","GREENSHOE_FACILITY"),""))</f>
        <v/>
      </c>
      <c r="H288" s="64">
        <f>IF($B288="","",IFERROR(BDP($B288&amp;" Action","OFFERING_GREENSHOE_SHARES_EX"),""))</f>
        <v/>
      </c>
      <c r="I288" s="4">
        <f>Database!V288</f>
        <v/>
      </c>
      <c r="J288" s="21">
        <f>IFERROR(BDP(Database!$A288&amp;" HK Equity","PE_RATIO"),"")</f>
        <v/>
      </c>
      <c r="K288" s="6">
        <f>IFERROR(BDP(Database!$A288&amp;" HK Equity","A/H_SHARE_CONVERSION"),"")</f>
        <v/>
      </c>
      <c r="L288" s="4">
        <f>IF(Database!AL288="","(none found)",Database!AL288)</f>
        <v/>
      </c>
      <c r="M288" s="9">
        <f>IFERROR(BDH(Database!$A288&amp;" HK Equity","CUR_MKT_CAP",Database!$G288,Database!$G288)/1000000,"")</f>
        <v/>
      </c>
      <c r="N288" s="63">
        <f>Database!O288</f>
        <v/>
      </c>
      <c r="O288" s="21">
        <f>IFERROR(BDH(Database!$A288&amp;" HK Equity","PE_RATIO",Database!$G288,Database!$G288),"")</f>
        <v/>
      </c>
      <c r="P288" s="60">
        <f>IF(Database!AI288="","(n/m or not derivable)",Database!AI288)</f>
        <v/>
      </c>
    </row>
    <row r="289">
      <c r="A289" s="4">
        <f>Database!A289&amp;"  "&amp;Database!B289</f>
        <v/>
      </c>
      <c r="B289" s="6">
        <f>IFERROR(INDEX(BDS(Database!$A289&amp;" HK Equity","EQUITY_OFFERINGS","array=t","endcol=1"),MATCH("IPO",BDS(Database!$A289&amp;" HK Equity","EQUITY_OFFERINGS","array=t","startcol=2","endcol=2"),0)),"")</f>
        <v/>
      </c>
      <c r="C289" s="64">
        <f>IF($B289="","",IFERROR(BDP($B289&amp;" Action","CP036"),""))</f>
        <v/>
      </c>
      <c r="D289" s="65">
        <f>Database!Q289</f>
        <v/>
      </c>
      <c r="E289" s="64">
        <f>IF($B289="","",IFERROR(BDP($B289&amp;" Action","CP037"),""))</f>
        <v/>
      </c>
      <c r="F289" s="65">
        <f>Database!R289</f>
        <v/>
      </c>
      <c r="G289" s="64">
        <f>IF($B289="","",IFERROR(BDP($B289&amp;" Action","GREENSHOE_FACILITY"),""))</f>
        <v/>
      </c>
      <c r="H289" s="64">
        <f>IF($B289="","",IFERROR(BDP($B289&amp;" Action","OFFERING_GREENSHOE_SHARES_EX"),""))</f>
        <v/>
      </c>
      <c r="I289" s="4">
        <f>Database!V289</f>
        <v/>
      </c>
      <c r="J289" s="21">
        <f>IFERROR(BDP(Database!$A289&amp;" HK Equity","PE_RATIO"),"")</f>
        <v/>
      </c>
      <c r="K289" s="6">
        <f>IFERROR(BDP(Database!$A289&amp;" HK Equity","A/H_SHARE_CONVERSION"),"")</f>
        <v/>
      </c>
      <c r="L289" s="4">
        <f>IF(Database!AL289="","(none found)",Database!AL289)</f>
        <v/>
      </c>
      <c r="M289" s="9">
        <f>IFERROR(BDH(Database!$A289&amp;" HK Equity","CUR_MKT_CAP",Database!$G289,Database!$G289)/1000000,"")</f>
        <v/>
      </c>
      <c r="N289" s="63">
        <f>Database!O289</f>
        <v/>
      </c>
      <c r="O289" s="21">
        <f>IFERROR(BDH(Database!$A289&amp;" HK Equity","PE_RATIO",Database!$G289,Database!$G289),"")</f>
        <v/>
      </c>
      <c r="P289" s="60">
        <f>IF(Database!AI289="","(n/m or not derivable)",Database!AI289)</f>
        <v/>
      </c>
    </row>
    <row r="290">
      <c r="A290" s="4">
        <f>Database!A290&amp;"  "&amp;Database!B290</f>
        <v/>
      </c>
      <c r="B290" s="6">
        <f>IFERROR(INDEX(BDS(Database!$A290&amp;" HK Equity","EQUITY_OFFERINGS","array=t","endcol=1"),MATCH("IPO",BDS(Database!$A290&amp;" HK Equity","EQUITY_OFFERINGS","array=t","startcol=2","endcol=2"),0)),"")</f>
        <v/>
      </c>
      <c r="C290" s="64">
        <f>IF($B290="","",IFERROR(BDP($B290&amp;" Action","CP036"),""))</f>
        <v/>
      </c>
      <c r="D290" s="65">
        <f>Database!Q290</f>
        <v/>
      </c>
      <c r="E290" s="64">
        <f>IF($B290="","",IFERROR(BDP($B290&amp;" Action","CP037"),""))</f>
        <v/>
      </c>
      <c r="F290" s="65">
        <f>Database!R290</f>
        <v/>
      </c>
      <c r="G290" s="64">
        <f>IF($B290="","",IFERROR(BDP($B290&amp;" Action","GREENSHOE_FACILITY"),""))</f>
        <v/>
      </c>
      <c r="H290" s="64">
        <f>IF($B290="","",IFERROR(BDP($B290&amp;" Action","OFFERING_GREENSHOE_SHARES_EX"),""))</f>
        <v/>
      </c>
      <c r="I290" s="4">
        <f>Database!V290</f>
        <v/>
      </c>
      <c r="J290" s="21">
        <f>IFERROR(BDP(Database!$A290&amp;" HK Equity","PE_RATIO"),"")</f>
        <v/>
      </c>
      <c r="K290" s="6">
        <f>IFERROR(BDP(Database!$A290&amp;" HK Equity","A/H_SHARE_CONVERSION"),"")</f>
        <v/>
      </c>
      <c r="L290" s="4">
        <f>IF(Database!AL290="","(none found)",Database!AL290)</f>
        <v/>
      </c>
      <c r="M290" s="9">
        <f>IFERROR(BDH(Database!$A290&amp;" HK Equity","CUR_MKT_CAP",Database!$G290,Database!$G290)/1000000,"")</f>
        <v/>
      </c>
      <c r="N290" s="63">
        <f>Database!O290</f>
        <v/>
      </c>
      <c r="O290" s="21">
        <f>IFERROR(BDH(Database!$A290&amp;" HK Equity","PE_RATIO",Database!$G290,Database!$G290),"")</f>
        <v/>
      </c>
      <c r="P290" s="60">
        <f>IF(Database!AI290="","(n/m or not derivable)",Database!AI290)</f>
        <v/>
      </c>
    </row>
    <row r="291">
      <c r="A291" s="4">
        <f>Database!A291&amp;"  "&amp;Database!B291</f>
        <v/>
      </c>
      <c r="B291" s="6">
        <f>IFERROR(INDEX(BDS(Database!$A291&amp;" HK Equity","EQUITY_OFFERINGS","array=t","endcol=1"),MATCH("IPO",BDS(Database!$A291&amp;" HK Equity","EQUITY_OFFERINGS","array=t","startcol=2","endcol=2"),0)),"")</f>
        <v/>
      </c>
      <c r="C291" s="64">
        <f>IF($B291="","",IFERROR(BDP($B291&amp;" Action","CP036"),""))</f>
        <v/>
      </c>
      <c r="D291" s="65">
        <f>Database!Q291</f>
        <v/>
      </c>
      <c r="E291" s="64">
        <f>IF($B291="","",IFERROR(BDP($B291&amp;" Action","CP037"),""))</f>
        <v/>
      </c>
      <c r="F291" s="65">
        <f>Database!R291</f>
        <v/>
      </c>
      <c r="G291" s="64">
        <f>IF($B291="","",IFERROR(BDP($B291&amp;" Action","GREENSHOE_FACILITY"),""))</f>
        <v/>
      </c>
      <c r="H291" s="64">
        <f>IF($B291="","",IFERROR(BDP($B291&amp;" Action","OFFERING_GREENSHOE_SHARES_EX"),""))</f>
        <v/>
      </c>
      <c r="I291" s="4">
        <f>Database!V291</f>
        <v/>
      </c>
      <c r="J291" s="21">
        <f>IFERROR(BDP(Database!$A291&amp;" HK Equity","PE_RATIO"),"")</f>
        <v/>
      </c>
      <c r="K291" s="6">
        <f>IFERROR(BDP(Database!$A291&amp;" HK Equity","A/H_SHARE_CONVERSION"),"")</f>
        <v/>
      </c>
      <c r="L291" s="4">
        <f>IF(Database!AL291="","(none found)",Database!AL291)</f>
        <v/>
      </c>
      <c r="M291" s="9">
        <f>IFERROR(BDH(Database!$A291&amp;" HK Equity","CUR_MKT_CAP",Database!$G291,Database!$G291)/1000000,"")</f>
        <v/>
      </c>
      <c r="N291" s="63">
        <f>Database!O291</f>
        <v/>
      </c>
      <c r="O291" s="21">
        <f>IFERROR(BDH(Database!$A291&amp;" HK Equity","PE_RATIO",Database!$G291,Database!$G291),"")</f>
        <v/>
      </c>
      <c r="P291" s="60">
        <f>IF(Database!AI291="","(n/m or not derivable)",Database!AI291)</f>
        <v/>
      </c>
    </row>
    <row r="292">
      <c r="A292" s="4">
        <f>Database!A292&amp;"  "&amp;Database!B292</f>
        <v/>
      </c>
      <c r="B292" s="6">
        <f>IFERROR(INDEX(BDS(Database!$A292&amp;" HK Equity","EQUITY_OFFERINGS","array=t","endcol=1"),MATCH("IPO",BDS(Database!$A292&amp;" HK Equity","EQUITY_OFFERINGS","array=t","startcol=2","endcol=2"),0)),"")</f>
        <v/>
      </c>
      <c r="C292" s="64">
        <f>IF($B292="","",IFERROR(BDP($B292&amp;" Action","CP036"),""))</f>
        <v/>
      </c>
      <c r="D292" s="65">
        <f>Database!Q292</f>
        <v/>
      </c>
      <c r="E292" s="64">
        <f>IF($B292="","",IFERROR(BDP($B292&amp;" Action","CP037"),""))</f>
        <v/>
      </c>
      <c r="F292" s="65">
        <f>Database!R292</f>
        <v/>
      </c>
      <c r="G292" s="64">
        <f>IF($B292="","",IFERROR(BDP($B292&amp;" Action","GREENSHOE_FACILITY"),""))</f>
        <v/>
      </c>
      <c r="H292" s="64">
        <f>IF($B292="","",IFERROR(BDP($B292&amp;" Action","OFFERING_GREENSHOE_SHARES_EX"),""))</f>
        <v/>
      </c>
      <c r="I292" s="4">
        <f>Database!V292</f>
        <v/>
      </c>
      <c r="J292" s="21">
        <f>IFERROR(BDP(Database!$A292&amp;" HK Equity","PE_RATIO"),"")</f>
        <v/>
      </c>
      <c r="K292" s="6">
        <f>IFERROR(BDP(Database!$A292&amp;" HK Equity","A/H_SHARE_CONVERSION"),"")</f>
        <v/>
      </c>
      <c r="L292" s="4">
        <f>IF(Database!AL292="","(none found)",Database!AL292)</f>
        <v/>
      </c>
      <c r="M292" s="9">
        <f>IFERROR(BDH(Database!$A292&amp;" HK Equity","CUR_MKT_CAP",Database!$G292,Database!$G292)/1000000,"")</f>
        <v/>
      </c>
      <c r="N292" s="63">
        <f>Database!O292</f>
        <v/>
      </c>
      <c r="O292" s="21">
        <f>IFERROR(BDH(Database!$A292&amp;" HK Equity","PE_RATIO",Database!$G292,Database!$G292),"")</f>
        <v/>
      </c>
      <c r="P292" s="60">
        <f>IF(Database!AI292="","(n/m or not derivable)",Database!AI292)</f>
        <v/>
      </c>
    </row>
    <row r="293">
      <c r="A293" s="4">
        <f>Database!A293&amp;"  "&amp;Database!B293</f>
        <v/>
      </c>
      <c r="B293" s="6">
        <f>IFERROR(INDEX(BDS(Database!$A293&amp;" HK Equity","EQUITY_OFFERINGS","array=t","endcol=1"),MATCH("IPO",BDS(Database!$A293&amp;" HK Equity","EQUITY_OFFERINGS","array=t","startcol=2","endcol=2"),0)),"")</f>
        <v/>
      </c>
      <c r="C293" s="64">
        <f>IF($B293="","",IFERROR(BDP($B293&amp;" Action","CP036"),""))</f>
        <v/>
      </c>
      <c r="D293" s="65">
        <f>Database!Q293</f>
        <v/>
      </c>
      <c r="E293" s="64">
        <f>IF($B293="","",IFERROR(BDP($B293&amp;" Action","CP037"),""))</f>
        <v/>
      </c>
      <c r="F293" s="65">
        <f>Database!R293</f>
        <v/>
      </c>
      <c r="G293" s="64">
        <f>IF($B293="","",IFERROR(BDP($B293&amp;" Action","GREENSHOE_FACILITY"),""))</f>
        <v/>
      </c>
      <c r="H293" s="64">
        <f>IF($B293="","",IFERROR(BDP($B293&amp;" Action","OFFERING_GREENSHOE_SHARES_EX"),""))</f>
        <v/>
      </c>
      <c r="I293" s="4">
        <f>Database!V293</f>
        <v/>
      </c>
      <c r="J293" s="21">
        <f>IFERROR(BDP(Database!$A293&amp;" HK Equity","PE_RATIO"),"")</f>
        <v/>
      </c>
      <c r="K293" s="6">
        <f>IFERROR(BDP(Database!$A293&amp;" HK Equity","A/H_SHARE_CONVERSION"),"")</f>
        <v/>
      </c>
      <c r="L293" s="4">
        <f>IF(Database!AL293="","(none found)",Database!AL293)</f>
        <v/>
      </c>
      <c r="M293" s="9">
        <f>IFERROR(BDH(Database!$A293&amp;" HK Equity","CUR_MKT_CAP",Database!$G293,Database!$G293)/1000000,"")</f>
        <v/>
      </c>
      <c r="N293" s="63">
        <f>Database!O293</f>
        <v/>
      </c>
      <c r="O293" s="21">
        <f>IFERROR(BDH(Database!$A293&amp;" HK Equity","PE_RATIO",Database!$G293,Database!$G293),"")</f>
        <v/>
      </c>
      <c r="P293" s="60">
        <f>IF(Database!AI293="","(n/m or not derivable)",Database!AI293)</f>
        <v/>
      </c>
    </row>
    <row r="294">
      <c r="A294" s="4">
        <f>Database!A294&amp;"  "&amp;Database!B294</f>
        <v/>
      </c>
      <c r="B294" s="6">
        <f>IFERROR(INDEX(BDS(Database!$A294&amp;" HK Equity","EQUITY_OFFERINGS","array=t","endcol=1"),MATCH("IPO",BDS(Database!$A294&amp;" HK Equity","EQUITY_OFFERINGS","array=t","startcol=2","endcol=2"),0)),"")</f>
        <v/>
      </c>
      <c r="C294" s="64">
        <f>IF($B294="","",IFERROR(BDP($B294&amp;" Action","CP036"),""))</f>
        <v/>
      </c>
      <c r="D294" s="65">
        <f>Database!Q294</f>
        <v/>
      </c>
      <c r="E294" s="64">
        <f>IF($B294="","",IFERROR(BDP($B294&amp;" Action","CP037"),""))</f>
        <v/>
      </c>
      <c r="F294" s="65">
        <f>Database!R294</f>
        <v/>
      </c>
      <c r="G294" s="64">
        <f>IF($B294="","",IFERROR(BDP($B294&amp;" Action","GREENSHOE_FACILITY"),""))</f>
        <v/>
      </c>
      <c r="H294" s="64">
        <f>IF($B294="","",IFERROR(BDP($B294&amp;" Action","OFFERING_GREENSHOE_SHARES_EX"),""))</f>
        <v/>
      </c>
      <c r="I294" s="4">
        <f>Database!V294</f>
        <v/>
      </c>
      <c r="J294" s="21">
        <f>IFERROR(BDP(Database!$A294&amp;" HK Equity","PE_RATIO"),"")</f>
        <v/>
      </c>
      <c r="K294" s="6">
        <f>IFERROR(BDP(Database!$A294&amp;" HK Equity","A/H_SHARE_CONVERSION"),"")</f>
        <v/>
      </c>
      <c r="L294" s="4">
        <f>IF(Database!AL294="","(none found)",Database!AL294)</f>
        <v/>
      </c>
      <c r="M294" s="9">
        <f>IFERROR(BDH(Database!$A294&amp;" HK Equity","CUR_MKT_CAP",Database!$G294,Database!$G294)/1000000,"")</f>
        <v/>
      </c>
      <c r="N294" s="63">
        <f>Database!O294</f>
        <v/>
      </c>
      <c r="O294" s="21">
        <f>IFERROR(BDH(Database!$A294&amp;" HK Equity","PE_RATIO",Database!$G294,Database!$G294),"")</f>
        <v/>
      </c>
      <c r="P294" s="60">
        <f>IF(Database!AI294="","(n/m or not derivable)",Database!AI294)</f>
        <v/>
      </c>
    </row>
    <row r="295">
      <c r="A295" s="4">
        <f>Database!A295&amp;"  "&amp;Database!B295</f>
        <v/>
      </c>
      <c r="B295" s="6">
        <f>IFERROR(INDEX(BDS(Database!$A295&amp;" HK Equity","EQUITY_OFFERINGS","array=t","endcol=1"),MATCH("IPO",BDS(Database!$A295&amp;" HK Equity","EQUITY_OFFERINGS","array=t","startcol=2","endcol=2"),0)),"")</f>
        <v/>
      </c>
      <c r="C295" s="64">
        <f>IF($B295="","",IFERROR(BDP($B295&amp;" Action","CP036"),""))</f>
        <v/>
      </c>
      <c r="D295" s="65">
        <f>Database!Q295</f>
        <v/>
      </c>
      <c r="E295" s="64">
        <f>IF($B295="","",IFERROR(BDP($B295&amp;" Action","CP037"),""))</f>
        <v/>
      </c>
      <c r="F295" s="65">
        <f>Database!R295</f>
        <v/>
      </c>
      <c r="G295" s="64">
        <f>IF($B295="","",IFERROR(BDP($B295&amp;" Action","GREENSHOE_FACILITY"),""))</f>
        <v/>
      </c>
      <c r="H295" s="64">
        <f>IF($B295="","",IFERROR(BDP($B295&amp;" Action","OFFERING_GREENSHOE_SHARES_EX"),""))</f>
        <v/>
      </c>
      <c r="I295" s="4">
        <f>Database!V295</f>
        <v/>
      </c>
      <c r="J295" s="21">
        <f>IFERROR(BDP(Database!$A295&amp;" HK Equity","PE_RATIO"),"")</f>
        <v/>
      </c>
      <c r="K295" s="6">
        <f>IFERROR(BDP(Database!$A295&amp;" HK Equity","A/H_SHARE_CONVERSION"),"")</f>
        <v/>
      </c>
      <c r="L295" s="4">
        <f>IF(Database!AL295="","(none found)",Database!AL295)</f>
        <v/>
      </c>
      <c r="M295" s="9">
        <f>IFERROR(BDH(Database!$A295&amp;" HK Equity","CUR_MKT_CAP",Database!$G295,Database!$G295)/1000000,"")</f>
        <v/>
      </c>
      <c r="N295" s="63">
        <f>Database!O295</f>
        <v/>
      </c>
      <c r="O295" s="21">
        <f>IFERROR(BDH(Database!$A295&amp;" HK Equity","PE_RATIO",Database!$G295,Database!$G295),"")</f>
        <v/>
      </c>
      <c r="P295" s="60">
        <f>IF(Database!AI295="","(n/m or not derivable)",Database!AI295)</f>
        <v/>
      </c>
    </row>
    <row r="296">
      <c r="A296" s="4">
        <f>Database!A296&amp;"  "&amp;Database!B296</f>
        <v/>
      </c>
      <c r="B296" s="6">
        <f>IFERROR(INDEX(BDS(Database!$A296&amp;" HK Equity","EQUITY_OFFERINGS","array=t","endcol=1"),MATCH("IPO",BDS(Database!$A296&amp;" HK Equity","EQUITY_OFFERINGS","array=t","startcol=2","endcol=2"),0)),"")</f>
        <v/>
      </c>
      <c r="C296" s="64">
        <f>IF($B296="","",IFERROR(BDP($B296&amp;" Action","CP036"),""))</f>
        <v/>
      </c>
      <c r="D296" s="65">
        <f>Database!Q296</f>
        <v/>
      </c>
      <c r="E296" s="64">
        <f>IF($B296="","",IFERROR(BDP($B296&amp;" Action","CP037"),""))</f>
        <v/>
      </c>
      <c r="F296" s="65">
        <f>Database!R296</f>
        <v/>
      </c>
      <c r="G296" s="64">
        <f>IF($B296="","",IFERROR(BDP($B296&amp;" Action","GREENSHOE_FACILITY"),""))</f>
        <v/>
      </c>
      <c r="H296" s="64">
        <f>IF($B296="","",IFERROR(BDP($B296&amp;" Action","OFFERING_GREENSHOE_SHARES_EX"),""))</f>
        <v/>
      </c>
      <c r="I296" s="4">
        <f>Database!V296</f>
        <v/>
      </c>
      <c r="J296" s="21">
        <f>IFERROR(BDP(Database!$A296&amp;" HK Equity","PE_RATIO"),"")</f>
        <v/>
      </c>
      <c r="K296" s="6">
        <f>IFERROR(BDP(Database!$A296&amp;" HK Equity","A/H_SHARE_CONVERSION"),"")</f>
        <v/>
      </c>
      <c r="L296" s="4">
        <f>IF(Database!AL296="","(none found)",Database!AL296)</f>
        <v/>
      </c>
      <c r="M296" s="9">
        <f>IFERROR(BDH(Database!$A296&amp;" HK Equity","CUR_MKT_CAP",Database!$G296,Database!$G296)/1000000,"")</f>
        <v/>
      </c>
      <c r="N296" s="63">
        <f>Database!O296</f>
        <v/>
      </c>
      <c r="O296" s="21">
        <f>IFERROR(BDH(Database!$A296&amp;" HK Equity","PE_RATIO",Database!$G296,Database!$G296),"")</f>
        <v/>
      </c>
      <c r="P296" s="60">
        <f>IF(Database!AI296="","(n/m or not derivable)",Database!AI296)</f>
        <v/>
      </c>
    </row>
    <row r="297">
      <c r="A297" s="4">
        <f>Database!A297&amp;"  "&amp;Database!B297</f>
        <v/>
      </c>
      <c r="B297" s="6">
        <f>IFERROR(INDEX(BDS(Database!$A297&amp;" HK Equity","EQUITY_OFFERINGS","array=t","endcol=1"),MATCH("IPO",BDS(Database!$A297&amp;" HK Equity","EQUITY_OFFERINGS","array=t","startcol=2","endcol=2"),0)),"")</f>
        <v/>
      </c>
      <c r="C297" s="64">
        <f>IF($B297="","",IFERROR(BDP($B297&amp;" Action","CP036"),""))</f>
        <v/>
      </c>
      <c r="D297" s="65">
        <f>Database!Q297</f>
        <v/>
      </c>
      <c r="E297" s="64">
        <f>IF($B297="","",IFERROR(BDP($B297&amp;" Action","CP037"),""))</f>
        <v/>
      </c>
      <c r="F297" s="65">
        <f>Database!R297</f>
        <v/>
      </c>
      <c r="G297" s="64">
        <f>IF($B297="","",IFERROR(BDP($B297&amp;" Action","GREENSHOE_FACILITY"),""))</f>
        <v/>
      </c>
      <c r="H297" s="64">
        <f>IF($B297="","",IFERROR(BDP($B297&amp;" Action","OFFERING_GREENSHOE_SHARES_EX"),""))</f>
        <v/>
      </c>
      <c r="I297" s="4">
        <f>Database!V297</f>
        <v/>
      </c>
      <c r="J297" s="21">
        <f>IFERROR(BDP(Database!$A297&amp;" HK Equity","PE_RATIO"),"")</f>
        <v/>
      </c>
      <c r="K297" s="6">
        <f>IFERROR(BDP(Database!$A297&amp;" HK Equity","A/H_SHARE_CONVERSION"),"")</f>
        <v/>
      </c>
      <c r="L297" s="4">
        <f>IF(Database!AL297="","(none found)",Database!AL297)</f>
        <v/>
      </c>
      <c r="M297" s="9">
        <f>IFERROR(BDH(Database!$A297&amp;" HK Equity","CUR_MKT_CAP",Database!$G297,Database!$G297)/1000000,"")</f>
        <v/>
      </c>
      <c r="N297" s="63">
        <f>Database!O297</f>
        <v/>
      </c>
      <c r="O297" s="21">
        <f>IFERROR(BDH(Database!$A297&amp;" HK Equity","PE_RATIO",Database!$G297,Database!$G297),"")</f>
        <v/>
      </c>
      <c r="P297" s="60">
        <f>IF(Database!AI297="","(n/m or not derivable)",Database!AI297)</f>
        <v/>
      </c>
    </row>
    <row r="298">
      <c r="A298" s="4">
        <f>Database!A298&amp;"  "&amp;Database!B298</f>
        <v/>
      </c>
      <c r="B298" s="6">
        <f>IFERROR(INDEX(BDS(Database!$A298&amp;" HK Equity","EQUITY_OFFERINGS","array=t","endcol=1"),MATCH("IPO",BDS(Database!$A298&amp;" HK Equity","EQUITY_OFFERINGS","array=t","startcol=2","endcol=2"),0)),"")</f>
        <v/>
      </c>
      <c r="C298" s="64">
        <f>IF($B298="","",IFERROR(BDP($B298&amp;" Action","CP036"),""))</f>
        <v/>
      </c>
      <c r="D298" s="65">
        <f>Database!Q298</f>
        <v/>
      </c>
      <c r="E298" s="64">
        <f>IF($B298="","",IFERROR(BDP($B298&amp;" Action","CP037"),""))</f>
        <v/>
      </c>
      <c r="F298" s="65">
        <f>Database!R298</f>
        <v/>
      </c>
      <c r="G298" s="64">
        <f>IF($B298="","",IFERROR(BDP($B298&amp;" Action","GREENSHOE_FACILITY"),""))</f>
        <v/>
      </c>
      <c r="H298" s="64">
        <f>IF($B298="","",IFERROR(BDP($B298&amp;" Action","OFFERING_GREENSHOE_SHARES_EX"),""))</f>
        <v/>
      </c>
      <c r="I298" s="4">
        <f>Database!V298</f>
        <v/>
      </c>
      <c r="J298" s="21">
        <f>IFERROR(BDP(Database!$A298&amp;" HK Equity","PE_RATIO"),"")</f>
        <v/>
      </c>
      <c r="K298" s="6">
        <f>IFERROR(BDP(Database!$A298&amp;" HK Equity","A/H_SHARE_CONVERSION"),"")</f>
        <v/>
      </c>
      <c r="L298" s="4">
        <f>IF(Database!AL298="","(none found)",Database!AL298)</f>
        <v/>
      </c>
      <c r="M298" s="9">
        <f>IFERROR(BDH(Database!$A298&amp;" HK Equity","CUR_MKT_CAP",Database!$G298,Database!$G298)/1000000,"")</f>
        <v/>
      </c>
      <c r="N298" s="63">
        <f>Database!O298</f>
        <v/>
      </c>
      <c r="O298" s="21">
        <f>IFERROR(BDH(Database!$A298&amp;" HK Equity","PE_RATIO",Database!$G298,Database!$G298),"")</f>
        <v/>
      </c>
      <c r="P298" s="60">
        <f>IF(Database!AI298="","(n/m or not derivable)",Database!AI298)</f>
        <v/>
      </c>
    </row>
    <row r="299">
      <c r="A299" s="4">
        <f>Database!A299&amp;"  "&amp;Database!B299</f>
        <v/>
      </c>
      <c r="B299" s="6">
        <f>IFERROR(INDEX(BDS(Database!$A299&amp;" HK Equity","EQUITY_OFFERINGS","array=t","endcol=1"),MATCH("IPO",BDS(Database!$A299&amp;" HK Equity","EQUITY_OFFERINGS","array=t","startcol=2","endcol=2"),0)),"")</f>
        <v/>
      </c>
      <c r="C299" s="64">
        <f>IF($B299="","",IFERROR(BDP($B299&amp;" Action","CP036"),""))</f>
        <v/>
      </c>
      <c r="D299" s="65">
        <f>Database!Q299</f>
        <v/>
      </c>
      <c r="E299" s="64">
        <f>IF($B299="","",IFERROR(BDP($B299&amp;" Action","CP037"),""))</f>
        <v/>
      </c>
      <c r="F299" s="65">
        <f>Database!R299</f>
        <v/>
      </c>
      <c r="G299" s="64">
        <f>IF($B299="","",IFERROR(BDP($B299&amp;" Action","GREENSHOE_FACILITY"),""))</f>
        <v/>
      </c>
      <c r="H299" s="64">
        <f>IF($B299="","",IFERROR(BDP($B299&amp;" Action","OFFERING_GREENSHOE_SHARES_EX"),""))</f>
        <v/>
      </c>
      <c r="I299" s="4">
        <f>Database!V299</f>
        <v/>
      </c>
      <c r="J299" s="21">
        <f>IFERROR(BDP(Database!$A299&amp;" HK Equity","PE_RATIO"),"")</f>
        <v/>
      </c>
      <c r="K299" s="6">
        <f>IFERROR(BDP(Database!$A299&amp;" HK Equity","A/H_SHARE_CONVERSION"),"")</f>
        <v/>
      </c>
      <c r="L299" s="4">
        <f>IF(Database!AL299="","(none found)",Database!AL299)</f>
        <v/>
      </c>
      <c r="M299" s="9">
        <f>IFERROR(BDH(Database!$A299&amp;" HK Equity","CUR_MKT_CAP",Database!$G299,Database!$G299)/1000000,"")</f>
        <v/>
      </c>
      <c r="N299" s="63">
        <f>Database!O299</f>
        <v/>
      </c>
      <c r="O299" s="21">
        <f>IFERROR(BDH(Database!$A299&amp;" HK Equity","PE_RATIO",Database!$G299,Database!$G299),"")</f>
        <v/>
      </c>
      <c r="P299" s="60">
        <f>IF(Database!AI299="","(n/m or not derivable)",Database!AI299)</f>
        <v/>
      </c>
    </row>
    <row r="300">
      <c r="A300" s="4">
        <f>Database!A300&amp;"  "&amp;Database!B300</f>
        <v/>
      </c>
      <c r="B300" s="6">
        <f>IFERROR(INDEX(BDS(Database!$A300&amp;" HK Equity","EQUITY_OFFERINGS","array=t","endcol=1"),MATCH("IPO",BDS(Database!$A300&amp;" HK Equity","EQUITY_OFFERINGS","array=t","startcol=2","endcol=2"),0)),"")</f>
        <v/>
      </c>
      <c r="C300" s="64">
        <f>IF($B300="","",IFERROR(BDP($B300&amp;" Action","CP036"),""))</f>
        <v/>
      </c>
      <c r="D300" s="65">
        <f>Database!Q300</f>
        <v/>
      </c>
      <c r="E300" s="64">
        <f>IF($B300="","",IFERROR(BDP($B300&amp;" Action","CP037"),""))</f>
        <v/>
      </c>
      <c r="F300" s="65">
        <f>Database!R300</f>
        <v/>
      </c>
      <c r="G300" s="64">
        <f>IF($B300="","",IFERROR(BDP($B300&amp;" Action","GREENSHOE_FACILITY"),""))</f>
        <v/>
      </c>
      <c r="H300" s="64">
        <f>IF($B300="","",IFERROR(BDP($B300&amp;" Action","OFFERING_GREENSHOE_SHARES_EX"),""))</f>
        <v/>
      </c>
      <c r="I300" s="4">
        <f>Database!V300</f>
        <v/>
      </c>
      <c r="J300" s="21">
        <f>IFERROR(BDP(Database!$A300&amp;" HK Equity","PE_RATIO"),"")</f>
        <v/>
      </c>
      <c r="K300" s="6">
        <f>IFERROR(BDP(Database!$A300&amp;" HK Equity","A/H_SHARE_CONVERSION"),"")</f>
        <v/>
      </c>
      <c r="L300" s="4">
        <f>IF(Database!AL300="","(none found)",Database!AL300)</f>
        <v/>
      </c>
      <c r="M300" s="9">
        <f>IFERROR(BDH(Database!$A300&amp;" HK Equity","CUR_MKT_CAP",Database!$G300,Database!$G300)/1000000,"")</f>
        <v/>
      </c>
      <c r="N300" s="63">
        <f>Database!O300</f>
        <v/>
      </c>
      <c r="O300" s="21">
        <f>IFERROR(BDH(Database!$A300&amp;" HK Equity","PE_RATIO",Database!$G300,Database!$G300),"")</f>
        <v/>
      </c>
      <c r="P300" s="60">
        <f>IF(Database!AI300="","(n/m or not derivable)",Database!AI300)</f>
        <v/>
      </c>
    </row>
    <row r="301">
      <c r="A301" s="4">
        <f>Database!A301&amp;"  "&amp;Database!B301</f>
        <v/>
      </c>
      <c r="B301" s="6">
        <f>IFERROR(INDEX(BDS(Database!$A301&amp;" HK Equity","EQUITY_OFFERINGS","array=t","endcol=1"),MATCH("IPO",BDS(Database!$A301&amp;" HK Equity","EQUITY_OFFERINGS","array=t","startcol=2","endcol=2"),0)),"")</f>
        <v/>
      </c>
      <c r="C301" s="64">
        <f>IF($B301="","",IFERROR(BDP($B301&amp;" Action","CP036"),""))</f>
        <v/>
      </c>
      <c r="D301" s="65">
        <f>Database!Q301</f>
        <v/>
      </c>
      <c r="E301" s="64">
        <f>IF($B301="","",IFERROR(BDP($B301&amp;" Action","CP037"),""))</f>
        <v/>
      </c>
      <c r="F301" s="65">
        <f>Database!R301</f>
        <v/>
      </c>
      <c r="G301" s="64">
        <f>IF($B301="","",IFERROR(BDP($B301&amp;" Action","GREENSHOE_FACILITY"),""))</f>
        <v/>
      </c>
      <c r="H301" s="64">
        <f>IF($B301="","",IFERROR(BDP($B301&amp;" Action","OFFERING_GREENSHOE_SHARES_EX"),""))</f>
        <v/>
      </c>
      <c r="I301" s="4">
        <f>Database!V301</f>
        <v/>
      </c>
      <c r="J301" s="21">
        <f>IFERROR(BDP(Database!$A301&amp;" HK Equity","PE_RATIO"),"")</f>
        <v/>
      </c>
      <c r="K301" s="6">
        <f>IFERROR(BDP(Database!$A301&amp;" HK Equity","A/H_SHARE_CONVERSION"),"")</f>
        <v/>
      </c>
      <c r="L301" s="4">
        <f>IF(Database!AL301="","(none found)",Database!AL301)</f>
        <v/>
      </c>
      <c r="M301" s="9">
        <f>IFERROR(BDH(Database!$A301&amp;" HK Equity","CUR_MKT_CAP",Database!$G301,Database!$G301)/1000000,"")</f>
        <v/>
      </c>
      <c r="N301" s="63">
        <f>Database!O301</f>
        <v/>
      </c>
      <c r="O301" s="21">
        <f>IFERROR(BDH(Database!$A301&amp;" HK Equity","PE_RATIO",Database!$G301,Database!$G301),"")</f>
        <v/>
      </c>
      <c r="P301" s="60">
        <f>IF(Database!AI301="","(n/m or not derivable)",Database!AI301)</f>
        <v/>
      </c>
    </row>
    <row r="302">
      <c r="A302" s="4">
        <f>Database!A302&amp;"  "&amp;Database!B302</f>
        <v/>
      </c>
      <c r="B302" s="6">
        <f>IFERROR(INDEX(BDS(Database!$A302&amp;" HK Equity","EQUITY_OFFERINGS","array=t","endcol=1"),MATCH("IPO",BDS(Database!$A302&amp;" HK Equity","EQUITY_OFFERINGS","array=t","startcol=2","endcol=2"),0)),"")</f>
        <v/>
      </c>
      <c r="C302" s="64">
        <f>IF($B302="","",IFERROR(BDP($B302&amp;" Action","CP036"),""))</f>
        <v/>
      </c>
      <c r="D302" s="65">
        <f>Database!Q302</f>
        <v/>
      </c>
      <c r="E302" s="64">
        <f>IF($B302="","",IFERROR(BDP($B302&amp;" Action","CP037"),""))</f>
        <v/>
      </c>
      <c r="F302" s="65">
        <f>Database!R302</f>
        <v/>
      </c>
      <c r="G302" s="64">
        <f>IF($B302="","",IFERROR(BDP($B302&amp;" Action","GREENSHOE_FACILITY"),""))</f>
        <v/>
      </c>
      <c r="H302" s="64">
        <f>IF($B302="","",IFERROR(BDP($B302&amp;" Action","OFFERING_GREENSHOE_SHARES_EX"),""))</f>
        <v/>
      </c>
      <c r="I302" s="4">
        <f>Database!V302</f>
        <v/>
      </c>
      <c r="J302" s="21">
        <f>IFERROR(BDP(Database!$A302&amp;" HK Equity","PE_RATIO"),"")</f>
        <v/>
      </c>
      <c r="K302" s="6">
        <f>IFERROR(BDP(Database!$A302&amp;" HK Equity","A/H_SHARE_CONVERSION"),"")</f>
        <v/>
      </c>
      <c r="L302" s="4">
        <f>IF(Database!AL302="","(none found)",Database!AL302)</f>
        <v/>
      </c>
      <c r="M302" s="9">
        <f>IFERROR(BDH(Database!$A302&amp;" HK Equity","CUR_MKT_CAP",Database!$G302,Database!$G302)/1000000,"")</f>
        <v/>
      </c>
      <c r="N302" s="63">
        <f>Database!O302</f>
        <v/>
      </c>
      <c r="O302" s="21">
        <f>IFERROR(BDH(Database!$A302&amp;" HK Equity","PE_RATIO",Database!$G302,Database!$G302),"")</f>
        <v/>
      </c>
      <c r="P302" s="60">
        <f>IF(Database!AI302="","(n/m or not derivable)",Database!AI302)</f>
        <v/>
      </c>
    </row>
    <row r="303">
      <c r="A303" s="4">
        <f>Database!A303&amp;"  "&amp;Database!B303</f>
        <v/>
      </c>
      <c r="B303" s="6">
        <f>IFERROR(INDEX(BDS(Database!$A303&amp;" HK Equity","EQUITY_OFFERINGS","array=t","endcol=1"),MATCH("IPO",BDS(Database!$A303&amp;" HK Equity","EQUITY_OFFERINGS","array=t","startcol=2","endcol=2"),0)),"")</f>
        <v/>
      </c>
      <c r="C303" s="64">
        <f>IF($B303="","",IFERROR(BDP($B303&amp;" Action","CP036"),""))</f>
        <v/>
      </c>
      <c r="D303" s="65">
        <f>Database!Q303</f>
        <v/>
      </c>
      <c r="E303" s="64">
        <f>IF($B303="","",IFERROR(BDP($B303&amp;" Action","CP037"),""))</f>
        <v/>
      </c>
      <c r="F303" s="65">
        <f>Database!R303</f>
        <v/>
      </c>
      <c r="G303" s="64">
        <f>IF($B303="","",IFERROR(BDP($B303&amp;" Action","GREENSHOE_FACILITY"),""))</f>
        <v/>
      </c>
      <c r="H303" s="64">
        <f>IF($B303="","",IFERROR(BDP($B303&amp;" Action","OFFERING_GREENSHOE_SHARES_EX"),""))</f>
        <v/>
      </c>
      <c r="I303" s="4">
        <f>Database!V303</f>
        <v/>
      </c>
      <c r="J303" s="21">
        <f>IFERROR(BDP(Database!$A303&amp;" HK Equity","PE_RATIO"),"")</f>
        <v/>
      </c>
      <c r="K303" s="6">
        <f>IFERROR(BDP(Database!$A303&amp;" HK Equity","A/H_SHARE_CONVERSION"),"")</f>
        <v/>
      </c>
      <c r="L303" s="4">
        <f>IF(Database!AL303="","(none found)",Database!AL303)</f>
        <v/>
      </c>
      <c r="M303" s="9">
        <f>IFERROR(BDH(Database!$A303&amp;" HK Equity","CUR_MKT_CAP",Database!$G303,Database!$G303)/1000000,"")</f>
        <v/>
      </c>
      <c r="N303" s="63">
        <f>Database!O303</f>
        <v/>
      </c>
      <c r="O303" s="21">
        <f>IFERROR(BDH(Database!$A303&amp;" HK Equity","PE_RATIO",Database!$G303,Database!$G303),"")</f>
        <v/>
      </c>
      <c r="P303" s="60">
        <f>IF(Database!AI303="","(n/m or not derivable)",Database!AI303)</f>
        <v/>
      </c>
    </row>
    <row r="304">
      <c r="A304" s="4">
        <f>Database!A304&amp;"  "&amp;Database!B304</f>
        <v/>
      </c>
      <c r="B304" s="6">
        <f>IFERROR(INDEX(BDS(Database!$A304&amp;" HK Equity","EQUITY_OFFERINGS","array=t","endcol=1"),MATCH("IPO",BDS(Database!$A304&amp;" HK Equity","EQUITY_OFFERINGS","array=t","startcol=2","endcol=2"),0)),"")</f>
        <v/>
      </c>
      <c r="C304" s="64">
        <f>IF($B304="","",IFERROR(BDP($B304&amp;" Action","CP036"),""))</f>
        <v/>
      </c>
      <c r="D304" s="65">
        <f>Database!Q304</f>
        <v/>
      </c>
      <c r="E304" s="64">
        <f>IF($B304="","",IFERROR(BDP($B304&amp;" Action","CP037"),""))</f>
        <v/>
      </c>
      <c r="F304" s="65">
        <f>Database!R304</f>
        <v/>
      </c>
      <c r="G304" s="64">
        <f>IF($B304="","",IFERROR(BDP($B304&amp;" Action","GREENSHOE_FACILITY"),""))</f>
        <v/>
      </c>
      <c r="H304" s="64">
        <f>IF($B304="","",IFERROR(BDP($B304&amp;" Action","OFFERING_GREENSHOE_SHARES_EX"),""))</f>
        <v/>
      </c>
      <c r="I304" s="4">
        <f>Database!V304</f>
        <v/>
      </c>
      <c r="J304" s="21">
        <f>IFERROR(BDP(Database!$A304&amp;" HK Equity","PE_RATIO"),"")</f>
        <v/>
      </c>
      <c r="K304" s="6">
        <f>IFERROR(BDP(Database!$A304&amp;" HK Equity","A/H_SHARE_CONVERSION"),"")</f>
        <v/>
      </c>
      <c r="L304" s="4">
        <f>IF(Database!AL304="","(none found)",Database!AL304)</f>
        <v/>
      </c>
      <c r="M304" s="9">
        <f>IFERROR(BDH(Database!$A304&amp;" HK Equity","CUR_MKT_CAP",Database!$G304,Database!$G304)/1000000,"")</f>
        <v/>
      </c>
      <c r="N304" s="63">
        <f>Database!O304</f>
        <v/>
      </c>
      <c r="O304" s="21">
        <f>IFERROR(BDH(Database!$A304&amp;" HK Equity","PE_RATIO",Database!$G304,Database!$G304),"")</f>
        <v/>
      </c>
      <c r="P304" s="60">
        <f>IF(Database!AI304="","(n/m or not derivable)",Database!AI304)</f>
        <v/>
      </c>
    </row>
    <row r="305">
      <c r="A305" s="4">
        <f>Database!A305&amp;"  "&amp;Database!B305</f>
        <v/>
      </c>
      <c r="B305" s="6">
        <f>IFERROR(INDEX(BDS(Database!$A305&amp;" HK Equity","EQUITY_OFFERINGS","array=t","endcol=1"),MATCH("IPO",BDS(Database!$A305&amp;" HK Equity","EQUITY_OFFERINGS","array=t","startcol=2","endcol=2"),0)),"")</f>
        <v/>
      </c>
      <c r="C305" s="64">
        <f>IF($B305="","",IFERROR(BDP($B305&amp;" Action","CP036"),""))</f>
        <v/>
      </c>
      <c r="D305" s="65">
        <f>Database!Q305</f>
        <v/>
      </c>
      <c r="E305" s="64">
        <f>IF($B305="","",IFERROR(BDP($B305&amp;" Action","CP037"),""))</f>
        <v/>
      </c>
      <c r="F305" s="65">
        <f>Database!R305</f>
        <v/>
      </c>
      <c r="G305" s="64">
        <f>IF($B305="","",IFERROR(BDP($B305&amp;" Action","GREENSHOE_FACILITY"),""))</f>
        <v/>
      </c>
      <c r="H305" s="64">
        <f>IF($B305="","",IFERROR(BDP($B305&amp;" Action","OFFERING_GREENSHOE_SHARES_EX"),""))</f>
        <v/>
      </c>
      <c r="I305" s="4">
        <f>Database!V305</f>
        <v/>
      </c>
      <c r="J305" s="21">
        <f>IFERROR(BDP(Database!$A305&amp;" HK Equity","PE_RATIO"),"")</f>
        <v/>
      </c>
      <c r="K305" s="6">
        <f>IFERROR(BDP(Database!$A305&amp;" HK Equity","A/H_SHARE_CONVERSION"),"")</f>
        <v/>
      </c>
      <c r="L305" s="4">
        <f>IF(Database!AL305="","(none found)",Database!AL305)</f>
        <v/>
      </c>
      <c r="M305" s="9">
        <f>IFERROR(BDH(Database!$A305&amp;" HK Equity","CUR_MKT_CAP",Database!$G305,Database!$G305)/1000000,"")</f>
        <v/>
      </c>
      <c r="N305" s="63">
        <f>Database!O305</f>
        <v/>
      </c>
      <c r="O305" s="21">
        <f>IFERROR(BDH(Database!$A305&amp;" HK Equity","PE_RATIO",Database!$G305,Database!$G305),"")</f>
        <v/>
      </c>
      <c r="P305" s="60">
        <f>IF(Database!AI305="","(n/m or not derivable)",Database!AI305)</f>
        <v/>
      </c>
    </row>
    <row r="306">
      <c r="A306" s="4">
        <f>Database!A306&amp;"  "&amp;Database!B306</f>
        <v/>
      </c>
      <c r="B306" s="6">
        <f>IFERROR(INDEX(BDS(Database!$A306&amp;" HK Equity","EQUITY_OFFERINGS","array=t","endcol=1"),MATCH("IPO",BDS(Database!$A306&amp;" HK Equity","EQUITY_OFFERINGS","array=t","startcol=2","endcol=2"),0)),"")</f>
        <v/>
      </c>
      <c r="C306" s="64">
        <f>IF($B306="","",IFERROR(BDP($B306&amp;" Action","CP036"),""))</f>
        <v/>
      </c>
      <c r="D306" s="65">
        <f>Database!Q306</f>
        <v/>
      </c>
      <c r="E306" s="64">
        <f>IF($B306="","",IFERROR(BDP($B306&amp;" Action","CP037"),""))</f>
        <v/>
      </c>
      <c r="F306" s="65">
        <f>Database!R306</f>
        <v/>
      </c>
      <c r="G306" s="64">
        <f>IF($B306="","",IFERROR(BDP($B306&amp;" Action","GREENSHOE_FACILITY"),""))</f>
        <v/>
      </c>
      <c r="H306" s="64">
        <f>IF($B306="","",IFERROR(BDP($B306&amp;" Action","OFFERING_GREENSHOE_SHARES_EX"),""))</f>
        <v/>
      </c>
      <c r="I306" s="4">
        <f>Database!V306</f>
        <v/>
      </c>
      <c r="J306" s="21">
        <f>IFERROR(BDP(Database!$A306&amp;" HK Equity","PE_RATIO"),"")</f>
        <v/>
      </c>
      <c r="K306" s="6">
        <f>IFERROR(BDP(Database!$A306&amp;" HK Equity","A/H_SHARE_CONVERSION"),"")</f>
        <v/>
      </c>
      <c r="L306" s="4">
        <f>IF(Database!AL306="","(none found)",Database!AL306)</f>
        <v/>
      </c>
      <c r="M306" s="9">
        <f>IFERROR(BDH(Database!$A306&amp;" HK Equity","CUR_MKT_CAP",Database!$G306,Database!$G306)/1000000,"")</f>
        <v/>
      </c>
      <c r="N306" s="63">
        <f>Database!O306</f>
        <v/>
      </c>
      <c r="O306" s="21">
        <f>IFERROR(BDH(Database!$A306&amp;" HK Equity","PE_RATIO",Database!$G306,Database!$G306),"")</f>
        <v/>
      </c>
      <c r="P306" s="60">
        <f>IF(Database!AI306="","(n/m or not derivable)",Database!AI306)</f>
        <v/>
      </c>
    </row>
    <row r="307">
      <c r="A307" s="4">
        <f>Database!A307&amp;"  "&amp;Database!B307</f>
        <v/>
      </c>
      <c r="B307" s="6">
        <f>IFERROR(INDEX(BDS(Database!$A307&amp;" HK Equity","EQUITY_OFFERINGS","array=t","endcol=1"),MATCH("IPO",BDS(Database!$A307&amp;" HK Equity","EQUITY_OFFERINGS","array=t","startcol=2","endcol=2"),0)),"")</f>
        <v/>
      </c>
      <c r="C307" s="64">
        <f>IF($B307="","",IFERROR(BDP($B307&amp;" Action","CP036"),""))</f>
        <v/>
      </c>
      <c r="D307" s="65">
        <f>Database!Q307</f>
        <v/>
      </c>
      <c r="E307" s="64">
        <f>IF($B307="","",IFERROR(BDP($B307&amp;" Action","CP037"),""))</f>
        <v/>
      </c>
      <c r="F307" s="65">
        <f>Database!R307</f>
        <v/>
      </c>
      <c r="G307" s="64">
        <f>IF($B307="","",IFERROR(BDP($B307&amp;" Action","GREENSHOE_FACILITY"),""))</f>
        <v/>
      </c>
      <c r="H307" s="64">
        <f>IF($B307="","",IFERROR(BDP($B307&amp;" Action","OFFERING_GREENSHOE_SHARES_EX"),""))</f>
        <v/>
      </c>
      <c r="I307" s="4">
        <f>Database!V307</f>
        <v/>
      </c>
      <c r="J307" s="21">
        <f>IFERROR(BDP(Database!$A307&amp;" HK Equity","PE_RATIO"),"")</f>
        <v/>
      </c>
      <c r="K307" s="6">
        <f>IFERROR(BDP(Database!$A307&amp;" HK Equity","A/H_SHARE_CONVERSION"),"")</f>
        <v/>
      </c>
      <c r="L307" s="4">
        <f>IF(Database!AL307="","(none found)",Database!AL307)</f>
        <v/>
      </c>
      <c r="M307" s="9">
        <f>IFERROR(BDH(Database!$A307&amp;" HK Equity","CUR_MKT_CAP",Database!$G307,Database!$G307)/1000000,"")</f>
        <v/>
      </c>
      <c r="N307" s="63">
        <f>Database!O307</f>
        <v/>
      </c>
      <c r="O307" s="21">
        <f>IFERROR(BDH(Database!$A307&amp;" HK Equity","PE_RATIO",Database!$G307,Database!$G307),"")</f>
        <v/>
      </c>
      <c r="P307" s="60">
        <f>IF(Database!AI307="","(n/m or not derivable)",Database!AI307)</f>
        <v/>
      </c>
    </row>
    <row r="308">
      <c r="A308" s="4">
        <f>Database!A308&amp;"  "&amp;Database!B308</f>
        <v/>
      </c>
      <c r="B308" s="6">
        <f>IFERROR(INDEX(BDS(Database!$A308&amp;" HK Equity","EQUITY_OFFERINGS","array=t","endcol=1"),MATCH("IPO",BDS(Database!$A308&amp;" HK Equity","EQUITY_OFFERINGS","array=t","startcol=2","endcol=2"),0)),"")</f>
        <v/>
      </c>
      <c r="C308" s="64">
        <f>IF($B308="","",IFERROR(BDP($B308&amp;" Action","CP036"),""))</f>
        <v/>
      </c>
      <c r="D308" s="65">
        <f>Database!Q308</f>
        <v/>
      </c>
      <c r="E308" s="64">
        <f>IF($B308="","",IFERROR(BDP($B308&amp;" Action","CP037"),""))</f>
        <v/>
      </c>
      <c r="F308" s="65">
        <f>Database!R308</f>
        <v/>
      </c>
      <c r="G308" s="64">
        <f>IF($B308="","",IFERROR(BDP($B308&amp;" Action","GREENSHOE_FACILITY"),""))</f>
        <v/>
      </c>
      <c r="H308" s="64">
        <f>IF($B308="","",IFERROR(BDP($B308&amp;" Action","OFFERING_GREENSHOE_SHARES_EX"),""))</f>
        <v/>
      </c>
      <c r="I308" s="4">
        <f>Database!V308</f>
        <v/>
      </c>
      <c r="J308" s="21">
        <f>IFERROR(BDP(Database!$A308&amp;" HK Equity","PE_RATIO"),"")</f>
        <v/>
      </c>
      <c r="K308" s="6">
        <f>IFERROR(BDP(Database!$A308&amp;" HK Equity","A/H_SHARE_CONVERSION"),"")</f>
        <v/>
      </c>
      <c r="L308" s="4">
        <f>IF(Database!AL308="","(none found)",Database!AL308)</f>
        <v/>
      </c>
      <c r="M308" s="9">
        <f>IFERROR(BDH(Database!$A308&amp;" HK Equity","CUR_MKT_CAP",Database!$G308,Database!$G308)/1000000,"")</f>
        <v/>
      </c>
      <c r="N308" s="63">
        <f>Database!O308</f>
        <v/>
      </c>
      <c r="O308" s="21">
        <f>IFERROR(BDH(Database!$A308&amp;" HK Equity","PE_RATIO",Database!$G308,Database!$G308),"")</f>
        <v/>
      </c>
      <c r="P308" s="60">
        <f>IF(Database!AI308="","(n/m or not derivable)",Database!AI308)</f>
        <v/>
      </c>
    </row>
    <row r="309">
      <c r="A309" s="4">
        <f>Database!A309&amp;"  "&amp;Database!B309</f>
        <v/>
      </c>
      <c r="B309" s="6">
        <f>IFERROR(INDEX(BDS(Database!$A309&amp;" HK Equity","EQUITY_OFFERINGS","array=t","endcol=1"),MATCH("IPO",BDS(Database!$A309&amp;" HK Equity","EQUITY_OFFERINGS","array=t","startcol=2","endcol=2"),0)),"")</f>
        <v/>
      </c>
      <c r="C309" s="64">
        <f>IF($B309="","",IFERROR(BDP($B309&amp;" Action","CP036"),""))</f>
        <v/>
      </c>
      <c r="D309" s="65">
        <f>Database!Q309</f>
        <v/>
      </c>
      <c r="E309" s="64">
        <f>IF($B309="","",IFERROR(BDP($B309&amp;" Action","CP037"),""))</f>
        <v/>
      </c>
      <c r="F309" s="65">
        <f>Database!R309</f>
        <v/>
      </c>
      <c r="G309" s="64">
        <f>IF($B309="","",IFERROR(BDP($B309&amp;" Action","GREENSHOE_FACILITY"),""))</f>
        <v/>
      </c>
      <c r="H309" s="64">
        <f>IF($B309="","",IFERROR(BDP($B309&amp;" Action","OFFERING_GREENSHOE_SHARES_EX"),""))</f>
        <v/>
      </c>
      <c r="I309" s="4">
        <f>Database!V309</f>
        <v/>
      </c>
      <c r="J309" s="21">
        <f>IFERROR(BDP(Database!$A309&amp;" HK Equity","PE_RATIO"),"")</f>
        <v/>
      </c>
      <c r="K309" s="6">
        <f>IFERROR(BDP(Database!$A309&amp;" HK Equity","A/H_SHARE_CONVERSION"),"")</f>
        <v/>
      </c>
      <c r="L309" s="4">
        <f>IF(Database!AL309="","(none found)",Database!AL309)</f>
        <v/>
      </c>
      <c r="M309" s="9">
        <f>IFERROR(BDH(Database!$A309&amp;" HK Equity","CUR_MKT_CAP",Database!$G309,Database!$G309)/1000000,"")</f>
        <v/>
      </c>
      <c r="N309" s="63">
        <f>Database!O309</f>
        <v/>
      </c>
      <c r="O309" s="21">
        <f>IFERROR(BDH(Database!$A309&amp;" HK Equity","PE_RATIO",Database!$G309,Database!$G309),"")</f>
        <v/>
      </c>
      <c r="P309" s="60">
        <f>IF(Database!AI309="","(n/m or not derivable)",Database!AI309)</f>
        <v/>
      </c>
    </row>
    <row r="310">
      <c r="A310" s="4">
        <f>Database!A310&amp;"  "&amp;Database!B310</f>
        <v/>
      </c>
      <c r="B310" s="6">
        <f>IFERROR(INDEX(BDS(Database!$A310&amp;" HK Equity","EQUITY_OFFERINGS","array=t","endcol=1"),MATCH("IPO",BDS(Database!$A310&amp;" HK Equity","EQUITY_OFFERINGS","array=t","startcol=2","endcol=2"),0)),"")</f>
        <v/>
      </c>
      <c r="C310" s="64">
        <f>IF($B310="","",IFERROR(BDP($B310&amp;" Action","CP036"),""))</f>
        <v/>
      </c>
      <c r="D310" s="65">
        <f>Database!Q310</f>
        <v/>
      </c>
      <c r="E310" s="64">
        <f>IF($B310="","",IFERROR(BDP($B310&amp;" Action","CP037"),""))</f>
        <v/>
      </c>
      <c r="F310" s="65">
        <f>Database!R310</f>
        <v/>
      </c>
      <c r="G310" s="64">
        <f>IF($B310="","",IFERROR(BDP($B310&amp;" Action","GREENSHOE_FACILITY"),""))</f>
        <v/>
      </c>
      <c r="H310" s="64">
        <f>IF($B310="","",IFERROR(BDP($B310&amp;" Action","OFFERING_GREENSHOE_SHARES_EX"),""))</f>
        <v/>
      </c>
      <c r="I310" s="4">
        <f>Database!V310</f>
        <v/>
      </c>
      <c r="J310" s="21">
        <f>IFERROR(BDP(Database!$A310&amp;" HK Equity","PE_RATIO"),"")</f>
        <v/>
      </c>
      <c r="K310" s="6">
        <f>IFERROR(BDP(Database!$A310&amp;" HK Equity","A/H_SHARE_CONVERSION"),"")</f>
        <v/>
      </c>
      <c r="L310" s="4">
        <f>IF(Database!AL310="","(none found)",Database!AL310)</f>
        <v/>
      </c>
      <c r="M310" s="9">
        <f>IFERROR(BDH(Database!$A310&amp;" HK Equity","CUR_MKT_CAP",Database!$G310,Database!$G310)/1000000,"")</f>
        <v/>
      </c>
      <c r="N310" s="63">
        <f>Database!O310</f>
        <v/>
      </c>
      <c r="O310" s="21">
        <f>IFERROR(BDH(Database!$A310&amp;" HK Equity","PE_RATIO",Database!$G310,Database!$G310),"")</f>
        <v/>
      </c>
      <c r="P310" s="60">
        <f>IF(Database!AI310="","(n/m or not derivable)",Database!AI310)</f>
        <v/>
      </c>
    </row>
    <row r="311">
      <c r="A311" s="4">
        <f>Database!A311&amp;"  "&amp;Database!B311</f>
        <v/>
      </c>
      <c r="B311" s="6">
        <f>IFERROR(INDEX(BDS(Database!$A311&amp;" HK Equity","EQUITY_OFFERINGS","array=t","endcol=1"),MATCH("IPO",BDS(Database!$A311&amp;" HK Equity","EQUITY_OFFERINGS","array=t","startcol=2","endcol=2"),0)),"")</f>
        <v/>
      </c>
      <c r="C311" s="64">
        <f>IF($B311="","",IFERROR(BDP($B311&amp;" Action","CP036"),""))</f>
        <v/>
      </c>
      <c r="D311" s="65">
        <f>Database!Q311</f>
        <v/>
      </c>
      <c r="E311" s="64">
        <f>IF($B311="","",IFERROR(BDP($B311&amp;" Action","CP037"),""))</f>
        <v/>
      </c>
      <c r="F311" s="65">
        <f>Database!R311</f>
        <v/>
      </c>
      <c r="G311" s="64">
        <f>IF($B311="","",IFERROR(BDP($B311&amp;" Action","GREENSHOE_FACILITY"),""))</f>
        <v/>
      </c>
      <c r="H311" s="64">
        <f>IF($B311="","",IFERROR(BDP($B311&amp;" Action","OFFERING_GREENSHOE_SHARES_EX"),""))</f>
        <v/>
      </c>
      <c r="I311" s="4">
        <f>Database!V311</f>
        <v/>
      </c>
      <c r="J311" s="21">
        <f>IFERROR(BDP(Database!$A311&amp;" HK Equity","PE_RATIO"),"")</f>
        <v/>
      </c>
      <c r="K311" s="6">
        <f>IFERROR(BDP(Database!$A311&amp;" HK Equity","A/H_SHARE_CONVERSION"),"")</f>
        <v/>
      </c>
      <c r="L311" s="4">
        <f>IF(Database!AL311="","(none found)",Database!AL311)</f>
        <v/>
      </c>
      <c r="M311" s="9">
        <f>IFERROR(BDH(Database!$A311&amp;" HK Equity","CUR_MKT_CAP",Database!$G311,Database!$G311)/1000000,"")</f>
        <v/>
      </c>
      <c r="N311" s="63">
        <f>Database!O311</f>
        <v/>
      </c>
      <c r="O311" s="21">
        <f>IFERROR(BDH(Database!$A311&amp;" HK Equity","PE_RATIO",Database!$G311,Database!$G311),"")</f>
        <v/>
      </c>
      <c r="P311" s="60">
        <f>IF(Database!AI311="","(n/m or not derivable)",Database!AI311)</f>
        <v/>
      </c>
    </row>
    <row r="312">
      <c r="A312" s="4">
        <f>Database!A312&amp;"  "&amp;Database!B312</f>
        <v/>
      </c>
      <c r="B312" s="6">
        <f>IFERROR(INDEX(BDS(Database!$A312&amp;" HK Equity","EQUITY_OFFERINGS","array=t","endcol=1"),MATCH("IPO",BDS(Database!$A312&amp;" HK Equity","EQUITY_OFFERINGS","array=t","startcol=2","endcol=2"),0)),"")</f>
        <v/>
      </c>
      <c r="C312" s="64">
        <f>IF($B312="","",IFERROR(BDP($B312&amp;" Action","CP036"),""))</f>
        <v/>
      </c>
      <c r="D312" s="65">
        <f>Database!Q312</f>
        <v/>
      </c>
      <c r="E312" s="64">
        <f>IF($B312="","",IFERROR(BDP($B312&amp;" Action","CP037"),""))</f>
        <v/>
      </c>
      <c r="F312" s="65">
        <f>Database!R312</f>
        <v/>
      </c>
      <c r="G312" s="64">
        <f>IF($B312="","",IFERROR(BDP($B312&amp;" Action","GREENSHOE_FACILITY"),""))</f>
        <v/>
      </c>
      <c r="H312" s="64">
        <f>IF($B312="","",IFERROR(BDP($B312&amp;" Action","OFFERING_GREENSHOE_SHARES_EX"),""))</f>
        <v/>
      </c>
      <c r="I312" s="4">
        <f>Database!V312</f>
        <v/>
      </c>
      <c r="J312" s="21">
        <f>IFERROR(BDP(Database!$A312&amp;" HK Equity","PE_RATIO"),"")</f>
        <v/>
      </c>
      <c r="K312" s="6">
        <f>IFERROR(BDP(Database!$A312&amp;" HK Equity","A/H_SHARE_CONVERSION"),"")</f>
        <v/>
      </c>
      <c r="L312" s="4">
        <f>IF(Database!AL312="","(none found)",Database!AL312)</f>
        <v/>
      </c>
      <c r="M312" s="9">
        <f>IFERROR(BDH(Database!$A312&amp;" HK Equity","CUR_MKT_CAP",Database!$G312,Database!$G312)/1000000,"")</f>
        <v/>
      </c>
      <c r="N312" s="63">
        <f>Database!O312</f>
        <v/>
      </c>
      <c r="O312" s="21">
        <f>IFERROR(BDH(Database!$A312&amp;" HK Equity","PE_RATIO",Database!$G312,Database!$G312),"")</f>
        <v/>
      </c>
      <c r="P312" s="60">
        <f>IF(Database!AI312="","(n/m or not derivable)",Database!AI312)</f>
        <v/>
      </c>
    </row>
    <row r="313">
      <c r="A313" s="4">
        <f>Database!A313&amp;"  "&amp;Database!B313</f>
        <v/>
      </c>
      <c r="B313" s="6">
        <f>IFERROR(INDEX(BDS(Database!$A313&amp;" HK Equity","EQUITY_OFFERINGS","array=t","endcol=1"),MATCH("IPO",BDS(Database!$A313&amp;" HK Equity","EQUITY_OFFERINGS","array=t","startcol=2","endcol=2"),0)),"")</f>
        <v/>
      </c>
      <c r="C313" s="64">
        <f>IF($B313="","",IFERROR(BDP($B313&amp;" Action","CP036"),""))</f>
        <v/>
      </c>
      <c r="D313" s="65">
        <f>Database!Q313</f>
        <v/>
      </c>
      <c r="E313" s="64">
        <f>IF($B313="","",IFERROR(BDP($B313&amp;" Action","CP037"),""))</f>
        <v/>
      </c>
      <c r="F313" s="65">
        <f>Database!R313</f>
        <v/>
      </c>
      <c r="G313" s="64">
        <f>IF($B313="","",IFERROR(BDP($B313&amp;" Action","GREENSHOE_FACILITY"),""))</f>
        <v/>
      </c>
      <c r="H313" s="64">
        <f>IF($B313="","",IFERROR(BDP($B313&amp;" Action","OFFERING_GREENSHOE_SHARES_EX"),""))</f>
        <v/>
      </c>
      <c r="I313" s="4">
        <f>Database!V313</f>
        <v/>
      </c>
      <c r="J313" s="21">
        <f>IFERROR(BDP(Database!$A313&amp;" HK Equity","PE_RATIO"),"")</f>
        <v/>
      </c>
      <c r="K313" s="6">
        <f>IFERROR(BDP(Database!$A313&amp;" HK Equity","A/H_SHARE_CONVERSION"),"")</f>
        <v/>
      </c>
      <c r="L313" s="4">
        <f>IF(Database!AL313="","(none found)",Database!AL313)</f>
        <v/>
      </c>
      <c r="M313" s="9">
        <f>IFERROR(BDH(Database!$A313&amp;" HK Equity","CUR_MKT_CAP",Database!$G313,Database!$G313)/1000000,"")</f>
        <v/>
      </c>
      <c r="N313" s="63">
        <f>Database!O313</f>
        <v/>
      </c>
      <c r="O313" s="21">
        <f>IFERROR(BDH(Database!$A313&amp;" HK Equity","PE_RATIO",Database!$G313,Database!$G313),"")</f>
        <v/>
      </c>
      <c r="P313" s="60">
        <f>IF(Database!AI313="","(n/m or not derivable)",Database!AI313)</f>
        <v/>
      </c>
    </row>
    <row r="314">
      <c r="A314" s="4">
        <f>Database!A314&amp;"  "&amp;Database!B314</f>
        <v/>
      </c>
      <c r="B314" s="6">
        <f>IFERROR(INDEX(BDS(Database!$A314&amp;" HK Equity","EQUITY_OFFERINGS","array=t","endcol=1"),MATCH("IPO",BDS(Database!$A314&amp;" HK Equity","EQUITY_OFFERINGS","array=t","startcol=2","endcol=2"),0)),"")</f>
        <v/>
      </c>
      <c r="C314" s="64">
        <f>IF($B314="","",IFERROR(BDP($B314&amp;" Action","CP036"),""))</f>
        <v/>
      </c>
      <c r="D314" s="65">
        <f>Database!Q314</f>
        <v/>
      </c>
      <c r="E314" s="64">
        <f>IF($B314="","",IFERROR(BDP($B314&amp;" Action","CP037"),""))</f>
        <v/>
      </c>
      <c r="F314" s="65">
        <f>Database!R314</f>
        <v/>
      </c>
      <c r="G314" s="64">
        <f>IF($B314="","",IFERROR(BDP($B314&amp;" Action","GREENSHOE_FACILITY"),""))</f>
        <v/>
      </c>
      <c r="H314" s="64">
        <f>IF($B314="","",IFERROR(BDP($B314&amp;" Action","OFFERING_GREENSHOE_SHARES_EX"),""))</f>
        <v/>
      </c>
      <c r="I314" s="4">
        <f>Database!V314</f>
        <v/>
      </c>
      <c r="J314" s="21">
        <f>IFERROR(BDP(Database!$A314&amp;" HK Equity","PE_RATIO"),"")</f>
        <v/>
      </c>
      <c r="K314" s="6">
        <f>IFERROR(BDP(Database!$A314&amp;" HK Equity","A/H_SHARE_CONVERSION"),"")</f>
        <v/>
      </c>
      <c r="L314" s="4">
        <f>IF(Database!AL314="","(none found)",Database!AL314)</f>
        <v/>
      </c>
      <c r="M314" s="9">
        <f>IFERROR(BDH(Database!$A314&amp;" HK Equity","CUR_MKT_CAP",Database!$G314,Database!$G314)/1000000,"")</f>
        <v/>
      </c>
      <c r="N314" s="63">
        <f>Database!O314</f>
        <v/>
      </c>
      <c r="O314" s="21">
        <f>IFERROR(BDH(Database!$A314&amp;" HK Equity","PE_RATIO",Database!$G314,Database!$G314),"")</f>
        <v/>
      </c>
      <c r="P314" s="60">
        <f>IF(Database!AI314="","(n/m or not derivable)",Database!AI314)</f>
        <v/>
      </c>
    </row>
    <row r="315">
      <c r="A315" s="4">
        <f>Database!A315&amp;"  "&amp;Database!B315</f>
        <v/>
      </c>
      <c r="B315" s="6">
        <f>IFERROR(INDEX(BDS(Database!$A315&amp;" HK Equity","EQUITY_OFFERINGS","array=t","endcol=1"),MATCH("IPO",BDS(Database!$A315&amp;" HK Equity","EQUITY_OFFERINGS","array=t","startcol=2","endcol=2"),0)),"")</f>
        <v/>
      </c>
      <c r="C315" s="64">
        <f>IF($B315="","",IFERROR(BDP($B315&amp;" Action","CP036"),""))</f>
        <v/>
      </c>
      <c r="D315" s="65">
        <f>Database!Q315</f>
        <v/>
      </c>
      <c r="E315" s="64">
        <f>IF($B315="","",IFERROR(BDP($B315&amp;" Action","CP037"),""))</f>
        <v/>
      </c>
      <c r="F315" s="65">
        <f>Database!R315</f>
        <v/>
      </c>
      <c r="G315" s="64">
        <f>IF($B315="","",IFERROR(BDP($B315&amp;" Action","GREENSHOE_FACILITY"),""))</f>
        <v/>
      </c>
      <c r="H315" s="64">
        <f>IF($B315="","",IFERROR(BDP($B315&amp;" Action","OFFERING_GREENSHOE_SHARES_EX"),""))</f>
        <v/>
      </c>
      <c r="I315" s="4">
        <f>Database!V315</f>
        <v/>
      </c>
      <c r="J315" s="21">
        <f>IFERROR(BDP(Database!$A315&amp;" HK Equity","PE_RATIO"),"")</f>
        <v/>
      </c>
      <c r="K315" s="6">
        <f>IFERROR(BDP(Database!$A315&amp;" HK Equity","A/H_SHARE_CONVERSION"),"")</f>
        <v/>
      </c>
      <c r="L315" s="4">
        <f>IF(Database!AL315="","(none found)",Database!AL315)</f>
        <v/>
      </c>
      <c r="M315" s="9">
        <f>IFERROR(BDH(Database!$A315&amp;" HK Equity","CUR_MKT_CAP",Database!$G315,Database!$G315)/1000000,"")</f>
        <v/>
      </c>
      <c r="N315" s="63">
        <f>Database!O315</f>
        <v/>
      </c>
      <c r="O315" s="21">
        <f>IFERROR(BDH(Database!$A315&amp;" HK Equity","PE_RATIO",Database!$G315,Database!$G315),"")</f>
        <v/>
      </c>
      <c r="P315" s="60">
        <f>IF(Database!AI315="","(n/m or not derivable)",Database!AI315)</f>
        <v/>
      </c>
    </row>
    <row r="316">
      <c r="A316" s="4">
        <f>Database!A316&amp;"  "&amp;Database!B316</f>
        <v/>
      </c>
      <c r="B316" s="6">
        <f>IFERROR(INDEX(BDS(Database!$A316&amp;" HK Equity","EQUITY_OFFERINGS","array=t","endcol=1"),MATCH("IPO",BDS(Database!$A316&amp;" HK Equity","EQUITY_OFFERINGS","array=t","startcol=2","endcol=2"),0)),"")</f>
        <v/>
      </c>
      <c r="C316" s="64">
        <f>IF($B316="","",IFERROR(BDP($B316&amp;" Action","CP036"),""))</f>
        <v/>
      </c>
      <c r="D316" s="65">
        <f>Database!Q316</f>
        <v/>
      </c>
      <c r="E316" s="64">
        <f>IF($B316="","",IFERROR(BDP($B316&amp;" Action","CP037"),""))</f>
        <v/>
      </c>
      <c r="F316" s="65">
        <f>Database!R316</f>
        <v/>
      </c>
      <c r="G316" s="64">
        <f>IF($B316="","",IFERROR(BDP($B316&amp;" Action","GREENSHOE_FACILITY"),""))</f>
        <v/>
      </c>
      <c r="H316" s="64">
        <f>IF($B316="","",IFERROR(BDP($B316&amp;" Action","OFFERING_GREENSHOE_SHARES_EX"),""))</f>
        <v/>
      </c>
      <c r="I316" s="4">
        <f>Database!V316</f>
        <v/>
      </c>
      <c r="J316" s="21">
        <f>IFERROR(BDP(Database!$A316&amp;" HK Equity","PE_RATIO"),"")</f>
        <v/>
      </c>
      <c r="K316" s="6">
        <f>IFERROR(BDP(Database!$A316&amp;" HK Equity","A/H_SHARE_CONVERSION"),"")</f>
        <v/>
      </c>
      <c r="L316" s="4">
        <f>IF(Database!AL316="","(none found)",Database!AL316)</f>
        <v/>
      </c>
      <c r="M316" s="9">
        <f>IFERROR(BDH(Database!$A316&amp;" HK Equity","CUR_MKT_CAP",Database!$G316,Database!$G316)/1000000,"")</f>
        <v/>
      </c>
      <c r="N316" s="63">
        <f>Database!O316</f>
        <v/>
      </c>
      <c r="O316" s="21">
        <f>IFERROR(BDH(Database!$A316&amp;" HK Equity","PE_RATIO",Database!$G316,Database!$G316),"")</f>
        <v/>
      </c>
      <c r="P316" s="60">
        <f>IF(Database!AI316="","(n/m or not derivable)",Database!AI316)</f>
        <v/>
      </c>
    </row>
    <row r="317">
      <c r="A317" s="4">
        <f>Database!A317&amp;"  "&amp;Database!B317</f>
        <v/>
      </c>
      <c r="B317" s="6">
        <f>IFERROR(INDEX(BDS(Database!$A317&amp;" HK Equity","EQUITY_OFFERINGS","array=t","endcol=1"),MATCH("IPO",BDS(Database!$A317&amp;" HK Equity","EQUITY_OFFERINGS","array=t","startcol=2","endcol=2"),0)),"")</f>
        <v/>
      </c>
      <c r="C317" s="64">
        <f>IF($B317="","",IFERROR(BDP($B317&amp;" Action","CP036"),""))</f>
        <v/>
      </c>
      <c r="D317" s="65">
        <f>Database!Q317</f>
        <v/>
      </c>
      <c r="E317" s="64">
        <f>IF($B317="","",IFERROR(BDP($B317&amp;" Action","CP037"),""))</f>
        <v/>
      </c>
      <c r="F317" s="65">
        <f>Database!R317</f>
        <v/>
      </c>
      <c r="G317" s="64">
        <f>IF($B317="","",IFERROR(BDP($B317&amp;" Action","GREENSHOE_FACILITY"),""))</f>
        <v/>
      </c>
      <c r="H317" s="64">
        <f>IF($B317="","",IFERROR(BDP($B317&amp;" Action","OFFERING_GREENSHOE_SHARES_EX"),""))</f>
        <v/>
      </c>
      <c r="I317" s="4">
        <f>Database!V317</f>
        <v/>
      </c>
      <c r="J317" s="21">
        <f>IFERROR(BDP(Database!$A317&amp;" HK Equity","PE_RATIO"),"")</f>
        <v/>
      </c>
      <c r="K317" s="6">
        <f>IFERROR(BDP(Database!$A317&amp;" HK Equity","A/H_SHARE_CONVERSION"),"")</f>
        <v/>
      </c>
      <c r="L317" s="4">
        <f>IF(Database!AL317="","(none found)",Database!AL317)</f>
        <v/>
      </c>
      <c r="M317" s="9">
        <f>IFERROR(BDH(Database!$A317&amp;" HK Equity","CUR_MKT_CAP",Database!$G317,Database!$G317)/1000000,"")</f>
        <v/>
      </c>
      <c r="N317" s="63">
        <f>Database!O317</f>
        <v/>
      </c>
      <c r="O317" s="21">
        <f>IFERROR(BDH(Database!$A317&amp;" HK Equity","PE_RATIO",Database!$G317,Database!$G317),"")</f>
        <v/>
      </c>
      <c r="P317" s="60">
        <f>IF(Database!AI317="","(n/m or not derivable)",Database!AI317)</f>
        <v/>
      </c>
    </row>
    <row r="318">
      <c r="A318" s="4">
        <f>Database!A318&amp;"  "&amp;Database!B318</f>
        <v/>
      </c>
      <c r="B318" s="6">
        <f>IFERROR(INDEX(BDS(Database!$A318&amp;" HK Equity","EQUITY_OFFERINGS","array=t","endcol=1"),MATCH("IPO",BDS(Database!$A318&amp;" HK Equity","EQUITY_OFFERINGS","array=t","startcol=2","endcol=2"),0)),"")</f>
        <v/>
      </c>
      <c r="C318" s="64">
        <f>IF($B318="","",IFERROR(BDP($B318&amp;" Action","CP036"),""))</f>
        <v/>
      </c>
      <c r="D318" s="65">
        <f>Database!Q318</f>
        <v/>
      </c>
      <c r="E318" s="64">
        <f>IF($B318="","",IFERROR(BDP($B318&amp;" Action","CP037"),""))</f>
        <v/>
      </c>
      <c r="F318" s="65">
        <f>Database!R318</f>
        <v/>
      </c>
      <c r="G318" s="64">
        <f>IF($B318="","",IFERROR(BDP($B318&amp;" Action","GREENSHOE_FACILITY"),""))</f>
        <v/>
      </c>
      <c r="H318" s="64">
        <f>IF($B318="","",IFERROR(BDP($B318&amp;" Action","OFFERING_GREENSHOE_SHARES_EX"),""))</f>
        <v/>
      </c>
      <c r="I318" s="4">
        <f>Database!V318</f>
        <v/>
      </c>
      <c r="J318" s="21">
        <f>IFERROR(BDP(Database!$A318&amp;" HK Equity","PE_RATIO"),"")</f>
        <v/>
      </c>
      <c r="K318" s="6">
        <f>IFERROR(BDP(Database!$A318&amp;" HK Equity","A/H_SHARE_CONVERSION"),"")</f>
        <v/>
      </c>
      <c r="L318" s="4">
        <f>IF(Database!AL318="","(none found)",Database!AL318)</f>
        <v/>
      </c>
      <c r="M318" s="9">
        <f>IFERROR(BDH(Database!$A318&amp;" HK Equity","CUR_MKT_CAP",Database!$G318,Database!$G318)/1000000,"")</f>
        <v/>
      </c>
      <c r="N318" s="63">
        <f>Database!O318</f>
        <v/>
      </c>
      <c r="O318" s="21">
        <f>IFERROR(BDH(Database!$A318&amp;" HK Equity","PE_RATIO",Database!$G318,Database!$G318),"")</f>
        <v/>
      </c>
      <c r="P318" s="60">
        <f>IF(Database!AI318="","(n/m or not derivable)",Database!AI318)</f>
        <v/>
      </c>
    </row>
    <row r="319">
      <c r="A319" s="4">
        <f>Database!A319&amp;"  "&amp;Database!B319</f>
        <v/>
      </c>
      <c r="B319" s="6">
        <f>IFERROR(INDEX(BDS(Database!$A319&amp;" HK Equity","EQUITY_OFFERINGS","array=t","endcol=1"),MATCH("IPO",BDS(Database!$A319&amp;" HK Equity","EQUITY_OFFERINGS","array=t","startcol=2","endcol=2"),0)),"")</f>
        <v/>
      </c>
      <c r="C319" s="64">
        <f>IF($B319="","",IFERROR(BDP($B319&amp;" Action","CP036"),""))</f>
        <v/>
      </c>
      <c r="D319" s="65">
        <f>Database!Q319</f>
        <v/>
      </c>
      <c r="E319" s="64">
        <f>IF($B319="","",IFERROR(BDP($B319&amp;" Action","CP037"),""))</f>
        <v/>
      </c>
      <c r="F319" s="65">
        <f>Database!R319</f>
        <v/>
      </c>
      <c r="G319" s="64">
        <f>IF($B319="","",IFERROR(BDP($B319&amp;" Action","GREENSHOE_FACILITY"),""))</f>
        <v/>
      </c>
      <c r="H319" s="64">
        <f>IF($B319="","",IFERROR(BDP($B319&amp;" Action","OFFERING_GREENSHOE_SHARES_EX"),""))</f>
        <v/>
      </c>
      <c r="I319" s="4">
        <f>Database!V319</f>
        <v/>
      </c>
      <c r="J319" s="21">
        <f>IFERROR(BDP(Database!$A319&amp;" HK Equity","PE_RATIO"),"")</f>
        <v/>
      </c>
      <c r="K319" s="6">
        <f>IFERROR(BDP(Database!$A319&amp;" HK Equity","A/H_SHARE_CONVERSION"),"")</f>
        <v/>
      </c>
      <c r="L319" s="4">
        <f>IF(Database!AL319="","(none found)",Database!AL319)</f>
        <v/>
      </c>
      <c r="M319" s="9">
        <f>IFERROR(BDH(Database!$A319&amp;" HK Equity","CUR_MKT_CAP",Database!$G319,Database!$G319)/1000000,"")</f>
        <v/>
      </c>
      <c r="N319" s="63">
        <f>Database!O319</f>
        <v/>
      </c>
      <c r="O319" s="21">
        <f>IFERROR(BDH(Database!$A319&amp;" HK Equity","PE_RATIO",Database!$G319,Database!$G319),"")</f>
        <v/>
      </c>
      <c r="P319" s="60">
        <f>IF(Database!AI319="","(n/m or not derivable)",Database!AI319)</f>
        <v/>
      </c>
    </row>
    <row r="320">
      <c r="A320" s="4">
        <f>Database!A320&amp;"  "&amp;Database!B320</f>
        <v/>
      </c>
      <c r="B320" s="6">
        <f>IFERROR(INDEX(BDS(Database!$A320&amp;" HK Equity","EQUITY_OFFERINGS","array=t","endcol=1"),MATCH("IPO",BDS(Database!$A320&amp;" HK Equity","EQUITY_OFFERINGS","array=t","startcol=2","endcol=2"),0)),"")</f>
        <v/>
      </c>
      <c r="C320" s="64">
        <f>IF($B320="","",IFERROR(BDP($B320&amp;" Action","CP036"),""))</f>
        <v/>
      </c>
      <c r="D320" s="65">
        <f>Database!Q320</f>
        <v/>
      </c>
      <c r="E320" s="64">
        <f>IF($B320="","",IFERROR(BDP($B320&amp;" Action","CP037"),""))</f>
        <v/>
      </c>
      <c r="F320" s="65">
        <f>Database!R320</f>
        <v/>
      </c>
      <c r="G320" s="64">
        <f>IF($B320="","",IFERROR(BDP($B320&amp;" Action","GREENSHOE_FACILITY"),""))</f>
        <v/>
      </c>
      <c r="H320" s="64">
        <f>IF($B320="","",IFERROR(BDP($B320&amp;" Action","OFFERING_GREENSHOE_SHARES_EX"),""))</f>
        <v/>
      </c>
      <c r="I320" s="4">
        <f>Database!V320</f>
        <v/>
      </c>
      <c r="J320" s="21">
        <f>IFERROR(BDP(Database!$A320&amp;" HK Equity","PE_RATIO"),"")</f>
        <v/>
      </c>
      <c r="K320" s="6">
        <f>IFERROR(BDP(Database!$A320&amp;" HK Equity","A/H_SHARE_CONVERSION"),"")</f>
        <v/>
      </c>
      <c r="L320" s="4">
        <f>IF(Database!AL320="","(none found)",Database!AL320)</f>
        <v/>
      </c>
      <c r="M320" s="9">
        <f>IFERROR(BDH(Database!$A320&amp;" HK Equity","CUR_MKT_CAP",Database!$G320,Database!$G320)/1000000,"")</f>
        <v/>
      </c>
      <c r="N320" s="63">
        <f>Database!O320</f>
        <v/>
      </c>
      <c r="O320" s="21">
        <f>IFERROR(BDH(Database!$A320&amp;" HK Equity","PE_RATIO",Database!$G320,Database!$G320),"")</f>
        <v/>
      </c>
      <c r="P320" s="60">
        <f>IF(Database!AI320="","(n/m or not derivable)",Database!AI320)</f>
        <v/>
      </c>
    </row>
    <row r="321">
      <c r="A321" s="4">
        <f>Database!A321&amp;"  "&amp;Database!B321</f>
        <v/>
      </c>
      <c r="B321" s="6">
        <f>IFERROR(INDEX(BDS(Database!$A321&amp;" HK Equity","EQUITY_OFFERINGS","array=t","endcol=1"),MATCH("IPO",BDS(Database!$A321&amp;" HK Equity","EQUITY_OFFERINGS","array=t","startcol=2","endcol=2"),0)),"")</f>
        <v/>
      </c>
      <c r="C321" s="64">
        <f>IF($B321="","",IFERROR(BDP($B321&amp;" Action","CP036"),""))</f>
        <v/>
      </c>
      <c r="D321" s="65">
        <f>Database!Q321</f>
        <v/>
      </c>
      <c r="E321" s="64">
        <f>IF($B321="","",IFERROR(BDP($B321&amp;" Action","CP037"),""))</f>
        <v/>
      </c>
      <c r="F321" s="65">
        <f>Database!R321</f>
        <v/>
      </c>
      <c r="G321" s="64">
        <f>IF($B321="","",IFERROR(BDP($B321&amp;" Action","GREENSHOE_FACILITY"),""))</f>
        <v/>
      </c>
      <c r="H321" s="64">
        <f>IF($B321="","",IFERROR(BDP($B321&amp;" Action","OFFERING_GREENSHOE_SHARES_EX"),""))</f>
        <v/>
      </c>
      <c r="I321" s="4">
        <f>Database!V321</f>
        <v/>
      </c>
      <c r="J321" s="21">
        <f>IFERROR(BDP(Database!$A321&amp;" HK Equity","PE_RATIO"),"")</f>
        <v/>
      </c>
      <c r="K321" s="6">
        <f>IFERROR(BDP(Database!$A321&amp;" HK Equity","A/H_SHARE_CONVERSION"),"")</f>
        <v/>
      </c>
      <c r="L321" s="4">
        <f>IF(Database!AL321="","(none found)",Database!AL321)</f>
        <v/>
      </c>
      <c r="M321" s="9">
        <f>IFERROR(BDH(Database!$A321&amp;" HK Equity","CUR_MKT_CAP",Database!$G321,Database!$G321)/1000000,"")</f>
        <v/>
      </c>
      <c r="N321" s="63">
        <f>Database!O321</f>
        <v/>
      </c>
      <c r="O321" s="21">
        <f>IFERROR(BDH(Database!$A321&amp;" HK Equity","PE_RATIO",Database!$G321,Database!$G321),"")</f>
        <v/>
      </c>
      <c r="P321" s="60">
        <f>IF(Database!AI321="","(n/m or not derivable)",Database!AI321)</f>
        <v/>
      </c>
    </row>
    <row r="322">
      <c r="A322" s="4">
        <f>Database!A322&amp;"  "&amp;Database!B322</f>
        <v/>
      </c>
      <c r="B322" s="6">
        <f>IFERROR(INDEX(BDS(Database!$A322&amp;" HK Equity","EQUITY_OFFERINGS","array=t","endcol=1"),MATCH("IPO",BDS(Database!$A322&amp;" HK Equity","EQUITY_OFFERINGS","array=t","startcol=2","endcol=2"),0)),"")</f>
        <v/>
      </c>
      <c r="C322" s="64">
        <f>IF($B322="","",IFERROR(BDP($B322&amp;" Action","CP036"),""))</f>
        <v/>
      </c>
      <c r="D322" s="65">
        <f>Database!Q322</f>
        <v/>
      </c>
      <c r="E322" s="64">
        <f>IF($B322="","",IFERROR(BDP($B322&amp;" Action","CP037"),""))</f>
        <v/>
      </c>
      <c r="F322" s="65">
        <f>Database!R322</f>
        <v/>
      </c>
      <c r="G322" s="64">
        <f>IF($B322="","",IFERROR(BDP($B322&amp;" Action","GREENSHOE_FACILITY"),""))</f>
        <v/>
      </c>
      <c r="H322" s="64">
        <f>IF($B322="","",IFERROR(BDP($B322&amp;" Action","OFFERING_GREENSHOE_SHARES_EX"),""))</f>
        <v/>
      </c>
      <c r="I322" s="4">
        <f>Database!V322</f>
        <v/>
      </c>
      <c r="J322" s="21">
        <f>IFERROR(BDP(Database!$A322&amp;" HK Equity","PE_RATIO"),"")</f>
        <v/>
      </c>
      <c r="K322" s="6">
        <f>IFERROR(BDP(Database!$A322&amp;" HK Equity","A/H_SHARE_CONVERSION"),"")</f>
        <v/>
      </c>
      <c r="L322" s="4">
        <f>IF(Database!AL322="","(none found)",Database!AL322)</f>
        <v/>
      </c>
      <c r="M322" s="9">
        <f>IFERROR(BDH(Database!$A322&amp;" HK Equity","CUR_MKT_CAP",Database!$G322,Database!$G322)/1000000,"")</f>
        <v/>
      </c>
      <c r="N322" s="63">
        <f>Database!O322</f>
        <v/>
      </c>
      <c r="O322" s="21">
        <f>IFERROR(BDH(Database!$A322&amp;" HK Equity","PE_RATIO",Database!$G322,Database!$G322),"")</f>
        <v/>
      </c>
      <c r="P322" s="60">
        <f>IF(Database!AI322="","(n/m or not derivable)",Database!AI322)</f>
        <v/>
      </c>
    </row>
    <row r="323">
      <c r="A323" s="4">
        <f>Database!A323&amp;"  "&amp;Database!B323</f>
        <v/>
      </c>
      <c r="B323" s="6">
        <f>IFERROR(INDEX(BDS(Database!$A323&amp;" HK Equity","EQUITY_OFFERINGS","array=t","endcol=1"),MATCH("IPO",BDS(Database!$A323&amp;" HK Equity","EQUITY_OFFERINGS","array=t","startcol=2","endcol=2"),0)),"")</f>
        <v/>
      </c>
      <c r="C323" s="64">
        <f>IF($B323="","",IFERROR(BDP($B323&amp;" Action","CP036"),""))</f>
        <v/>
      </c>
      <c r="D323" s="65">
        <f>Database!Q323</f>
        <v/>
      </c>
      <c r="E323" s="64">
        <f>IF($B323="","",IFERROR(BDP($B323&amp;" Action","CP037"),""))</f>
        <v/>
      </c>
      <c r="F323" s="65">
        <f>Database!R323</f>
        <v/>
      </c>
      <c r="G323" s="64">
        <f>IF($B323="","",IFERROR(BDP($B323&amp;" Action","GREENSHOE_FACILITY"),""))</f>
        <v/>
      </c>
      <c r="H323" s="64">
        <f>IF($B323="","",IFERROR(BDP($B323&amp;" Action","OFFERING_GREENSHOE_SHARES_EX"),""))</f>
        <v/>
      </c>
      <c r="I323" s="4">
        <f>Database!V323</f>
        <v/>
      </c>
      <c r="J323" s="21">
        <f>IFERROR(BDP(Database!$A323&amp;" HK Equity","PE_RATIO"),"")</f>
        <v/>
      </c>
      <c r="K323" s="6">
        <f>IFERROR(BDP(Database!$A323&amp;" HK Equity","A/H_SHARE_CONVERSION"),"")</f>
        <v/>
      </c>
      <c r="L323" s="4">
        <f>IF(Database!AL323="","(none found)",Database!AL323)</f>
        <v/>
      </c>
      <c r="M323" s="9">
        <f>IFERROR(BDH(Database!$A323&amp;" HK Equity","CUR_MKT_CAP",Database!$G323,Database!$G323)/1000000,"")</f>
        <v/>
      </c>
      <c r="N323" s="63">
        <f>Database!O323</f>
        <v/>
      </c>
      <c r="O323" s="21">
        <f>IFERROR(BDH(Database!$A323&amp;" HK Equity","PE_RATIO",Database!$G323,Database!$G323),"")</f>
        <v/>
      </c>
      <c r="P323" s="60">
        <f>IF(Database!AI323="","(n/m or not derivable)",Database!AI323)</f>
        <v/>
      </c>
    </row>
    <row r="324">
      <c r="A324" s="4">
        <f>Database!A324&amp;"  "&amp;Database!B324</f>
        <v/>
      </c>
      <c r="B324" s="6">
        <f>IFERROR(INDEX(BDS(Database!$A324&amp;" HK Equity","EQUITY_OFFERINGS","array=t","endcol=1"),MATCH("IPO",BDS(Database!$A324&amp;" HK Equity","EQUITY_OFFERINGS","array=t","startcol=2","endcol=2"),0)),"")</f>
        <v/>
      </c>
      <c r="C324" s="64">
        <f>IF($B324="","",IFERROR(BDP($B324&amp;" Action","CP036"),""))</f>
        <v/>
      </c>
      <c r="D324" s="65">
        <f>Database!Q324</f>
        <v/>
      </c>
      <c r="E324" s="64">
        <f>IF($B324="","",IFERROR(BDP($B324&amp;" Action","CP037"),""))</f>
        <v/>
      </c>
      <c r="F324" s="65">
        <f>Database!R324</f>
        <v/>
      </c>
      <c r="G324" s="64">
        <f>IF($B324="","",IFERROR(BDP($B324&amp;" Action","GREENSHOE_FACILITY"),""))</f>
        <v/>
      </c>
      <c r="H324" s="64">
        <f>IF($B324="","",IFERROR(BDP($B324&amp;" Action","OFFERING_GREENSHOE_SHARES_EX"),""))</f>
        <v/>
      </c>
      <c r="I324" s="4">
        <f>Database!V324</f>
        <v/>
      </c>
      <c r="J324" s="21">
        <f>IFERROR(BDP(Database!$A324&amp;" HK Equity","PE_RATIO"),"")</f>
        <v/>
      </c>
      <c r="K324" s="6">
        <f>IFERROR(BDP(Database!$A324&amp;" HK Equity","A/H_SHARE_CONVERSION"),"")</f>
        <v/>
      </c>
      <c r="L324" s="4">
        <f>IF(Database!AL324="","(none found)",Database!AL324)</f>
        <v/>
      </c>
      <c r="M324" s="9">
        <f>IFERROR(BDH(Database!$A324&amp;" HK Equity","CUR_MKT_CAP",Database!$G324,Database!$G324)/1000000,"")</f>
        <v/>
      </c>
      <c r="N324" s="63">
        <f>Database!O324</f>
        <v/>
      </c>
      <c r="O324" s="21">
        <f>IFERROR(BDH(Database!$A324&amp;" HK Equity","PE_RATIO",Database!$G324,Database!$G324),"")</f>
        <v/>
      </c>
      <c r="P324" s="60">
        <f>IF(Database!AI324="","(n/m or not derivable)",Database!AI324)</f>
        <v/>
      </c>
    </row>
    <row r="325">
      <c r="A325" s="4">
        <f>Database!A325&amp;"  "&amp;Database!B325</f>
        <v/>
      </c>
      <c r="B325" s="6">
        <f>IFERROR(INDEX(BDS(Database!$A325&amp;" HK Equity","EQUITY_OFFERINGS","array=t","endcol=1"),MATCH("IPO",BDS(Database!$A325&amp;" HK Equity","EQUITY_OFFERINGS","array=t","startcol=2","endcol=2"),0)),"")</f>
        <v/>
      </c>
      <c r="C325" s="64">
        <f>IF($B325="","",IFERROR(BDP($B325&amp;" Action","CP036"),""))</f>
        <v/>
      </c>
      <c r="D325" s="65">
        <f>Database!Q325</f>
        <v/>
      </c>
      <c r="E325" s="64">
        <f>IF($B325="","",IFERROR(BDP($B325&amp;" Action","CP037"),""))</f>
        <v/>
      </c>
      <c r="F325" s="65">
        <f>Database!R325</f>
        <v/>
      </c>
      <c r="G325" s="64">
        <f>IF($B325="","",IFERROR(BDP($B325&amp;" Action","GREENSHOE_FACILITY"),""))</f>
        <v/>
      </c>
      <c r="H325" s="64">
        <f>IF($B325="","",IFERROR(BDP($B325&amp;" Action","OFFERING_GREENSHOE_SHARES_EX"),""))</f>
        <v/>
      </c>
      <c r="I325" s="4">
        <f>Database!V325</f>
        <v/>
      </c>
      <c r="J325" s="21">
        <f>IFERROR(BDP(Database!$A325&amp;" HK Equity","PE_RATIO"),"")</f>
        <v/>
      </c>
      <c r="K325" s="6">
        <f>IFERROR(BDP(Database!$A325&amp;" HK Equity","A/H_SHARE_CONVERSION"),"")</f>
        <v/>
      </c>
      <c r="L325" s="4">
        <f>IF(Database!AL325="","(none found)",Database!AL325)</f>
        <v/>
      </c>
      <c r="M325" s="9">
        <f>IFERROR(BDH(Database!$A325&amp;" HK Equity","CUR_MKT_CAP",Database!$G325,Database!$G325)/1000000,"")</f>
        <v/>
      </c>
      <c r="N325" s="63">
        <f>Database!O325</f>
        <v/>
      </c>
      <c r="O325" s="21">
        <f>IFERROR(BDH(Database!$A325&amp;" HK Equity","PE_RATIO",Database!$G325,Database!$G325),"")</f>
        <v/>
      </c>
      <c r="P325" s="60">
        <f>IF(Database!AI325="","(n/m or not derivable)",Database!AI325)</f>
        <v/>
      </c>
    </row>
    <row r="326">
      <c r="A326" s="4">
        <f>Database!A326&amp;"  "&amp;Database!B326</f>
        <v/>
      </c>
      <c r="B326" s="6">
        <f>IFERROR(INDEX(BDS(Database!$A326&amp;" HK Equity","EQUITY_OFFERINGS","array=t","endcol=1"),MATCH("IPO",BDS(Database!$A326&amp;" HK Equity","EQUITY_OFFERINGS","array=t","startcol=2","endcol=2"),0)),"")</f>
        <v/>
      </c>
      <c r="C326" s="64">
        <f>IF($B326="","",IFERROR(BDP($B326&amp;" Action","CP036"),""))</f>
        <v/>
      </c>
      <c r="D326" s="65">
        <f>Database!Q326</f>
        <v/>
      </c>
      <c r="E326" s="64">
        <f>IF($B326="","",IFERROR(BDP($B326&amp;" Action","CP037"),""))</f>
        <v/>
      </c>
      <c r="F326" s="65">
        <f>Database!R326</f>
        <v/>
      </c>
      <c r="G326" s="64">
        <f>IF($B326="","",IFERROR(BDP($B326&amp;" Action","GREENSHOE_FACILITY"),""))</f>
        <v/>
      </c>
      <c r="H326" s="64">
        <f>IF($B326="","",IFERROR(BDP($B326&amp;" Action","OFFERING_GREENSHOE_SHARES_EX"),""))</f>
        <v/>
      </c>
      <c r="I326" s="4">
        <f>Database!V326</f>
        <v/>
      </c>
      <c r="J326" s="21">
        <f>IFERROR(BDP(Database!$A326&amp;" HK Equity","PE_RATIO"),"")</f>
        <v/>
      </c>
      <c r="K326" s="6">
        <f>IFERROR(BDP(Database!$A326&amp;" HK Equity","A/H_SHARE_CONVERSION"),"")</f>
        <v/>
      </c>
      <c r="L326" s="4">
        <f>IF(Database!AL326="","(none found)",Database!AL326)</f>
        <v/>
      </c>
      <c r="M326" s="9">
        <f>IFERROR(BDH(Database!$A326&amp;" HK Equity","CUR_MKT_CAP",Database!$G326,Database!$G326)/1000000,"")</f>
        <v/>
      </c>
      <c r="N326" s="63">
        <f>Database!O326</f>
        <v/>
      </c>
      <c r="O326" s="21">
        <f>IFERROR(BDH(Database!$A326&amp;" HK Equity","PE_RATIO",Database!$G326,Database!$G326),"")</f>
        <v/>
      </c>
      <c r="P326" s="60">
        <f>IF(Database!AI326="","(n/m or not derivable)",Database!AI326)</f>
        <v/>
      </c>
    </row>
    <row r="327">
      <c r="A327" s="4">
        <f>Database!A327&amp;"  "&amp;Database!B327</f>
        <v/>
      </c>
      <c r="B327" s="6">
        <f>IFERROR(INDEX(BDS(Database!$A327&amp;" HK Equity","EQUITY_OFFERINGS","array=t","endcol=1"),MATCH("IPO",BDS(Database!$A327&amp;" HK Equity","EQUITY_OFFERINGS","array=t","startcol=2","endcol=2"),0)),"")</f>
        <v/>
      </c>
      <c r="C327" s="64">
        <f>IF($B327="","",IFERROR(BDP($B327&amp;" Action","CP036"),""))</f>
        <v/>
      </c>
      <c r="D327" s="65">
        <f>Database!Q327</f>
        <v/>
      </c>
      <c r="E327" s="64">
        <f>IF($B327="","",IFERROR(BDP($B327&amp;" Action","CP037"),""))</f>
        <v/>
      </c>
      <c r="F327" s="65">
        <f>Database!R327</f>
        <v/>
      </c>
      <c r="G327" s="64">
        <f>IF($B327="","",IFERROR(BDP($B327&amp;" Action","GREENSHOE_FACILITY"),""))</f>
        <v/>
      </c>
      <c r="H327" s="64">
        <f>IF($B327="","",IFERROR(BDP($B327&amp;" Action","OFFERING_GREENSHOE_SHARES_EX"),""))</f>
        <v/>
      </c>
      <c r="I327" s="4">
        <f>Database!V327</f>
        <v/>
      </c>
      <c r="J327" s="21">
        <f>IFERROR(BDP(Database!$A327&amp;" HK Equity","PE_RATIO"),"")</f>
        <v/>
      </c>
      <c r="K327" s="6">
        <f>IFERROR(BDP(Database!$A327&amp;" HK Equity","A/H_SHARE_CONVERSION"),"")</f>
        <v/>
      </c>
      <c r="L327" s="4">
        <f>IF(Database!AL327="","(none found)",Database!AL327)</f>
        <v/>
      </c>
      <c r="M327" s="9">
        <f>IFERROR(BDH(Database!$A327&amp;" HK Equity","CUR_MKT_CAP",Database!$G327,Database!$G327)/1000000,"")</f>
        <v/>
      </c>
      <c r="N327" s="63">
        <f>Database!O327</f>
        <v/>
      </c>
      <c r="O327" s="21">
        <f>IFERROR(BDH(Database!$A327&amp;" HK Equity","PE_RATIO",Database!$G327,Database!$G327),"")</f>
        <v/>
      </c>
      <c r="P327" s="60">
        <f>IF(Database!AI327="","(n/m or not derivable)",Database!AI327)</f>
        <v/>
      </c>
    </row>
    <row r="328">
      <c r="A328" s="4">
        <f>Database!A328&amp;"  "&amp;Database!B328</f>
        <v/>
      </c>
      <c r="B328" s="6">
        <f>IFERROR(INDEX(BDS(Database!$A328&amp;" HK Equity","EQUITY_OFFERINGS","array=t","endcol=1"),MATCH("IPO",BDS(Database!$A328&amp;" HK Equity","EQUITY_OFFERINGS","array=t","startcol=2","endcol=2"),0)),"")</f>
        <v/>
      </c>
      <c r="C328" s="64">
        <f>IF($B328="","",IFERROR(BDP($B328&amp;" Action","CP036"),""))</f>
        <v/>
      </c>
      <c r="D328" s="65">
        <f>Database!Q328</f>
        <v/>
      </c>
      <c r="E328" s="64">
        <f>IF($B328="","",IFERROR(BDP($B328&amp;" Action","CP037"),""))</f>
        <v/>
      </c>
      <c r="F328" s="65">
        <f>Database!R328</f>
        <v/>
      </c>
      <c r="G328" s="64">
        <f>IF($B328="","",IFERROR(BDP($B328&amp;" Action","GREENSHOE_FACILITY"),""))</f>
        <v/>
      </c>
      <c r="H328" s="64">
        <f>IF($B328="","",IFERROR(BDP($B328&amp;" Action","OFFERING_GREENSHOE_SHARES_EX"),""))</f>
        <v/>
      </c>
      <c r="I328" s="4">
        <f>Database!V328</f>
        <v/>
      </c>
      <c r="J328" s="21">
        <f>IFERROR(BDP(Database!$A328&amp;" HK Equity","PE_RATIO"),"")</f>
        <v/>
      </c>
      <c r="K328" s="6">
        <f>IFERROR(BDP(Database!$A328&amp;" HK Equity","A/H_SHARE_CONVERSION"),"")</f>
        <v/>
      </c>
      <c r="L328" s="4">
        <f>IF(Database!AL328="","(none found)",Database!AL328)</f>
        <v/>
      </c>
      <c r="M328" s="9">
        <f>IFERROR(BDH(Database!$A328&amp;" HK Equity","CUR_MKT_CAP",Database!$G328,Database!$G328)/1000000,"")</f>
        <v/>
      </c>
      <c r="N328" s="63">
        <f>Database!O328</f>
        <v/>
      </c>
      <c r="O328" s="21">
        <f>IFERROR(BDH(Database!$A328&amp;" HK Equity","PE_RATIO",Database!$G328,Database!$G328),"")</f>
        <v/>
      </c>
      <c r="P328" s="60">
        <f>IF(Database!AI328="","(n/m or not derivable)",Database!AI328)</f>
        <v/>
      </c>
    </row>
    <row r="329">
      <c r="A329" s="4">
        <f>Database!A329&amp;"  "&amp;Database!B329</f>
        <v/>
      </c>
      <c r="B329" s="6">
        <f>IFERROR(INDEX(BDS(Database!$A329&amp;" HK Equity","EQUITY_OFFERINGS","array=t","endcol=1"),MATCH("IPO",BDS(Database!$A329&amp;" HK Equity","EQUITY_OFFERINGS","array=t","startcol=2","endcol=2"),0)),"")</f>
        <v/>
      </c>
      <c r="C329" s="64">
        <f>IF($B329="","",IFERROR(BDP($B329&amp;" Action","CP036"),""))</f>
        <v/>
      </c>
      <c r="D329" s="65">
        <f>Database!Q329</f>
        <v/>
      </c>
      <c r="E329" s="64">
        <f>IF($B329="","",IFERROR(BDP($B329&amp;" Action","CP037"),""))</f>
        <v/>
      </c>
      <c r="F329" s="65">
        <f>Database!R329</f>
        <v/>
      </c>
      <c r="G329" s="64">
        <f>IF($B329="","",IFERROR(BDP($B329&amp;" Action","GREENSHOE_FACILITY"),""))</f>
        <v/>
      </c>
      <c r="H329" s="64">
        <f>IF($B329="","",IFERROR(BDP($B329&amp;" Action","OFFERING_GREENSHOE_SHARES_EX"),""))</f>
        <v/>
      </c>
      <c r="I329" s="4">
        <f>Database!V329</f>
        <v/>
      </c>
      <c r="J329" s="21">
        <f>IFERROR(BDP(Database!$A329&amp;" HK Equity","PE_RATIO"),"")</f>
        <v/>
      </c>
      <c r="K329" s="6">
        <f>IFERROR(BDP(Database!$A329&amp;" HK Equity","A/H_SHARE_CONVERSION"),"")</f>
        <v/>
      </c>
      <c r="L329" s="4">
        <f>IF(Database!AL329="","(none found)",Database!AL329)</f>
        <v/>
      </c>
      <c r="M329" s="9">
        <f>IFERROR(BDH(Database!$A329&amp;" HK Equity","CUR_MKT_CAP",Database!$G329,Database!$G329)/1000000,"")</f>
        <v/>
      </c>
      <c r="N329" s="63">
        <f>Database!O329</f>
        <v/>
      </c>
      <c r="O329" s="21">
        <f>IFERROR(BDH(Database!$A329&amp;" HK Equity","PE_RATIO",Database!$G329,Database!$G329),"")</f>
        <v/>
      </c>
      <c r="P329" s="60">
        <f>IF(Database!AI329="","(n/m or not derivable)",Database!AI329)</f>
        <v/>
      </c>
    </row>
    <row r="330">
      <c r="A330" s="4">
        <f>Database!A330&amp;"  "&amp;Database!B330</f>
        <v/>
      </c>
      <c r="B330" s="6">
        <f>IFERROR(INDEX(BDS(Database!$A330&amp;" HK Equity","EQUITY_OFFERINGS","array=t","endcol=1"),MATCH("IPO",BDS(Database!$A330&amp;" HK Equity","EQUITY_OFFERINGS","array=t","startcol=2","endcol=2"),0)),"")</f>
        <v/>
      </c>
      <c r="C330" s="64">
        <f>IF($B330="","",IFERROR(BDP($B330&amp;" Action","CP036"),""))</f>
        <v/>
      </c>
      <c r="D330" s="65">
        <f>Database!Q330</f>
        <v/>
      </c>
      <c r="E330" s="64">
        <f>IF($B330="","",IFERROR(BDP($B330&amp;" Action","CP037"),""))</f>
        <v/>
      </c>
      <c r="F330" s="65">
        <f>Database!R330</f>
        <v/>
      </c>
      <c r="G330" s="64">
        <f>IF($B330="","",IFERROR(BDP($B330&amp;" Action","GREENSHOE_FACILITY"),""))</f>
        <v/>
      </c>
      <c r="H330" s="64">
        <f>IF($B330="","",IFERROR(BDP($B330&amp;" Action","OFFERING_GREENSHOE_SHARES_EX"),""))</f>
        <v/>
      </c>
      <c r="I330" s="4">
        <f>Database!V330</f>
        <v/>
      </c>
      <c r="J330" s="21">
        <f>IFERROR(BDP(Database!$A330&amp;" HK Equity","PE_RATIO"),"")</f>
        <v/>
      </c>
      <c r="K330" s="6">
        <f>IFERROR(BDP(Database!$A330&amp;" HK Equity","A/H_SHARE_CONVERSION"),"")</f>
        <v/>
      </c>
      <c r="L330" s="4">
        <f>IF(Database!AL330="","(none found)",Database!AL330)</f>
        <v/>
      </c>
      <c r="M330" s="9">
        <f>IFERROR(BDH(Database!$A330&amp;" HK Equity","CUR_MKT_CAP",Database!$G330,Database!$G330)/1000000,"")</f>
        <v/>
      </c>
      <c r="N330" s="63">
        <f>Database!O330</f>
        <v/>
      </c>
      <c r="O330" s="21">
        <f>IFERROR(BDH(Database!$A330&amp;" HK Equity","PE_RATIO",Database!$G330,Database!$G330),"")</f>
        <v/>
      </c>
      <c r="P330" s="60">
        <f>IF(Database!AI330="","(n/m or not derivable)",Database!AI330)</f>
        <v/>
      </c>
    </row>
    <row r="331">
      <c r="A331" s="4">
        <f>Database!A331&amp;"  "&amp;Database!B331</f>
        <v/>
      </c>
      <c r="B331" s="6">
        <f>IFERROR(INDEX(BDS(Database!$A331&amp;" HK Equity","EQUITY_OFFERINGS","array=t","endcol=1"),MATCH("IPO",BDS(Database!$A331&amp;" HK Equity","EQUITY_OFFERINGS","array=t","startcol=2","endcol=2"),0)),"")</f>
        <v/>
      </c>
      <c r="C331" s="64">
        <f>IF($B331="","",IFERROR(BDP($B331&amp;" Action","CP036"),""))</f>
        <v/>
      </c>
      <c r="D331" s="65">
        <f>Database!Q331</f>
        <v/>
      </c>
      <c r="E331" s="64">
        <f>IF($B331="","",IFERROR(BDP($B331&amp;" Action","CP037"),""))</f>
        <v/>
      </c>
      <c r="F331" s="65">
        <f>Database!R331</f>
        <v/>
      </c>
      <c r="G331" s="64">
        <f>IF($B331="","",IFERROR(BDP($B331&amp;" Action","GREENSHOE_FACILITY"),""))</f>
        <v/>
      </c>
      <c r="H331" s="64">
        <f>IF($B331="","",IFERROR(BDP($B331&amp;" Action","OFFERING_GREENSHOE_SHARES_EX"),""))</f>
        <v/>
      </c>
      <c r="I331" s="4">
        <f>Database!V331</f>
        <v/>
      </c>
      <c r="J331" s="21">
        <f>IFERROR(BDP(Database!$A331&amp;" HK Equity","PE_RATIO"),"")</f>
        <v/>
      </c>
      <c r="K331" s="6">
        <f>IFERROR(BDP(Database!$A331&amp;" HK Equity","A/H_SHARE_CONVERSION"),"")</f>
        <v/>
      </c>
      <c r="L331" s="4">
        <f>IF(Database!AL331="","(none found)",Database!AL331)</f>
        <v/>
      </c>
      <c r="M331" s="9">
        <f>IFERROR(BDH(Database!$A331&amp;" HK Equity","CUR_MKT_CAP",Database!$G331,Database!$G331)/1000000,"")</f>
        <v/>
      </c>
      <c r="N331" s="63">
        <f>Database!O331</f>
        <v/>
      </c>
      <c r="O331" s="21">
        <f>IFERROR(BDH(Database!$A331&amp;" HK Equity","PE_RATIO",Database!$G331,Database!$G331),"")</f>
        <v/>
      </c>
      <c r="P331" s="60">
        <f>IF(Database!AI331="","(n/m or not derivable)",Database!AI331)</f>
        <v/>
      </c>
    </row>
    <row r="332">
      <c r="A332" s="4">
        <f>Database!A332&amp;"  "&amp;Database!B332</f>
        <v/>
      </c>
      <c r="B332" s="6">
        <f>IFERROR(INDEX(BDS(Database!$A332&amp;" HK Equity","EQUITY_OFFERINGS","array=t","endcol=1"),MATCH("IPO",BDS(Database!$A332&amp;" HK Equity","EQUITY_OFFERINGS","array=t","startcol=2","endcol=2"),0)),"")</f>
        <v/>
      </c>
      <c r="C332" s="64">
        <f>IF($B332="","",IFERROR(BDP($B332&amp;" Action","CP036"),""))</f>
        <v/>
      </c>
      <c r="D332" s="65">
        <f>Database!Q332</f>
        <v/>
      </c>
      <c r="E332" s="64">
        <f>IF($B332="","",IFERROR(BDP($B332&amp;" Action","CP037"),""))</f>
        <v/>
      </c>
      <c r="F332" s="65">
        <f>Database!R332</f>
        <v/>
      </c>
      <c r="G332" s="64">
        <f>IF($B332="","",IFERROR(BDP($B332&amp;" Action","GREENSHOE_FACILITY"),""))</f>
        <v/>
      </c>
      <c r="H332" s="64">
        <f>IF($B332="","",IFERROR(BDP($B332&amp;" Action","OFFERING_GREENSHOE_SHARES_EX"),""))</f>
        <v/>
      </c>
      <c r="I332" s="4">
        <f>Database!V332</f>
        <v/>
      </c>
      <c r="J332" s="21">
        <f>IFERROR(BDP(Database!$A332&amp;" HK Equity","PE_RATIO"),"")</f>
        <v/>
      </c>
      <c r="K332" s="6">
        <f>IFERROR(BDP(Database!$A332&amp;" HK Equity","A/H_SHARE_CONVERSION"),"")</f>
        <v/>
      </c>
      <c r="L332" s="4">
        <f>IF(Database!AL332="","(none found)",Database!AL332)</f>
        <v/>
      </c>
      <c r="M332" s="9">
        <f>IFERROR(BDH(Database!$A332&amp;" HK Equity","CUR_MKT_CAP",Database!$G332,Database!$G332)/1000000,"")</f>
        <v/>
      </c>
      <c r="N332" s="63">
        <f>Database!O332</f>
        <v/>
      </c>
      <c r="O332" s="21">
        <f>IFERROR(BDH(Database!$A332&amp;" HK Equity","PE_RATIO",Database!$G332,Database!$G332),"")</f>
        <v/>
      </c>
      <c r="P332" s="60">
        <f>IF(Database!AI332="","(n/m or not derivable)",Database!AI332)</f>
        <v/>
      </c>
    </row>
    <row r="333">
      <c r="A333" s="4">
        <f>Database!A333&amp;"  "&amp;Database!B333</f>
        <v/>
      </c>
      <c r="B333" s="6">
        <f>IFERROR(INDEX(BDS(Database!$A333&amp;" HK Equity","EQUITY_OFFERINGS","array=t","endcol=1"),MATCH("IPO",BDS(Database!$A333&amp;" HK Equity","EQUITY_OFFERINGS","array=t","startcol=2","endcol=2"),0)),"")</f>
        <v/>
      </c>
      <c r="C333" s="64">
        <f>IF($B333="","",IFERROR(BDP($B333&amp;" Action","CP036"),""))</f>
        <v/>
      </c>
      <c r="D333" s="65">
        <f>Database!Q333</f>
        <v/>
      </c>
      <c r="E333" s="64">
        <f>IF($B333="","",IFERROR(BDP($B333&amp;" Action","CP037"),""))</f>
        <v/>
      </c>
      <c r="F333" s="65">
        <f>Database!R333</f>
        <v/>
      </c>
      <c r="G333" s="64">
        <f>IF($B333="","",IFERROR(BDP($B333&amp;" Action","GREENSHOE_FACILITY"),""))</f>
        <v/>
      </c>
      <c r="H333" s="64">
        <f>IF($B333="","",IFERROR(BDP($B333&amp;" Action","OFFERING_GREENSHOE_SHARES_EX"),""))</f>
        <v/>
      </c>
      <c r="I333" s="4">
        <f>Database!V333</f>
        <v/>
      </c>
      <c r="J333" s="21">
        <f>IFERROR(BDP(Database!$A333&amp;" HK Equity","PE_RATIO"),"")</f>
        <v/>
      </c>
      <c r="K333" s="6">
        <f>IFERROR(BDP(Database!$A333&amp;" HK Equity","A/H_SHARE_CONVERSION"),"")</f>
        <v/>
      </c>
      <c r="L333" s="4">
        <f>IF(Database!AL333="","(none found)",Database!AL333)</f>
        <v/>
      </c>
      <c r="M333" s="9">
        <f>IFERROR(BDH(Database!$A333&amp;" HK Equity","CUR_MKT_CAP",Database!$G333,Database!$G333)/1000000,"")</f>
        <v/>
      </c>
      <c r="N333" s="63">
        <f>Database!O333</f>
        <v/>
      </c>
      <c r="O333" s="21">
        <f>IFERROR(BDH(Database!$A333&amp;" HK Equity","PE_RATIO",Database!$G333,Database!$G333),"")</f>
        <v/>
      </c>
      <c r="P333" s="60">
        <f>IF(Database!AI333="","(n/m or not derivable)",Database!AI333)</f>
        <v/>
      </c>
    </row>
    <row r="334">
      <c r="A334" s="4">
        <f>Database!A334&amp;"  "&amp;Database!B334</f>
        <v/>
      </c>
      <c r="B334" s="6">
        <f>IFERROR(INDEX(BDS(Database!$A334&amp;" HK Equity","EQUITY_OFFERINGS","array=t","endcol=1"),MATCH("IPO",BDS(Database!$A334&amp;" HK Equity","EQUITY_OFFERINGS","array=t","startcol=2","endcol=2"),0)),"")</f>
        <v/>
      </c>
      <c r="C334" s="64">
        <f>IF($B334="","",IFERROR(BDP($B334&amp;" Action","CP036"),""))</f>
        <v/>
      </c>
      <c r="D334" s="65">
        <f>Database!Q334</f>
        <v/>
      </c>
      <c r="E334" s="64">
        <f>IF($B334="","",IFERROR(BDP($B334&amp;" Action","CP037"),""))</f>
        <v/>
      </c>
      <c r="F334" s="65">
        <f>Database!R334</f>
        <v/>
      </c>
      <c r="G334" s="64">
        <f>IF($B334="","",IFERROR(BDP($B334&amp;" Action","GREENSHOE_FACILITY"),""))</f>
        <v/>
      </c>
      <c r="H334" s="64">
        <f>IF($B334="","",IFERROR(BDP($B334&amp;" Action","OFFERING_GREENSHOE_SHARES_EX"),""))</f>
        <v/>
      </c>
      <c r="I334" s="4">
        <f>Database!V334</f>
        <v/>
      </c>
      <c r="J334" s="21">
        <f>IFERROR(BDP(Database!$A334&amp;" HK Equity","PE_RATIO"),"")</f>
        <v/>
      </c>
      <c r="K334" s="6">
        <f>IFERROR(BDP(Database!$A334&amp;" HK Equity","A/H_SHARE_CONVERSION"),"")</f>
        <v/>
      </c>
      <c r="L334" s="4">
        <f>IF(Database!AL334="","(none found)",Database!AL334)</f>
        <v/>
      </c>
      <c r="M334" s="9">
        <f>IFERROR(BDH(Database!$A334&amp;" HK Equity","CUR_MKT_CAP",Database!$G334,Database!$G334)/1000000,"")</f>
        <v/>
      </c>
      <c r="N334" s="63">
        <f>Database!O334</f>
        <v/>
      </c>
      <c r="O334" s="21">
        <f>IFERROR(BDH(Database!$A334&amp;" HK Equity","PE_RATIO",Database!$G334,Database!$G334),"")</f>
        <v/>
      </c>
      <c r="P334" s="60">
        <f>IF(Database!AI334="","(n/m or not derivable)",Database!AI334)</f>
        <v/>
      </c>
    </row>
    <row r="335">
      <c r="A335" s="4">
        <f>Database!A335&amp;"  "&amp;Database!B335</f>
        <v/>
      </c>
      <c r="B335" s="6">
        <f>IFERROR(INDEX(BDS(Database!$A335&amp;" HK Equity","EQUITY_OFFERINGS","array=t","endcol=1"),MATCH("IPO",BDS(Database!$A335&amp;" HK Equity","EQUITY_OFFERINGS","array=t","startcol=2","endcol=2"),0)),"")</f>
        <v/>
      </c>
      <c r="C335" s="64">
        <f>IF($B335="","",IFERROR(BDP($B335&amp;" Action","CP036"),""))</f>
        <v/>
      </c>
      <c r="D335" s="65">
        <f>Database!Q335</f>
        <v/>
      </c>
      <c r="E335" s="64">
        <f>IF($B335="","",IFERROR(BDP($B335&amp;" Action","CP037"),""))</f>
        <v/>
      </c>
      <c r="F335" s="65">
        <f>Database!R335</f>
        <v/>
      </c>
      <c r="G335" s="64">
        <f>IF($B335="","",IFERROR(BDP($B335&amp;" Action","GREENSHOE_FACILITY"),""))</f>
        <v/>
      </c>
      <c r="H335" s="64">
        <f>IF($B335="","",IFERROR(BDP($B335&amp;" Action","OFFERING_GREENSHOE_SHARES_EX"),""))</f>
        <v/>
      </c>
      <c r="I335" s="4">
        <f>Database!V335</f>
        <v/>
      </c>
      <c r="J335" s="21">
        <f>IFERROR(BDP(Database!$A335&amp;" HK Equity","PE_RATIO"),"")</f>
        <v/>
      </c>
      <c r="K335" s="6">
        <f>IFERROR(BDP(Database!$A335&amp;" HK Equity","A/H_SHARE_CONVERSION"),"")</f>
        <v/>
      </c>
      <c r="L335" s="4">
        <f>IF(Database!AL335="","(none found)",Database!AL335)</f>
        <v/>
      </c>
      <c r="M335" s="9">
        <f>IFERROR(BDH(Database!$A335&amp;" HK Equity","CUR_MKT_CAP",Database!$G335,Database!$G335)/1000000,"")</f>
        <v/>
      </c>
      <c r="N335" s="63">
        <f>Database!O335</f>
        <v/>
      </c>
      <c r="O335" s="21">
        <f>IFERROR(BDH(Database!$A335&amp;" HK Equity","PE_RATIO",Database!$G335,Database!$G335),"")</f>
        <v/>
      </c>
      <c r="P335" s="60">
        <f>IF(Database!AI335="","(n/m or not derivable)",Database!AI335)</f>
        <v/>
      </c>
    </row>
    <row r="336">
      <c r="A336" s="4">
        <f>Database!A336&amp;"  "&amp;Database!B336</f>
        <v/>
      </c>
      <c r="B336" s="6">
        <f>IFERROR(INDEX(BDS(Database!$A336&amp;" HK Equity","EQUITY_OFFERINGS","array=t","endcol=1"),MATCH("IPO",BDS(Database!$A336&amp;" HK Equity","EQUITY_OFFERINGS","array=t","startcol=2","endcol=2"),0)),"")</f>
        <v/>
      </c>
      <c r="C336" s="64">
        <f>IF($B336="","",IFERROR(BDP($B336&amp;" Action","CP036"),""))</f>
        <v/>
      </c>
      <c r="D336" s="65">
        <f>Database!Q336</f>
        <v/>
      </c>
      <c r="E336" s="64">
        <f>IF($B336="","",IFERROR(BDP($B336&amp;" Action","CP037"),""))</f>
        <v/>
      </c>
      <c r="F336" s="65">
        <f>Database!R336</f>
        <v/>
      </c>
      <c r="G336" s="64">
        <f>IF($B336="","",IFERROR(BDP($B336&amp;" Action","GREENSHOE_FACILITY"),""))</f>
        <v/>
      </c>
      <c r="H336" s="64">
        <f>IF($B336="","",IFERROR(BDP($B336&amp;" Action","OFFERING_GREENSHOE_SHARES_EX"),""))</f>
        <v/>
      </c>
      <c r="I336" s="4">
        <f>Database!V336</f>
        <v/>
      </c>
      <c r="J336" s="21">
        <f>IFERROR(BDP(Database!$A336&amp;" HK Equity","PE_RATIO"),"")</f>
        <v/>
      </c>
      <c r="K336" s="6">
        <f>IFERROR(BDP(Database!$A336&amp;" HK Equity","A/H_SHARE_CONVERSION"),"")</f>
        <v/>
      </c>
      <c r="L336" s="4">
        <f>IF(Database!AL336="","(none found)",Database!AL336)</f>
        <v/>
      </c>
      <c r="M336" s="9">
        <f>IFERROR(BDH(Database!$A336&amp;" HK Equity","CUR_MKT_CAP",Database!$G336,Database!$G336)/1000000,"")</f>
        <v/>
      </c>
      <c r="N336" s="63">
        <f>Database!O336</f>
        <v/>
      </c>
      <c r="O336" s="21">
        <f>IFERROR(BDH(Database!$A336&amp;" HK Equity","PE_RATIO",Database!$G336,Database!$G336),"")</f>
        <v/>
      </c>
      <c r="P336" s="60">
        <f>IF(Database!AI336="","(n/m or not derivable)",Database!AI336)</f>
        <v/>
      </c>
    </row>
    <row r="337">
      <c r="A337" s="4">
        <f>Database!A337&amp;"  "&amp;Database!B337</f>
        <v/>
      </c>
      <c r="B337" s="6">
        <f>IFERROR(INDEX(BDS(Database!$A337&amp;" HK Equity","EQUITY_OFFERINGS","array=t","endcol=1"),MATCH("IPO",BDS(Database!$A337&amp;" HK Equity","EQUITY_OFFERINGS","array=t","startcol=2","endcol=2"),0)),"")</f>
        <v/>
      </c>
      <c r="C337" s="64">
        <f>IF($B337="","",IFERROR(BDP($B337&amp;" Action","CP036"),""))</f>
        <v/>
      </c>
      <c r="D337" s="65">
        <f>Database!Q337</f>
        <v/>
      </c>
      <c r="E337" s="64">
        <f>IF($B337="","",IFERROR(BDP($B337&amp;" Action","CP037"),""))</f>
        <v/>
      </c>
      <c r="F337" s="65">
        <f>Database!R337</f>
        <v/>
      </c>
      <c r="G337" s="64">
        <f>IF($B337="","",IFERROR(BDP($B337&amp;" Action","GREENSHOE_FACILITY"),""))</f>
        <v/>
      </c>
      <c r="H337" s="64">
        <f>IF($B337="","",IFERROR(BDP($B337&amp;" Action","OFFERING_GREENSHOE_SHARES_EX"),""))</f>
        <v/>
      </c>
      <c r="I337" s="4">
        <f>Database!V337</f>
        <v/>
      </c>
      <c r="J337" s="21">
        <f>IFERROR(BDP(Database!$A337&amp;" HK Equity","PE_RATIO"),"")</f>
        <v/>
      </c>
      <c r="K337" s="6">
        <f>IFERROR(BDP(Database!$A337&amp;" HK Equity","A/H_SHARE_CONVERSION"),"")</f>
        <v/>
      </c>
      <c r="L337" s="4">
        <f>IF(Database!AL337="","(none found)",Database!AL337)</f>
        <v/>
      </c>
      <c r="M337" s="9">
        <f>IFERROR(BDH(Database!$A337&amp;" HK Equity","CUR_MKT_CAP",Database!$G337,Database!$G337)/1000000,"")</f>
        <v/>
      </c>
      <c r="N337" s="63">
        <f>Database!O337</f>
        <v/>
      </c>
      <c r="O337" s="21">
        <f>IFERROR(BDH(Database!$A337&amp;" HK Equity","PE_RATIO",Database!$G337,Database!$G337),"")</f>
        <v/>
      </c>
      <c r="P337" s="60">
        <f>IF(Database!AI337="","(n/m or not derivable)",Database!AI337)</f>
        <v/>
      </c>
    </row>
    <row r="338">
      <c r="A338" s="4">
        <f>Database!A338&amp;"  "&amp;Database!B338</f>
        <v/>
      </c>
      <c r="B338" s="6">
        <f>IFERROR(INDEX(BDS(Database!$A338&amp;" HK Equity","EQUITY_OFFERINGS","array=t","endcol=1"),MATCH("IPO",BDS(Database!$A338&amp;" HK Equity","EQUITY_OFFERINGS","array=t","startcol=2","endcol=2"),0)),"")</f>
        <v/>
      </c>
      <c r="C338" s="64">
        <f>IF($B338="","",IFERROR(BDP($B338&amp;" Action","CP036"),""))</f>
        <v/>
      </c>
      <c r="D338" s="65">
        <f>Database!Q338</f>
        <v/>
      </c>
      <c r="E338" s="64">
        <f>IF($B338="","",IFERROR(BDP($B338&amp;" Action","CP037"),""))</f>
        <v/>
      </c>
      <c r="F338" s="65">
        <f>Database!R338</f>
        <v/>
      </c>
      <c r="G338" s="64">
        <f>IF($B338="","",IFERROR(BDP($B338&amp;" Action","GREENSHOE_FACILITY"),""))</f>
        <v/>
      </c>
      <c r="H338" s="64">
        <f>IF($B338="","",IFERROR(BDP($B338&amp;" Action","OFFERING_GREENSHOE_SHARES_EX"),""))</f>
        <v/>
      </c>
      <c r="I338" s="4">
        <f>Database!V338</f>
        <v/>
      </c>
      <c r="J338" s="21">
        <f>IFERROR(BDP(Database!$A338&amp;" HK Equity","PE_RATIO"),"")</f>
        <v/>
      </c>
      <c r="K338" s="6">
        <f>IFERROR(BDP(Database!$A338&amp;" HK Equity","A/H_SHARE_CONVERSION"),"")</f>
        <v/>
      </c>
      <c r="L338" s="4">
        <f>IF(Database!AL338="","(none found)",Database!AL338)</f>
        <v/>
      </c>
      <c r="M338" s="9">
        <f>IFERROR(BDH(Database!$A338&amp;" HK Equity","CUR_MKT_CAP",Database!$G338,Database!$G338)/1000000,"")</f>
        <v/>
      </c>
      <c r="N338" s="63">
        <f>Database!O338</f>
        <v/>
      </c>
      <c r="O338" s="21">
        <f>IFERROR(BDH(Database!$A338&amp;" HK Equity","PE_RATIO",Database!$G338,Database!$G338),"")</f>
        <v/>
      </c>
      <c r="P338" s="60">
        <f>IF(Database!AI338="","(n/m or not derivable)",Database!AI338)</f>
        <v/>
      </c>
    </row>
    <row r="339">
      <c r="A339" s="4">
        <f>Database!A339&amp;"  "&amp;Database!B339</f>
        <v/>
      </c>
      <c r="B339" s="6">
        <f>IFERROR(INDEX(BDS(Database!$A339&amp;" HK Equity","EQUITY_OFFERINGS","array=t","endcol=1"),MATCH("IPO",BDS(Database!$A339&amp;" HK Equity","EQUITY_OFFERINGS","array=t","startcol=2","endcol=2"),0)),"")</f>
        <v/>
      </c>
      <c r="C339" s="64">
        <f>IF($B339="","",IFERROR(BDP($B339&amp;" Action","CP036"),""))</f>
        <v/>
      </c>
      <c r="D339" s="65">
        <f>Database!Q339</f>
        <v/>
      </c>
      <c r="E339" s="64">
        <f>IF($B339="","",IFERROR(BDP($B339&amp;" Action","CP037"),""))</f>
        <v/>
      </c>
      <c r="F339" s="65">
        <f>Database!R339</f>
        <v/>
      </c>
      <c r="G339" s="64">
        <f>IF($B339="","",IFERROR(BDP($B339&amp;" Action","GREENSHOE_FACILITY"),""))</f>
        <v/>
      </c>
      <c r="H339" s="64">
        <f>IF($B339="","",IFERROR(BDP($B339&amp;" Action","OFFERING_GREENSHOE_SHARES_EX"),""))</f>
        <v/>
      </c>
      <c r="I339" s="4">
        <f>Database!V339</f>
        <v/>
      </c>
      <c r="J339" s="21">
        <f>IFERROR(BDP(Database!$A339&amp;" HK Equity","PE_RATIO"),"")</f>
        <v/>
      </c>
      <c r="K339" s="6">
        <f>IFERROR(BDP(Database!$A339&amp;" HK Equity","A/H_SHARE_CONVERSION"),"")</f>
        <v/>
      </c>
      <c r="L339" s="4">
        <f>IF(Database!AL339="","(none found)",Database!AL339)</f>
        <v/>
      </c>
      <c r="M339" s="9">
        <f>IFERROR(BDH(Database!$A339&amp;" HK Equity","CUR_MKT_CAP",Database!$G339,Database!$G339)/1000000,"")</f>
        <v/>
      </c>
      <c r="N339" s="63">
        <f>Database!O339</f>
        <v/>
      </c>
      <c r="O339" s="21">
        <f>IFERROR(BDH(Database!$A339&amp;" HK Equity","PE_RATIO",Database!$G339,Database!$G339),"")</f>
        <v/>
      </c>
      <c r="P339" s="60">
        <f>IF(Database!AI339="","(n/m or not derivable)",Database!AI339)</f>
        <v/>
      </c>
    </row>
    <row r="340">
      <c r="A340" s="4">
        <f>Database!A340&amp;"  "&amp;Database!B340</f>
        <v/>
      </c>
      <c r="B340" s="6">
        <f>IFERROR(INDEX(BDS(Database!$A340&amp;" HK Equity","EQUITY_OFFERINGS","array=t","endcol=1"),MATCH("IPO",BDS(Database!$A340&amp;" HK Equity","EQUITY_OFFERINGS","array=t","startcol=2","endcol=2"),0)),"")</f>
        <v/>
      </c>
      <c r="C340" s="64">
        <f>IF($B340="","",IFERROR(BDP($B340&amp;" Action","CP036"),""))</f>
        <v/>
      </c>
      <c r="D340" s="65">
        <f>Database!Q340</f>
        <v/>
      </c>
      <c r="E340" s="64">
        <f>IF($B340="","",IFERROR(BDP($B340&amp;" Action","CP037"),""))</f>
        <v/>
      </c>
      <c r="F340" s="65">
        <f>Database!R340</f>
        <v/>
      </c>
      <c r="G340" s="64">
        <f>IF($B340="","",IFERROR(BDP($B340&amp;" Action","GREENSHOE_FACILITY"),""))</f>
        <v/>
      </c>
      <c r="H340" s="64">
        <f>IF($B340="","",IFERROR(BDP($B340&amp;" Action","OFFERING_GREENSHOE_SHARES_EX"),""))</f>
        <v/>
      </c>
      <c r="I340" s="4">
        <f>Database!V340</f>
        <v/>
      </c>
      <c r="J340" s="21">
        <f>IFERROR(BDP(Database!$A340&amp;" HK Equity","PE_RATIO"),"")</f>
        <v/>
      </c>
      <c r="K340" s="6">
        <f>IFERROR(BDP(Database!$A340&amp;" HK Equity","A/H_SHARE_CONVERSION"),"")</f>
        <v/>
      </c>
      <c r="L340" s="4">
        <f>IF(Database!AL340="","(none found)",Database!AL340)</f>
        <v/>
      </c>
      <c r="M340" s="9">
        <f>IFERROR(BDH(Database!$A340&amp;" HK Equity","CUR_MKT_CAP",Database!$G340,Database!$G340)/1000000,"")</f>
        <v/>
      </c>
      <c r="N340" s="63">
        <f>Database!O340</f>
        <v/>
      </c>
      <c r="O340" s="21">
        <f>IFERROR(BDH(Database!$A340&amp;" HK Equity","PE_RATIO",Database!$G340,Database!$G340),"")</f>
        <v/>
      </c>
      <c r="P340" s="60">
        <f>IF(Database!AI340="","(n/m or not derivable)",Database!AI340)</f>
        <v/>
      </c>
    </row>
    <row r="341">
      <c r="A341" s="4">
        <f>Database!A341&amp;"  "&amp;Database!B341</f>
        <v/>
      </c>
      <c r="B341" s="6">
        <f>IFERROR(INDEX(BDS(Database!$A341&amp;" HK Equity","EQUITY_OFFERINGS","array=t","endcol=1"),MATCH("IPO",BDS(Database!$A341&amp;" HK Equity","EQUITY_OFFERINGS","array=t","startcol=2","endcol=2"),0)),"")</f>
        <v/>
      </c>
      <c r="C341" s="64">
        <f>IF($B341="","",IFERROR(BDP($B341&amp;" Action","CP036"),""))</f>
        <v/>
      </c>
      <c r="D341" s="65">
        <f>Database!Q341</f>
        <v/>
      </c>
      <c r="E341" s="64">
        <f>IF($B341="","",IFERROR(BDP($B341&amp;" Action","CP037"),""))</f>
        <v/>
      </c>
      <c r="F341" s="65">
        <f>Database!R341</f>
        <v/>
      </c>
      <c r="G341" s="64">
        <f>IF($B341="","",IFERROR(BDP($B341&amp;" Action","GREENSHOE_FACILITY"),""))</f>
        <v/>
      </c>
      <c r="H341" s="64">
        <f>IF($B341="","",IFERROR(BDP($B341&amp;" Action","OFFERING_GREENSHOE_SHARES_EX"),""))</f>
        <v/>
      </c>
      <c r="I341" s="4">
        <f>Database!V341</f>
        <v/>
      </c>
      <c r="J341" s="21">
        <f>IFERROR(BDP(Database!$A341&amp;" HK Equity","PE_RATIO"),"")</f>
        <v/>
      </c>
      <c r="K341" s="6">
        <f>IFERROR(BDP(Database!$A341&amp;" HK Equity","A/H_SHARE_CONVERSION"),"")</f>
        <v/>
      </c>
      <c r="L341" s="4">
        <f>IF(Database!AL341="","(none found)",Database!AL341)</f>
        <v/>
      </c>
      <c r="M341" s="9">
        <f>IFERROR(BDH(Database!$A341&amp;" HK Equity","CUR_MKT_CAP",Database!$G341,Database!$G341)/1000000,"")</f>
        <v/>
      </c>
      <c r="N341" s="63">
        <f>Database!O341</f>
        <v/>
      </c>
      <c r="O341" s="21">
        <f>IFERROR(BDH(Database!$A341&amp;" HK Equity","PE_RATIO",Database!$G341,Database!$G341),"")</f>
        <v/>
      </c>
      <c r="P341" s="60">
        <f>IF(Database!AI341="","(n/m or not derivable)",Database!AI341)</f>
        <v/>
      </c>
    </row>
    <row r="342">
      <c r="A342" s="4">
        <f>Database!A342&amp;"  "&amp;Database!B342</f>
        <v/>
      </c>
      <c r="B342" s="6">
        <f>IFERROR(INDEX(BDS(Database!$A342&amp;" HK Equity","EQUITY_OFFERINGS","array=t","endcol=1"),MATCH("IPO",BDS(Database!$A342&amp;" HK Equity","EQUITY_OFFERINGS","array=t","startcol=2","endcol=2"),0)),"")</f>
        <v/>
      </c>
      <c r="C342" s="64">
        <f>IF($B342="","",IFERROR(BDP($B342&amp;" Action","CP036"),""))</f>
        <v/>
      </c>
      <c r="D342" s="65">
        <f>Database!Q342</f>
        <v/>
      </c>
      <c r="E342" s="64">
        <f>IF($B342="","",IFERROR(BDP($B342&amp;" Action","CP037"),""))</f>
        <v/>
      </c>
      <c r="F342" s="65">
        <f>Database!R342</f>
        <v/>
      </c>
      <c r="G342" s="64">
        <f>IF($B342="","",IFERROR(BDP($B342&amp;" Action","GREENSHOE_FACILITY"),""))</f>
        <v/>
      </c>
      <c r="H342" s="64">
        <f>IF($B342="","",IFERROR(BDP($B342&amp;" Action","OFFERING_GREENSHOE_SHARES_EX"),""))</f>
        <v/>
      </c>
      <c r="I342" s="4">
        <f>Database!V342</f>
        <v/>
      </c>
      <c r="J342" s="21">
        <f>IFERROR(BDP(Database!$A342&amp;" HK Equity","PE_RATIO"),"")</f>
        <v/>
      </c>
      <c r="K342" s="6">
        <f>IFERROR(BDP(Database!$A342&amp;" HK Equity","A/H_SHARE_CONVERSION"),"")</f>
        <v/>
      </c>
      <c r="L342" s="4">
        <f>IF(Database!AL342="","(none found)",Database!AL342)</f>
        <v/>
      </c>
      <c r="M342" s="9">
        <f>IFERROR(BDH(Database!$A342&amp;" HK Equity","CUR_MKT_CAP",Database!$G342,Database!$G342)/1000000,"")</f>
        <v/>
      </c>
      <c r="N342" s="63">
        <f>Database!O342</f>
        <v/>
      </c>
      <c r="O342" s="21">
        <f>IFERROR(BDH(Database!$A342&amp;" HK Equity","PE_RATIO",Database!$G342,Database!$G342),"")</f>
        <v/>
      </c>
      <c r="P342" s="60">
        <f>IF(Database!AI342="","(n/m or not derivable)",Database!AI342)</f>
        <v/>
      </c>
    </row>
    <row r="343">
      <c r="A343" s="4">
        <f>Database!A343&amp;"  "&amp;Database!B343</f>
        <v/>
      </c>
      <c r="B343" s="6">
        <f>IFERROR(INDEX(BDS(Database!$A343&amp;" HK Equity","EQUITY_OFFERINGS","array=t","endcol=1"),MATCH("IPO",BDS(Database!$A343&amp;" HK Equity","EQUITY_OFFERINGS","array=t","startcol=2","endcol=2"),0)),"")</f>
        <v/>
      </c>
      <c r="C343" s="64">
        <f>IF($B343="","",IFERROR(BDP($B343&amp;" Action","CP036"),""))</f>
        <v/>
      </c>
      <c r="D343" s="65">
        <f>Database!Q343</f>
        <v/>
      </c>
      <c r="E343" s="64">
        <f>IF($B343="","",IFERROR(BDP($B343&amp;" Action","CP037"),""))</f>
        <v/>
      </c>
      <c r="F343" s="65">
        <f>Database!R343</f>
        <v/>
      </c>
      <c r="G343" s="64">
        <f>IF($B343="","",IFERROR(BDP($B343&amp;" Action","GREENSHOE_FACILITY"),""))</f>
        <v/>
      </c>
      <c r="H343" s="64">
        <f>IF($B343="","",IFERROR(BDP($B343&amp;" Action","OFFERING_GREENSHOE_SHARES_EX"),""))</f>
        <v/>
      </c>
      <c r="I343" s="4">
        <f>Database!V343</f>
        <v/>
      </c>
      <c r="J343" s="21">
        <f>IFERROR(BDP(Database!$A343&amp;" HK Equity","PE_RATIO"),"")</f>
        <v/>
      </c>
      <c r="K343" s="6">
        <f>IFERROR(BDP(Database!$A343&amp;" HK Equity","A/H_SHARE_CONVERSION"),"")</f>
        <v/>
      </c>
      <c r="L343" s="4">
        <f>IF(Database!AL343="","(none found)",Database!AL343)</f>
        <v/>
      </c>
      <c r="M343" s="9">
        <f>IFERROR(BDH(Database!$A343&amp;" HK Equity","CUR_MKT_CAP",Database!$G343,Database!$G343)/1000000,"")</f>
        <v/>
      </c>
      <c r="N343" s="63">
        <f>Database!O343</f>
        <v/>
      </c>
      <c r="O343" s="21">
        <f>IFERROR(BDH(Database!$A343&amp;" HK Equity","PE_RATIO",Database!$G343,Database!$G343),"")</f>
        <v/>
      </c>
      <c r="P343" s="60">
        <f>IF(Database!AI343="","(n/m or not derivable)",Database!AI343)</f>
        <v/>
      </c>
    </row>
    <row r="344">
      <c r="A344" s="4">
        <f>Database!A344&amp;"  "&amp;Database!B344</f>
        <v/>
      </c>
      <c r="B344" s="6">
        <f>IFERROR(INDEX(BDS(Database!$A344&amp;" HK Equity","EQUITY_OFFERINGS","array=t","endcol=1"),MATCH("IPO",BDS(Database!$A344&amp;" HK Equity","EQUITY_OFFERINGS","array=t","startcol=2","endcol=2"),0)),"")</f>
        <v/>
      </c>
      <c r="C344" s="64">
        <f>IF($B344="","",IFERROR(BDP($B344&amp;" Action","CP036"),""))</f>
        <v/>
      </c>
      <c r="D344" s="65">
        <f>Database!Q344</f>
        <v/>
      </c>
      <c r="E344" s="64">
        <f>IF($B344="","",IFERROR(BDP($B344&amp;" Action","CP037"),""))</f>
        <v/>
      </c>
      <c r="F344" s="65">
        <f>Database!R344</f>
        <v/>
      </c>
      <c r="G344" s="64">
        <f>IF($B344="","",IFERROR(BDP($B344&amp;" Action","GREENSHOE_FACILITY"),""))</f>
        <v/>
      </c>
      <c r="H344" s="64">
        <f>IF($B344="","",IFERROR(BDP($B344&amp;" Action","OFFERING_GREENSHOE_SHARES_EX"),""))</f>
        <v/>
      </c>
      <c r="I344" s="4">
        <f>Database!V344</f>
        <v/>
      </c>
      <c r="J344" s="21">
        <f>IFERROR(BDP(Database!$A344&amp;" HK Equity","PE_RATIO"),"")</f>
        <v/>
      </c>
      <c r="K344" s="6">
        <f>IFERROR(BDP(Database!$A344&amp;" HK Equity","A/H_SHARE_CONVERSION"),"")</f>
        <v/>
      </c>
      <c r="L344" s="4">
        <f>IF(Database!AL344="","(none found)",Database!AL344)</f>
        <v/>
      </c>
      <c r="M344" s="9">
        <f>IFERROR(BDH(Database!$A344&amp;" HK Equity","CUR_MKT_CAP",Database!$G344,Database!$G344)/1000000,"")</f>
        <v/>
      </c>
      <c r="N344" s="63">
        <f>Database!O344</f>
        <v/>
      </c>
      <c r="O344" s="21">
        <f>IFERROR(BDH(Database!$A344&amp;" HK Equity","PE_RATIO",Database!$G344,Database!$G344),"")</f>
        <v/>
      </c>
      <c r="P344" s="60">
        <f>IF(Database!AI344="","(n/m or not derivable)",Database!AI344)</f>
        <v/>
      </c>
    </row>
    <row r="345">
      <c r="A345" s="4">
        <f>Database!A345&amp;"  "&amp;Database!B345</f>
        <v/>
      </c>
      <c r="B345" s="6">
        <f>IFERROR(INDEX(BDS(Database!$A345&amp;" HK Equity","EQUITY_OFFERINGS","array=t","endcol=1"),MATCH("IPO",BDS(Database!$A345&amp;" HK Equity","EQUITY_OFFERINGS","array=t","startcol=2","endcol=2"),0)),"")</f>
        <v/>
      </c>
      <c r="C345" s="64">
        <f>IF($B345="","",IFERROR(BDP($B345&amp;" Action","CP036"),""))</f>
        <v/>
      </c>
      <c r="D345" s="65">
        <f>Database!Q345</f>
        <v/>
      </c>
      <c r="E345" s="64">
        <f>IF($B345="","",IFERROR(BDP($B345&amp;" Action","CP037"),""))</f>
        <v/>
      </c>
      <c r="F345" s="65">
        <f>Database!R345</f>
        <v/>
      </c>
      <c r="G345" s="64">
        <f>IF($B345="","",IFERROR(BDP($B345&amp;" Action","GREENSHOE_FACILITY"),""))</f>
        <v/>
      </c>
      <c r="H345" s="64">
        <f>IF($B345="","",IFERROR(BDP($B345&amp;" Action","OFFERING_GREENSHOE_SHARES_EX"),""))</f>
        <v/>
      </c>
      <c r="I345" s="4">
        <f>Database!V345</f>
        <v/>
      </c>
      <c r="J345" s="21">
        <f>IFERROR(BDP(Database!$A345&amp;" HK Equity","PE_RATIO"),"")</f>
        <v/>
      </c>
      <c r="K345" s="6">
        <f>IFERROR(BDP(Database!$A345&amp;" HK Equity","A/H_SHARE_CONVERSION"),"")</f>
        <v/>
      </c>
      <c r="L345" s="4">
        <f>IF(Database!AL345="","(none found)",Database!AL345)</f>
        <v/>
      </c>
      <c r="M345" s="9">
        <f>IFERROR(BDH(Database!$A345&amp;" HK Equity","CUR_MKT_CAP",Database!$G345,Database!$G345)/1000000,"")</f>
        <v/>
      </c>
      <c r="N345" s="63">
        <f>Database!O345</f>
        <v/>
      </c>
      <c r="O345" s="21">
        <f>IFERROR(BDH(Database!$A345&amp;" HK Equity","PE_RATIO",Database!$G345,Database!$G345),"")</f>
        <v/>
      </c>
      <c r="P345" s="60">
        <f>IF(Database!AI345="","(n/m or not derivable)",Database!AI345)</f>
        <v/>
      </c>
    </row>
    <row r="346">
      <c r="A346" s="4">
        <f>Database!A346&amp;"  "&amp;Database!B346</f>
        <v/>
      </c>
      <c r="B346" s="6">
        <f>IFERROR(INDEX(BDS(Database!$A346&amp;" HK Equity","EQUITY_OFFERINGS","array=t","endcol=1"),MATCH("IPO",BDS(Database!$A346&amp;" HK Equity","EQUITY_OFFERINGS","array=t","startcol=2","endcol=2"),0)),"")</f>
        <v/>
      </c>
      <c r="C346" s="64">
        <f>IF($B346="","",IFERROR(BDP($B346&amp;" Action","CP036"),""))</f>
        <v/>
      </c>
      <c r="D346" s="65">
        <f>Database!Q346</f>
        <v/>
      </c>
      <c r="E346" s="64">
        <f>IF($B346="","",IFERROR(BDP($B346&amp;" Action","CP037"),""))</f>
        <v/>
      </c>
      <c r="F346" s="65">
        <f>Database!R346</f>
        <v/>
      </c>
      <c r="G346" s="64">
        <f>IF($B346="","",IFERROR(BDP($B346&amp;" Action","GREENSHOE_FACILITY"),""))</f>
        <v/>
      </c>
      <c r="H346" s="64">
        <f>IF($B346="","",IFERROR(BDP($B346&amp;" Action","OFFERING_GREENSHOE_SHARES_EX"),""))</f>
        <v/>
      </c>
      <c r="I346" s="4">
        <f>Database!V346</f>
        <v/>
      </c>
      <c r="J346" s="21">
        <f>IFERROR(BDP(Database!$A346&amp;" HK Equity","PE_RATIO"),"")</f>
        <v/>
      </c>
      <c r="K346" s="6">
        <f>IFERROR(BDP(Database!$A346&amp;" HK Equity","A/H_SHARE_CONVERSION"),"")</f>
        <v/>
      </c>
      <c r="L346" s="4">
        <f>IF(Database!AL346="","(none found)",Database!AL346)</f>
        <v/>
      </c>
      <c r="M346" s="9">
        <f>IFERROR(BDH(Database!$A346&amp;" HK Equity","CUR_MKT_CAP",Database!$G346,Database!$G346)/1000000,"")</f>
        <v/>
      </c>
      <c r="N346" s="63">
        <f>Database!O346</f>
        <v/>
      </c>
      <c r="O346" s="21">
        <f>IFERROR(BDH(Database!$A346&amp;" HK Equity","PE_RATIO",Database!$G346,Database!$G346),"")</f>
        <v/>
      </c>
      <c r="P346" s="60">
        <f>IF(Database!AI346="","(n/m or not derivable)",Database!AI346)</f>
        <v/>
      </c>
    </row>
    <row r="347">
      <c r="A347" s="4">
        <f>Database!A347&amp;"  "&amp;Database!B347</f>
        <v/>
      </c>
      <c r="B347" s="6">
        <f>IFERROR(INDEX(BDS(Database!$A347&amp;" HK Equity","EQUITY_OFFERINGS","array=t","endcol=1"),MATCH("IPO",BDS(Database!$A347&amp;" HK Equity","EQUITY_OFFERINGS","array=t","startcol=2","endcol=2"),0)),"")</f>
        <v/>
      </c>
      <c r="C347" s="64">
        <f>IF($B347="","",IFERROR(BDP($B347&amp;" Action","CP036"),""))</f>
        <v/>
      </c>
      <c r="D347" s="65">
        <f>Database!Q347</f>
        <v/>
      </c>
      <c r="E347" s="64">
        <f>IF($B347="","",IFERROR(BDP($B347&amp;" Action","CP037"),""))</f>
        <v/>
      </c>
      <c r="F347" s="65">
        <f>Database!R347</f>
        <v/>
      </c>
      <c r="G347" s="64">
        <f>IF($B347="","",IFERROR(BDP($B347&amp;" Action","GREENSHOE_FACILITY"),""))</f>
        <v/>
      </c>
      <c r="H347" s="64">
        <f>IF($B347="","",IFERROR(BDP($B347&amp;" Action","OFFERING_GREENSHOE_SHARES_EX"),""))</f>
        <v/>
      </c>
      <c r="I347" s="4">
        <f>Database!V347</f>
        <v/>
      </c>
      <c r="J347" s="21">
        <f>IFERROR(BDP(Database!$A347&amp;" HK Equity","PE_RATIO"),"")</f>
        <v/>
      </c>
      <c r="K347" s="6">
        <f>IFERROR(BDP(Database!$A347&amp;" HK Equity","A/H_SHARE_CONVERSION"),"")</f>
        <v/>
      </c>
      <c r="L347" s="4">
        <f>IF(Database!AL347="","(none found)",Database!AL347)</f>
        <v/>
      </c>
      <c r="M347" s="9">
        <f>IFERROR(BDH(Database!$A347&amp;" HK Equity","CUR_MKT_CAP",Database!$G347,Database!$G347)/1000000,"")</f>
        <v/>
      </c>
      <c r="N347" s="63">
        <f>Database!O347</f>
        <v/>
      </c>
      <c r="O347" s="21">
        <f>IFERROR(BDH(Database!$A347&amp;" HK Equity","PE_RATIO",Database!$G347,Database!$G347),"")</f>
        <v/>
      </c>
      <c r="P347" s="60">
        <f>IF(Database!AI347="","(n/m or not derivable)",Database!AI347)</f>
        <v/>
      </c>
    </row>
    <row r="348">
      <c r="A348" s="4">
        <f>Database!A348&amp;"  "&amp;Database!B348</f>
        <v/>
      </c>
      <c r="B348" s="6">
        <f>IFERROR(INDEX(BDS(Database!$A348&amp;" HK Equity","EQUITY_OFFERINGS","array=t","endcol=1"),MATCH("IPO",BDS(Database!$A348&amp;" HK Equity","EQUITY_OFFERINGS","array=t","startcol=2","endcol=2"),0)),"")</f>
        <v/>
      </c>
      <c r="C348" s="64">
        <f>IF($B348="","",IFERROR(BDP($B348&amp;" Action","CP036"),""))</f>
        <v/>
      </c>
      <c r="D348" s="65">
        <f>Database!Q348</f>
        <v/>
      </c>
      <c r="E348" s="64">
        <f>IF($B348="","",IFERROR(BDP($B348&amp;" Action","CP037"),""))</f>
        <v/>
      </c>
      <c r="F348" s="65">
        <f>Database!R348</f>
        <v/>
      </c>
      <c r="G348" s="64">
        <f>IF($B348="","",IFERROR(BDP($B348&amp;" Action","GREENSHOE_FACILITY"),""))</f>
        <v/>
      </c>
      <c r="H348" s="64">
        <f>IF($B348="","",IFERROR(BDP($B348&amp;" Action","OFFERING_GREENSHOE_SHARES_EX"),""))</f>
        <v/>
      </c>
      <c r="I348" s="4">
        <f>Database!V348</f>
        <v/>
      </c>
      <c r="J348" s="21">
        <f>IFERROR(BDP(Database!$A348&amp;" HK Equity","PE_RATIO"),"")</f>
        <v/>
      </c>
      <c r="K348" s="6">
        <f>IFERROR(BDP(Database!$A348&amp;" HK Equity","A/H_SHARE_CONVERSION"),"")</f>
        <v/>
      </c>
      <c r="L348" s="4">
        <f>IF(Database!AL348="","(none found)",Database!AL348)</f>
        <v/>
      </c>
      <c r="M348" s="9">
        <f>IFERROR(BDH(Database!$A348&amp;" HK Equity","CUR_MKT_CAP",Database!$G348,Database!$G348)/1000000,"")</f>
        <v/>
      </c>
      <c r="N348" s="63">
        <f>Database!O348</f>
        <v/>
      </c>
      <c r="O348" s="21">
        <f>IFERROR(BDH(Database!$A348&amp;" HK Equity","PE_RATIO",Database!$G348,Database!$G348),"")</f>
        <v/>
      </c>
      <c r="P348" s="60">
        <f>IF(Database!AI348="","(n/m or not derivable)",Database!AI348)</f>
        <v/>
      </c>
    </row>
    <row r="349">
      <c r="A349" s="4">
        <f>Database!A349&amp;"  "&amp;Database!B349</f>
        <v/>
      </c>
      <c r="B349" s="6">
        <f>IFERROR(INDEX(BDS(Database!$A349&amp;" HK Equity","EQUITY_OFFERINGS","array=t","endcol=1"),MATCH("IPO",BDS(Database!$A349&amp;" HK Equity","EQUITY_OFFERINGS","array=t","startcol=2","endcol=2"),0)),"")</f>
        <v/>
      </c>
      <c r="C349" s="64">
        <f>IF($B349="","",IFERROR(BDP($B349&amp;" Action","CP036"),""))</f>
        <v/>
      </c>
      <c r="D349" s="65">
        <f>Database!Q349</f>
        <v/>
      </c>
      <c r="E349" s="64">
        <f>IF($B349="","",IFERROR(BDP($B349&amp;" Action","CP037"),""))</f>
        <v/>
      </c>
      <c r="F349" s="65">
        <f>Database!R349</f>
        <v/>
      </c>
      <c r="G349" s="64">
        <f>IF($B349="","",IFERROR(BDP($B349&amp;" Action","GREENSHOE_FACILITY"),""))</f>
        <v/>
      </c>
      <c r="H349" s="64">
        <f>IF($B349="","",IFERROR(BDP($B349&amp;" Action","OFFERING_GREENSHOE_SHARES_EX"),""))</f>
        <v/>
      </c>
      <c r="I349" s="4">
        <f>Database!V349</f>
        <v/>
      </c>
      <c r="J349" s="21">
        <f>IFERROR(BDP(Database!$A349&amp;" HK Equity","PE_RATIO"),"")</f>
        <v/>
      </c>
      <c r="K349" s="6">
        <f>IFERROR(BDP(Database!$A349&amp;" HK Equity","A/H_SHARE_CONVERSION"),"")</f>
        <v/>
      </c>
      <c r="L349" s="4">
        <f>IF(Database!AL349="","(none found)",Database!AL349)</f>
        <v/>
      </c>
      <c r="M349" s="9">
        <f>IFERROR(BDH(Database!$A349&amp;" HK Equity","CUR_MKT_CAP",Database!$G349,Database!$G349)/1000000,"")</f>
        <v/>
      </c>
      <c r="N349" s="63">
        <f>Database!O349</f>
        <v/>
      </c>
      <c r="O349" s="21">
        <f>IFERROR(BDH(Database!$A349&amp;" HK Equity","PE_RATIO",Database!$G349,Database!$G349),"")</f>
        <v/>
      </c>
      <c r="P349" s="60">
        <f>IF(Database!AI349="","(n/m or not derivable)",Database!AI349)</f>
        <v/>
      </c>
    </row>
    <row r="350">
      <c r="A350" s="4">
        <f>Database!A350&amp;"  "&amp;Database!B350</f>
        <v/>
      </c>
      <c r="B350" s="6">
        <f>IFERROR(INDEX(BDS(Database!$A350&amp;" HK Equity","EQUITY_OFFERINGS","array=t","endcol=1"),MATCH("IPO",BDS(Database!$A350&amp;" HK Equity","EQUITY_OFFERINGS","array=t","startcol=2","endcol=2"),0)),"")</f>
        <v/>
      </c>
      <c r="C350" s="64">
        <f>IF($B350="","",IFERROR(BDP($B350&amp;" Action","CP036"),""))</f>
        <v/>
      </c>
      <c r="D350" s="65">
        <f>Database!Q350</f>
        <v/>
      </c>
      <c r="E350" s="64">
        <f>IF($B350="","",IFERROR(BDP($B350&amp;" Action","CP037"),""))</f>
        <v/>
      </c>
      <c r="F350" s="65">
        <f>Database!R350</f>
        <v/>
      </c>
      <c r="G350" s="64">
        <f>IF($B350="","",IFERROR(BDP($B350&amp;" Action","GREENSHOE_FACILITY"),""))</f>
        <v/>
      </c>
      <c r="H350" s="64">
        <f>IF($B350="","",IFERROR(BDP($B350&amp;" Action","OFFERING_GREENSHOE_SHARES_EX"),""))</f>
        <v/>
      </c>
      <c r="I350" s="4">
        <f>Database!V350</f>
        <v/>
      </c>
      <c r="J350" s="21">
        <f>IFERROR(BDP(Database!$A350&amp;" HK Equity","PE_RATIO"),"")</f>
        <v/>
      </c>
      <c r="K350" s="6">
        <f>IFERROR(BDP(Database!$A350&amp;" HK Equity","A/H_SHARE_CONVERSION"),"")</f>
        <v/>
      </c>
      <c r="L350" s="4">
        <f>IF(Database!AL350="","(none found)",Database!AL350)</f>
        <v/>
      </c>
      <c r="M350" s="9">
        <f>IFERROR(BDH(Database!$A350&amp;" HK Equity","CUR_MKT_CAP",Database!$G350,Database!$G350)/1000000,"")</f>
        <v/>
      </c>
      <c r="N350" s="63">
        <f>Database!O350</f>
        <v/>
      </c>
      <c r="O350" s="21">
        <f>IFERROR(BDH(Database!$A350&amp;" HK Equity","PE_RATIO",Database!$G350,Database!$G350),"")</f>
        <v/>
      </c>
      <c r="P350" s="60">
        <f>IF(Database!AI350="","(n/m or not derivable)",Database!AI350)</f>
        <v/>
      </c>
    </row>
    <row r="351">
      <c r="A351" s="4">
        <f>Database!A351&amp;"  "&amp;Database!B351</f>
        <v/>
      </c>
      <c r="B351" s="6">
        <f>IFERROR(INDEX(BDS(Database!$A351&amp;" HK Equity","EQUITY_OFFERINGS","array=t","endcol=1"),MATCH("IPO",BDS(Database!$A351&amp;" HK Equity","EQUITY_OFFERINGS","array=t","startcol=2","endcol=2"),0)),"")</f>
        <v/>
      </c>
      <c r="C351" s="64">
        <f>IF($B351="","",IFERROR(BDP($B351&amp;" Action","CP036"),""))</f>
        <v/>
      </c>
      <c r="D351" s="65">
        <f>Database!Q351</f>
        <v/>
      </c>
      <c r="E351" s="64">
        <f>IF($B351="","",IFERROR(BDP($B351&amp;" Action","CP037"),""))</f>
        <v/>
      </c>
      <c r="F351" s="65">
        <f>Database!R351</f>
        <v/>
      </c>
      <c r="G351" s="64">
        <f>IF($B351="","",IFERROR(BDP($B351&amp;" Action","GREENSHOE_FACILITY"),""))</f>
        <v/>
      </c>
      <c r="H351" s="64">
        <f>IF($B351="","",IFERROR(BDP($B351&amp;" Action","OFFERING_GREENSHOE_SHARES_EX"),""))</f>
        <v/>
      </c>
      <c r="I351" s="4">
        <f>Database!V351</f>
        <v/>
      </c>
      <c r="J351" s="21">
        <f>IFERROR(BDP(Database!$A351&amp;" HK Equity","PE_RATIO"),"")</f>
        <v/>
      </c>
      <c r="K351" s="6">
        <f>IFERROR(BDP(Database!$A351&amp;" HK Equity","A/H_SHARE_CONVERSION"),"")</f>
        <v/>
      </c>
      <c r="L351" s="4">
        <f>IF(Database!AL351="","(none found)",Database!AL351)</f>
        <v/>
      </c>
      <c r="M351" s="9">
        <f>IFERROR(BDH(Database!$A351&amp;" HK Equity","CUR_MKT_CAP",Database!$G351,Database!$G351)/1000000,"")</f>
        <v/>
      </c>
      <c r="N351" s="63">
        <f>Database!O351</f>
        <v/>
      </c>
      <c r="O351" s="21">
        <f>IFERROR(BDH(Database!$A351&amp;" HK Equity","PE_RATIO",Database!$G351,Database!$G351),"")</f>
        <v/>
      </c>
      <c r="P351" s="60">
        <f>IF(Database!AI351="","(n/m or not derivable)",Database!AI351)</f>
        <v/>
      </c>
    </row>
    <row r="352">
      <c r="A352" s="4">
        <f>Database!A352&amp;"  "&amp;Database!B352</f>
        <v/>
      </c>
      <c r="B352" s="6">
        <f>IFERROR(INDEX(BDS(Database!$A352&amp;" HK Equity","EQUITY_OFFERINGS","array=t","endcol=1"),MATCH("IPO",BDS(Database!$A352&amp;" HK Equity","EQUITY_OFFERINGS","array=t","startcol=2","endcol=2"),0)),"")</f>
        <v/>
      </c>
      <c r="C352" s="64">
        <f>IF($B352="","",IFERROR(BDP($B352&amp;" Action","CP036"),""))</f>
        <v/>
      </c>
      <c r="D352" s="65">
        <f>Database!Q352</f>
        <v/>
      </c>
      <c r="E352" s="64">
        <f>IF($B352="","",IFERROR(BDP($B352&amp;" Action","CP037"),""))</f>
        <v/>
      </c>
      <c r="F352" s="65">
        <f>Database!R352</f>
        <v/>
      </c>
      <c r="G352" s="64">
        <f>IF($B352="","",IFERROR(BDP($B352&amp;" Action","GREENSHOE_FACILITY"),""))</f>
        <v/>
      </c>
      <c r="H352" s="64">
        <f>IF($B352="","",IFERROR(BDP($B352&amp;" Action","OFFERING_GREENSHOE_SHARES_EX"),""))</f>
        <v/>
      </c>
      <c r="I352" s="4">
        <f>Database!V352</f>
        <v/>
      </c>
      <c r="J352" s="21">
        <f>IFERROR(BDP(Database!$A352&amp;" HK Equity","PE_RATIO"),"")</f>
        <v/>
      </c>
      <c r="K352" s="6">
        <f>IFERROR(BDP(Database!$A352&amp;" HK Equity","A/H_SHARE_CONVERSION"),"")</f>
        <v/>
      </c>
      <c r="L352" s="4">
        <f>IF(Database!AL352="","(none found)",Database!AL352)</f>
        <v/>
      </c>
      <c r="M352" s="9">
        <f>IFERROR(BDH(Database!$A352&amp;" HK Equity","CUR_MKT_CAP",Database!$G352,Database!$G352)/1000000,"")</f>
        <v/>
      </c>
      <c r="N352" s="63">
        <f>Database!O352</f>
        <v/>
      </c>
      <c r="O352" s="21">
        <f>IFERROR(BDH(Database!$A352&amp;" HK Equity","PE_RATIO",Database!$G352,Database!$G352),"")</f>
        <v/>
      </c>
      <c r="P352" s="60">
        <f>IF(Database!AI352="","(n/m or not derivable)",Database!AI352)</f>
        <v/>
      </c>
    </row>
    <row r="353">
      <c r="A353" s="4">
        <f>Database!A353&amp;"  "&amp;Database!B353</f>
        <v/>
      </c>
      <c r="B353" s="6">
        <f>IFERROR(INDEX(BDS(Database!$A353&amp;" HK Equity","EQUITY_OFFERINGS","array=t","endcol=1"),MATCH("IPO",BDS(Database!$A353&amp;" HK Equity","EQUITY_OFFERINGS","array=t","startcol=2","endcol=2"),0)),"")</f>
        <v/>
      </c>
      <c r="C353" s="64">
        <f>IF($B353="","",IFERROR(BDP($B353&amp;" Action","CP036"),""))</f>
        <v/>
      </c>
      <c r="D353" s="65">
        <f>Database!Q353</f>
        <v/>
      </c>
      <c r="E353" s="64">
        <f>IF($B353="","",IFERROR(BDP($B353&amp;" Action","CP037"),""))</f>
        <v/>
      </c>
      <c r="F353" s="65">
        <f>Database!R353</f>
        <v/>
      </c>
      <c r="G353" s="64">
        <f>IF($B353="","",IFERROR(BDP($B353&amp;" Action","GREENSHOE_FACILITY"),""))</f>
        <v/>
      </c>
      <c r="H353" s="64">
        <f>IF($B353="","",IFERROR(BDP($B353&amp;" Action","OFFERING_GREENSHOE_SHARES_EX"),""))</f>
        <v/>
      </c>
      <c r="I353" s="4">
        <f>Database!V353</f>
        <v/>
      </c>
      <c r="J353" s="21">
        <f>IFERROR(BDP(Database!$A353&amp;" HK Equity","PE_RATIO"),"")</f>
        <v/>
      </c>
      <c r="K353" s="6">
        <f>IFERROR(BDP(Database!$A353&amp;" HK Equity","A/H_SHARE_CONVERSION"),"")</f>
        <v/>
      </c>
      <c r="L353" s="4">
        <f>IF(Database!AL353="","(none found)",Database!AL353)</f>
        <v/>
      </c>
      <c r="M353" s="9">
        <f>IFERROR(BDH(Database!$A353&amp;" HK Equity","CUR_MKT_CAP",Database!$G353,Database!$G353)/1000000,"")</f>
        <v/>
      </c>
      <c r="N353" s="63">
        <f>Database!O353</f>
        <v/>
      </c>
      <c r="O353" s="21">
        <f>IFERROR(BDH(Database!$A353&amp;" HK Equity","PE_RATIO",Database!$G353,Database!$G353),"")</f>
        <v/>
      </c>
      <c r="P353" s="60">
        <f>IF(Database!AI353="","(n/m or not derivable)",Database!AI353)</f>
        <v/>
      </c>
    </row>
    <row r="354">
      <c r="A354" s="4">
        <f>Database!A354&amp;"  "&amp;Database!B354</f>
        <v/>
      </c>
      <c r="B354" s="6">
        <f>IFERROR(INDEX(BDS(Database!$A354&amp;" HK Equity","EQUITY_OFFERINGS","array=t","endcol=1"),MATCH("IPO",BDS(Database!$A354&amp;" HK Equity","EQUITY_OFFERINGS","array=t","startcol=2","endcol=2"),0)),"")</f>
        <v/>
      </c>
      <c r="C354" s="64">
        <f>IF($B354="","",IFERROR(BDP($B354&amp;" Action","CP036"),""))</f>
        <v/>
      </c>
      <c r="D354" s="65">
        <f>Database!Q354</f>
        <v/>
      </c>
      <c r="E354" s="64">
        <f>IF($B354="","",IFERROR(BDP($B354&amp;" Action","CP037"),""))</f>
        <v/>
      </c>
      <c r="F354" s="65">
        <f>Database!R354</f>
        <v/>
      </c>
      <c r="G354" s="64">
        <f>IF($B354="","",IFERROR(BDP($B354&amp;" Action","GREENSHOE_FACILITY"),""))</f>
        <v/>
      </c>
      <c r="H354" s="64">
        <f>IF($B354="","",IFERROR(BDP($B354&amp;" Action","OFFERING_GREENSHOE_SHARES_EX"),""))</f>
        <v/>
      </c>
      <c r="I354" s="4">
        <f>Database!V354</f>
        <v/>
      </c>
      <c r="J354" s="21">
        <f>IFERROR(BDP(Database!$A354&amp;" HK Equity","PE_RATIO"),"")</f>
        <v/>
      </c>
      <c r="K354" s="6">
        <f>IFERROR(BDP(Database!$A354&amp;" HK Equity","A/H_SHARE_CONVERSION"),"")</f>
        <v/>
      </c>
      <c r="L354" s="4">
        <f>IF(Database!AL354="","(none found)",Database!AL354)</f>
        <v/>
      </c>
      <c r="M354" s="9">
        <f>IFERROR(BDH(Database!$A354&amp;" HK Equity","CUR_MKT_CAP",Database!$G354,Database!$G354)/1000000,"")</f>
        <v/>
      </c>
      <c r="N354" s="63">
        <f>Database!O354</f>
        <v/>
      </c>
      <c r="O354" s="21">
        <f>IFERROR(BDH(Database!$A354&amp;" HK Equity","PE_RATIO",Database!$G354,Database!$G354),"")</f>
        <v/>
      </c>
      <c r="P354" s="60">
        <f>IF(Database!AI354="","(n/m or not derivable)",Database!AI354)</f>
        <v/>
      </c>
    </row>
    <row r="355">
      <c r="A355" s="4">
        <f>Database!A355&amp;"  "&amp;Database!B355</f>
        <v/>
      </c>
      <c r="B355" s="6">
        <f>IFERROR(INDEX(BDS(Database!$A355&amp;" HK Equity","EQUITY_OFFERINGS","array=t","endcol=1"),MATCH("IPO",BDS(Database!$A355&amp;" HK Equity","EQUITY_OFFERINGS","array=t","startcol=2","endcol=2"),0)),"")</f>
        <v/>
      </c>
      <c r="C355" s="64">
        <f>IF($B355="","",IFERROR(BDP($B355&amp;" Action","CP036"),""))</f>
        <v/>
      </c>
      <c r="D355" s="65">
        <f>Database!Q355</f>
        <v/>
      </c>
      <c r="E355" s="64">
        <f>IF($B355="","",IFERROR(BDP($B355&amp;" Action","CP037"),""))</f>
        <v/>
      </c>
      <c r="F355" s="65">
        <f>Database!R355</f>
        <v/>
      </c>
      <c r="G355" s="64">
        <f>IF($B355="","",IFERROR(BDP($B355&amp;" Action","GREENSHOE_FACILITY"),""))</f>
        <v/>
      </c>
      <c r="H355" s="64">
        <f>IF($B355="","",IFERROR(BDP($B355&amp;" Action","OFFERING_GREENSHOE_SHARES_EX"),""))</f>
        <v/>
      </c>
      <c r="I355" s="4">
        <f>Database!V355</f>
        <v/>
      </c>
      <c r="J355" s="21">
        <f>IFERROR(BDP(Database!$A355&amp;" HK Equity","PE_RATIO"),"")</f>
        <v/>
      </c>
      <c r="K355" s="6">
        <f>IFERROR(BDP(Database!$A355&amp;" HK Equity","A/H_SHARE_CONVERSION"),"")</f>
        <v/>
      </c>
      <c r="L355" s="4">
        <f>IF(Database!AL355="","(none found)",Database!AL355)</f>
        <v/>
      </c>
      <c r="M355" s="9">
        <f>IFERROR(BDH(Database!$A355&amp;" HK Equity","CUR_MKT_CAP",Database!$G355,Database!$G355)/1000000,"")</f>
        <v/>
      </c>
      <c r="N355" s="63">
        <f>Database!O355</f>
        <v/>
      </c>
      <c r="O355" s="21">
        <f>IFERROR(BDH(Database!$A355&amp;" HK Equity","PE_RATIO",Database!$G355,Database!$G355),"")</f>
        <v/>
      </c>
      <c r="P355" s="60">
        <f>IF(Database!AI355="","(n/m or not derivable)",Database!AI355)</f>
        <v/>
      </c>
    </row>
    <row r="356">
      <c r="A356" s="4">
        <f>Database!A356&amp;"  "&amp;Database!B356</f>
        <v/>
      </c>
      <c r="B356" s="6">
        <f>IFERROR(INDEX(BDS(Database!$A356&amp;" HK Equity","EQUITY_OFFERINGS","array=t","endcol=1"),MATCH("IPO",BDS(Database!$A356&amp;" HK Equity","EQUITY_OFFERINGS","array=t","startcol=2","endcol=2"),0)),"")</f>
        <v/>
      </c>
      <c r="C356" s="64">
        <f>IF($B356="","",IFERROR(BDP($B356&amp;" Action","CP036"),""))</f>
        <v/>
      </c>
      <c r="D356" s="65">
        <f>Database!Q356</f>
        <v/>
      </c>
      <c r="E356" s="64">
        <f>IF($B356="","",IFERROR(BDP($B356&amp;" Action","CP037"),""))</f>
        <v/>
      </c>
      <c r="F356" s="65">
        <f>Database!R356</f>
        <v/>
      </c>
      <c r="G356" s="64">
        <f>IF($B356="","",IFERROR(BDP($B356&amp;" Action","GREENSHOE_FACILITY"),""))</f>
        <v/>
      </c>
      <c r="H356" s="64">
        <f>IF($B356="","",IFERROR(BDP($B356&amp;" Action","OFFERING_GREENSHOE_SHARES_EX"),""))</f>
        <v/>
      </c>
      <c r="I356" s="4">
        <f>Database!V356</f>
        <v/>
      </c>
      <c r="J356" s="21">
        <f>IFERROR(BDP(Database!$A356&amp;" HK Equity","PE_RATIO"),"")</f>
        <v/>
      </c>
      <c r="K356" s="6">
        <f>IFERROR(BDP(Database!$A356&amp;" HK Equity","A/H_SHARE_CONVERSION"),"")</f>
        <v/>
      </c>
      <c r="L356" s="4">
        <f>IF(Database!AL356="","(none found)",Database!AL356)</f>
        <v/>
      </c>
      <c r="M356" s="9">
        <f>IFERROR(BDH(Database!$A356&amp;" HK Equity","CUR_MKT_CAP",Database!$G356,Database!$G356)/1000000,"")</f>
        <v/>
      </c>
      <c r="N356" s="63">
        <f>Database!O356</f>
        <v/>
      </c>
      <c r="O356" s="21">
        <f>IFERROR(BDH(Database!$A356&amp;" HK Equity","PE_RATIO",Database!$G356,Database!$G356),"")</f>
        <v/>
      </c>
      <c r="P356" s="60">
        <f>IF(Database!AI356="","(n/m or not derivable)",Database!AI356)</f>
        <v/>
      </c>
    </row>
    <row r="357">
      <c r="A357" s="4">
        <f>Database!A357&amp;"  "&amp;Database!B357</f>
        <v/>
      </c>
      <c r="B357" s="6">
        <f>IFERROR(INDEX(BDS(Database!$A357&amp;" HK Equity","EQUITY_OFFERINGS","array=t","endcol=1"),MATCH("IPO",BDS(Database!$A357&amp;" HK Equity","EQUITY_OFFERINGS","array=t","startcol=2","endcol=2"),0)),"")</f>
        <v/>
      </c>
      <c r="C357" s="64">
        <f>IF($B357="","",IFERROR(BDP($B357&amp;" Action","CP036"),""))</f>
        <v/>
      </c>
      <c r="D357" s="65">
        <f>Database!Q357</f>
        <v/>
      </c>
      <c r="E357" s="64">
        <f>IF($B357="","",IFERROR(BDP($B357&amp;" Action","CP037"),""))</f>
        <v/>
      </c>
      <c r="F357" s="65">
        <f>Database!R357</f>
        <v/>
      </c>
      <c r="G357" s="64">
        <f>IF($B357="","",IFERROR(BDP($B357&amp;" Action","GREENSHOE_FACILITY"),""))</f>
        <v/>
      </c>
      <c r="H357" s="64">
        <f>IF($B357="","",IFERROR(BDP($B357&amp;" Action","OFFERING_GREENSHOE_SHARES_EX"),""))</f>
        <v/>
      </c>
      <c r="I357" s="4">
        <f>Database!V357</f>
        <v/>
      </c>
      <c r="J357" s="21">
        <f>IFERROR(BDP(Database!$A357&amp;" HK Equity","PE_RATIO"),"")</f>
        <v/>
      </c>
      <c r="K357" s="6">
        <f>IFERROR(BDP(Database!$A357&amp;" HK Equity","A/H_SHARE_CONVERSION"),"")</f>
        <v/>
      </c>
      <c r="L357" s="4">
        <f>IF(Database!AL357="","(none found)",Database!AL357)</f>
        <v/>
      </c>
      <c r="M357" s="9">
        <f>IFERROR(BDH(Database!$A357&amp;" HK Equity","CUR_MKT_CAP",Database!$G357,Database!$G357)/1000000,"")</f>
        <v/>
      </c>
      <c r="N357" s="63">
        <f>Database!O357</f>
        <v/>
      </c>
      <c r="O357" s="21">
        <f>IFERROR(BDH(Database!$A357&amp;" HK Equity","PE_RATIO",Database!$G357,Database!$G357),"")</f>
        <v/>
      </c>
      <c r="P357" s="60">
        <f>IF(Database!AI357="","(n/m or not derivable)",Database!AI357)</f>
        <v/>
      </c>
    </row>
    <row r="358">
      <c r="A358" s="4">
        <f>Database!A358&amp;"  "&amp;Database!B358</f>
        <v/>
      </c>
      <c r="B358" s="6">
        <f>IFERROR(INDEX(BDS(Database!$A358&amp;" HK Equity","EQUITY_OFFERINGS","array=t","endcol=1"),MATCH("IPO",BDS(Database!$A358&amp;" HK Equity","EQUITY_OFFERINGS","array=t","startcol=2","endcol=2"),0)),"")</f>
        <v/>
      </c>
      <c r="C358" s="64">
        <f>IF($B358="","",IFERROR(BDP($B358&amp;" Action","CP036"),""))</f>
        <v/>
      </c>
      <c r="D358" s="65">
        <f>Database!Q358</f>
        <v/>
      </c>
      <c r="E358" s="64">
        <f>IF($B358="","",IFERROR(BDP($B358&amp;" Action","CP037"),""))</f>
        <v/>
      </c>
      <c r="F358" s="65">
        <f>Database!R358</f>
        <v/>
      </c>
      <c r="G358" s="64">
        <f>IF($B358="","",IFERROR(BDP($B358&amp;" Action","GREENSHOE_FACILITY"),""))</f>
        <v/>
      </c>
      <c r="H358" s="64">
        <f>IF($B358="","",IFERROR(BDP($B358&amp;" Action","OFFERING_GREENSHOE_SHARES_EX"),""))</f>
        <v/>
      </c>
      <c r="I358" s="4">
        <f>Database!V358</f>
        <v/>
      </c>
      <c r="J358" s="21">
        <f>IFERROR(BDP(Database!$A358&amp;" HK Equity","PE_RATIO"),"")</f>
        <v/>
      </c>
      <c r="K358" s="6">
        <f>IFERROR(BDP(Database!$A358&amp;" HK Equity","A/H_SHARE_CONVERSION"),"")</f>
        <v/>
      </c>
      <c r="L358" s="4">
        <f>IF(Database!AL358="","(none found)",Database!AL358)</f>
        <v/>
      </c>
      <c r="M358" s="9">
        <f>IFERROR(BDH(Database!$A358&amp;" HK Equity","CUR_MKT_CAP",Database!$G358,Database!$G358)/1000000,"")</f>
        <v/>
      </c>
      <c r="N358" s="63">
        <f>Database!O358</f>
        <v/>
      </c>
      <c r="O358" s="21">
        <f>IFERROR(BDH(Database!$A358&amp;" HK Equity","PE_RATIO",Database!$G358,Database!$G358),"")</f>
        <v/>
      </c>
      <c r="P358" s="60">
        <f>IF(Database!AI358="","(n/m or not derivable)",Database!AI358)</f>
        <v/>
      </c>
    </row>
    <row r="359">
      <c r="A359" s="4">
        <f>Database!A359&amp;"  "&amp;Database!B359</f>
        <v/>
      </c>
      <c r="B359" s="6">
        <f>IFERROR(INDEX(BDS(Database!$A359&amp;" HK Equity","EQUITY_OFFERINGS","array=t","endcol=1"),MATCH("IPO",BDS(Database!$A359&amp;" HK Equity","EQUITY_OFFERINGS","array=t","startcol=2","endcol=2"),0)),"")</f>
        <v/>
      </c>
      <c r="C359" s="64">
        <f>IF($B359="","",IFERROR(BDP($B359&amp;" Action","CP036"),""))</f>
        <v/>
      </c>
      <c r="D359" s="65">
        <f>Database!Q359</f>
        <v/>
      </c>
      <c r="E359" s="64">
        <f>IF($B359="","",IFERROR(BDP($B359&amp;" Action","CP037"),""))</f>
        <v/>
      </c>
      <c r="F359" s="65">
        <f>Database!R359</f>
        <v/>
      </c>
      <c r="G359" s="64">
        <f>IF($B359="","",IFERROR(BDP($B359&amp;" Action","GREENSHOE_FACILITY"),""))</f>
        <v/>
      </c>
      <c r="H359" s="64">
        <f>IF($B359="","",IFERROR(BDP($B359&amp;" Action","OFFERING_GREENSHOE_SHARES_EX"),""))</f>
        <v/>
      </c>
      <c r="I359" s="4">
        <f>Database!V359</f>
        <v/>
      </c>
      <c r="J359" s="21">
        <f>IFERROR(BDP(Database!$A359&amp;" HK Equity","PE_RATIO"),"")</f>
        <v/>
      </c>
      <c r="K359" s="6">
        <f>IFERROR(BDP(Database!$A359&amp;" HK Equity","A/H_SHARE_CONVERSION"),"")</f>
        <v/>
      </c>
      <c r="L359" s="4">
        <f>IF(Database!AL359="","(none found)",Database!AL359)</f>
        <v/>
      </c>
      <c r="M359" s="9">
        <f>IFERROR(BDH(Database!$A359&amp;" HK Equity","CUR_MKT_CAP",Database!$G359,Database!$G359)/1000000,"")</f>
        <v/>
      </c>
      <c r="N359" s="63">
        <f>Database!O359</f>
        <v/>
      </c>
      <c r="O359" s="21">
        <f>IFERROR(BDH(Database!$A359&amp;" HK Equity","PE_RATIO",Database!$G359,Database!$G359),"")</f>
        <v/>
      </c>
      <c r="P359" s="60">
        <f>IF(Database!AI359="","(n/m or not derivable)",Database!AI359)</f>
        <v/>
      </c>
    </row>
    <row r="360">
      <c r="A360" s="4">
        <f>Database!A360&amp;"  "&amp;Database!B360</f>
        <v/>
      </c>
      <c r="B360" s="6">
        <f>IFERROR(INDEX(BDS(Database!$A360&amp;" HK Equity","EQUITY_OFFERINGS","array=t","endcol=1"),MATCH("IPO",BDS(Database!$A360&amp;" HK Equity","EQUITY_OFFERINGS","array=t","startcol=2","endcol=2"),0)),"")</f>
        <v/>
      </c>
      <c r="C360" s="64">
        <f>IF($B360="","",IFERROR(BDP($B360&amp;" Action","CP036"),""))</f>
        <v/>
      </c>
      <c r="D360" s="65">
        <f>Database!Q360</f>
        <v/>
      </c>
      <c r="E360" s="64">
        <f>IF($B360="","",IFERROR(BDP($B360&amp;" Action","CP037"),""))</f>
        <v/>
      </c>
      <c r="F360" s="65">
        <f>Database!R360</f>
        <v/>
      </c>
      <c r="G360" s="64">
        <f>IF($B360="","",IFERROR(BDP($B360&amp;" Action","GREENSHOE_FACILITY"),""))</f>
        <v/>
      </c>
      <c r="H360" s="64">
        <f>IF($B360="","",IFERROR(BDP($B360&amp;" Action","OFFERING_GREENSHOE_SHARES_EX"),""))</f>
        <v/>
      </c>
      <c r="I360" s="4">
        <f>Database!V360</f>
        <v/>
      </c>
      <c r="J360" s="21">
        <f>IFERROR(BDP(Database!$A360&amp;" HK Equity","PE_RATIO"),"")</f>
        <v/>
      </c>
      <c r="K360" s="6">
        <f>IFERROR(BDP(Database!$A360&amp;" HK Equity","A/H_SHARE_CONVERSION"),"")</f>
        <v/>
      </c>
      <c r="L360" s="4">
        <f>IF(Database!AL360="","(none found)",Database!AL360)</f>
        <v/>
      </c>
      <c r="M360" s="9">
        <f>IFERROR(BDH(Database!$A360&amp;" HK Equity","CUR_MKT_CAP",Database!$G360,Database!$G360)/1000000,"")</f>
        <v/>
      </c>
      <c r="N360" s="63">
        <f>Database!O360</f>
        <v/>
      </c>
      <c r="O360" s="21">
        <f>IFERROR(BDH(Database!$A360&amp;" HK Equity","PE_RATIO",Database!$G360,Database!$G360),"")</f>
        <v/>
      </c>
      <c r="P360" s="60">
        <f>IF(Database!AI360="","(n/m or not derivable)",Database!AI360)</f>
        <v/>
      </c>
    </row>
    <row r="361">
      <c r="A361" s="4">
        <f>Database!A361&amp;"  "&amp;Database!B361</f>
        <v/>
      </c>
      <c r="B361" s="6">
        <f>IFERROR(INDEX(BDS(Database!$A361&amp;" HK Equity","EQUITY_OFFERINGS","array=t","endcol=1"),MATCH("IPO",BDS(Database!$A361&amp;" HK Equity","EQUITY_OFFERINGS","array=t","startcol=2","endcol=2"),0)),"")</f>
        <v/>
      </c>
      <c r="C361" s="64">
        <f>IF($B361="","",IFERROR(BDP($B361&amp;" Action","CP036"),""))</f>
        <v/>
      </c>
      <c r="D361" s="65">
        <f>Database!Q361</f>
        <v/>
      </c>
      <c r="E361" s="64">
        <f>IF($B361="","",IFERROR(BDP($B361&amp;" Action","CP037"),""))</f>
        <v/>
      </c>
      <c r="F361" s="65">
        <f>Database!R361</f>
        <v/>
      </c>
      <c r="G361" s="64">
        <f>IF($B361="","",IFERROR(BDP($B361&amp;" Action","GREENSHOE_FACILITY"),""))</f>
        <v/>
      </c>
      <c r="H361" s="64">
        <f>IF($B361="","",IFERROR(BDP($B361&amp;" Action","OFFERING_GREENSHOE_SHARES_EX"),""))</f>
        <v/>
      </c>
      <c r="I361" s="4">
        <f>Database!V361</f>
        <v/>
      </c>
      <c r="J361" s="21">
        <f>IFERROR(BDP(Database!$A361&amp;" HK Equity","PE_RATIO"),"")</f>
        <v/>
      </c>
      <c r="K361" s="6">
        <f>IFERROR(BDP(Database!$A361&amp;" HK Equity","A/H_SHARE_CONVERSION"),"")</f>
        <v/>
      </c>
      <c r="L361" s="4">
        <f>IF(Database!AL361="","(none found)",Database!AL361)</f>
        <v/>
      </c>
      <c r="M361" s="9">
        <f>IFERROR(BDH(Database!$A361&amp;" HK Equity","CUR_MKT_CAP",Database!$G361,Database!$G361)/1000000,"")</f>
        <v/>
      </c>
      <c r="N361" s="63">
        <f>Database!O361</f>
        <v/>
      </c>
      <c r="O361" s="21">
        <f>IFERROR(BDH(Database!$A361&amp;" HK Equity","PE_RATIO",Database!$G361,Database!$G361),"")</f>
        <v/>
      </c>
      <c r="P361" s="60">
        <f>IF(Database!AI361="","(n/m or not derivable)",Database!AI361)</f>
        <v/>
      </c>
    </row>
    <row r="362">
      <c r="A362" s="4">
        <f>Database!A362&amp;"  "&amp;Database!B362</f>
        <v/>
      </c>
      <c r="B362" s="6">
        <f>IFERROR(INDEX(BDS(Database!$A362&amp;" HK Equity","EQUITY_OFFERINGS","array=t","endcol=1"),MATCH("IPO",BDS(Database!$A362&amp;" HK Equity","EQUITY_OFFERINGS","array=t","startcol=2","endcol=2"),0)),"")</f>
        <v/>
      </c>
      <c r="C362" s="64">
        <f>IF($B362="","",IFERROR(BDP($B362&amp;" Action","CP036"),""))</f>
        <v/>
      </c>
      <c r="D362" s="65">
        <f>Database!Q362</f>
        <v/>
      </c>
      <c r="E362" s="64">
        <f>IF($B362="","",IFERROR(BDP($B362&amp;" Action","CP037"),""))</f>
        <v/>
      </c>
      <c r="F362" s="65">
        <f>Database!R362</f>
        <v/>
      </c>
      <c r="G362" s="64">
        <f>IF($B362="","",IFERROR(BDP($B362&amp;" Action","GREENSHOE_FACILITY"),""))</f>
        <v/>
      </c>
      <c r="H362" s="64">
        <f>IF($B362="","",IFERROR(BDP($B362&amp;" Action","OFFERING_GREENSHOE_SHARES_EX"),""))</f>
        <v/>
      </c>
      <c r="I362" s="4">
        <f>Database!V362</f>
        <v/>
      </c>
      <c r="J362" s="21">
        <f>IFERROR(BDP(Database!$A362&amp;" HK Equity","PE_RATIO"),"")</f>
        <v/>
      </c>
      <c r="K362" s="6">
        <f>IFERROR(BDP(Database!$A362&amp;" HK Equity","A/H_SHARE_CONVERSION"),"")</f>
        <v/>
      </c>
      <c r="L362" s="4">
        <f>IF(Database!AL362="","(none found)",Database!AL362)</f>
        <v/>
      </c>
      <c r="M362" s="9">
        <f>IFERROR(BDH(Database!$A362&amp;" HK Equity","CUR_MKT_CAP",Database!$G362,Database!$G362)/1000000,"")</f>
        <v/>
      </c>
      <c r="N362" s="63">
        <f>Database!O362</f>
        <v/>
      </c>
      <c r="O362" s="21">
        <f>IFERROR(BDH(Database!$A362&amp;" HK Equity","PE_RATIO",Database!$G362,Database!$G362),"")</f>
        <v/>
      </c>
      <c r="P362" s="60">
        <f>IF(Database!AI362="","(n/m or not derivable)",Database!AI362)</f>
        <v/>
      </c>
    </row>
    <row r="363">
      <c r="A363" s="4">
        <f>Database!A363&amp;"  "&amp;Database!B363</f>
        <v/>
      </c>
      <c r="B363" s="6">
        <f>IFERROR(INDEX(BDS(Database!$A363&amp;" HK Equity","EQUITY_OFFERINGS","array=t","endcol=1"),MATCH("IPO",BDS(Database!$A363&amp;" HK Equity","EQUITY_OFFERINGS","array=t","startcol=2","endcol=2"),0)),"")</f>
        <v/>
      </c>
      <c r="C363" s="64">
        <f>IF($B363="","",IFERROR(BDP($B363&amp;" Action","CP036"),""))</f>
        <v/>
      </c>
      <c r="D363" s="65">
        <f>Database!Q363</f>
        <v/>
      </c>
      <c r="E363" s="64">
        <f>IF($B363="","",IFERROR(BDP($B363&amp;" Action","CP037"),""))</f>
        <v/>
      </c>
      <c r="F363" s="65">
        <f>Database!R363</f>
        <v/>
      </c>
      <c r="G363" s="64">
        <f>IF($B363="","",IFERROR(BDP($B363&amp;" Action","GREENSHOE_FACILITY"),""))</f>
        <v/>
      </c>
      <c r="H363" s="64">
        <f>IF($B363="","",IFERROR(BDP($B363&amp;" Action","OFFERING_GREENSHOE_SHARES_EX"),""))</f>
        <v/>
      </c>
      <c r="I363" s="4">
        <f>Database!V363</f>
        <v/>
      </c>
      <c r="J363" s="21">
        <f>IFERROR(BDP(Database!$A363&amp;" HK Equity","PE_RATIO"),"")</f>
        <v/>
      </c>
      <c r="K363" s="6">
        <f>IFERROR(BDP(Database!$A363&amp;" HK Equity","A/H_SHARE_CONVERSION"),"")</f>
        <v/>
      </c>
      <c r="L363" s="4">
        <f>IF(Database!AL363="","(none found)",Database!AL363)</f>
        <v/>
      </c>
      <c r="M363" s="9">
        <f>IFERROR(BDH(Database!$A363&amp;" HK Equity","CUR_MKT_CAP",Database!$G363,Database!$G363)/1000000,"")</f>
        <v/>
      </c>
      <c r="N363" s="63">
        <f>Database!O363</f>
        <v/>
      </c>
      <c r="O363" s="21">
        <f>IFERROR(BDH(Database!$A363&amp;" HK Equity","PE_RATIO",Database!$G363,Database!$G363),"")</f>
        <v/>
      </c>
      <c r="P363" s="60">
        <f>IF(Database!AI363="","(n/m or not derivable)",Database!AI363)</f>
        <v/>
      </c>
    </row>
    <row r="364">
      <c r="A364" s="4">
        <f>Database!A364&amp;"  "&amp;Database!B364</f>
        <v/>
      </c>
      <c r="B364" s="6">
        <f>IFERROR(INDEX(BDS(Database!$A364&amp;" HK Equity","EQUITY_OFFERINGS","array=t","endcol=1"),MATCH("IPO",BDS(Database!$A364&amp;" HK Equity","EQUITY_OFFERINGS","array=t","startcol=2","endcol=2"),0)),"")</f>
        <v/>
      </c>
      <c r="C364" s="64">
        <f>IF($B364="","",IFERROR(BDP($B364&amp;" Action","CP036"),""))</f>
        <v/>
      </c>
      <c r="D364" s="65">
        <f>Database!Q364</f>
        <v/>
      </c>
      <c r="E364" s="64">
        <f>IF($B364="","",IFERROR(BDP($B364&amp;" Action","CP037"),""))</f>
        <v/>
      </c>
      <c r="F364" s="65">
        <f>Database!R364</f>
        <v/>
      </c>
      <c r="G364" s="64">
        <f>IF($B364="","",IFERROR(BDP($B364&amp;" Action","GREENSHOE_FACILITY"),""))</f>
        <v/>
      </c>
      <c r="H364" s="64">
        <f>IF($B364="","",IFERROR(BDP($B364&amp;" Action","OFFERING_GREENSHOE_SHARES_EX"),""))</f>
        <v/>
      </c>
      <c r="I364" s="4">
        <f>Database!V364</f>
        <v/>
      </c>
      <c r="J364" s="21">
        <f>IFERROR(BDP(Database!$A364&amp;" HK Equity","PE_RATIO"),"")</f>
        <v/>
      </c>
      <c r="K364" s="6">
        <f>IFERROR(BDP(Database!$A364&amp;" HK Equity","A/H_SHARE_CONVERSION"),"")</f>
        <v/>
      </c>
      <c r="L364" s="4">
        <f>IF(Database!AL364="","(none found)",Database!AL364)</f>
        <v/>
      </c>
      <c r="M364" s="9">
        <f>IFERROR(BDH(Database!$A364&amp;" HK Equity","CUR_MKT_CAP",Database!$G364,Database!$G364)/1000000,"")</f>
        <v/>
      </c>
      <c r="N364" s="63">
        <f>Database!O364</f>
        <v/>
      </c>
      <c r="O364" s="21">
        <f>IFERROR(BDH(Database!$A364&amp;" HK Equity","PE_RATIO",Database!$G364,Database!$G364),"")</f>
        <v/>
      </c>
      <c r="P364" s="60">
        <f>IF(Database!AI364="","(n/m or not derivable)",Database!AI364)</f>
        <v/>
      </c>
    </row>
    <row r="365">
      <c r="A365" s="4">
        <f>Database!A365&amp;"  "&amp;Database!B365</f>
        <v/>
      </c>
      <c r="B365" s="6">
        <f>IFERROR(INDEX(BDS(Database!$A365&amp;" HK Equity","EQUITY_OFFERINGS","array=t","endcol=1"),MATCH("IPO",BDS(Database!$A365&amp;" HK Equity","EQUITY_OFFERINGS","array=t","startcol=2","endcol=2"),0)),"")</f>
        <v/>
      </c>
      <c r="C365" s="64">
        <f>IF($B365="","",IFERROR(BDP($B365&amp;" Action","CP036"),""))</f>
        <v/>
      </c>
      <c r="D365" s="65">
        <f>Database!Q365</f>
        <v/>
      </c>
      <c r="E365" s="64">
        <f>IF($B365="","",IFERROR(BDP($B365&amp;" Action","CP037"),""))</f>
        <v/>
      </c>
      <c r="F365" s="65">
        <f>Database!R365</f>
        <v/>
      </c>
      <c r="G365" s="64">
        <f>IF($B365="","",IFERROR(BDP($B365&amp;" Action","GREENSHOE_FACILITY"),""))</f>
        <v/>
      </c>
      <c r="H365" s="64">
        <f>IF($B365="","",IFERROR(BDP($B365&amp;" Action","OFFERING_GREENSHOE_SHARES_EX"),""))</f>
        <v/>
      </c>
      <c r="I365" s="4">
        <f>Database!V365</f>
        <v/>
      </c>
      <c r="J365" s="21">
        <f>IFERROR(BDP(Database!$A365&amp;" HK Equity","PE_RATIO"),"")</f>
        <v/>
      </c>
      <c r="K365" s="6">
        <f>IFERROR(BDP(Database!$A365&amp;" HK Equity","A/H_SHARE_CONVERSION"),"")</f>
        <v/>
      </c>
      <c r="L365" s="4">
        <f>IF(Database!AL365="","(none found)",Database!AL365)</f>
        <v/>
      </c>
      <c r="M365" s="9">
        <f>IFERROR(BDH(Database!$A365&amp;" HK Equity","CUR_MKT_CAP",Database!$G365,Database!$G365)/1000000,"")</f>
        <v/>
      </c>
      <c r="N365" s="63">
        <f>Database!O365</f>
        <v/>
      </c>
      <c r="O365" s="21">
        <f>IFERROR(BDH(Database!$A365&amp;" HK Equity","PE_RATIO",Database!$G365,Database!$G365),"")</f>
        <v/>
      </c>
      <c r="P365" s="60">
        <f>IF(Database!AI365="","(n/m or not derivable)",Database!AI365)</f>
        <v/>
      </c>
    </row>
    <row r="366">
      <c r="A366" s="4">
        <f>Database!A366&amp;"  "&amp;Database!B366</f>
        <v/>
      </c>
      <c r="B366" s="6">
        <f>IFERROR(INDEX(BDS(Database!$A366&amp;" HK Equity","EQUITY_OFFERINGS","array=t","endcol=1"),MATCH("IPO",BDS(Database!$A366&amp;" HK Equity","EQUITY_OFFERINGS","array=t","startcol=2","endcol=2"),0)),"")</f>
        <v/>
      </c>
      <c r="C366" s="64">
        <f>IF($B366="","",IFERROR(BDP($B366&amp;" Action","CP036"),""))</f>
        <v/>
      </c>
      <c r="D366" s="65">
        <f>Database!Q366</f>
        <v/>
      </c>
      <c r="E366" s="64">
        <f>IF($B366="","",IFERROR(BDP($B366&amp;" Action","CP037"),""))</f>
        <v/>
      </c>
      <c r="F366" s="65">
        <f>Database!R366</f>
        <v/>
      </c>
      <c r="G366" s="64">
        <f>IF($B366="","",IFERROR(BDP($B366&amp;" Action","GREENSHOE_FACILITY"),""))</f>
        <v/>
      </c>
      <c r="H366" s="64">
        <f>IF($B366="","",IFERROR(BDP($B366&amp;" Action","OFFERING_GREENSHOE_SHARES_EX"),""))</f>
        <v/>
      </c>
      <c r="I366" s="4">
        <f>Database!V366</f>
        <v/>
      </c>
      <c r="J366" s="21">
        <f>IFERROR(BDP(Database!$A366&amp;" HK Equity","PE_RATIO"),"")</f>
        <v/>
      </c>
      <c r="K366" s="6">
        <f>IFERROR(BDP(Database!$A366&amp;" HK Equity","A/H_SHARE_CONVERSION"),"")</f>
        <v/>
      </c>
      <c r="L366" s="4">
        <f>IF(Database!AL366="","(none found)",Database!AL366)</f>
        <v/>
      </c>
      <c r="M366" s="9">
        <f>IFERROR(BDH(Database!$A366&amp;" HK Equity","CUR_MKT_CAP",Database!$G366,Database!$G366)/1000000,"")</f>
        <v/>
      </c>
      <c r="N366" s="63">
        <f>Database!O366</f>
        <v/>
      </c>
      <c r="O366" s="21">
        <f>IFERROR(BDH(Database!$A366&amp;" HK Equity","PE_RATIO",Database!$G366,Database!$G366),"")</f>
        <v/>
      </c>
      <c r="P366" s="60">
        <f>IF(Database!AI366="","(n/m or not derivable)",Database!AI366)</f>
        <v/>
      </c>
    </row>
    <row r="367">
      <c r="A367" s="4">
        <f>Database!A367&amp;"  "&amp;Database!B367</f>
        <v/>
      </c>
      <c r="B367" s="6">
        <f>IFERROR(INDEX(BDS(Database!$A367&amp;" HK Equity","EQUITY_OFFERINGS","array=t","endcol=1"),MATCH("IPO",BDS(Database!$A367&amp;" HK Equity","EQUITY_OFFERINGS","array=t","startcol=2","endcol=2"),0)),"")</f>
        <v/>
      </c>
      <c r="C367" s="64">
        <f>IF($B367="","",IFERROR(BDP($B367&amp;" Action","CP036"),""))</f>
        <v/>
      </c>
      <c r="D367" s="65">
        <f>Database!Q367</f>
        <v/>
      </c>
      <c r="E367" s="64">
        <f>IF($B367="","",IFERROR(BDP($B367&amp;" Action","CP037"),""))</f>
        <v/>
      </c>
      <c r="F367" s="65">
        <f>Database!R367</f>
        <v/>
      </c>
      <c r="G367" s="64">
        <f>IF($B367="","",IFERROR(BDP($B367&amp;" Action","GREENSHOE_FACILITY"),""))</f>
        <v/>
      </c>
      <c r="H367" s="64">
        <f>IF($B367="","",IFERROR(BDP($B367&amp;" Action","OFFERING_GREENSHOE_SHARES_EX"),""))</f>
        <v/>
      </c>
      <c r="I367" s="4">
        <f>Database!V367</f>
        <v/>
      </c>
      <c r="J367" s="21">
        <f>IFERROR(BDP(Database!$A367&amp;" HK Equity","PE_RATIO"),"")</f>
        <v/>
      </c>
      <c r="K367" s="6">
        <f>IFERROR(BDP(Database!$A367&amp;" HK Equity","A/H_SHARE_CONVERSION"),"")</f>
        <v/>
      </c>
      <c r="L367" s="4">
        <f>IF(Database!AL367="","(none found)",Database!AL367)</f>
        <v/>
      </c>
      <c r="M367" s="9">
        <f>IFERROR(BDH(Database!$A367&amp;" HK Equity","CUR_MKT_CAP",Database!$G367,Database!$G367)/1000000,"")</f>
        <v/>
      </c>
      <c r="N367" s="63">
        <f>Database!O367</f>
        <v/>
      </c>
      <c r="O367" s="21">
        <f>IFERROR(BDH(Database!$A367&amp;" HK Equity","PE_RATIO",Database!$G367,Database!$G367),"")</f>
        <v/>
      </c>
      <c r="P367" s="60">
        <f>IF(Database!AI367="","(n/m or not derivable)",Database!AI367)</f>
        <v/>
      </c>
    </row>
    <row r="368">
      <c r="A368" s="4">
        <f>Database!A368&amp;"  "&amp;Database!B368</f>
        <v/>
      </c>
      <c r="B368" s="6">
        <f>IFERROR(INDEX(BDS(Database!$A368&amp;" HK Equity","EQUITY_OFFERINGS","array=t","endcol=1"),MATCH("IPO",BDS(Database!$A368&amp;" HK Equity","EQUITY_OFFERINGS","array=t","startcol=2","endcol=2"),0)),"")</f>
        <v/>
      </c>
      <c r="C368" s="64">
        <f>IF($B368="","",IFERROR(BDP($B368&amp;" Action","CP036"),""))</f>
        <v/>
      </c>
      <c r="D368" s="65">
        <f>Database!Q368</f>
        <v/>
      </c>
      <c r="E368" s="64">
        <f>IF($B368="","",IFERROR(BDP($B368&amp;" Action","CP037"),""))</f>
        <v/>
      </c>
      <c r="F368" s="65">
        <f>Database!R368</f>
        <v/>
      </c>
      <c r="G368" s="64">
        <f>IF($B368="","",IFERROR(BDP($B368&amp;" Action","GREENSHOE_FACILITY"),""))</f>
        <v/>
      </c>
      <c r="H368" s="64">
        <f>IF($B368="","",IFERROR(BDP($B368&amp;" Action","OFFERING_GREENSHOE_SHARES_EX"),""))</f>
        <v/>
      </c>
      <c r="I368" s="4">
        <f>Database!V368</f>
        <v/>
      </c>
      <c r="J368" s="21">
        <f>IFERROR(BDP(Database!$A368&amp;" HK Equity","PE_RATIO"),"")</f>
        <v/>
      </c>
      <c r="K368" s="6">
        <f>IFERROR(BDP(Database!$A368&amp;" HK Equity","A/H_SHARE_CONVERSION"),"")</f>
        <v/>
      </c>
      <c r="L368" s="4">
        <f>IF(Database!AL368="","(none found)",Database!AL368)</f>
        <v/>
      </c>
      <c r="M368" s="9">
        <f>IFERROR(BDH(Database!$A368&amp;" HK Equity","CUR_MKT_CAP",Database!$G368,Database!$G368)/1000000,"")</f>
        <v/>
      </c>
      <c r="N368" s="63">
        <f>Database!O368</f>
        <v/>
      </c>
      <c r="O368" s="21">
        <f>IFERROR(BDH(Database!$A368&amp;" HK Equity","PE_RATIO",Database!$G368,Database!$G368),"")</f>
        <v/>
      </c>
      <c r="P368" s="60">
        <f>IF(Database!AI368="","(n/m or not derivable)",Database!AI368)</f>
        <v/>
      </c>
    </row>
    <row r="369">
      <c r="A369" s="4">
        <f>Database!A369&amp;"  "&amp;Database!B369</f>
        <v/>
      </c>
      <c r="B369" s="6">
        <f>IFERROR(INDEX(BDS(Database!$A369&amp;" HK Equity","EQUITY_OFFERINGS","array=t","endcol=1"),MATCH("IPO",BDS(Database!$A369&amp;" HK Equity","EQUITY_OFFERINGS","array=t","startcol=2","endcol=2"),0)),"")</f>
        <v/>
      </c>
      <c r="C369" s="64">
        <f>IF($B369="","",IFERROR(BDP($B369&amp;" Action","CP036"),""))</f>
        <v/>
      </c>
      <c r="D369" s="65">
        <f>Database!Q369</f>
        <v/>
      </c>
      <c r="E369" s="64">
        <f>IF($B369="","",IFERROR(BDP($B369&amp;" Action","CP037"),""))</f>
        <v/>
      </c>
      <c r="F369" s="65">
        <f>Database!R369</f>
        <v/>
      </c>
      <c r="G369" s="64">
        <f>IF($B369="","",IFERROR(BDP($B369&amp;" Action","GREENSHOE_FACILITY"),""))</f>
        <v/>
      </c>
      <c r="H369" s="64">
        <f>IF($B369="","",IFERROR(BDP($B369&amp;" Action","OFFERING_GREENSHOE_SHARES_EX"),""))</f>
        <v/>
      </c>
      <c r="I369" s="4">
        <f>Database!V369</f>
        <v/>
      </c>
      <c r="J369" s="21">
        <f>IFERROR(BDP(Database!$A369&amp;" HK Equity","PE_RATIO"),"")</f>
        <v/>
      </c>
      <c r="K369" s="6">
        <f>IFERROR(BDP(Database!$A369&amp;" HK Equity","A/H_SHARE_CONVERSION"),"")</f>
        <v/>
      </c>
      <c r="L369" s="4">
        <f>IF(Database!AL369="","(none found)",Database!AL369)</f>
        <v/>
      </c>
      <c r="M369" s="9">
        <f>IFERROR(BDH(Database!$A369&amp;" HK Equity","CUR_MKT_CAP",Database!$G369,Database!$G369)/1000000,"")</f>
        <v/>
      </c>
      <c r="N369" s="63">
        <f>Database!O369</f>
        <v/>
      </c>
      <c r="O369" s="21">
        <f>IFERROR(BDH(Database!$A369&amp;" HK Equity","PE_RATIO",Database!$G369,Database!$G369),"")</f>
        <v/>
      </c>
      <c r="P369" s="60">
        <f>IF(Database!AI369="","(n/m or not derivable)",Database!AI369)</f>
        <v/>
      </c>
    </row>
    <row r="370">
      <c r="A370" s="4">
        <f>Database!A370&amp;"  "&amp;Database!B370</f>
        <v/>
      </c>
      <c r="B370" s="6">
        <f>IFERROR(INDEX(BDS(Database!$A370&amp;" HK Equity","EQUITY_OFFERINGS","array=t","endcol=1"),MATCH("IPO",BDS(Database!$A370&amp;" HK Equity","EQUITY_OFFERINGS","array=t","startcol=2","endcol=2"),0)),"")</f>
        <v/>
      </c>
      <c r="C370" s="64">
        <f>IF($B370="","",IFERROR(BDP($B370&amp;" Action","CP036"),""))</f>
        <v/>
      </c>
      <c r="D370" s="65">
        <f>Database!Q370</f>
        <v/>
      </c>
      <c r="E370" s="64">
        <f>IF($B370="","",IFERROR(BDP($B370&amp;" Action","CP037"),""))</f>
        <v/>
      </c>
      <c r="F370" s="65">
        <f>Database!R370</f>
        <v/>
      </c>
      <c r="G370" s="64">
        <f>IF($B370="","",IFERROR(BDP($B370&amp;" Action","GREENSHOE_FACILITY"),""))</f>
        <v/>
      </c>
      <c r="H370" s="64">
        <f>IF($B370="","",IFERROR(BDP($B370&amp;" Action","OFFERING_GREENSHOE_SHARES_EX"),""))</f>
        <v/>
      </c>
      <c r="I370" s="4">
        <f>Database!V370</f>
        <v/>
      </c>
      <c r="J370" s="21">
        <f>IFERROR(BDP(Database!$A370&amp;" HK Equity","PE_RATIO"),"")</f>
        <v/>
      </c>
      <c r="K370" s="6">
        <f>IFERROR(BDP(Database!$A370&amp;" HK Equity","A/H_SHARE_CONVERSION"),"")</f>
        <v/>
      </c>
      <c r="L370" s="4">
        <f>IF(Database!AL370="","(none found)",Database!AL370)</f>
        <v/>
      </c>
      <c r="M370" s="9">
        <f>IFERROR(BDH(Database!$A370&amp;" HK Equity","CUR_MKT_CAP",Database!$G370,Database!$G370)/1000000,"")</f>
        <v/>
      </c>
      <c r="N370" s="63">
        <f>Database!O370</f>
        <v/>
      </c>
      <c r="O370" s="21">
        <f>IFERROR(BDH(Database!$A370&amp;" HK Equity","PE_RATIO",Database!$G370,Database!$G370),"")</f>
        <v/>
      </c>
      <c r="P370" s="60">
        <f>IF(Database!AI370="","(n/m or not derivable)",Database!AI370)</f>
        <v/>
      </c>
    </row>
    <row r="371">
      <c r="A371" s="4">
        <f>Database!A371&amp;"  "&amp;Database!B371</f>
        <v/>
      </c>
      <c r="B371" s="6">
        <f>IFERROR(INDEX(BDS(Database!$A371&amp;" HK Equity","EQUITY_OFFERINGS","array=t","endcol=1"),MATCH("IPO",BDS(Database!$A371&amp;" HK Equity","EQUITY_OFFERINGS","array=t","startcol=2","endcol=2"),0)),"")</f>
        <v/>
      </c>
      <c r="C371" s="64">
        <f>IF($B371="","",IFERROR(BDP($B371&amp;" Action","CP036"),""))</f>
        <v/>
      </c>
      <c r="D371" s="65">
        <f>Database!Q371</f>
        <v/>
      </c>
      <c r="E371" s="64">
        <f>IF($B371="","",IFERROR(BDP($B371&amp;" Action","CP037"),""))</f>
        <v/>
      </c>
      <c r="F371" s="65">
        <f>Database!R371</f>
        <v/>
      </c>
      <c r="G371" s="64">
        <f>IF($B371="","",IFERROR(BDP($B371&amp;" Action","GREENSHOE_FACILITY"),""))</f>
        <v/>
      </c>
      <c r="H371" s="64">
        <f>IF($B371="","",IFERROR(BDP($B371&amp;" Action","OFFERING_GREENSHOE_SHARES_EX"),""))</f>
        <v/>
      </c>
      <c r="I371" s="4">
        <f>Database!V371</f>
        <v/>
      </c>
      <c r="J371" s="21">
        <f>IFERROR(BDP(Database!$A371&amp;" HK Equity","PE_RATIO"),"")</f>
        <v/>
      </c>
      <c r="K371" s="6">
        <f>IFERROR(BDP(Database!$A371&amp;" HK Equity","A/H_SHARE_CONVERSION"),"")</f>
        <v/>
      </c>
      <c r="L371" s="4">
        <f>IF(Database!AL371="","(none found)",Database!AL371)</f>
        <v/>
      </c>
      <c r="M371" s="9">
        <f>IFERROR(BDH(Database!$A371&amp;" HK Equity","CUR_MKT_CAP",Database!$G371,Database!$G371)/1000000,"")</f>
        <v/>
      </c>
      <c r="N371" s="63">
        <f>Database!O371</f>
        <v/>
      </c>
      <c r="O371" s="21">
        <f>IFERROR(BDH(Database!$A371&amp;" HK Equity","PE_RATIO",Database!$G371,Database!$G371),"")</f>
        <v/>
      </c>
      <c r="P371" s="60">
        <f>IF(Database!AI371="","(n/m or not derivable)",Database!AI371)</f>
        <v/>
      </c>
    </row>
    <row r="372">
      <c r="A372" s="4">
        <f>Database!A372&amp;"  "&amp;Database!B372</f>
        <v/>
      </c>
      <c r="B372" s="6">
        <f>IFERROR(INDEX(BDS(Database!$A372&amp;" HK Equity","EQUITY_OFFERINGS","array=t","endcol=1"),MATCH("IPO",BDS(Database!$A372&amp;" HK Equity","EQUITY_OFFERINGS","array=t","startcol=2","endcol=2"),0)),"")</f>
        <v/>
      </c>
      <c r="C372" s="64">
        <f>IF($B372="","",IFERROR(BDP($B372&amp;" Action","CP036"),""))</f>
        <v/>
      </c>
      <c r="D372" s="65">
        <f>Database!Q372</f>
        <v/>
      </c>
      <c r="E372" s="64">
        <f>IF($B372="","",IFERROR(BDP($B372&amp;" Action","CP037"),""))</f>
        <v/>
      </c>
      <c r="F372" s="65">
        <f>Database!R372</f>
        <v/>
      </c>
      <c r="G372" s="64">
        <f>IF($B372="","",IFERROR(BDP($B372&amp;" Action","GREENSHOE_FACILITY"),""))</f>
        <v/>
      </c>
      <c r="H372" s="64">
        <f>IF($B372="","",IFERROR(BDP($B372&amp;" Action","OFFERING_GREENSHOE_SHARES_EX"),""))</f>
        <v/>
      </c>
      <c r="I372" s="4">
        <f>Database!V372</f>
        <v/>
      </c>
      <c r="J372" s="21">
        <f>IFERROR(BDP(Database!$A372&amp;" HK Equity","PE_RATIO"),"")</f>
        <v/>
      </c>
      <c r="K372" s="6">
        <f>IFERROR(BDP(Database!$A372&amp;" HK Equity","A/H_SHARE_CONVERSION"),"")</f>
        <v/>
      </c>
      <c r="L372" s="4">
        <f>IF(Database!AL372="","(none found)",Database!AL372)</f>
        <v/>
      </c>
      <c r="M372" s="9">
        <f>IFERROR(BDH(Database!$A372&amp;" HK Equity","CUR_MKT_CAP",Database!$G372,Database!$G372)/1000000,"")</f>
        <v/>
      </c>
      <c r="N372" s="63">
        <f>Database!O372</f>
        <v/>
      </c>
      <c r="O372" s="21">
        <f>IFERROR(BDH(Database!$A372&amp;" HK Equity","PE_RATIO",Database!$G372,Database!$G372),"")</f>
        <v/>
      </c>
      <c r="P372" s="60">
        <f>IF(Database!AI372="","(n/m or not derivable)",Database!AI372)</f>
        <v/>
      </c>
    </row>
    <row r="373">
      <c r="A373" s="4">
        <f>Database!A373&amp;"  "&amp;Database!B373</f>
        <v/>
      </c>
      <c r="B373" s="6">
        <f>IFERROR(INDEX(BDS(Database!$A373&amp;" HK Equity","EQUITY_OFFERINGS","array=t","endcol=1"),MATCH("IPO",BDS(Database!$A373&amp;" HK Equity","EQUITY_OFFERINGS","array=t","startcol=2","endcol=2"),0)),"")</f>
        <v/>
      </c>
      <c r="C373" s="64">
        <f>IF($B373="","",IFERROR(BDP($B373&amp;" Action","CP036"),""))</f>
        <v/>
      </c>
      <c r="D373" s="65">
        <f>Database!Q373</f>
        <v/>
      </c>
      <c r="E373" s="64">
        <f>IF($B373="","",IFERROR(BDP($B373&amp;" Action","CP037"),""))</f>
        <v/>
      </c>
      <c r="F373" s="65">
        <f>Database!R373</f>
        <v/>
      </c>
      <c r="G373" s="64">
        <f>IF($B373="","",IFERROR(BDP($B373&amp;" Action","GREENSHOE_FACILITY"),""))</f>
        <v/>
      </c>
      <c r="H373" s="64">
        <f>IF($B373="","",IFERROR(BDP($B373&amp;" Action","OFFERING_GREENSHOE_SHARES_EX"),""))</f>
        <v/>
      </c>
      <c r="I373" s="4">
        <f>Database!V373</f>
        <v/>
      </c>
      <c r="J373" s="21">
        <f>IFERROR(BDP(Database!$A373&amp;" HK Equity","PE_RATIO"),"")</f>
        <v/>
      </c>
      <c r="K373" s="6">
        <f>IFERROR(BDP(Database!$A373&amp;" HK Equity","A/H_SHARE_CONVERSION"),"")</f>
        <v/>
      </c>
      <c r="L373" s="4">
        <f>IF(Database!AL373="","(none found)",Database!AL373)</f>
        <v/>
      </c>
      <c r="M373" s="9">
        <f>IFERROR(BDH(Database!$A373&amp;" HK Equity","CUR_MKT_CAP",Database!$G373,Database!$G373)/1000000,"")</f>
        <v/>
      </c>
      <c r="N373" s="63">
        <f>Database!O373</f>
        <v/>
      </c>
      <c r="O373" s="21">
        <f>IFERROR(BDH(Database!$A373&amp;" HK Equity","PE_RATIO",Database!$G373,Database!$G373),"")</f>
        <v/>
      </c>
      <c r="P373" s="60">
        <f>IF(Database!AI373="","(n/m or not derivable)",Database!AI373)</f>
        <v/>
      </c>
    </row>
    <row r="374">
      <c r="A374" s="4">
        <f>Database!A374&amp;"  "&amp;Database!B374</f>
        <v/>
      </c>
      <c r="B374" s="6">
        <f>IFERROR(INDEX(BDS(Database!$A374&amp;" HK Equity","EQUITY_OFFERINGS","array=t","endcol=1"),MATCH("IPO",BDS(Database!$A374&amp;" HK Equity","EQUITY_OFFERINGS","array=t","startcol=2","endcol=2"),0)),"")</f>
        <v/>
      </c>
      <c r="C374" s="64">
        <f>IF($B374="","",IFERROR(BDP($B374&amp;" Action","CP036"),""))</f>
        <v/>
      </c>
      <c r="D374" s="65">
        <f>Database!Q374</f>
        <v/>
      </c>
      <c r="E374" s="64">
        <f>IF($B374="","",IFERROR(BDP($B374&amp;" Action","CP037"),""))</f>
        <v/>
      </c>
      <c r="F374" s="65">
        <f>Database!R374</f>
        <v/>
      </c>
      <c r="G374" s="64">
        <f>IF($B374="","",IFERROR(BDP($B374&amp;" Action","GREENSHOE_FACILITY"),""))</f>
        <v/>
      </c>
      <c r="H374" s="64">
        <f>IF($B374="","",IFERROR(BDP($B374&amp;" Action","OFFERING_GREENSHOE_SHARES_EX"),""))</f>
        <v/>
      </c>
      <c r="I374" s="4">
        <f>Database!V374</f>
        <v/>
      </c>
      <c r="J374" s="21">
        <f>IFERROR(BDP(Database!$A374&amp;" HK Equity","PE_RATIO"),"")</f>
        <v/>
      </c>
      <c r="K374" s="6">
        <f>IFERROR(BDP(Database!$A374&amp;" HK Equity","A/H_SHARE_CONVERSION"),"")</f>
        <v/>
      </c>
      <c r="L374" s="4">
        <f>IF(Database!AL374="","(none found)",Database!AL374)</f>
        <v/>
      </c>
      <c r="M374" s="9">
        <f>IFERROR(BDH(Database!$A374&amp;" HK Equity","CUR_MKT_CAP",Database!$G374,Database!$G374)/1000000,"")</f>
        <v/>
      </c>
      <c r="N374" s="63">
        <f>Database!O374</f>
        <v/>
      </c>
      <c r="O374" s="21">
        <f>IFERROR(BDH(Database!$A374&amp;" HK Equity","PE_RATIO",Database!$G374,Database!$G374),"")</f>
        <v/>
      </c>
      <c r="P374" s="60">
        <f>IF(Database!AI374="","(n/m or not derivable)",Database!AI374)</f>
        <v/>
      </c>
    </row>
    <row r="375">
      <c r="A375" s="4">
        <f>Database!A375&amp;"  "&amp;Database!B375</f>
        <v/>
      </c>
      <c r="B375" s="6">
        <f>IFERROR(INDEX(BDS(Database!$A375&amp;" HK Equity","EQUITY_OFFERINGS","array=t","endcol=1"),MATCH("IPO",BDS(Database!$A375&amp;" HK Equity","EQUITY_OFFERINGS","array=t","startcol=2","endcol=2"),0)),"")</f>
        <v/>
      </c>
      <c r="C375" s="64">
        <f>IF($B375="","",IFERROR(BDP($B375&amp;" Action","CP036"),""))</f>
        <v/>
      </c>
      <c r="D375" s="65">
        <f>Database!Q375</f>
        <v/>
      </c>
      <c r="E375" s="64">
        <f>IF($B375="","",IFERROR(BDP($B375&amp;" Action","CP037"),""))</f>
        <v/>
      </c>
      <c r="F375" s="65">
        <f>Database!R375</f>
        <v/>
      </c>
      <c r="G375" s="64">
        <f>IF($B375="","",IFERROR(BDP($B375&amp;" Action","GREENSHOE_FACILITY"),""))</f>
        <v/>
      </c>
      <c r="H375" s="64">
        <f>IF($B375="","",IFERROR(BDP($B375&amp;" Action","OFFERING_GREENSHOE_SHARES_EX"),""))</f>
        <v/>
      </c>
      <c r="I375" s="4">
        <f>Database!V375</f>
        <v/>
      </c>
      <c r="J375" s="21">
        <f>IFERROR(BDP(Database!$A375&amp;" HK Equity","PE_RATIO"),"")</f>
        <v/>
      </c>
      <c r="K375" s="6">
        <f>IFERROR(BDP(Database!$A375&amp;" HK Equity","A/H_SHARE_CONVERSION"),"")</f>
        <v/>
      </c>
      <c r="L375" s="4">
        <f>IF(Database!AL375="","(none found)",Database!AL375)</f>
        <v/>
      </c>
      <c r="M375" s="9">
        <f>IFERROR(BDH(Database!$A375&amp;" HK Equity","CUR_MKT_CAP",Database!$G375,Database!$G375)/1000000,"")</f>
        <v/>
      </c>
      <c r="N375" s="63">
        <f>Database!O375</f>
        <v/>
      </c>
      <c r="O375" s="21">
        <f>IFERROR(BDH(Database!$A375&amp;" HK Equity","PE_RATIO",Database!$G375,Database!$G375),"")</f>
        <v/>
      </c>
      <c r="P375" s="60">
        <f>IF(Database!AI375="","(n/m or not derivable)",Database!AI375)</f>
        <v/>
      </c>
    </row>
    <row r="376">
      <c r="A376" s="4">
        <f>Database!A376&amp;"  "&amp;Database!B376</f>
        <v/>
      </c>
      <c r="B376" s="6">
        <f>IFERROR(INDEX(BDS(Database!$A376&amp;" HK Equity","EQUITY_OFFERINGS","array=t","endcol=1"),MATCH("IPO",BDS(Database!$A376&amp;" HK Equity","EQUITY_OFFERINGS","array=t","startcol=2","endcol=2"),0)),"")</f>
        <v/>
      </c>
      <c r="C376" s="64">
        <f>IF($B376="","",IFERROR(BDP($B376&amp;" Action","CP036"),""))</f>
        <v/>
      </c>
      <c r="D376" s="65">
        <f>Database!Q376</f>
        <v/>
      </c>
      <c r="E376" s="64">
        <f>IF($B376="","",IFERROR(BDP($B376&amp;" Action","CP037"),""))</f>
        <v/>
      </c>
      <c r="F376" s="65">
        <f>Database!R376</f>
        <v/>
      </c>
      <c r="G376" s="64">
        <f>IF($B376="","",IFERROR(BDP($B376&amp;" Action","GREENSHOE_FACILITY"),""))</f>
        <v/>
      </c>
      <c r="H376" s="64">
        <f>IF($B376="","",IFERROR(BDP($B376&amp;" Action","OFFERING_GREENSHOE_SHARES_EX"),""))</f>
        <v/>
      </c>
      <c r="I376" s="4">
        <f>Database!V376</f>
        <v/>
      </c>
      <c r="J376" s="21">
        <f>IFERROR(BDP(Database!$A376&amp;" HK Equity","PE_RATIO"),"")</f>
        <v/>
      </c>
      <c r="K376" s="6">
        <f>IFERROR(BDP(Database!$A376&amp;" HK Equity","A/H_SHARE_CONVERSION"),"")</f>
        <v/>
      </c>
      <c r="L376" s="4">
        <f>IF(Database!AL376="","(none found)",Database!AL376)</f>
        <v/>
      </c>
      <c r="M376" s="9">
        <f>IFERROR(BDH(Database!$A376&amp;" HK Equity","CUR_MKT_CAP",Database!$G376,Database!$G376)/1000000,"")</f>
        <v/>
      </c>
      <c r="N376" s="63">
        <f>Database!O376</f>
        <v/>
      </c>
      <c r="O376" s="21">
        <f>IFERROR(BDH(Database!$A376&amp;" HK Equity","PE_RATIO",Database!$G376,Database!$G376),"")</f>
        <v/>
      </c>
      <c r="P376" s="60">
        <f>IF(Database!AI376="","(n/m or not derivable)",Database!AI376)</f>
        <v/>
      </c>
    </row>
    <row r="377">
      <c r="A377" s="4">
        <f>Database!A377&amp;"  "&amp;Database!B377</f>
        <v/>
      </c>
      <c r="B377" s="6">
        <f>IFERROR(INDEX(BDS(Database!$A377&amp;" HK Equity","EQUITY_OFFERINGS","array=t","endcol=1"),MATCH("IPO",BDS(Database!$A377&amp;" HK Equity","EQUITY_OFFERINGS","array=t","startcol=2","endcol=2"),0)),"")</f>
        <v/>
      </c>
      <c r="C377" s="64">
        <f>IF($B377="","",IFERROR(BDP($B377&amp;" Action","CP036"),""))</f>
        <v/>
      </c>
      <c r="D377" s="65">
        <f>Database!Q377</f>
        <v/>
      </c>
      <c r="E377" s="64">
        <f>IF($B377="","",IFERROR(BDP($B377&amp;" Action","CP037"),""))</f>
        <v/>
      </c>
      <c r="F377" s="65">
        <f>Database!R377</f>
        <v/>
      </c>
      <c r="G377" s="64">
        <f>IF($B377="","",IFERROR(BDP($B377&amp;" Action","GREENSHOE_FACILITY"),""))</f>
        <v/>
      </c>
      <c r="H377" s="64">
        <f>IF($B377="","",IFERROR(BDP($B377&amp;" Action","OFFERING_GREENSHOE_SHARES_EX"),""))</f>
        <v/>
      </c>
      <c r="I377" s="4">
        <f>Database!V377</f>
        <v/>
      </c>
      <c r="J377" s="21">
        <f>IFERROR(BDP(Database!$A377&amp;" HK Equity","PE_RATIO"),"")</f>
        <v/>
      </c>
      <c r="K377" s="6">
        <f>IFERROR(BDP(Database!$A377&amp;" HK Equity","A/H_SHARE_CONVERSION"),"")</f>
        <v/>
      </c>
      <c r="L377" s="4">
        <f>IF(Database!AL377="","(none found)",Database!AL377)</f>
        <v/>
      </c>
      <c r="M377" s="9">
        <f>IFERROR(BDH(Database!$A377&amp;" HK Equity","CUR_MKT_CAP",Database!$G377,Database!$G377)/1000000,"")</f>
        <v/>
      </c>
      <c r="N377" s="63">
        <f>Database!O377</f>
        <v/>
      </c>
      <c r="O377" s="21">
        <f>IFERROR(BDH(Database!$A377&amp;" HK Equity","PE_RATIO",Database!$G377,Database!$G377),"")</f>
        <v/>
      </c>
      <c r="P377" s="60">
        <f>IF(Database!AI377="","(n/m or not derivable)",Database!AI377)</f>
        <v/>
      </c>
    </row>
    <row r="378">
      <c r="A378" s="4">
        <f>Database!A378&amp;"  "&amp;Database!B378</f>
        <v/>
      </c>
      <c r="B378" s="6">
        <f>IFERROR(INDEX(BDS(Database!$A378&amp;" HK Equity","EQUITY_OFFERINGS","array=t","endcol=1"),MATCH("IPO",BDS(Database!$A378&amp;" HK Equity","EQUITY_OFFERINGS","array=t","startcol=2","endcol=2"),0)),"")</f>
        <v/>
      </c>
      <c r="C378" s="64">
        <f>IF($B378="","",IFERROR(BDP($B378&amp;" Action","CP036"),""))</f>
        <v/>
      </c>
      <c r="D378" s="65">
        <f>Database!Q378</f>
        <v/>
      </c>
      <c r="E378" s="64">
        <f>IF($B378="","",IFERROR(BDP($B378&amp;" Action","CP037"),""))</f>
        <v/>
      </c>
      <c r="F378" s="65">
        <f>Database!R378</f>
        <v/>
      </c>
      <c r="G378" s="64">
        <f>IF($B378="","",IFERROR(BDP($B378&amp;" Action","GREENSHOE_FACILITY"),""))</f>
        <v/>
      </c>
      <c r="H378" s="64">
        <f>IF($B378="","",IFERROR(BDP($B378&amp;" Action","OFFERING_GREENSHOE_SHARES_EX"),""))</f>
        <v/>
      </c>
      <c r="I378" s="4">
        <f>Database!V378</f>
        <v/>
      </c>
      <c r="J378" s="21">
        <f>IFERROR(BDP(Database!$A378&amp;" HK Equity","PE_RATIO"),"")</f>
        <v/>
      </c>
      <c r="K378" s="6">
        <f>IFERROR(BDP(Database!$A378&amp;" HK Equity","A/H_SHARE_CONVERSION"),"")</f>
        <v/>
      </c>
      <c r="L378" s="4">
        <f>IF(Database!AL378="","(none found)",Database!AL378)</f>
        <v/>
      </c>
      <c r="M378" s="9">
        <f>IFERROR(BDH(Database!$A378&amp;" HK Equity","CUR_MKT_CAP",Database!$G378,Database!$G378)/1000000,"")</f>
        <v/>
      </c>
      <c r="N378" s="63">
        <f>Database!O378</f>
        <v/>
      </c>
      <c r="O378" s="21">
        <f>IFERROR(BDH(Database!$A378&amp;" HK Equity","PE_RATIO",Database!$G378,Database!$G378),"")</f>
        <v/>
      </c>
      <c r="P378" s="60">
        <f>IF(Database!AI378="","(n/m or not derivable)",Database!AI378)</f>
        <v/>
      </c>
    </row>
    <row r="379">
      <c r="A379" s="4">
        <f>Database!A379&amp;"  "&amp;Database!B379</f>
        <v/>
      </c>
      <c r="B379" s="6">
        <f>IFERROR(INDEX(BDS(Database!$A379&amp;" HK Equity","EQUITY_OFFERINGS","array=t","endcol=1"),MATCH("IPO",BDS(Database!$A379&amp;" HK Equity","EQUITY_OFFERINGS","array=t","startcol=2","endcol=2"),0)),"")</f>
        <v/>
      </c>
      <c r="C379" s="64">
        <f>IF($B379="","",IFERROR(BDP($B379&amp;" Action","CP036"),""))</f>
        <v/>
      </c>
      <c r="D379" s="65">
        <f>Database!Q379</f>
        <v/>
      </c>
      <c r="E379" s="64">
        <f>IF($B379="","",IFERROR(BDP($B379&amp;" Action","CP037"),""))</f>
        <v/>
      </c>
      <c r="F379" s="65">
        <f>Database!R379</f>
        <v/>
      </c>
      <c r="G379" s="64">
        <f>IF($B379="","",IFERROR(BDP($B379&amp;" Action","GREENSHOE_FACILITY"),""))</f>
        <v/>
      </c>
      <c r="H379" s="64">
        <f>IF($B379="","",IFERROR(BDP($B379&amp;" Action","OFFERING_GREENSHOE_SHARES_EX"),""))</f>
        <v/>
      </c>
      <c r="I379" s="4">
        <f>Database!V379</f>
        <v/>
      </c>
      <c r="J379" s="21">
        <f>IFERROR(BDP(Database!$A379&amp;" HK Equity","PE_RATIO"),"")</f>
        <v/>
      </c>
      <c r="K379" s="6">
        <f>IFERROR(BDP(Database!$A379&amp;" HK Equity","A/H_SHARE_CONVERSION"),"")</f>
        <v/>
      </c>
      <c r="L379" s="4">
        <f>IF(Database!AL379="","(none found)",Database!AL379)</f>
        <v/>
      </c>
      <c r="M379" s="9">
        <f>IFERROR(BDH(Database!$A379&amp;" HK Equity","CUR_MKT_CAP",Database!$G379,Database!$G379)/1000000,"")</f>
        <v/>
      </c>
      <c r="N379" s="63">
        <f>Database!O379</f>
        <v/>
      </c>
      <c r="O379" s="21">
        <f>IFERROR(BDH(Database!$A379&amp;" HK Equity","PE_RATIO",Database!$G379,Database!$G379),"")</f>
        <v/>
      </c>
      <c r="P379" s="60">
        <f>IF(Database!AI379="","(n/m or not derivable)",Database!AI379)</f>
        <v/>
      </c>
    </row>
    <row r="380">
      <c r="A380" s="4">
        <f>Database!A380&amp;"  "&amp;Database!B380</f>
        <v/>
      </c>
      <c r="B380" s="6">
        <f>IFERROR(INDEX(BDS(Database!$A380&amp;" HK Equity","EQUITY_OFFERINGS","array=t","endcol=1"),MATCH("IPO",BDS(Database!$A380&amp;" HK Equity","EQUITY_OFFERINGS","array=t","startcol=2","endcol=2"),0)),"")</f>
        <v/>
      </c>
      <c r="C380" s="64">
        <f>IF($B380="","",IFERROR(BDP($B380&amp;" Action","CP036"),""))</f>
        <v/>
      </c>
      <c r="D380" s="65">
        <f>Database!Q380</f>
        <v/>
      </c>
      <c r="E380" s="64">
        <f>IF($B380="","",IFERROR(BDP($B380&amp;" Action","CP037"),""))</f>
        <v/>
      </c>
      <c r="F380" s="65">
        <f>Database!R380</f>
        <v/>
      </c>
      <c r="G380" s="64">
        <f>IF($B380="","",IFERROR(BDP($B380&amp;" Action","GREENSHOE_FACILITY"),""))</f>
        <v/>
      </c>
      <c r="H380" s="64">
        <f>IF($B380="","",IFERROR(BDP($B380&amp;" Action","OFFERING_GREENSHOE_SHARES_EX"),""))</f>
        <v/>
      </c>
      <c r="I380" s="4">
        <f>Database!V380</f>
        <v/>
      </c>
      <c r="J380" s="21">
        <f>IFERROR(BDP(Database!$A380&amp;" HK Equity","PE_RATIO"),"")</f>
        <v/>
      </c>
      <c r="K380" s="6">
        <f>IFERROR(BDP(Database!$A380&amp;" HK Equity","A/H_SHARE_CONVERSION"),"")</f>
        <v/>
      </c>
      <c r="L380" s="4">
        <f>IF(Database!AL380="","(none found)",Database!AL380)</f>
        <v/>
      </c>
      <c r="M380" s="9">
        <f>IFERROR(BDH(Database!$A380&amp;" HK Equity","CUR_MKT_CAP",Database!$G380,Database!$G380)/1000000,"")</f>
        <v/>
      </c>
      <c r="N380" s="63">
        <f>Database!O380</f>
        <v/>
      </c>
      <c r="O380" s="21">
        <f>IFERROR(BDH(Database!$A380&amp;" HK Equity","PE_RATIO",Database!$G380,Database!$G380),"")</f>
        <v/>
      </c>
      <c r="P380" s="60">
        <f>IF(Database!AI380="","(n/m or not derivable)",Database!AI380)</f>
        <v/>
      </c>
    </row>
    <row r="381">
      <c r="A381" s="4">
        <f>Database!A381&amp;"  "&amp;Database!B381</f>
        <v/>
      </c>
      <c r="B381" s="6">
        <f>IFERROR(INDEX(BDS(Database!$A381&amp;" HK Equity","EQUITY_OFFERINGS","array=t","endcol=1"),MATCH("IPO",BDS(Database!$A381&amp;" HK Equity","EQUITY_OFFERINGS","array=t","startcol=2","endcol=2"),0)),"")</f>
        <v/>
      </c>
      <c r="C381" s="64">
        <f>IF($B381="","",IFERROR(BDP($B381&amp;" Action","CP036"),""))</f>
        <v/>
      </c>
      <c r="D381" s="65">
        <f>Database!Q381</f>
        <v/>
      </c>
      <c r="E381" s="64">
        <f>IF($B381="","",IFERROR(BDP($B381&amp;" Action","CP037"),""))</f>
        <v/>
      </c>
      <c r="F381" s="65">
        <f>Database!R381</f>
        <v/>
      </c>
      <c r="G381" s="64">
        <f>IF($B381="","",IFERROR(BDP($B381&amp;" Action","GREENSHOE_FACILITY"),""))</f>
        <v/>
      </c>
      <c r="H381" s="64">
        <f>IF($B381="","",IFERROR(BDP($B381&amp;" Action","OFFERING_GREENSHOE_SHARES_EX"),""))</f>
        <v/>
      </c>
      <c r="I381" s="4">
        <f>Database!V381</f>
        <v/>
      </c>
      <c r="J381" s="21">
        <f>IFERROR(BDP(Database!$A381&amp;" HK Equity","PE_RATIO"),"")</f>
        <v/>
      </c>
      <c r="K381" s="6">
        <f>IFERROR(BDP(Database!$A381&amp;" HK Equity","A/H_SHARE_CONVERSION"),"")</f>
        <v/>
      </c>
      <c r="L381" s="4">
        <f>IF(Database!AL381="","(none found)",Database!AL381)</f>
        <v/>
      </c>
      <c r="M381" s="9">
        <f>IFERROR(BDH(Database!$A381&amp;" HK Equity","CUR_MKT_CAP",Database!$G381,Database!$G381)/1000000,"")</f>
        <v/>
      </c>
      <c r="N381" s="63">
        <f>Database!O381</f>
        <v/>
      </c>
      <c r="O381" s="21">
        <f>IFERROR(BDH(Database!$A381&amp;" HK Equity","PE_RATIO",Database!$G381,Database!$G381),"")</f>
        <v/>
      </c>
      <c r="P381" s="60">
        <f>IF(Database!AI381="","(n/m or not derivable)",Database!AI381)</f>
        <v/>
      </c>
    </row>
    <row r="382">
      <c r="A382" s="4">
        <f>Database!A382&amp;"  "&amp;Database!B382</f>
        <v/>
      </c>
      <c r="B382" s="6">
        <f>IFERROR(INDEX(BDS(Database!$A382&amp;" HK Equity","EQUITY_OFFERINGS","array=t","endcol=1"),MATCH("IPO",BDS(Database!$A382&amp;" HK Equity","EQUITY_OFFERINGS","array=t","startcol=2","endcol=2"),0)),"")</f>
        <v/>
      </c>
      <c r="C382" s="64">
        <f>IF($B382="","",IFERROR(BDP($B382&amp;" Action","CP036"),""))</f>
        <v/>
      </c>
      <c r="D382" s="65">
        <f>Database!Q382</f>
        <v/>
      </c>
      <c r="E382" s="64">
        <f>IF($B382="","",IFERROR(BDP($B382&amp;" Action","CP037"),""))</f>
        <v/>
      </c>
      <c r="F382" s="65">
        <f>Database!R382</f>
        <v/>
      </c>
      <c r="G382" s="64">
        <f>IF($B382="","",IFERROR(BDP($B382&amp;" Action","GREENSHOE_FACILITY"),""))</f>
        <v/>
      </c>
      <c r="H382" s="64">
        <f>IF($B382="","",IFERROR(BDP($B382&amp;" Action","OFFERING_GREENSHOE_SHARES_EX"),""))</f>
        <v/>
      </c>
      <c r="I382" s="4">
        <f>Database!V382</f>
        <v/>
      </c>
      <c r="J382" s="21">
        <f>IFERROR(BDP(Database!$A382&amp;" HK Equity","PE_RATIO"),"")</f>
        <v/>
      </c>
      <c r="K382" s="6">
        <f>IFERROR(BDP(Database!$A382&amp;" HK Equity","A/H_SHARE_CONVERSION"),"")</f>
        <v/>
      </c>
      <c r="L382" s="4">
        <f>IF(Database!AL382="","(none found)",Database!AL382)</f>
        <v/>
      </c>
      <c r="M382" s="9">
        <f>IFERROR(BDH(Database!$A382&amp;" HK Equity","CUR_MKT_CAP",Database!$G382,Database!$G382)/1000000,"")</f>
        <v/>
      </c>
      <c r="N382" s="63">
        <f>Database!O382</f>
        <v/>
      </c>
      <c r="O382" s="21">
        <f>IFERROR(BDH(Database!$A382&amp;" HK Equity","PE_RATIO",Database!$G382,Database!$G382),"")</f>
        <v/>
      </c>
      <c r="P382" s="60">
        <f>IF(Database!AI382="","(n/m or not derivable)",Database!AI382)</f>
        <v/>
      </c>
    </row>
    <row r="383">
      <c r="A383" s="4">
        <f>Database!A383&amp;"  "&amp;Database!B383</f>
        <v/>
      </c>
      <c r="B383" s="6">
        <f>IFERROR(INDEX(BDS(Database!$A383&amp;" HK Equity","EQUITY_OFFERINGS","array=t","endcol=1"),MATCH("IPO",BDS(Database!$A383&amp;" HK Equity","EQUITY_OFFERINGS","array=t","startcol=2","endcol=2"),0)),"")</f>
        <v/>
      </c>
      <c r="C383" s="64">
        <f>IF($B383="","",IFERROR(BDP($B383&amp;" Action","CP036"),""))</f>
        <v/>
      </c>
      <c r="D383" s="65">
        <f>Database!Q383</f>
        <v/>
      </c>
      <c r="E383" s="64">
        <f>IF($B383="","",IFERROR(BDP($B383&amp;" Action","CP037"),""))</f>
        <v/>
      </c>
      <c r="F383" s="65">
        <f>Database!R383</f>
        <v/>
      </c>
      <c r="G383" s="64">
        <f>IF($B383="","",IFERROR(BDP($B383&amp;" Action","GREENSHOE_FACILITY"),""))</f>
        <v/>
      </c>
      <c r="H383" s="64">
        <f>IF($B383="","",IFERROR(BDP($B383&amp;" Action","OFFERING_GREENSHOE_SHARES_EX"),""))</f>
        <v/>
      </c>
      <c r="I383" s="4">
        <f>Database!V383</f>
        <v/>
      </c>
      <c r="J383" s="21">
        <f>IFERROR(BDP(Database!$A383&amp;" HK Equity","PE_RATIO"),"")</f>
        <v/>
      </c>
      <c r="K383" s="6">
        <f>IFERROR(BDP(Database!$A383&amp;" HK Equity","A/H_SHARE_CONVERSION"),"")</f>
        <v/>
      </c>
      <c r="L383" s="4">
        <f>IF(Database!AL383="","(none found)",Database!AL383)</f>
        <v/>
      </c>
      <c r="M383" s="9">
        <f>IFERROR(BDH(Database!$A383&amp;" HK Equity","CUR_MKT_CAP",Database!$G383,Database!$G383)/1000000,"")</f>
        <v/>
      </c>
      <c r="N383" s="63">
        <f>Database!O383</f>
        <v/>
      </c>
      <c r="O383" s="21">
        <f>IFERROR(BDH(Database!$A383&amp;" HK Equity","PE_RATIO",Database!$G383,Database!$G383),"")</f>
        <v/>
      </c>
      <c r="P383" s="60">
        <f>IF(Database!AI383="","(n/m or not derivable)",Database!AI383)</f>
        <v/>
      </c>
    </row>
    <row r="384">
      <c r="A384" s="4">
        <f>Database!A384&amp;"  "&amp;Database!B384</f>
        <v/>
      </c>
      <c r="B384" s="6">
        <f>IFERROR(INDEX(BDS(Database!$A384&amp;" HK Equity","EQUITY_OFFERINGS","array=t","endcol=1"),MATCH("IPO",BDS(Database!$A384&amp;" HK Equity","EQUITY_OFFERINGS","array=t","startcol=2","endcol=2"),0)),"")</f>
        <v/>
      </c>
      <c r="C384" s="64">
        <f>IF($B384="","",IFERROR(BDP($B384&amp;" Action","CP036"),""))</f>
        <v/>
      </c>
      <c r="D384" s="65">
        <f>Database!Q384</f>
        <v/>
      </c>
      <c r="E384" s="64">
        <f>IF($B384="","",IFERROR(BDP($B384&amp;" Action","CP037"),""))</f>
        <v/>
      </c>
      <c r="F384" s="65">
        <f>Database!R384</f>
        <v/>
      </c>
      <c r="G384" s="64">
        <f>IF($B384="","",IFERROR(BDP($B384&amp;" Action","GREENSHOE_FACILITY"),""))</f>
        <v/>
      </c>
      <c r="H384" s="64">
        <f>IF($B384="","",IFERROR(BDP($B384&amp;" Action","OFFERING_GREENSHOE_SHARES_EX"),""))</f>
        <v/>
      </c>
      <c r="I384" s="4">
        <f>Database!V384</f>
        <v/>
      </c>
      <c r="J384" s="21">
        <f>IFERROR(BDP(Database!$A384&amp;" HK Equity","PE_RATIO"),"")</f>
        <v/>
      </c>
      <c r="K384" s="6">
        <f>IFERROR(BDP(Database!$A384&amp;" HK Equity","A/H_SHARE_CONVERSION"),"")</f>
        <v/>
      </c>
      <c r="L384" s="4">
        <f>IF(Database!AL384="","(none found)",Database!AL384)</f>
        <v/>
      </c>
      <c r="M384" s="9">
        <f>IFERROR(BDH(Database!$A384&amp;" HK Equity","CUR_MKT_CAP",Database!$G384,Database!$G384)/1000000,"")</f>
        <v/>
      </c>
      <c r="N384" s="63">
        <f>Database!O384</f>
        <v/>
      </c>
      <c r="O384" s="21">
        <f>IFERROR(BDH(Database!$A384&amp;" HK Equity","PE_RATIO",Database!$G384,Database!$G384),"")</f>
        <v/>
      </c>
      <c r="P384" s="60">
        <f>IF(Database!AI384="","(n/m or not derivable)",Database!AI384)</f>
        <v/>
      </c>
    </row>
    <row r="385">
      <c r="A385" s="4">
        <f>Database!A385&amp;"  "&amp;Database!B385</f>
        <v/>
      </c>
      <c r="B385" s="6">
        <f>IFERROR(INDEX(BDS(Database!$A385&amp;" HK Equity","EQUITY_OFFERINGS","array=t","endcol=1"),MATCH("IPO",BDS(Database!$A385&amp;" HK Equity","EQUITY_OFFERINGS","array=t","startcol=2","endcol=2"),0)),"")</f>
        <v/>
      </c>
      <c r="C385" s="64">
        <f>IF($B385="","",IFERROR(BDP($B385&amp;" Action","CP036"),""))</f>
        <v/>
      </c>
      <c r="D385" s="65">
        <f>Database!Q385</f>
        <v/>
      </c>
      <c r="E385" s="64">
        <f>IF($B385="","",IFERROR(BDP($B385&amp;" Action","CP037"),""))</f>
        <v/>
      </c>
      <c r="F385" s="65">
        <f>Database!R385</f>
        <v/>
      </c>
      <c r="G385" s="64">
        <f>IF($B385="","",IFERROR(BDP($B385&amp;" Action","GREENSHOE_FACILITY"),""))</f>
        <v/>
      </c>
      <c r="H385" s="64">
        <f>IF($B385="","",IFERROR(BDP($B385&amp;" Action","OFFERING_GREENSHOE_SHARES_EX"),""))</f>
        <v/>
      </c>
      <c r="I385" s="4">
        <f>Database!V385</f>
        <v/>
      </c>
      <c r="J385" s="21">
        <f>IFERROR(BDP(Database!$A385&amp;" HK Equity","PE_RATIO"),"")</f>
        <v/>
      </c>
      <c r="K385" s="6">
        <f>IFERROR(BDP(Database!$A385&amp;" HK Equity","A/H_SHARE_CONVERSION"),"")</f>
        <v/>
      </c>
      <c r="L385" s="4">
        <f>IF(Database!AL385="","(none found)",Database!AL385)</f>
        <v/>
      </c>
      <c r="M385" s="9">
        <f>IFERROR(BDH(Database!$A385&amp;" HK Equity","CUR_MKT_CAP",Database!$G385,Database!$G385)/1000000,"")</f>
        <v/>
      </c>
      <c r="N385" s="63">
        <f>Database!O385</f>
        <v/>
      </c>
      <c r="O385" s="21">
        <f>IFERROR(BDH(Database!$A385&amp;" HK Equity","PE_RATIO",Database!$G385,Database!$G385),"")</f>
        <v/>
      </c>
      <c r="P385" s="60">
        <f>IF(Database!AI385="","(n/m or not derivable)",Database!AI385)</f>
        <v/>
      </c>
    </row>
    <row r="386">
      <c r="A386" s="4">
        <f>Database!A386&amp;"  "&amp;Database!B386</f>
        <v/>
      </c>
      <c r="B386" s="6">
        <f>IFERROR(INDEX(BDS(Database!$A386&amp;" HK Equity","EQUITY_OFFERINGS","array=t","endcol=1"),MATCH("IPO",BDS(Database!$A386&amp;" HK Equity","EQUITY_OFFERINGS","array=t","startcol=2","endcol=2"),0)),"")</f>
        <v/>
      </c>
      <c r="C386" s="64">
        <f>IF($B386="","",IFERROR(BDP($B386&amp;" Action","CP036"),""))</f>
        <v/>
      </c>
      <c r="D386" s="65">
        <f>Database!Q386</f>
        <v/>
      </c>
      <c r="E386" s="64">
        <f>IF($B386="","",IFERROR(BDP($B386&amp;" Action","CP037"),""))</f>
        <v/>
      </c>
      <c r="F386" s="65">
        <f>Database!R386</f>
        <v/>
      </c>
      <c r="G386" s="64">
        <f>IF($B386="","",IFERROR(BDP($B386&amp;" Action","GREENSHOE_FACILITY"),""))</f>
        <v/>
      </c>
      <c r="H386" s="64">
        <f>IF($B386="","",IFERROR(BDP($B386&amp;" Action","OFFERING_GREENSHOE_SHARES_EX"),""))</f>
        <v/>
      </c>
      <c r="I386" s="4">
        <f>Database!V386</f>
        <v/>
      </c>
      <c r="J386" s="21">
        <f>IFERROR(BDP(Database!$A386&amp;" HK Equity","PE_RATIO"),"")</f>
        <v/>
      </c>
      <c r="K386" s="6">
        <f>IFERROR(BDP(Database!$A386&amp;" HK Equity","A/H_SHARE_CONVERSION"),"")</f>
        <v/>
      </c>
      <c r="L386" s="4">
        <f>IF(Database!AL386="","(none found)",Database!AL386)</f>
        <v/>
      </c>
      <c r="M386" s="9">
        <f>IFERROR(BDH(Database!$A386&amp;" HK Equity","CUR_MKT_CAP",Database!$G386,Database!$G386)/1000000,"")</f>
        <v/>
      </c>
      <c r="N386" s="63">
        <f>Database!O386</f>
        <v/>
      </c>
      <c r="O386" s="21">
        <f>IFERROR(BDH(Database!$A386&amp;" HK Equity","PE_RATIO",Database!$G386,Database!$G386),"")</f>
        <v/>
      </c>
      <c r="P386" s="60">
        <f>IF(Database!AI386="","(n/m or not derivable)",Database!AI386)</f>
        <v/>
      </c>
    </row>
    <row r="387">
      <c r="A387" s="4">
        <f>Database!A387&amp;"  "&amp;Database!B387</f>
        <v/>
      </c>
      <c r="B387" s="6">
        <f>IFERROR(INDEX(BDS(Database!$A387&amp;" HK Equity","EQUITY_OFFERINGS","array=t","endcol=1"),MATCH("IPO",BDS(Database!$A387&amp;" HK Equity","EQUITY_OFFERINGS","array=t","startcol=2","endcol=2"),0)),"")</f>
        <v/>
      </c>
      <c r="C387" s="64">
        <f>IF($B387="","",IFERROR(BDP($B387&amp;" Action","CP036"),""))</f>
        <v/>
      </c>
      <c r="D387" s="65">
        <f>Database!Q387</f>
        <v/>
      </c>
      <c r="E387" s="64">
        <f>IF($B387="","",IFERROR(BDP($B387&amp;" Action","CP037"),""))</f>
        <v/>
      </c>
      <c r="F387" s="65">
        <f>Database!R387</f>
        <v/>
      </c>
      <c r="G387" s="64">
        <f>IF($B387="","",IFERROR(BDP($B387&amp;" Action","GREENSHOE_FACILITY"),""))</f>
        <v/>
      </c>
      <c r="H387" s="64">
        <f>IF($B387="","",IFERROR(BDP($B387&amp;" Action","OFFERING_GREENSHOE_SHARES_EX"),""))</f>
        <v/>
      </c>
      <c r="I387" s="4">
        <f>Database!V387</f>
        <v/>
      </c>
      <c r="J387" s="21">
        <f>IFERROR(BDP(Database!$A387&amp;" HK Equity","PE_RATIO"),"")</f>
        <v/>
      </c>
      <c r="K387" s="6">
        <f>IFERROR(BDP(Database!$A387&amp;" HK Equity","A/H_SHARE_CONVERSION"),"")</f>
        <v/>
      </c>
      <c r="L387" s="4">
        <f>IF(Database!AL387="","(none found)",Database!AL387)</f>
        <v/>
      </c>
      <c r="M387" s="9">
        <f>IFERROR(BDH(Database!$A387&amp;" HK Equity","CUR_MKT_CAP",Database!$G387,Database!$G387)/1000000,"")</f>
        <v/>
      </c>
      <c r="N387" s="63">
        <f>Database!O387</f>
        <v/>
      </c>
      <c r="O387" s="21">
        <f>IFERROR(BDH(Database!$A387&amp;" HK Equity","PE_RATIO",Database!$G387,Database!$G387),"")</f>
        <v/>
      </c>
      <c r="P387" s="60">
        <f>IF(Database!AI387="","(n/m or not derivable)",Database!AI387)</f>
        <v/>
      </c>
    </row>
    <row r="388">
      <c r="A388" s="4">
        <f>Database!A388&amp;"  "&amp;Database!B388</f>
        <v/>
      </c>
      <c r="B388" s="6">
        <f>IFERROR(INDEX(BDS(Database!$A388&amp;" HK Equity","EQUITY_OFFERINGS","array=t","endcol=1"),MATCH("IPO",BDS(Database!$A388&amp;" HK Equity","EQUITY_OFFERINGS","array=t","startcol=2","endcol=2"),0)),"")</f>
        <v/>
      </c>
      <c r="C388" s="64">
        <f>IF($B388="","",IFERROR(BDP($B388&amp;" Action","CP036"),""))</f>
        <v/>
      </c>
      <c r="D388" s="65">
        <f>Database!Q388</f>
        <v/>
      </c>
      <c r="E388" s="64">
        <f>IF($B388="","",IFERROR(BDP($B388&amp;" Action","CP037"),""))</f>
        <v/>
      </c>
      <c r="F388" s="65">
        <f>Database!R388</f>
        <v/>
      </c>
      <c r="G388" s="64">
        <f>IF($B388="","",IFERROR(BDP($B388&amp;" Action","GREENSHOE_FACILITY"),""))</f>
        <v/>
      </c>
      <c r="H388" s="64">
        <f>IF($B388="","",IFERROR(BDP($B388&amp;" Action","OFFERING_GREENSHOE_SHARES_EX"),""))</f>
        <v/>
      </c>
      <c r="I388" s="4">
        <f>Database!V388</f>
        <v/>
      </c>
      <c r="J388" s="21">
        <f>IFERROR(BDP(Database!$A388&amp;" HK Equity","PE_RATIO"),"")</f>
        <v/>
      </c>
      <c r="K388" s="6">
        <f>IFERROR(BDP(Database!$A388&amp;" HK Equity","A/H_SHARE_CONVERSION"),"")</f>
        <v/>
      </c>
      <c r="L388" s="4">
        <f>IF(Database!AL388="","(none found)",Database!AL388)</f>
        <v/>
      </c>
      <c r="M388" s="9">
        <f>IFERROR(BDH(Database!$A388&amp;" HK Equity","CUR_MKT_CAP",Database!$G388,Database!$G388)/1000000,"")</f>
        <v/>
      </c>
      <c r="N388" s="63">
        <f>Database!O388</f>
        <v/>
      </c>
      <c r="O388" s="21">
        <f>IFERROR(BDH(Database!$A388&amp;" HK Equity","PE_RATIO",Database!$G388,Database!$G388),"")</f>
        <v/>
      </c>
      <c r="P388" s="60">
        <f>IF(Database!AI388="","(n/m or not derivable)",Database!AI388)</f>
        <v/>
      </c>
    </row>
    <row r="389">
      <c r="A389" s="4">
        <f>Database!A389&amp;"  "&amp;Database!B389</f>
        <v/>
      </c>
      <c r="B389" s="6">
        <f>IFERROR(INDEX(BDS(Database!$A389&amp;" HK Equity","EQUITY_OFFERINGS","array=t","endcol=1"),MATCH("IPO",BDS(Database!$A389&amp;" HK Equity","EQUITY_OFFERINGS","array=t","startcol=2","endcol=2"),0)),"")</f>
        <v/>
      </c>
      <c r="C389" s="64">
        <f>IF($B389="","",IFERROR(BDP($B389&amp;" Action","CP036"),""))</f>
        <v/>
      </c>
      <c r="D389" s="65">
        <f>Database!Q389</f>
        <v/>
      </c>
      <c r="E389" s="64">
        <f>IF($B389="","",IFERROR(BDP($B389&amp;" Action","CP037"),""))</f>
        <v/>
      </c>
      <c r="F389" s="65">
        <f>Database!R389</f>
        <v/>
      </c>
      <c r="G389" s="64">
        <f>IF($B389="","",IFERROR(BDP($B389&amp;" Action","GREENSHOE_FACILITY"),""))</f>
        <v/>
      </c>
      <c r="H389" s="64">
        <f>IF($B389="","",IFERROR(BDP($B389&amp;" Action","OFFERING_GREENSHOE_SHARES_EX"),""))</f>
        <v/>
      </c>
      <c r="I389" s="4">
        <f>Database!V389</f>
        <v/>
      </c>
      <c r="J389" s="21">
        <f>IFERROR(BDP(Database!$A389&amp;" HK Equity","PE_RATIO"),"")</f>
        <v/>
      </c>
      <c r="K389" s="6">
        <f>IFERROR(BDP(Database!$A389&amp;" HK Equity","A/H_SHARE_CONVERSION"),"")</f>
        <v/>
      </c>
      <c r="L389" s="4">
        <f>IF(Database!AL389="","(none found)",Database!AL389)</f>
        <v/>
      </c>
      <c r="M389" s="9">
        <f>IFERROR(BDH(Database!$A389&amp;" HK Equity","CUR_MKT_CAP",Database!$G389,Database!$G389)/1000000,"")</f>
        <v/>
      </c>
      <c r="N389" s="63">
        <f>Database!O389</f>
        <v/>
      </c>
      <c r="O389" s="21">
        <f>IFERROR(BDH(Database!$A389&amp;" HK Equity","PE_RATIO",Database!$G389,Database!$G389),"")</f>
        <v/>
      </c>
      <c r="P389" s="60">
        <f>IF(Database!AI389="","(n/m or not derivable)",Database!AI389)</f>
        <v/>
      </c>
    </row>
    <row r="390">
      <c r="A390" s="4">
        <f>Database!A390&amp;"  "&amp;Database!B390</f>
        <v/>
      </c>
      <c r="B390" s="6">
        <f>IFERROR(INDEX(BDS(Database!$A390&amp;" HK Equity","EQUITY_OFFERINGS","array=t","endcol=1"),MATCH("IPO",BDS(Database!$A390&amp;" HK Equity","EQUITY_OFFERINGS","array=t","startcol=2","endcol=2"),0)),"")</f>
        <v/>
      </c>
      <c r="C390" s="64">
        <f>IF($B390="","",IFERROR(BDP($B390&amp;" Action","CP036"),""))</f>
        <v/>
      </c>
      <c r="D390" s="65">
        <f>Database!Q390</f>
        <v/>
      </c>
      <c r="E390" s="64">
        <f>IF($B390="","",IFERROR(BDP($B390&amp;" Action","CP037"),""))</f>
        <v/>
      </c>
      <c r="F390" s="65">
        <f>Database!R390</f>
        <v/>
      </c>
      <c r="G390" s="64">
        <f>IF($B390="","",IFERROR(BDP($B390&amp;" Action","GREENSHOE_FACILITY"),""))</f>
        <v/>
      </c>
      <c r="H390" s="64">
        <f>IF($B390="","",IFERROR(BDP($B390&amp;" Action","OFFERING_GREENSHOE_SHARES_EX"),""))</f>
        <v/>
      </c>
      <c r="I390" s="4">
        <f>Database!V390</f>
        <v/>
      </c>
      <c r="J390" s="21">
        <f>IFERROR(BDP(Database!$A390&amp;" HK Equity","PE_RATIO"),"")</f>
        <v/>
      </c>
      <c r="K390" s="6">
        <f>IFERROR(BDP(Database!$A390&amp;" HK Equity","A/H_SHARE_CONVERSION"),"")</f>
        <v/>
      </c>
      <c r="L390" s="4">
        <f>IF(Database!AL390="","(none found)",Database!AL390)</f>
        <v/>
      </c>
      <c r="M390" s="9">
        <f>IFERROR(BDH(Database!$A390&amp;" HK Equity","CUR_MKT_CAP",Database!$G390,Database!$G390)/1000000,"")</f>
        <v/>
      </c>
      <c r="N390" s="63">
        <f>Database!O390</f>
        <v/>
      </c>
      <c r="O390" s="21">
        <f>IFERROR(BDH(Database!$A390&amp;" HK Equity","PE_RATIO",Database!$G390,Database!$G390),"")</f>
        <v/>
      </c>
      <c r="P390" s="60">
        <f>IF(Database!AI390="","(n/m or not derivable)",Database!AI390)</f>
        <v/>
      </c>
    </row>
    <row r="391">
      <c r="A391" s="4">
        <f>Database!A391&amp;"  "&amp;Database!B391</f>
        <v/>
      </c>
      <c r="B391" s="6">
        <f>IFERROR(INDEX(BDS(Database!$A391&amp;" HK Equity","EQUITY_OFFERINGS","array=t","endcol=1"),MATCH("IPO",BDS(Database!$A391&amp;" HK Equity","EQUITY_OFFERINGS","array=t","startcol=2","endcol=2"),0)),"")</f>
        <v/>
      </c>
      <c r="C391" s="64">
        <f>IF($B391="","",IFERROR(BDP($B391&amp;" Action","CP036"),""))</f>
        <v/>
      </c>
      <c r="D391" s="65">
        <f>Database!Q391</f>
        <v/>
      </c>
      <c r="E391" s="64">
        <f>IF($B391="","",IFERROR(BDP($B391&amp;" Action","CP037"),""))</f>
        <v/>
      </c>
      <c r="F391" s="65">
        <f>Database!R391</f>
        <v/>
      </c>
      <c r="G391" s="64">
        <f>IF($B391="","",IFERROR(BDP($B391&amp;" Action","GREENSHOE_FACILITY"),""))</f>
        <v/>
      </c>
      <c r="H391" s="64">
        <f>IF($B391="","",IFERROR(BDP($B391&amp;" Action","OFFERING_GREENSHOE_SHARES_EX"),""))</f>
        <v/>
      </c>
      <c r="I391" s="4">
        <f>Database!V391</f>
        <v/>
      </c>
      <c r="J391" s="21">
        <f>IFERROR(BDP(Database!$A391&amp;" HK Equity","PE_RATIO"),"")</f>
        <v/>
      </c>
      <c r="K391" s="6">
        <f>IFERROR(BDP(Database!$A391&amp;" HK Equity","A/H_SHARE_CONVERSION"),"")</f>
        <v/>
      </c>
      <c r="L391" s="4">
        <f>IF(Database!AL391="","(none found)",Database!AL391)</f>
        <v/>
      </c>
      <c r="M391" s="9">
        <f>IFERROR(BDH(Database!$A391&amp;" HK Equity","CUR_MKT_CAP",Database!$G391,Database!$G391)/1000000,"")</f>
        <v/>
      </c>
      <c r="N391" s="63">
        <f>Database!O391</f>
        <v/>
      </c>
      <c r="O391" s="21">
        <f>IFERROR(BDH(Database!$A391&amp;" HK Equity","PE_RATIO",Database!$G391,Database!$G391),"")</f>
        <v/>
      </c>
      <c r="P391" s="60">
        <f>IF(Database!AI391="","(n/m or not derivable)",Database!AI391)</f>
        <v/>
      </c>
    </row>
    <row r="392">
      <c r="A392" s="4">
        <f>Database!A392&amp;"  "&amp;Database!B392</f>
        <v/>
      </c>
      <c r="B392" s="6">
        <f>IFERROR(INDEX(BDS(Database!$A392&amp;" HK Equity","EQUITY_OFFERINGS","array=t","endcol=1"),MATCH("IPO",BDS(Database!$A392&amp;" HK Equity","EQUITY_OFFERINGS","array=t","startcol=2","endcol=2"),0)),"")</f>
        <v/>
      </c>
      <c r="C392" s="64">
        <f>IF($B392="","",IFERROR(BDP($B392&amp;" Action","CP036"),""))</f>
        <v/>
      </c>
      <c r="D392" s="65">
        <f>Database!Q392</f>
        <v/>
      </c>
      <c r="E392" s="64">
        <f>IF($B392="","",IFERROR(BDP($B392&amp;" Action","CP037"),""))</f>
        <v/>
      </c>
      <c r="F392" s="65">
        <f>Database!R392</f>
        <v/>
      </c>
      <c r="G392" s="64">
        <f>IF($B392="","",IFERROR(BDP($B392&amp;" Action","GREENSHOE_FACILITY"),""))</f>
        <v/>
      </c>
      <c r="H392" s="64">
        <f>IF($B392="","",IFERROR(BDP($B392&amp;" Action","OFFERING_GREENSHOE_SHARES_EX"),""))</f>
        <v/>
      </c>
      <c r="I392" s="4">
        <f>Database!V392</f>
        <v/>
      </c>
      <c r="J392" s="21">
        <f>IFERROR(BDP(Database!$A392&amp;" HK Equity","PE_RATIO"),"")</f>
        <v/>
      </c>
      <c r="K392" s="6">
        <f>IFERROR(BDP(Database!$A392&amp;" HK Equity","A/H_SHARE_CONVERSION"),"")</f>
        <v/>
      </c>
      <c r="L392" s="4">
        <f>IF(Database!AL392="","(none found)",Database!AL392)</f>
        <v/>
      </c>
      <c r="M392" s="9">
        <f>IFERROR(BDH(Database!$A392&amp;" HK Equity","CUR_MKT_CAP",Database!$G392,Database!$G392)/1000000,"")</f>
        <v/>
      </c>
      <c r="N392" s="63">
        <f>Database!O392</f>
        <v/>
      </c>
      <c r="O392" s="21">
        <f>IFERROR(BDH(Database!$A392&amp;" HK Equity","PE_RATIO",Database!$G392,Database!$G392),"")</f>
        <v/>
      </c>
      <c r="P392" s="60">
        <f>IF(Database!AI392="","(n/m or not derivable)",Database!AI392)</f>
        <v/>
      </c>
    </row>
    <row r="393">
      <c r="A393" s="4">
        <f>Database!A393&amp;"  "&amp;Database!B393</f>
        <v/>
      </c>
      <c r="B393" s="6">
        <f>IFERROR(INDEX(BDS(Database!$A393&amp;" HK Equity","EQUITY_OFFERINGS","array=t","endcol=1"),MATCH("IPO",BDS(Database!$A393&amp;" HK Equity","EQUITY_OFFERINGS","array=t","startcol=2","endcol=2"),0)),"")</f>
        <v/>
      </c>
      <c r="C393" s="64">
        <f>IF($B393="","",IFERROR(BDP($B393&amp;" Action","CP036"),""))</f>
        <v/>
      </c>
      <c r="D393" s="65">
        <f>Database!Q393</f>
        <v/>
      </c>
      <c r="E393" s="64">
        <f>IF($B393="","",IFERROR(BDP($B393&amp;" Action","CP037"),""))</f>
        <v/>
      </c>
      <c r="F393" s="65">
        <f>Database!R393</f>
        <v/>
      </c>
      <c r="G393" s="64">
        <f>IF($B393="","",IFERROR(BDP($B393&amp;" Action","GREENSHOE_FACILITY"),""))</f>
        <v/>
      </c>
      <c r="H393" s="64">
        <f>IF($B393="","",IFERROR(BDP($B393&amp;" Action","OFFERING_GREENSHOE_SHARES_EX"),""))</f>
        <v/>
      </c>
      <c r="I393" s="4">
        <f>Database!V393</f>
        <v/>
      </c>
      <c r="J393" s="21">
        <f>IFERROR(BDP(Database!$A393&amp;" HK Equity","PE_RATIO"),"")</f>
        <v/>
      </c>
      <c r="K393" s="6">
        <f>IFERROR(BDP(Database!$A393&amp;" HK Equity","A/H_SHARE_CONVERSION"),"")</f>
        <v/>
      </c>
      <c r="L393" s="4">
        <f>IF(Database!AL393="","(none found)",Database!AL393)</f>
        <v/>
      </c>
      <c r="M393" s="9">
        <f>IFERROR(BDH(Database!$A393&amp;" HK Equity","CUR_MKT_CAP",Database!$G393,Database!$G393)/1000000,"")</f>
        <v/>
      </c>
      <c r="N393" s="63">
        <f>Database!O393</f>
        <v/>
      </c>
      <c r="O393" s="21">
        <f>IFERROR(BDH(Database!$A393&amp;" HK Equity","PE_RATIO",Database!$G393,Database!$G393),"")</f>
        <v/>
      </c>
      <c r="P393" s="60">
        <f>IF(Database!AI393="","(n/m or not derivable)",Database!AI393)</f>
        <v/>
      </c>
    </row>
    <row r="394">
      <c r="A394" s="4">
        <f>Database!A394&amp;"  "&amp;Database!B394</f>
        <v/>
      </c>
      <c r="B394" s="6">
        <f>IFERROR(INDEX(BDS(Database!$A394&amp;" HK Equity","EQUITY_OFFERINGS","array=t","endcol=1"),MATCH("IPO",BDS(Database!$A394&amp;" HK Equity","EQUITY_OFFERINGS","array=t","startcol=2","endcol=2"),0)),"")</f>
        <v/>
      </c>
      <c r="C394" s="64">
        <f>IF($B394="","",IFERROR(BDP($B394&amp;" Action","CP036"),""))</f>
        <v/>
      </c>
      <c r="D394" s="65">
        <f>Database!Q394</f>
        <v/>
      </c>
      <c r="E394" s="64">
        <f>IF($B394="","",IFERROR(BDP($B394&amp;" Action","CP037"),""))</f>
        <v/>
      </c>
      <c r="F394" s="65">
        <f>Database!R394</f>
        <v/>
      </c>
      <c r="G394" s="64">
        <f>IF($B394="","",IFERROR(BDP($B394&amp;" Action","GREENSHOE_FACILITY"),""))</f>
        <v/>
      </c>
      <c r="H394" s="64">
        <f>IF($B394="","",IFERROR(BDP($B394&amp;" Action","OFFERING_GREENSHOE_SHARES_EX"),""))</f>
        <v/>
      </c>
      <c r="I394" s="4">
        <f>Database!V394</f>
        <v/>
      </c>
      <c r="J394" s="21">
        <f>IFERROR(BDP(Database!$A394&amp;" HK Equity","PE_RATIO"),"")</f>
        <v/>
      </c>
      <c r="K394" s="6">
        <f>IFERROR(BDP(Database!$A394&amp;" HK Equity","A/H_SHARE_CONVERSION"),"")</f>
        <v/>
      </c>
      <c r="L394" s="4">
        <f>IF(Database!AL394="","(none found)",Database!AL394)</f>
        <v/>
      </c>
      <c r="M394" s="9">
        <f>IFERROR(BDH(Database!$A394&amp;" HK Equity","CUR_MKT_CAP",Database!$G394,Database!$G394)/1000000,"")</f>
        <v/>
      </c>
      <c r="N394" s="63">
        <f>Database!O394</f>
        <v/>
      </c>
      <c r="O394" s="21">
        <f>IFERROR(BDH(Database!$A394&amp;" HK Equity","PE_RATIO",Database!$G394,Database!$G394),"")</f>
        <v/>
      </c>
      <c r="P394" s="60">
        <f>IF(Database!AI394="","(n/m or not derivable)",Database!AI394)</f>
        <v/>
      </c>
    </row>
    <row r="395">
      <c r="A395" s="4">
        <f>Database!A395&amp;"  "&amp;Database!B395</f>
        <v/>
      </c>
      <c r="B395" s="6">
        <f>IFERROR(INDEX(BDS(Database!$A395&amp;" HK Equity","EQUITY_OFFERINGS","array=t","endcol=1"),MATCH("IPO",BDS(Database!$A395&amp;" HK Equity","EQUITY_OFFERINGS","array=t","startcol=2","endcol=2"),0)),"")</f>
        <v/>
      </c>
      <c r="C395" s="64">
        <f>IF($B395="","",IFERROR(BDP($B395&amp;" Action","CP036"),""))</f>
        <v/>
      </c>
      <c r="D395" s="65">
        <f>Database!Q395</f>
        <v/>
      </c>
      <c r="E395" s="64">
        <f>IF($B395="","",IFERROR(BDP($B395&amp;" Action","CP037"),""))</f>
        <v/>
      </c>
      <c r="F395" s="65">
        <f>Database!R395</f>
        <v/>
      </c>
      <c r="G395" s="64">
        <f>IF($B395="","",IFERROR(BDP($B395&amp;" Action","GREENSHOE_FACILITY"),""))</f>
        <v/>
      </c>
      <c r="H395" s="64">
        <f>IF($B395="","",IFERROR(BDP($B395&amp;" Action","OFFERING_GREENSHOE_SHARES_EX"),""))</f>
        <v/>
      </c>
      <c r="I395" s="4">
        <f>Database!V395</f>
        <v/>
      </c>
      <c r="J395" s="21">
        <f>IFERROR(BDP(Database!$A395&amp;" HK Equity","PE_RATIO"),"")</f>
        <v/>
      </c>
      <c r="K395" s="6">
        <f>IFERROR(BDP(Database!$A395&amp;" HK Equity","A/H_SHARE_CONVERSION"),"")</f>
        <v/>
      </c>
      <c r="L395" s="4">
        <f>IF(Database!AL395="","(none found)",Database!AL395)</f>
        <v/>
      </c>
      <c r="M395" s="9">
        <f>IFERROR(BDH(Database!$A395&amp;" HK Equity","CUR_MKT_CAP",Database!$G395,Database!$G395)/1000000,"")</f>
        <v/>
      </c>
      <c r="N395" s="63">
        <f>Database!O395</f>
        <v/>
      </c>
      <c r="O395" s="21">
        <f>IFERROR(BDH(Database!$A395&amp;" HK Equity","PE_RATIO",Database!$G395,Database!$G395),"")</f>
        <v/>
      </c>
      <c r="P395" s="60">
        <f>IF(Database!AI395="","(n/m or not derivable)",Database!AI395)</f>
        <v/>
      </c>
    </row>
    <row r="396">
      <c r="A396" s="4">
        <f>Database!A396&amp;"  "&amp;Database!B396</f>
        <v/>
      </c>
      <c r="B396" s="6">
        <f>IFERROR(INDEX(BDS(Database!$A396&amp;" HK Equity","EQUITY_OFFERINGS","array=t","endcol=1"),MATCH("IPO",BDS(Database!$A396&amp;" HK Equity","EQUITY_OFFERINGS","array=t","startcol=2","endcol=2"),0)),"")</f>
        <v/>
      </c>
      <c r="C396" s="64">
        <f>IF($B396="","",IFERROR(BDP($B396&amp;" Action","CP036"),""))</f>
        <v/>
      </c>
      <c r="D396" s="65">
        <f>Database!Q396</f>
        <v/>
      </c>
      <c r="E396" s="64">
        <f>IF($B396="","",IFERROR(BDP($B396&amp;" Action","CP037"),""))</f>
        <v/>
      </c>
      <c r="F396" s="65">
        <f>Database!R396</f>
        <v/>
      </c>
      <c r="G396" s="64">
        <f>IF($B396="","",IFERROR(BDP($B396&amp;" Action","GREENSHOE_FACILITY"),""))</f>
        <v/>
      </c>
      <c r="H396" s="64">
        <f>IF($B396="","",IFERROR(BDP($B396&amp;" Action","OFFERING_GREENSHOE_SHARES_EX"),""))</f>
        <v/>
      </c>
      <c r="I396" s="4">
        <f>Database!V396</f>
        <v/>
      </c>
      <c r="J396" s="21">
        <f>IFERROR(BDP(Database!$A396&amp;" HK Equity","PE_RATIO"),"")</f>
        <v/>
      </c>
      <c r="K396" s="6">
        <f>IFERROR(BDP(Database!$A396&amp;" HK Equity","A/H_SHARE_CONVERSION"),"")</f>
        <v/>
      </c>
      <c r="L396" s="4">
        <f>IF(Database!AL396="","(none found)",Database!AL396)</f>
        <v/>
      </c>
      <c r="M396" s="9">
        <f>IFERROR(BDH(Database!$A396&amp;" HK Equity","CUR_MKT_CAP",Database!$G396,Database!$G396)/1000000,"")</f>
        <v/>
      </c>
      <c r="N396" s="63">
        <f>Database!O396</f>
        <v/>
      </c>
      <c r="O396" s="21">
        <f>IFERROR(BDH(Database!$A396&amp;" HK Equity","PE_RATIO",Database!$G396,Database!$G396),"")</f>
        <v/>
      </c>
      <c r="P396" s="60">
        <f>IF(Database!AI396="","(n/m or not derivable)",Database!AI396)</f>
        <v/>
      </c>
    </row>
    <row r="397">
      <c r="A397" s="4">
        <f>Database!A397&amp;"  "&amp;Database!B397</f>
        <v/>
      </c>
      <c r="B397" s="6">
        <f>IFERROR(INDEX(BDS(Database!$A397&amp;" HK Equity","EQUITY_OFFERINGS","array=t","endcol=1"),MATCH("IPO",BDS(Database!$A397&amp;" HK Equity","EQUITY_OFFERINGS","array=t","startcol=2","endcol=2"),0)),"")</f>
        <v/>
      </c>
      <c r="C397" s="64">
        <f>IF($B397="","",IFERROR(BDP($B397&amp;" Action","CP036"),""))</f>
        <v/>
      </c>
      <c r="D397" s="65">
        <f>Database!Q397</f>
        <v/>
      </c>
      <c r="E397" s="64">
        <f>IF($B397="","",IFERROR(BDP($B397&amp;" Action","CP037"),""))</f>
        <v/>
      </c>
      <c r="F397" s="65">
        <f>Database!R397</f>
        <v/>
      </c>
      <c r="G397" s="64">
        <f>IF($B397="","",IFERROR(BDP($B397&amp;" Action","GREENSHOE_FACILITY"),""))</f>
        <v/>
      </c>
      <c r="H397" s="64">
        <f>IF($B397="","",IFERROR(BDP($B397&amp;" Action","OFFERING_GREENSHOE_SHARES_EX"),""))</f>
        <v/>
      </c>
      <c r="I397" s="4">
        <f>Database!V397</f>
        <v/>
      </c>
      <c r="J397" s="21">
        <f>IFERROR(BDP(Database!$A397&amp;" HK Equity","PE_RATIO"),"")</f>
        <v/>
      </c>
      <c r="K397" s="6">
        <f>IFERROR(BDP(Database!$A397&amp;" HK Equity","A/H_SHARE_CONVERSION"),"")</f>
        <v/>
      </c>
      <c r="L397" s="4">
        <f>IF(Database!AL397="","(none found)",Database!AL397)</f>
        <v/>
      </c>
      <c r="M397" s="9">
        <f>IFERROR(BDH(Database!$A397&amp;" HK Equity","CUR_MKT_CAP",Database!$G397,Database!$G397)/1000000,"")</f>
        <v/>
      </c>
      <c r="N397" s="63">
        <f>Database!O397</f>
        <v/>
      </c>
      <c r="O397" s="21">
        <f>IFERROR(BDH(Database!$A397&amp;" HK Equity","PE_RATIO",Database!$G397,Database!$G397),"")</f>
        <v/>
      </c>
      <c r="P397" s="60">
        <f>IF(Database!AI397="","(n/m or not derivable)",Database!AI397)</f>
        <v/>
      </c>
    </row>
    <row r="398">
      <c r="A398" s="4">
        <f>Database!A398&amp;"  "&amp;Database!B398</f>
        <v/>
      </c>
      <c r="B398" s="6">
        <f>IFERROR(INDEX(BDS(Database!$A398&amp;" HK Equity","EQUITY_OFFERINGS","array=t","endcol=1"),MATCH("IPO",BDS(Database!$A398&amp;" HK Equity","EQUITY_OFFERINGS","array=t","startcol=2","endcol=2"),0)),"")</f>
        <v/>
      </c>
      <c r="C398" s="64">
        <f>IF($B398="","",IFERROR(BDP($B398&amp;" Action","CP036"),""))</f>
        <v/>
      </c>
      <c r="D398" s="65">
        <f>Database!Q398</f>
        <v/>
      </c>
      <c r="E398" s="64">
        <f>IF($B398="","",IFERROR(BDP($B398&amp;" Action","CP037"),""))</f>
        <v/>
      </c>
      <c r="F398" s="65">
        <f>Database!R398</f>
        <v/>
      </c>
      <c r="G398" s="64">
        <f>IF($B398="","",IFERROR(BDP($B398&amp;" Action","GREENSHOE_FACILITY"),""))</f>
        <v/>
      </c>
      <c r="H398" s="64">
        <f>IF($B398="","",IFERROR(BDP($B398&amp;" Action","OFFERING_GREENSHOE_SHARES_EX"),""))</f>
        <v/>
      </c>
      <c r="I398" s="4">
        <f>Database!V398</f>
        <v/>
      </c>
      <c r="J398" s="21">
        <f>IFERROR(BDP(Database!$A398&amp;" HK Equity","PE_RATIO"),"")</f>
        <v/>
      </c>
      <c r="K398" s="6">
        <f>IFERROR(BDP(Database!$A398&amp;" HK Equity","A/H_SHARE_CONVERSION"),"")</f>
        <v/>
      </c>
      <c r="L398" s="4">
        <f>IF(Database!AL398="","(none found)",Database!AL398)</f>
        <v/>
      </c>
      <c r="M398" s="9">
        <f>IFERROR(BDH(Database!$A398&amp;" HK Equity","CUR_MKT_CAP",Database!$G398,Database!$G398)/1000000,"")</f>
        <v/>
      </c>
      <c r="N398" s="63">
        <f>Database!O398</f>
        <v/>
      </c>
      <c r="O398" s="21">
        <f>IFERROR(BDH(Database!$A398&amp;" HK Equity","PE_RATIO",Database!$G398,Database!$G398),"")</f>
        <v/>
      </c>
      <c r="P398" s="60">
        <f>IF(Database!AI398="","(n/m or not derivable)",Database!AI398)</f>
        <v/>
      </c>
    </row>
    <row r="399">
      <c r="A399" s="4">
        <f>Database!A399&amp;"  "&amp;Database!B399</f>
        <v/>
      </c>
      <c r="B399" s="6">
        <f>IFERROR(INDEX(BDS(Database!$A399&amp;" HK Equity","EQUITY_OFFERINGS","array=t","endcol=1"),MATCH("IPO",BDS(Database!$A399&amp;" HK Equity","EQUITY_OFFERINGS","array=t","startcol=2","endcol=2"),0)),"")</f>
        <v/>
      </c>
      <c r="C399" s="64">
        <f>IF($B399="","",IFERROR(BDP($B399&amp;" Action","CP036"),""))</f>
        <v/>
      </c>
      <c r="D399" s="65">
        <f>Database!Q399</f>
        <v/>
      </c>
      <c r="E399" s="64">
        <f>IF($B399="","",IFERROR(BDP($B399&amp;" Action","CP037"),""))</f>
        <v/>
      </c>
      <c r="F399" s="65">
        <f>Database!R399</f>
        <v/>
      </c>
      <c r="G399" s="64">
        <f>IF($B399="","",IFERROR(BDP($B399&amp;" Action","GREENSHOE_FACILITY"),""))</f>
        <v/>
      </c>
      <c r="H399" s="64">
        <f>IF($B399="","",IFERROR(BDP($B399&amp;" Action","OFFERING_GREENSHOE_SHARES_EX"),""))</f>
        <v/>
      </c>
      <c r="I399" s="4">
        <f>Database!V399</f>
        <v/>
      </c>
      <c r="J399" s="21">
        <f>IFERROR(BDP(Database!$A399&amp;" HK Equity","PE_RATIO"),"")</f>
        <v/>
      </c>
      <c r="K399" s="6">
        <f>IFERROR(BDP(Database!$A399&amp;" HK Equity","A/H_SHARE_CONVERSION"),"")</f>
        <v/>
      </c>
      <c r="L399" s="4">
        <f>IF(Database!AL399="","(none found)",Database!AL399)</f>
        <v/>
      </c>
      <c r="M399" s="9">
        <f>IFERROR(BDH(Database!$A399&amp;" HK Equity","CUR_MKT_CAP",Database!$G399,Database!$G399)/1000000,"")</f>
        <v/>
      </c>
      <c r="N399" s="63">
        <f>Database!O399</f>
        <v/>
      </c>
      <c r="O399" s="21">
        <f>IFERROR(BDH(Database!$A399&amp;" HK Equity","PE_RATIO",Database!$G399,Database!$G399),"")</f>
        <v/>
      </c>
      <c r="P399" s="60">
        <f>IF(Database!AI399="","(n/m or not derivable)",Database!AI399)</f>
        <v/>
      </c>
    </row>
    <row r="400">
      <c r="A400" s="4">
        <f>Database!A400&amp;"  "&amp;Database!B400</f>
        <v/>
      </c>
      <c r="B400" s="6">
        <f>IFERROR(INDEX(BDS(Database!$A400&amp;" HK Equity","EQUITY_OFFERINGS","array=t","endcol=1"),MATCH("IPO",BDS(Database!$A400&amp;" HK Equity","EQUITY_OFFERINGS","array=t","startcol=2","endcol=2"),0)),"")</f>
        <v/>
      </c>
      <c r="C400" s="64">
        <f>IF($B400="","",IFERROR(BDP($B400&amp;" Action","CP036"),""))</f>
        <v/>
      </c>
      <c r="D400" s="65">
        <f>Database!Q400</f>
        <v/>
      </c>
      <c r="E400" s="64">
        <f>IF($B400="","",IFERROR(BDP($B400&amp;" Action","CP037"),""))</f>
        <v/>
      </c>
      <c r="F400" s="65">
        <f>Database!R400</f>
        <v/>
      </c>
      <c r="G400" s="64">
        <f>IF($B400="","",IFERROR(BDP($B400&amp;" Action","GREENSHOE_FACILITY"),""))</f>
        <v/>
      </c>
      <c r="H400" s="64">
        <f>IF($B400="","",IFERROR(BDP($B400&amp;" Action","OFFERING_GREENSHOE_SHARES_EX"),""))</f>
        <v/>
      </c>
      <c r="I400" s="4">
        <f>Database!V400</f>
        <v/>
      </c>
      <c r="J400" s="21">
        <f>IFERROR(BDP(Database!$A400&amp;" HK Equity","PE_RATIO"),"")</f>
        <v/>
      </c>
      <c r="K400" s="6">
        <f>IFERROR(BDP(Database!$A400&amp;" HK Equity","A/H_SHARE_CONVERSION"),"")</f>
        <v/>
      </c>
      <c r="L400" s="4">
        <f>IF(Database!AL400="","(none found)",Database!AL400)</f>
        <v/>
      </c>
      <c r="M400" s="9">
        <f>IFERROR(BDH(Database!$A400&amp;" HK Equity","CUR_MKT_CAP",Database!$G400,Database!$G400)/1000000,"")</f>
        <v/>
      </c>
      <c r="N400" s="63">
        <f>Database!O400</f>
        <v/>
      </c>
      <c r="O400" s="21">
        <f>IFERROR(BDH(Database!$A400&amp;" HK Equity","PE_RATIO",Database!$G400,Database!$G400),"")</f>
        <v/>
      </c>
      <c r="P400" s="60">
        <f>IF(Database!AI400="","(n/m or not derivable)",Database!AI400)</f>
        <v/>
      </c>
    </row>
    <row r="401">
      <c r="A401" s="4">
        <f>Database!A401&amp;"  "&amp;Database!B401</f>
        <v/>
      </c>
      <c r="B401" s="6">
        <f>IFERROR(INDEX(BDS(Database!$A401&amp;" HK Equity","EQUITY_OFFERINGS","array=t","endcol=1"),MATCH("IPO",BDS(Database!$A401&amp;" HK Equity","EQUITY_OFFERINGS","array=t","startcol=2","endcol=2"),0)),"")</f>
        <v/>
      </c>
      <c r="C401" s="64">
        <f>IF($B401="","",IFERROR(BDP($B401&amp;" Action","CP036"),""))</f>
        <v/>
      </c>
      <c r="D401" s="65">
        <f>Database!Q401</f>
        <v/>
      </c>
      <c r="E401" s="64">
        <f>IF($B401="","",IFERROR(BDP($B401&amp;" Action","CP037"),""))</f>
        <v/>
      </c>
      <c r="F401" s="65">
        <f>Database!R401</f>
        <v/>
      </c>
      <c r="G401" s="64">
        <f>IF($B401="","",IFERROR(BDP($B401&amp;" Action","GREENSHOE_FACILITY"),""))</f>
        <v/>
      </c>
      <c r="H401" s="64">
        <f>IF($B401="","",IFERROR(BDP($B401&amp;" Action","OFFERING_GREENSHOE_SHARES_EX"),""))</f>
        <v/>
      </c>
      <c r="I401" s="4">
        <f>Database!V401</f>
        <v/>
      </c>
      <c r="J401" s="21">
        <f>IFERROR(BDP(Database!$A401&amp;" HK Equity","PE_RATIO"),"")</f>
        <v/>
      </c>
      <c r="K401" s="6">
        <f>IFERROR(BDP(Database!$A401&amp;" HK Equity","A/H_SHARE_CONVERSION"),"")</f>
        <v/>
      </c>
      <c r="L401" s="4">
        <f>IF(Database!AL401="","(none found)",Database!AL401)</f>
        <v/>
      </c>
      <c r="M401" s="9">
        <f>IFERROR(BDH(Database!$A401&amp;" HK Equity","CUR_MKT_CAP",Database!$G401,Database!$G401)/1000000,"")</f>
        <v/>
      </c>
      <c r="N401" s="63">
        <f>Database!O401</f>
        <v/>
      </c>
      <c r="O401" s="21">
        <f>IFERROR(BDH(Database!$A401&amp;" HK Equity","PE_RATIO",Database!$G401,Database!$G401),"")</f>
        <v/>
      </c>
      <c r="P401" s="60">
        <f>IF(Database!AI401="","(n/m or not derivable)",Database!AI401)</f>
        <v/>
      </c>
    </row>
    <row r="402">
      <c r="A402" s="4">
        <f>Database!A402&amp;"  "&amp;Database!B402</f>
        <v/>
      </c>
      <c r="B402" s="6">
        <f>IFERROR(INDEX(BDS(Database!$A402&amp;" HK Equity","EQUITY_OFFERINGS","array=t","endcol=1"),MATCH("IPO",BDS(Database!$A402&amp;" HK Equity","EQUITY_OFFERINGS","array=t","startcol=2","endcol=2"),0)),"")</f>
        <v/>
      </c>
      <c r="C402" s="64">
        <f>IF($B402="","",IFERROR(BDP($B402&amp;" Action","CP036"),""))</f>
        <v/>
      </c>
      <c r="D402" s="65">
        <f>Database!Q402</f>
        <v/>
      </c>
      <c r="E402" s="64">
        <f>IF($B402="","",IFERROR(BDP($B402&amp;" Action","CP037"),""))</f>
        <v/>
      </c>
      <c r="F402" s="65">
        <f>Database!R402</f>
        <v/>
      </c>
      <c r="G402" s="64">
        <f>IF($B402="","",IFERROR(BDP($B402&amp;" Action","GREENSHOE_FACILITY"),""))</f>
        <v/>
      </c>
      <c r="H402" s="64">
        <f>IF($B402="","",IFERROR(BDP($B402&amp;" Action","OFFERING_GREENSHOE_SHARES_EX"),""))</f>
        <v/>
      </c>
      <c r="I402" s="4">
        <f>Database!V402</f>
        <v/>
      </c>
      <c r="J402" s="21">
        <f>IFERROR(BDP(Database!$A402&amp;" HK Equity","PE_RATIO"),"")</f>
        <v/>
      </c>
      <c r="K402" s="6">
        <f>IFERROR(BDP(Database!$A402&amp;" HK Equity","A/H_SHARE_CONVERSION"),"")</f>
        <v/>
      </c>
      <c r="L402" s="4">
        <f>IF(Database!AL402="","(none found)",Database!AL402)</f>
        <v/>
      </c>
      <c r="M402" s="9">
        <f>IFERROR(BDH(Database!$A402&amp;" HK Equity","CUR_MKT_CAP",Database!$G402,Database!$G402)/1000000,"")</f>
        <v/>
      </c>
      <c r="N402" s="63">
        <f>Database!O402</f>
        <v/>
      </c>
      <c r="O402" s="21">
        <f>IFERROR(BDH(Database!$A402&amp;" HK Equity","PE_RATIO",Database!$G402,Database!$G402),"")</f>
        <v/>
      </c>
      <c r="P402" s="60">
        <f>IF(Database!AI402="","(n/m or not derivable)",Database!AI402)</f>
        <v/>
      </c>
    </row>
    <row r="403">
      <c r="A403" s="4">
        <f>Database!A403&amp;"  "&amp;Database!B403</f>
        <v/>
      </c>
      <c r="B403" s="6">
        <f>IFERROR(INDEX(BDS(Database!$A403&amp;" HK Equity","EQUITY_OFFERINGS","array=t","endcol=1"),MATCH("IPO",BDS(Database!$A403&amp;" HK Equity","EQUITY_OFFERINGS","array=t","startcol=2","endcol=2"),0)),"")</f>
        <v/>
      </c>
      <c r="C403" s="64">
        <f>IF($B403="","",IFERROR(BDP($B403&amp;" Action","CP036"),""))</f>
        <v/>
      </c>
      <c r="D403" s="65">
        <f>Database!Q403</f>
        <v/>
      </c>
      <c r="E403" s="64">
        <f>IF($B403="","",IFERROR(BDP($B403&amp;" Action","CP037"),""))</f>
        <v/>
      </c>
      <c r="F403" s="65">
        <f>Database!R403</f>
        <v/>
      </c>
      <c r="G403" s="64">
        <f>IF($B403="","",IFERROR(BDP($B403&amp;" Action","GREENSHOE_FACILITY"),""))</f>
        <v/>
      </c>
      <c r="H403" s="64">
        <f>IF($B403="","",IFERROR(BDP($B403&amp;" Action","OFFERING_GREENSHOE_SHARES_EX"),""))</f>
        <v/>
      </c>
      <c r="I403" s="4">
        <f>Database!V403</f>
        <v/>
      </c>
      <c r="J403" s="21">
        <f>IFERROR(BDP(Database!$A403&amp;" HK Equity","PE_RATIO"),"")</f>
        <v/>
      </c>
      <c r="K403" s="6">
        <f>IFERROR(BDP(Database!$A403&amp;" HK Equity","A/H_SHARE_CONVERSION"),"")</f>
        <v/>
      </c>
      <c r="L403" s="4">
        <f>IF(Database!AL403="","(none found)",Database!AL403)</f>
        <v/>
      </c>
      <c r="M403" s="9">
        <f>IFERROR(BDH(Database!$A403&amp;" HK Equity","CUR_MKT_CAP",Database!$G403,Database!$G403)/1000000,"")</f>
        <v/>
      </c>
      <c r="N403" s="63">
        <f>Database!O403</f>
        <v/>
      </c>
      <c r="O403" s="21">
        <f>IFERROR(BDH(Database!$A403&amp;" HK Equity","PE_RATIO",Database!$G403,Database!$G403),"")</f>
        <v/>
      </c>
      <c r="P403" s="60">
        <f>IF(Database!AI403="","(n/m or not derivable)",Database!AI403)</f>
        <v/>
      </c>
    </row>
    <row r="404">
      <c r="A404" s="4">
        <f>Database!A404&amp;"  "&amp;Database!B404</f>
        <v/>
      </c>
      <c r="B404" s="6">
        <f>IFERROR(INDEX(BDS(Database!$A404&amp;" HK Equity","EQUITY_OFFERINGS","array=t","endcol=1"),MATCH("IPO",BDS(Database!$A404&amp;" HK Equity","EQUITY_OFFERINGS","array=t","startcol=2","endcol=2"),0)),"")</f>
        <v/>
      </c>
      <c r="C404" s="64">
        <f>IF($B404="","",IFERROR(BDP($B404&amp;" Action","CP036"),""))</f>
        <v/>
      </c>
      <c r="D404" s="65">
        <f>Database!Q404</f>
        <v/>
      </c>
      <c r="E404" s="64">
        <f>IF($B404="","",IFERROR(BDP($B404&amp;" Action","CP037"),""))</f>
        <v/>
      </c>
      <c r="F404" s="65">
        <f>Database!R404</f>
        <v/>
      </c>
      <c r="G404" s="64">
        <f>IF($B404="","",IFERROR(BDP($B404&amp;" Action","GREENSHOE_FACILITY"),""))</f>
        <v/>
      </c>
      <c r="H404" s="64">
        <f>IF($B404="","",IFERROR(BDP($B404&amp;" Action","OFFERING_GREENSHOE_SHARES_EX"),""))</f>
        <v/>
      </c>
      <c r="I404" s="4">
        <f>Database!V404</f>
        <v/>
      </c>
      <c r="J404" s="21">
        <f>IFERROR(BDP(Database!$A404&amp;" HK Equity","PE_RATIO"),"")</f>
        <v/>
      </c>
      <c r="K404" s="6">
        <f>IFERROR(BDP(Database!$A404&amp;" HK Equity","A/H_SHARE_CONVERSION"),"")</f>
        <v/>
      </c>
      <c r="L404" s="4">
        <f>IF(Database!AL404="","(none found)",Database!AL404)</f>
        <v/>
      </c>
      <c r="M404" s="9">
        <f>IFERROR(BDH(Database!$A404&amp;" HK Equity","CUR_MKT_CAP",Database!$G404,Database!$G404)/1000000,"")</f>
        <v/>
      </c>
      <c r="N404" s="63">
        <f>Database!O404</f>
        <v/>
      </c>
      <c r="O404" s="21">
        <f>IFERROR(BDH(Database!$A404&amp;" HK Equity","PE_RATIO",Database!$G404,Database!$G404),"")</f>
        <v/>
      </c>
      <c r="P404" s="60">
        <f>IF(Database!AI404="","(n/m or not derivable)",Database!AI404)</f>
        <v/>
      </c>
    </row>
    <row r="405">
      <c r="A405" s="4">
        <f>Database!A405&amp;"  "&amp;Database!B405</f>
        <v/>
      </c>
      <c r="B405" s="6">
        <f>IFERROR(INDEX(BDS(Database!$A405&amp;" HK Equity","EQUITY_OFFERINGS","array=t","endcol=1"),MATCH("IPO",BDS(Database!$A405&amp;" HK Equity","EQUITY_OFFERINGS","array=t","startcol=2","endcol=2"),0)),"")</f>
        <v/>
      </c>
      <c r="C405" s="64">
        <f>IF($B405="","",IFERROR(BDP($B405&amp;" Action","CP036"),""))</f>
        <v/>
      </c>
      <c r="D405" s="65">
        <f>Database!Q405</f>
        <v/>
      </c>
      <c r="E405" s="64">
        <f>IF($B405="","",IFERROR(BDP($B405&amp;" Action","CP037"),""))</f>
        <v/>
      </c>
      <c r="F405" s="65">
        <f>Database!R405</f>
        <v/>
      </c>
      <c r="G405" s="64">
        <f>IF($B405="","",IFERROR(BDP($B405&amp;" Action","GREENSHOE_FACILITY"),""))</f>
        <v/>
      </c>
      <c r="H405" s="64">
        <f>IF($B405="","",IFERROR(BDP($B405&amp;" Action","OFFERING_GREENSHOE_SHARES_EX"),""))</f>
        <v/>
      </c>
      <c r="I405" s="4">
        <f>Database!V405</f>
        <v/>
      </c>
      <c r="J405" s="21">
        <f>IFERROR(BDP(Database!$A405&amp;" HK Equity","PE_RATIO"),"")</f>
        <v/>
      </c>
      <c r="K405" s="6">
        <f>IFERROR(BDP(Database!$A405&amp;" HK Equity","A/H_SHARE_CONVERSION"),"")</f>
        <v/>
      </c>
      <c r="L405" s="4">
        <f>IF(Database!AL405="","(none found)",Database!AL405)</f>
        <v/>
      </c>
      <c r="M405" s="9">
        <f>IFERROR(BDH(Database!$A405&amp;" HK Equity","CUR_MKT_CAP",Database!$G405,Database!$G405)/1000000,"")</f>
        <v/>
      </c>
      <c r="N405" s="63">
        <f>Database!O405</f>
        <v/>
      </c>
      <c r="O405" s="21">
        <f>IFERROR(BDH(Database!$A405&amp;" HK Equity","PE_RATIO",Database!$G405,Database!$G405),"")</f>
        <v/>
      </c>
      <c r="P405" s="60">
        <f>IF(Database!AI405="","(n/m or not derivable)",Database!AI405)</f>
        <v/>
      </c>
    </row>
    <row r="406">
      <c r="A406" s="4">
        <f>Database!A406&amp;"  "&amp;Database!B406</f>
        <v/>
      </c>
      <c r="B406" s="6">
        <f>IFERROR(INDEX(BDS(Database!$A406&amp;" HK Equity","EQUITY_OFFERINGS","array=t","endcol=1"),MATCH("IPO",BDS(Database!$A406&amp;" HK Equity","EQUITY_OFFERINGS","array=t","startcol=2","endcol=2"),0)),"")</f>
        <v/>
      </c>
      <c r="C406" s="64">
        <f>IF($B406="","",IFERROR(BDP($B406&amp;" Action","CP036"),""))</f>
        <v/>
      </c>
      <c r="D406" s="65">
        <f>Database!Q406</f>
        <v/>
      </c>
      <c r="E406" s="64">
        <f>IF($B406="","",IFERROR(BDP($B406&amp;" Action","CP037"),""))</f>
        <v/>
      </c>
      <c r="F406" s="65">
        <f>Database!R406</f>
        <v/>
      </c>
      <c r="G406" s="64">
        <f>IF($B406="","",IFERROR(BDP($B406&amp;" Action","GREENSHOE_FACILITY"),""))</f>
        <v/>
      </c>
      <c r="H406" s="64">
        <f>IF($B406="","",IFERROR(BDP($B406&amp;" Action","OFFERING_GREENSHOE_SHARES_EX"),""))</f>
        <v/>
      </c>
      <c r="I406" s="4">
        <f>Database!V406</f>
        <v/>
      </c>
      <c r="J406" s="21">
        <f>IFERROR(BDP(Database!$A406&amp;" HK Equity","PE_RATIO"),"")</f>
        <v/>
      </c>
      <c r="K406" s="6">
        <f>IFERROR(BDP(Database!$A406&amp;" HK Equity","A/H_SHARE_CONVERSION"),"")</f>
        <v/>
      </c>
      <c r="L406" s="4">
        <f>IF(Database!AL406="","(none found)",Database!AL406)</f>
        <v/>
      </c>
      <c r="M406" s="9">
        <f>IFERROR(BDH(Database!$A406&amp;" HK Equity","CUR_MKT_CAP",Database!$G406,Database!$G406)/1000000,"")</f>
        <v/>
      </c>
      <c r="N406" s="63">
        <f>Database!O406</f>
        <v/>
      </c>
      <c r="O406" s="21">
        <f>IFERROR(BDH(Database!$A406&amp;" HK Equity","PE_RATIO",Database!$G406,Database!$G406),"")</f>
        <v/>
      </c>
      <c r="P406" s="60">
        <f>IF(Database!AI406="","(n/m or not derivable)",Database!AI406)</f>
        <v/>
      </c>
    </row>
    <row r="407">
      <c r="A407" s="4">
        <f>Database!A407&amp;"  "&amp;Database!B407</f>
        <v/>
      </c>
      <c r="B407" s="6">
        <f>IFERROR(INDEX(BDS(Database!$A407&amp;" HK Equity","EQUITY_OFFERINGS","array=t","endcol=1"),MATCH("IPO",BDS(Database!$A407&amp;" HK Equity","EQUITY_OFFERINGS","array=t","startcol=2","endcol=2"),0)),"")</f>
        <v/>
      </c>
      <c r="C407" s="64">
        <f>IF($B407="","",IFERROR(BDP($B407&amp;" Action","CP036"),""))</f>
        <v/>
      </c>
      <c r="D407" s="65">
        <f>Database!Q407</f>
        <v/>
      </c>
      <c r="E407" s="64">
        <f>IF($B407="","",IFERROR(BDP($B407&amp;" Action","CP037"),""))</f>
        <v/>
      </c>
      <c r="F407" s="65">
        <f>Database!R407</f>
        <v/>
      </c>
      <c r="G407" s="64">
        <f>IF($B407="","",IFERROR(BDP($B407&amp;" Action","GREENSHOE_FACILITY"),""))</f>
        <v/>
      </c>
      <c r="H407" s="64">
        <f>IF($B407="","",IFERROR(BDP($B407&amp;" Action","OFFERING_GREENSHOE_SHARES_EX"),""))</f>
        <v/>
      </c>
      <c r="I407" s="4">
        <f>Database!V407</f>
        <v/>
      </c>
      <c r="J407" s="21">
        <f>IFERROR(BDP(Database!$A407&amp;" HK Equity","PE_RATIO"),"")</f>
        <v/>
      </c>
      <c r="K407" s="6">
        <f>IFERROR(BDP(Database!$A407&amp;" HK Equity","A/H_SHARE_CONVERSION"),"")</f>
        <v/>
      </c>
      <c r="L407" s="4">
        <f>IF(Database!AL407="","(none found)",Database!AL407)</f>
        <v/>
      </c>
      <c r="M407" s="9">
        <f>IFERROR(BDH(Database!$A407&amp;" HK Equity","CUR_MKT_CAP",Database!$G407,Database!$G407)/1000000,"")</f>
        <v/>
      </c>
      <c r="N407" s="63">
        <f>Database!O407</f>
        <v/>
      </c>
      <c r="O407" s="21">
        <f>IFERROR(BDH(Database!$A407&amp;" HK Equity","PE_RATIO",Database!$G407,Database!$G407),"")</f>
        <v/>
      </c>
      <c r="P407" s="60">
        <f>IF(Database!AI407="","(n/m or not derivable)",Database!AI407)</f>
        <v/>
      </c>
    </row>
    <row r="408">
      <c r="A408" s="4">
        <f>Database!A408&amp;"  "&amp;Database!B408</f>
        <v/>
      </c>
      <c r="B408" s="6">
        <f>IFERROR(INDEX(BDS(Database!$A408&amp;" HK Equity","EQUITY_OFFERINGS","array=t","endcol=1"),MATCH("IPO",BDS(Database!$A408&amp;" HK Equity","EQUITY_OFFERINGS","array=t","startcol=2","endcol=2"),0)),"")</f>
        <v/>
      </c>
      <c r="C408" s="64">
        <f>IF($B408="","",IFERROR(BDP($B408&amp;" Action","CP036"),""))</f>
        <v/>
      </c>
      <c r="D408" s="65">
        <f>Database!Q408</f>
        <v/>
      </c>
      <c r="E408" s="64">
        <f>IF($B408="","",IFERROR(BDP($B408&amp;" Action","CP037"),""))</f>
        <v/>
      </c>
      <c r="F408" s="65">
        <f>Database!R408</f>
        <v/>
      </c>
      <c r="G408" s="64">
        <f>IF($B408="","",IFERROR(BDP($B408&amp;" Action","GREENSHOE_FACILITY"),""))</f>
        <v/>
      </c>
      <c r="H408" s="64">
        <f>IF($B408="","",IFERROR(BDP($B408&amp;" Action","OFFERING_GREENSHOE_SHARES_EX"),""))</f>
        <v/>
      </c>
      <c r="I408" s="4">
        <f>Database!V408</f>
        <v/>
      </c>
      <c r="J408" s="21">
        <f>IFERROR(BDP(Database!$A408&amp;" HK Equity","PE_RATIO"),"")</f>
        <v/>
      </c>
      <c r="K408" s="6">
        <f>IFERROR(BDP(Database!$A408&amp;" HK Equity","A/H_SHARE_CONVERSION"),"")</f>
        <v/>
      </c>
      <c r="L408" s="4">
        <f>IF(Database!AL408="","(none found)",Database!AL408)</f>
        <v/>
      </c>
      <c r="M408" s="9">
        <f>IFERROR(BDH(Database!$A408&amp;" HK Equity","CUR_MKT_CAP",Database!$G408,Database!$G408)/1000000,"")</f>
        <v/>
      </c>
      <c r="N408" s="63">
        <f>Database!O408</f>
        <v/>
      </c>
      <c r="O408" s="21">
        <f>IFERROR(BDH(Database!$A408&amp;" HK Equity","PE_RATIO",Database!$G408,Database!$G408),"")</f>
        <v/>
      </c>
      <c r="P408" s="60">
        <f>IF(Database!AI408="","(n/m or not derivable)",Database!AI408)</f>
        <v/>
      </c>
    </row>
    <row r="409">
      <c r="A409" s="4">
        <f>Database!A409&amp;"  "&amp;Database!B409</f>
        <v/>
      </c>
      <c r="B409" s="6">
        <f>IFERROR(INDEX(BDS(Database!$A409&amp;" HK Equity","EQUITY_OFFERINGS","array=t","endcol=1"),MATCH("IPO",BDS(Database!$A409&amp;" HK Equity","EQUITY_OFFERINGS","array=t","startcol=2","endcol=2"),0)),"")</f>
        <v/>
      </c>
      <c r="C409" s="64">
        <f>IF($B409="","",IFERROR(BDP($B409&amp;" Action","CP036"),""))</f>
        <v/>
      </c>
      <c r="D409" s="65">
        <f>Database!Q409</f>
        <v/>
      </c>
      <c r="E409" s="64">
        <f>IF($B409="","",IFERROR(BDP($B409&amp;" Action","CP037"),""))</f>
        <v/>
      </c>
      <c r="F409" s="65">
        <f>Database!R409</f>
        <v/>
      </c>
      <c r="G409" s="64">
        <f>IF($B409="","",IFERROR(BDP($B409&amp;" Action","GREENSHOE_FACILITY"),""))</f>
        <v/>
      </c>
      <c r="H409" s="64">
        <f>IF($B409="","",IFERROR(BDP($B409&amp;" Action","OFFERING_GREENSHOE_SHARES_EX"),""))</f>
        <v/>
      </c>
      <c r="I409" s="4">
        <f>Database!V409</f>
        <v/>
      </c>
      <c r="J409" s="21">
        <f>IFERROR(BDP(Database!$A409&amp;" HK Equity","PE_RATIO"),"")</f>
        <v/>
      </c>
      <c r="K409" s="6">
        <f>IFERROR(BDP(Database!$A409&amp;" HK Equity","A/H_SHARE_CONVERSION"),"")</f>
        <v/>
      </c>
      <c r="L409" s="4">
        <f>IF(Database!AL409="","(none found)",Database!AL409)</f>
        <v/>
      </c>
      <c r="M409" s="9">
        <f>IFERROR(BDH(Database!$A409&amp;" HK Equity","CUR_MKT_CAP",Database!$G409,Database!$G409)/1000000,"")</f>
        <v/>
      </c>
      <c r="N409" s="63">
        <f>Database!O409</f>
        <v/>
      </c>
      <c r="O409" s="21">
        <f>IFERROR(BDH(Database!$A409&amp;" HK Equity","PE_RATIO",Database!$G409,Database!$G409),"")</f>
        <v/>
      </c>
      <c r="P409" s="60">
        <f>IF(Database!AI409="","(n/m or not derivable)",Database!AI409)</f>
        <v/>
      </c>
    </row>
    <row r="410">
      <c r="A410" s="4">
        <f>Database!A410&amp;"  "&amp;Database!B410</f>
        <v/>
      </c>
      <c r="B410" s="6">
        <f>IFERROR(INDEX(BDS(Database!$A410&amp;" HK Equity","EQUITY_OFFERINGS","array=t","endcol=1"),MATCH("IPO",BDS(Database!$A410&amp;" HK Equity","EQUITY_OFFERINGS","array=t","startcol=2","endcol=2"),0)),"")</f>
        <v/>
      </c>
      <c r="C410" s="64">
        <f>IF($B410="","",IFERROR(BDP($B410&amp;" Action","CP036"),""))</f>
        <v/>
      </c>
      <c r="D410" s="65">
        <f>Database!Q410</f>
        <v/>
      </c>
      <c r="E410" s="64">
        <f>IF($B410="","",IFERROR(BDP($B410&amp;" Action","CP037"),""))</f>
        <v/>
      </c>
      <c r="F410" s="65">
        <f>Database!R410</f>
        <v/>
      </c>
      <c r="G410" s="64">
        <f>IF($B410="","",IFERROR(BDP($B410&amp;" Action","GREENSHOE_FACILITY"),""))</f>
        <v/>
      </c>
      <c r="H410" s="64">
        <f>IF($B410="","",IFERROR(BDP($B410&amp;" Action","OFFERING_GREENSHOE_SHARES_EX"),""))</f>
        <v/>
      </c>
      <c r="I410" s="4">
        <f>Database!V410</f>
        <v/>
      </c>
      <c r="J410" s="21">
        <f>IFERROR(BDP(Database!$A410&amp;" HK Equity","PE_RATIO"),"")</f>
        <v/>
      </c>
      <c r="K410" s="6">
        <f>IFERROR(BDP(Database!$A410&amp;" HK Equity","A/H_SHARE_CONVERSION"),"")</f>
        <v/>
      </c>
      <c r="L410" s="4">
        <f>IF(Database!AL410="","(none found)",Database!AL410)</f>
        <v/>
      </c>
      <c r="M410" s="9">
        <f>IFERROR(BDH(Database!$A410&amp;" HK Equity","CUR_MKT_CAP",Database!$G410,Database!$G410)/1000000,"")</f>
        <v/>
      </c>
      <c r="N410" s="63">
        <f>Database!O410</f>
        <v/>
      </c>
      <c r="O410" s="21">
        <f>IFERROR(BDH(Database!$A410&amp;" HK Equity","PE_RATIO",Database!$G410,Database!$G410),"")</f>
        <v/>
      </c>
      <c r="P410" s="60">
        <f>IF(Database!AI410="","(n/m or not derivable)",Database!AI410)</f>
        <v/>
      </c>
    </row>
    <row r="411">
      <c r="A411" s="4">
        <f>Database!A411&amp;"  "&amp;Database!B411</f>
        <v/>
      </c>
      <c r="B411" s="6">
        <f>IFERROR(INDEX(BDS(Database!$A411&amp;" HK Equity","EQUITY_OFFERINGS","array=t","endcol=1"),MATCH("IPO",BDS(Database!$A411&amp;" HK Equity","EQUITY_OFFERINGS","array=t","startcol=2","endcol=2"),0)),"")</f>
        <v/>
      </c>
      <c r="C411" s="64">
        <f>IF($B411="","",IFERROR(BDP($B411&amp;" Action","CP036"),""))</f>
        <v/>
      </c>
      <c r="D411" s="65">
        <f>Database!Q411</f>
        <v/>
      </c>
      <c r="E411" s="64">
        <f>IF($B411="","",IFERROR(BDP($B411&amp;" Action","CP037"),""))</f>
        <v/>
      </c>
      <c r="F411" s="65">
        <f>Database!R411</f>
        <v/>
      </c>
      <c r="G411" s="64">
        <f>IF($B411="","",IFERROR(BDP($B411&amp;" Action","GREENSHOE_FACILITY"),""))</f>
        <v/>
      </c>
      <c r="H411" s="64">
        <f>IF($B411="","",IFERROR(BDP($B411&amp;" Action","OFFERING_GREENSHOE_SHARES_EX"),""))</f>
        <v/>
      </c>
      <c r="I411" s="4">
        <f>Database!V411</f>
        <v/>
      </c>
      <c r="J411" s="21">
        <f>IFERROR(BDP(Database!$A411&amp;" HK Equity","PE_RATIO"),"")</f>
        <v/>
      </c>
      <c r="K411" s="6">
        <f>IFERROR(BDP(Database!$A411&amp;" HK Equity","A/H_SHARE_CONVERSION"),"")</f>
        <v/>
      </c>
      <c r="L411" s="4">
        <f>IF(Database!AL411="","(none found)",Database!AL411)</f>
        <v/>
      </c>
      <c r="M411" s="9">
        <f>IFERROR(BDH(Database!$A411&amp;" HK Equity","CUR_MKT_CAP",Database!$G411,Database!$G411)/1000000,"")</f>
        <v/>
      </c>
      <c r="N411" s="63">
        <f>Database!O411</f>
        <v/>
      </c>
      <c r="O411" s="21">
        <f>IFERROR(BDH(Database!$A411&amp;" HK Equity","PE_RATIO",Database!$G411,Database!$G411),"")</f>
        <v/>
      </c>
      <c r="P411" s="60">
        <f>IF(Database!AI411="","(n/m or not derivable)",Database!AI411)</f>
        <v/>
      </c>
    </row>
    <row r="412">
      <c r="A412" s="4">
        <f>Database!A412&amp;"  "&amp;Database!B412</f>
        <v/>
      </c>
      <c r="B412" s="6">
        <f>IFERROR(INDEX(BDS(Database!$A412&amp;" HK Equity","EQUITY_OFFERINGS","array=t","endcol=1"),MATCH("IPO",BDS(Database!$A412&amp;" HK Equity","EQUITY_OFFERINGS","array=t","startcol=2","endcol=2"),0)),"")</f>
        <v/>
      </c>
      <c r="C412" s="64">
        <f>IF($B412="","",IFERROR(BDP($B412&amp;" Action","CP036"),""))</f>
        <v/>
      </c>
      <c r="D412" s="65">
        <f>Database!Q412</f>
        <v/>
      </c>
      <c r="E412" s="64">
        <f>IF($B412="","",IFERROR(BDP($B412&amp;" Action","CP037"),""))</f>
        <v/>
      </c>
      <c r="F412" s="65">
        <f>Database!R412</f>
        <v/>
      </c>
      <c r="G412" s="64">
        <f>IF($B412="","",IFERROR(BDP($B412&amp;" Action","GREENSHOE_FACILITY"),""))</f>
        <v/>
      </c>
      <c r="H412" s="64">
        <f>IF($B412="","",IFERROR(BDP($B412&amp;" Action","OFFERING_GREENSHOE_SHARES_EX"),""))</f>
        <v/>
      </c>
      <c r="I412" s="4">
        <f>Database!V412</f>
        <v/>
      </c>
      <c r="J412" s="21">
        <f>IFERROR(BDP(Database!$A412&amp;" HK Equity","PE_RATIO"),"")</f>
        <v/>
      </c>
      <c r="K412" s="6">
        <f>IFERROR(BDP(Database!$A412&amp;" HK Equity","A/H_SHARE_CONVERSION"),"")</f>
        <v/>
      </c>
      <c r="L412" s="4">
        <f>IF(Database!AL412="","(none found)",Database!AL412)</f>
        <v/>
      </c>
      <c r="M412" s="9">
        <f>IFERROR(BDH(Database!$A412&amp;" HK Equity","CUR_MKT_CAP",Database!$G412,Database!$G412)/1000000,"")</f>
        <v/>
      </c>
      <c r="N412" s="63">
        <f>Database!O412</f>
        <v/>
      </c>
      <c r="O412" s="21">
        <f>IFERROR(BDH(Database!$A412&amp;" HK Equity","PE_RATIO",Database!$G412,Database!$G412),"")</f>
        <v/>
      </c>
      <c r="P412" s="60">
        <f>IF(Database!AI412="","(n/m or not derivable)",Database!AI412)</f>
        <v/>
      </c>
    </row>
    <row r="413">
      <c r="A413" s="4">
        <f>Database!A413&amp;"  "&amp;Database!B413</f>
        <v/>
      </c>
      <c r="B413" s="6">
        <f>IFERROR(INDEX(BDS(Database!$A413&amp;" HK Equity","EQUITY_OFFERINGS","array=t","endcol=1"),MATCH("IPO",BDS(Database!$A413&amp;" HK Equity","EQUITY_OFFERINGS","array=t","startcol=2","endcol=2"),0)),"")</f>
        <v/>
      </c>
      <c r="C413" s="64">
        <f>IF($B413="","",IFERROR(BDP($B413&amp;" Action","CP036"),""))</f>
        <v/>
      </c>
      <c r="D413" s="65">
        <f>Database!Q413</f>
        <v/>
      </c>
      <c r="E413" s="64">
        <f>IF($B413="","",IFERROR(BDP($B413&amp;" Action","CP037"),""))</f>
        <v/>
      </c>
      <c r="F413" s="65">
        <f>Database!R413</f>
        <v/>
      </c>
      <c r="G413" s="64">
        <f>IF($B413="","",IFERROR(BDP($B413&amp;" Action","GREENSHOE_FACILITY"),""))</f>
        <v/>
      </c>
      <c r="H413" s="64">
        <f>IF($B413="","",IFERROR(BDP($B413&amp;" Action","OFFERING_GREENSHOE_SHARES_EX"),""))</f>
        <v/>
      </c>
      <c r="I413" s="4">
        <f>Database!V413</f>
        <v/>
      </c>
      <c r="J413" s="21">
        <f>IFERROR(BDP(Database!$A413&amp;" HK Equity","PE_RATIO"),"")</f>
        <v/>
      </c>
      <c r="K413" s="6">
        <f>IFERROR(BDP(Database!$A413&amp;" HK Equity","A/H_SHARE_CONVERSION"),"")</f>
        <v/>
      </c>
      <c r="L413" s="4">
        <f>IF(Database!AL413="","(none found)",Database!AL413)</f>
        <v/>
      </c>
      <c r="M413" s="9">
        <f>IFERROR(BDH(Database!$A413&amp;" HK Equity","CUR_MKT_CAP",Database!$G413,Database!$G413)/1000000,"")</f>
        <v/>
      </c>
      <c r="N413" s="63">
        <f>Database!O413</f>
        <v/>
      </c>
      <c r="O413" s="21">
        <f>IFERROR(BDH(Database!$A413&amp;" HK Equity","PE_RATIO",Database!$G413,Database!$G413),"")</f>
        <v/>
      </c>
      <c r="P413" s="60">
        <f>IF(Database!AI413="","(n/m or not derivable)",Database!AI413)</f>
        <v/>
      </c>
    </row>
    <row r="414">
      <c r="A414" s="4">
        <f>Database!A414&amp;"  "&amp;Database!B414</f>
        <v/>
      </c>
      <c r="B414" s="6">
        <f>IFERROR(INDEX(BDS(Database!$A414&amp;" HK Equity","EQUITY_OFFERINGS","array=t","endcol=1"),MATCH("IPO",BDS(Database!$A414&amp;" HK Equity","EQUITY_OFFERINGS","array=t","startcol=2","endcol=2"),0)),"")</f>
        <v/>
      </c>
      <c r="C414" s="64">
        <f>IF($B414="","",IFERROR(BDP($B414&amp;" Action","CP036"),""))</f>
        <v/>
      </c>
      <c r="D414" s="65">
        <f>Database!Q414</f>
        <v/>
      </c>
      <c r="E414" s="64">
        <f>IF($B414="","",IFERROR(BDP($B414&amp;" Action","CP037"),""))</f>
        <v/>
      </c>
      <c r="F414" s="65">
        <f>Database!R414</f>
        <v/>
      </c>
      <c r="G414" s="64">
        <f>IF($B414="","",IFERROR(BDP($B414&amp;" Action","GREENSHOE_FACILITY"),""))</f>
        <v/>
      </c>
      <c r="H414" s="64">
        <f>IF($B414="","",IFERROR(BDP($B414&amp;" Action","OFFERING_GREENSHOE_SHARES_EX"),""))</f>
        <v/>
      </c>
      <c r="I414" s="4">
        <f>Database!V414</f>
        <v/>
      </c>
      <c r="J414" s="21">
        <f>IFERROR(BDP(Database!$A414&amp;" HK Equity","PE_RATIO"),"")</f>
        <v/>
      </c>
      <c r="K414" s="6">
        <f>IFERROR(BDP(Database!$A414&amp;" HK Equity","A/H_SHARE_CONVERSION"),"")</f>
        <v/>
      </c>
      <c r="L414" s="4">
        <f>IF(Database!AL414="","(none found)",Database!AL414)</f>
        <v/>
      </c>
      <c r="M414" s="9">
        <f>IFERROR(BDH(Database!$A414&amp;" HK Equity","CUR_MKT_CAP",Database!$G414,Database!$G414)/1000000,"")</f>
        <v/>
      </c>
      <c r="N414" s="63">
        <f>Database!O414</f>
        <v/>
      </c>
      <c r="O414" s="21">
        <f>IFERROR(BDH(Database!$A414&amp;" HK Equity","PE_RATIO",Database!$G414,Database!$G414),"")</f>
        <v/>
      </c>
      <c r="P414" s="60">
        <f>IF(Database!AI414="","(n/m or not derivable)",Database!AI414)</f>
        <v/>
      </c>
    </row>
    <row r="415">
      <c r="A415" s="4">
        <f>Database!A415&amp;"  "&amp;Database!B415</f>
        <v/>
      </c>
      <c r="B415" s="6">
        <f>IFERROR(INDEX(BDS(Database!$A415&amp;" HK Equity","EQUITY_OFFERINGS","array=t","endcol=1"),MATCH("IPO",BDS(Database!$A415&amp;" HK Equity","EQUITY_OFFERINGS","array=t","startcol=2","endcol=2"),0)),"")</f>
        <v/>
      </c>
      <c r="C415" s="64">
        <f>IF($B415="","",IFERROR(BDP($B415&amp;" Action","CP036"),""))</f>
        <v/>
      </c>
      <c r="D415" s="65">
        <f>Database!Q415</f>
        <v/>
      </c>
      <c r="E415" s="64">
        <f>IF($B415="","",IFERROR(BDP($B415&amp;" Action","CP037"),""))</f>
        <v/>
      </c>
      <c r="F415" s="65">
        <f>Database!R415</f>
        <v/>
      </c>
      <c r="G415" s="64">
        <f>IF($B415="","",IFERROR(BDP($B415&amp;" Action","GREENSHOE_FACILITY"),""))</f>
        <v/>
      </c>
      <c r="H415" s="64">
        <f>IF($B415="","",IFERROR(BDP($B415&amp;" Action","OFFERING_GREENSHOE_SHARES_EX"),""))</f>
        <v/>
      </c>
      <c r="I415" s="4">
        <f>Database!V415</f>
        <v/>
      </c>
      <c r="J415" s="21">
        <f>IFERROR(BDP(Database!$A415&amp;" HK Equity","PE_RATIO"),"")</f>
        <v/>
      </c>
      <c r="K415" s="6">
        <f>IFERROR(BDP(Database!$A415&amp;" HK Equity","A/H_SHARE_CONVERSION"),"")</f>
        <v/>
      </c>
      <c r="L415" s="4">
        <f>IF(Database!AL415="","(none found)",Database!AL415)</f>
        <v/>
      </c>
      <c r="M415" s="9">
        <f>IFERROR(BDH(Database!$A415&amp;" HK Equity","CUR_MKT_CAP",Database!$G415,Database!$G415)/1000000,"")</f>
        <v/>
      </c>
      <c r="N415" s="63">
        <f>Database!O415</f>
        <v/>
      </c>
      <c r="O415" s="21">
        <f>IFERROR(BDH(Database!$A415&amp;" HK Equity","PE_RATIO",Database!$G415,Database!$G415),"")</f>
        <v/>
      </c>
      <c r="P415" s="60">
        <f>IF(Database!AI415="","(n/m or not derivable)",Database!AI415)</f>
        <v/>
      </c>
    </row>
    <row r="416">
      <c r="A416" s="4">
        <f>Database!A416&amp;"  "&amp;Database!B416</f>
        <v/>
      </c>
      <c r="B416" s="6">
        <f>IFERROR(INDEX(BDS(Database!$A416&amp;" HK Equity","EQUITY_OFFERINGS","array=t","endcol=1"),MATCH("IPO",BDS(Database!$A416&amp;" HK Equity","EQUITY_OFFERINGS","array=t","startcol=2","endcol=2"),0)),"")</f>
        <v/>
      </c>
      <c r="C416" s="64">
        <f>IF($B416="","",IFERROR(BDP($B416&amp;" Action","CP036"),""))</f>
        <v/>
      </c>
      <c r="D416" s="65">
        <f>Database!Q416</f>
        <v/>
      </c>
      <c r="E416" s="64">
        <f>IF($B416="","",IFERROR(BDP($B416&amp;" Action","CP037"),""))</f>
        <v/>
      </c>
      <c r="F416" s="65">
        <f>Database!R416</f>
        <v/>
      </c>
      <c r="G416" s="64">
        <f>IF($B416="","",IFERROR(BDP($B416&amp;" Action","GREENSHOE_FACILITY"),""))</f>
        <v/>
      </c>
      <c r="H416" s="64">
        <f>IF($B416="","",IFERROR(BDP($B416&amp;" Action","OFFERING_GREENSHOE_SHARES_EX"),""))</f>
        <v/>
      </c>
      <c r="I416" s="4">
        <f>Database!V416</f>
        <v/>
      </c>
      <c r="J416" s="21">
        <f>IFERROR(BDP(Database!$A416&amp;" HK Equity","PE_RATIO"),"")</f>
        <v/>
      </c>
      <c r="K416" s="6">
        <f>IFERROR(BDP(Database!$A416&amp;" HK Equity","A/H_SHARE_CONVERSION"),"")</f>
        <v/>
      </c>
      <c r="L416" s="4">
        <f>IF(Database!AL416="","(none found)",Database!AL416)</f>
        <v/>
      </c>
      <c r="M416" s="9">
        <f>IFERROR(BDH(Database!$A416&amp;" HK Equity","CUR_MKT_CAP",Database!$G416,Database!$G416)/1000000,"")</f>
        <v/>
      </c>
      <c r="N416" s="63">
        <f>Database!O416</f>
        <v/>
      </c>
      <c r="O416" s="21">
        <f>IFERROR(BDH(Database!$A416&amp;" HK Equity","PE_RATIO",Database!$G416,Database!$G416),"")</f>
        <v/>
      </c>
      <c r="P416" s="60">
        <f>IF(Database!AI416="","(n/m or not derivable)",Database!AI416)</f>
        <v/>
      </c>
    </row>
    <row r="417">
      <c r="A417" s="4">
        <f>Database!A417&amp;"  "&amp;Database!B417</f>
        <v/>
      </c>
      <c r="B417" s="6">
        <f>IFERROR(INDEX(BDS(Database!$A417&amp;" HK Equity","EQUITY_OFFERINGS","array=t","endcol=1"),MATCH("IPO",BDS(Database!$A417&amp;" HK Equity","EQUITY_OFFERINGS","array=t","startcol=2","endcol=2"),0)),"")</f>
        <v/>
      </c>
      <c r="C417" s="64">
        <f>IF($B417="","",IFERROR(BDP($B417&amp;" Action","CP036"),""))</f>
        <v/>
      </c>
      <c r="D417" s="65">
        <f>Database!Q417</f>
        <v/>
      </c>
      <c r="E417" s="64">
        <f>IF($B417="","",IFERROR(BDP($B417&amp;" Action","CP037"),""))</f>
        <v/>
      </c>
      <c r="F417" s="65">
        <f>Database!R417</f>
        <v/>
      </c>
      <c r="G417" s="64">
        <f>IF($B417="","",IFERROR(BDP($B417&amp;" Action","GREENSHOE_FACILITY"),""))</f>
        <v/>
      </c>
      <c r="H417" s="64">
        <f>IF($B417="","",IFERROR(BDP($B417&amp;" Action","OFFERING_GREENSHOE_SHARES_EX"),""))</f>
        <v/>
      </c>
      <c r="I417" s="4">
        <f>Database!V417</f>
        <v/>
      </c>
      <c r="J417" s="21">
        <f>IFERROR(BDP(Database!$A417&amp;" HK Equity","PE_RATIO"),"")</f>
        <v/>
      </c>
      <c r="K417" s="6">
        <f>IFERROR(BDP(Database!$A417&amp;" HK Equity","A/H_SHARE_CONVERSION"),"")</f>
        <v/>
      </c>
      <c r="L417" s="4">
        <f>IF(Database!AL417="","(none found)",Database!AL417)</f>
        <v/>
      </c>
      <c r="M417" s="9">
        <f>IFERROR(BDH(Database!$A417&amp;" HK Equity","CUR_MKT_CAP",Database!$G417,Database!$G417)/1000000,"")</f>
        <v/>
      </c>
      <c r="N417" s="63">
        <f>Database!O417</f>
        <v/>
      </c>
      <c r="O417" s="21">
        <f>IFERROR(BDH(Database!$A417&amp;" HK Equity","PE_RATIO",Database!$G417,Database!$G417),"")</f>
        <v/>
      </c>
      <c r="P417" s="60">
        <f>IF(Database!AI417="","(n/m or not derivable)",Database!AI417)</f>
        <v/>
      </c>
    </row>
    <row r="418">
      <c r="A418" s="4">
        <f>Database!A418&amp;"  "&amp;Database!B418</f>
        <v/>
      </c>
      <c r="B418" s="6">
        <f>IFERROR(INDEX(BDS(Database!$A418&amp;" HK Equity","EQUITY_OFFERINGS","array=t","endcol=1"),MATCH("IPO",BDS(Database!$A418&amp;" HK Equity","EQUITY_OFFERINGS","array=t","startcol=2","endcol=2"),0)),"")</f>
        <v/>
      </c>
      <c r="C418" s="64">
        <f>IF($B418="","",IFERROR(BDP($B418&amp;" Action","CP036"),""))</f>
        <v/>
      </c>
      <c r="D418" s="65">
        <f>Database!Q418</f>
        <v/>
      </c>
      <c r="E418" s="64">
        <f>IF($B418="","",IFERROR(BDP($B418&amp;" Action","CP037"),""))</f>
        <v/>
      </c>
      <c r="F418" s="65">
        <f>Database!R418</f>
        <v/>
      </c>
      <c r="G418" s="64">
        <f>IF($B418="","",IFERROR(BDP($B418&amp;" Action","GREENSHOE_FACILITY"),""))</f>
        <v/>
      </c>
      <c r="H418" s="64">
        <f>IF($B418="","",IFERROR(BDP($B418&amp;" Action","OFFERING_GREENSHOE_SHARES_EX"),""))</f>
        <v/>
      </c>
      <c r="I418" s="4">
        <f>Database!V418</f>
        <v/>
      </c>
      <c r="J418" s="21">
        <f>IFERROR(BDP(Database!$A418&amp;" HK Equity","PE_RATIO"),"")</f>
        <v/>
      </c>
      <c r="K418" s="6">
        <f>IFERROR(BDP(Database!$A418&amp;" HK Equity","A/H_SHARE_CONVERSION"),"")</f>
        <v/>
      </c>
      <c r="L418" s="4">
        <f>IF(Database!AL418="","(none found)",Database!AL418)</f>
        <v/>
      </c>
      <c r="M418" s="9">
        <f>IFERROR(BDH(Database!$A418&amp;" HK Equity","CUR_MKT_CAP",Database!$G418,Database!$G418)/1000000,"")</f>
        <v/>
      </c>
      <c r="N418" s="63">
        <f>Database!O418</f>
        <v/>
      </c>
      <c r="O418" s="21">
        <f>IFERROR(BDH(Database!$A418&amp;" HK Equity","PE_RATIO",Database!$G418,Database!$G418),"")</f>
        <v/>
      </c>
      <c r="P418" s="60">
        <f>IF(Database!AI418="","(n/m or not derivable)",Database!AI418)</f>
        <v/>
      </c>
    </row>
    <row r="419">
      <c r="A419" s="4">
        <f>Database!A419&amp;"  "&amp;Database!B419</f>
        <v/>
      </c>
      <c r="B419" s="6">
        <f>IFERROR(INDEX(BDS(Database!$A419&amp;" HK Equity","EQUITY_OFFERINGS","array=t","endcol=1"),MATCH("IPO",BDS(Database!$A419&amp;" HK Equity","EQUITY_OFFERINGS","array=t","startcol=2","endcol=2"),0)),"")</f>
        <v/>
      </c>
      <c r="C419" s="64">
        <f>IF($B419="","",IFERROR(BDP($B419&amp;" Action","CP036"),""))</f>
        <v/>
      </c>
      <c r="D419" s="65">
        <f>Database!Q419</f>
        <v/>
      </c>
      <c r="E419" s="64">
        <f>IF($B419="","",IFERROR(BDP($B419&amp;" Action","CP037"),""))</f>
        <v/>
      </c>
      <c r="F419" s="65">
        <f>Database!R419</f>
        <v/>
      </c>
      <c r="G419" s="64">
        <f>IF($B419="","",IFERROR(BDP($B419&amp;" Action","GREENSHOE_FACILITY"),""))</f>
        <v/>
      </c>
      <c r="H419" s="64">
        <f>IF($B419="","",IFERROR(BDP($B419&amp;" Action","OFFERING_GREENSHOE_SHARES_EX"),""))</f>
        <v/>
      </c>
      <c r="I419" s="4">
        <f>Database!V419</f>
        <v/>
      </c>
      <c r="J419" s="21">
        <f>IFERROR(BDP(Database!$A419&amp;" HK Equity","PE_RATIO"),"")</f>
        <v/>
      </c>
      <c r="K419" s="6">
        <f>IFERROR(BDP(Database!$A419&amp;" HK Equity","A/H_SHARE_CONVERSION"),"")</f>
        <v/>
      </c>
      <c r="L419" s="4">
        <f>IF(Database!AL419="","(none found)",Database!AL419)</f>
        <v/>
      </c>
      <c r="M419" s="9">
        <f>IFERROR(BDH(Database!$A419&amp;" HK Equity","CUR_MKT_CAP",Database!$G419,Database!$G419)/1000000,"")</f>
        <v/>
      </c>
      <c r="N419" s="63">
        <f>Database!O419</f>
        <v/>
      </c>
      <c r="O419" s="21">
        <f>IFERROR(BDH(Database!$A419&amp;" HK Equity","PE_RATIO",Database!$G419,Database!$G419),"")</f>
        <v/>
      </c>
      <c r="P419" s="60">
        <f>IF(Database!AI419="","(n/m or not derivable)",Database!AI419)</f>
        <v/>
      </c>
    </row>
    <row r="420">
      <c r="A420" s="4">
        <f>Database!A420&amp;"  "&amp;Database!B420</f>
        <v/>
      </c>
      <c r="B420" s="6">
        <f>IFERROR(INDEX(BDS(Database!$A420&amp;" HK Equity","EQUITY_OFFERINGS","array=t","endcol=1"),MATCH("IPO",BDS(Database!$A420&amp;" HK Equity","EQUITY_OFFERINGS","array=t","startcol=2","endcol=2"),0)),"")</f>
        <v/>
      </c>
      <c r="C420" s="64">
        <f>IF($B420="","",IFERROR(BDP($B420&amp;" Action","CP036"),""))</f>
        <v/>
      </c>
      <c r="D420" s="65">
        <f>Database!Q420</f>
        <v/>
      </c>
      <c r="E420" s="64">
        <f>IF($B420="","",IFERROR(BDP($B420&amp;" Action","CP037"),""))</f>
        <v/>
      </c>
      <c r="F420" s="65">
        <f>Database!R420</f>
        <v/>
      </c>
      <c r="G420" s="64">
        <f>IF($B420="","",IFERROR(BDP($B420&amp;" Action","GREENSHOE_FACILITY"),""))</f>
        <v/>
      </c>
      <c r="H420" s="64">
        <f>IF($B420="","",IFERROR(BDP($B420&amp;" Action","OFFERING_GREENSHOE_SHARES_EX"),""))</f>
        <v/>
      </c>
      <c r="I420" s="4">
        <f>Database!V420</f>
        <v/>
      </c>
      <c r="J420" s="21">
        <f>IFERROR(BDP(Database!$A420&amp;" HK Equity","PE_RATIO"),"")</f>
        <v/>
      </c>
      <c r="K420" s="6">
        <f>IFERROR(BDP(Database!$A420&amp;" HK Equity","A/H_SHARE_CONVERSION"),"")</f>
        <v/>
      </c>
      <c r="L420" s="4">
        <f>IF(Database!AL420="","(none found)",Database!AL420)</f>
        <v/>
      </c>
      <c r="M420" s="9">
        <f>IFERROR(BDH(Database!$A420&amp;" HK Equity","CUR_MKT_CAP",Database!$G420,Database!$G420)/1000000,"")</f>
        <v/>
      </c>
      <c r="N420" s="63">
        <f>Database!O420</f>
        <v/>
      </c>
      <c r="O420" s="21">
        <f>IFERROR(BDH(Database!$A420&amp;" HK Equity","PE_RATIO",Database!$G420,Database!$G420),"")</f>
        <v/>
      </c>
      <c r="P420" s="60">
        <f>IF(Database!AI420="","(n/m or not derivable)",Database!AI420)</f>
        <v/>
      </c>
    </row>
    <row r="421">
      <c r="A421" s="4">
        <f>Database!A421&amp;"  "&amp;Database!B421</f>
        <v/>
      </c>
      <c r="B421" s="6">
        <f>IFERROR(INDEX(BDS(Database!$A421&amp;" HK Equity","EQUITY_OFFERINGS","array=t","endcol=1"),MATCH("IPO",BDS(Database!$A421&amp;" HK Equity","EQUITY_OFFERINGS","array=t","startcol=2","endcol=2"),0)),"")</f>
        <v/>
      </c>
      <c r="C421" s="64">
        <f>IF($B421="","",IFERROR(BDP($B421&amp;" Action","CP036"),""))</f>
        <v/>
      </c>
      <c r="D421" s="65">
        <f>Database!Q421</f>
        <v/>
      </c>
      <c r="E421" s="64">
        <f>IF($B421="","",IFERROR(BDP($B421&amp;" Action","CP037"),""))</f>
        <v/>
      </c>
      <c r="F421" s="65">
        <f>Database!R421</f>
        <v/>
      </c>
      <c r="G421" s="64">
        <f>IF($B421="","",IFERROR(BDP($B421&amp;" Action","GREENSHOE_FACILITY"),""))</f>
        <v/>
      </c>
      <c r="H421" s="64">
        <f>IF($B421="","",IFERROR(BDP($B421&amp;" Action","OFFERING_GREENSHOE_SHARES_EX"),""))</f>
        <v/>
      </c>
      <c r="I421" s="4">
        <f>Database!V421</f>
        <v/>
      </c>
      <c r="J421" s="21">
        <f>IFERROR(BDP(Database!$A421&amp;" HK Equity","PE_RATIO"),"")</f>
        <v/>
      </c>
      <c r="K421" s="6">
        <f>IFERROR(BDP(Database!$A421&amp;" HK Equity","A/H_SHARE_CONVERSION"),"")</f>
        <v/>
      </c>
      <c r="L421" s="4">
        <f>IF(Database!AL421="","(none found)",Database!AL421)</f>
        <v/>
      </c>
      <c r="M421" s="9">
        <f>IFERROR(BDH(Database!$A421&amp;" HK Equity","CUR_MKT_CAP",Database!$G421,Database!$G421)/1000000,"")</f>
        <v/>
      </c>
      <c r="N421" s="63">
        <f>Database!O421</f>
        <v/>
      </c>
      <c r="O421" s="21">
        <f>IFERROR(BDH(Database!$A421&amp;" HK Equity","PE_RATIO",Database!$G421,Database!$G421),"")</f>
        <v/>
      </c>
      <c r="P421" s="60">
        <f>IF(Database!AI421="","(n/m or not derivable)",Database!AI421)</f>
        <v/>
      </c>
    </row>
    <row r="422">
      <c r="A422" s="4">
        <f>Database!A422&amp;"  "&amp;Database!B422</f>
        <v/>
      </c>
      <c r="B422" s="6">
        <f>IFERROR(INDEX(BDS(Database!$A422&amp;" HK Equity","EQUITY_OFFERINGS","array=t","endcol=1"),MATCH("IPO",BDS(Database!$A422&amp;" HK Equity","EQUITY_OFFERINGS","array=t","startcol=2","endcol=2"),0)),"")</f>
        <v/>
      </c>
      <c r="C422" s="64">
        <f>IF($B422="","",IFERROR(BDP($B422&amp;" Action","CP036"),""))</f>
        <v/>
      </c>
      <c r="D422" s="65">
        <f>Database!Q422</f>
        <v/>
      </c>
      <c r="E422" s="64">
        <f>IF($B422="","",IFERROR(BDP($B422&amp;" Action","CP037"),""))</f>
        <v/>
      </c>
      <c r="F422" s="65">
        <f>Database!R422</f>
        <v/>
      </c>
      <c r="G422" s="64">
        <f>IF($B422="","",IFERROR(BDP($B422&amp;" Action","GREENSHOE_FACILITY"),""))</f>
        <v/>
      </c>
      <c r="H422" s="64">
        <f>IF($B422="","",IFERROR(BDP($B422&amp;" Action","OFFERING_GREENSHOE_SHARES_EX"),""))</f>
        <v/>
      </c>
      <c r="I422" s="4">
        <f>Database!V422</f>
        <v/>
      </c>
      <c r="J422" s="21">
        <f>IFERROR(BDP(Database!$A422&amp;" HK Equity","PE_RATIO"),"")</f>
        <v/>
      </c>
      <c r="K422" s="6">
        <f>IFERROR(BDP(Database!$A422&amp;" HK Equity","A/H_SHARE_CONVERSION"),"")</f>
        <v/>
      </c>
      <c r="L422" s="4">
        <f>IF(Database!AL422="","(none found)",Database!AL422)</f>
        <v/>
      </c>
      <c r="M422" s="9">
        <f>IFERROR(BDH(Database!$A422&amp;" HK Equity","CUR_MKT_CAP",Database!$G422,Database!$G422)/1000000,"")</f>
        <v/>
      </c>
      <c r="N422" s="63">
        <f>Database!O422</f>
        <v/>
      </c>
      <c r="O422" s="21">
        <f>IFERROR(BDH(Database!$A422&amp;" HK Equity","PE_RATIO",Database!$G422,Database!$G422),"")</f>
        <v/>
      </c>
      <c r="P422" s="60">
        <f>IF(Database!AI422="","(n/m or not derivable)",Database!AI422)</f>
        <v/>
      </c>
    </row>
    <row r="423">
      <c r="A423" s="4">
        <f>Database!A423&amp;"  "&amp;Database!B423</f>
        <v/>
      </c>
      <c r="B423" s="6">
        <f>IFERROR(INDEX(BDS(Database!$A423&amp;" HK Equity","EQUITY_OFFERINGS","array=t","endcol=1"),MATCH("IPO",BDS(Database!$A423&amp;" HK Equity","EQUITY_OFFERINGS","array=t","startcol=2","endcol=2"),0)),"")</f>
        <v/>
      </c>
      <c r="C423" s="64">
        <f>IF($B423="","",IFERROR(BDP($B423&amp;" Action","CP036"),""))</f>
        <v/>
      </c>
      <c r="D423" s="65">
        <f>Database!Q423</f>
        <v/>
      </c>
      <c r="E423" s="64">
        <f>IF($B423="","",IFERROR(BDP($B423&amp;" Action","CP037"),""))</f>
        <v/>
      </c>
      <c r="F423" s="65">
        <f>Database!R423</f>
        <v/>
      </c>
      <c r="G423" s="64">
        <f>IF($B423="","",IFERROR(BDP($B423&amp;" Action","GREENSHOE_FACILITY"),""))</f>
        <v/>
      </c>
      <c r="H423" s="64">
        <f>IF($B423="","",IFERROR(BDP($B423&amp;" Action","OFFERING_GREENSHOE_SHARES_EX"),""))</f>
        <v/>
      </c>
      <c r="I423" s="4">
        <f>Database!V423</f>
        <v/>
      </c>
      <c r="J423" s="21">
        <f>IFERROR(BDP(Database!$A423&amp;" HK Equity","PE_RATIO"),"")</f>
        <v/>
      </c>
      <c r="K423" s="6">
        <f>IFERROR(BDP(Database!$A423&amp;" HK Equity","A/H_SHARE_CONVERSION"),"")</f>
        <v/>
      </c>
      <c r="L423" s="4">
        <f>IF(Database!AL423="","(none found)",Database!AL423)</f>
        <v/>
      </c>
      <c r="M423" s="9">
        <f>IFERROR(BDH(Database!$A423&amp;" HK Equity","CUR_MKT_CAP",Database!$G423,Database!$G423)/1000000,"")</f>
        <v/>
      </c>
      <c r="N423" s="63">
        <f>Database!O423</f>
        <v/>
      </c>
      <c r="O423" s="21">
        <f>IFERROR(BDH(Database!$A423&amp;" HK Equity","PE_RATIO",Database!$G423,Database!$G423),"")</f>
        <v/>
      </c>
      <c r="P423" s="60">
        <f>IF(Database!AI423="","(n/m or not derivable)",Database!AI423)</f>
        <v/>
      </c>
    </row>
    <row r="424">
      <c r="A424" s="4">
        <f>Database!A424&amp;"  "&amp;Database!B424</f>
        <v/>
      </c>
      <c r="B424" s="6">
        <f>IFERROR(INDEX(BDS(Database!$A424&amp;" HK Equity","EQUITY_OFFERINGS","array=t","endcol=1"),MATCH("IPO",BDS(Database!$A424&amp;" HK Equity","EQUITY_OFFERINGS","array=t","startcol=2","endcol=2"),0)),"")</f>
        <v/>
      </c>
      <c r="C424" s="64">
        <f>IF($B424="","",IFERROR(BDP($B424&amp;" Action","CP036"),""))</f>
        <v/>
      </c>
      <c r="D424" s="65">
        <f>Database!Q424</f>
        <v/>
      </c>
      <c r="E424" s="64">
        <f>IF($B424="","",IFERROR(BDP($B424&amp;" Action","CP037"),""))</f>
        <v/>
      </c>
      <c r="F424" s="65">
        <f>Database!R424</f>
        <v/>
      </c>
      <c r="G424" s="64">
        <f>IF($B424="","",IFERROR(BDP($B424&amp;" Action","GREENSHOE_FACILITY"),""))</f>
        <v/>
      </c>
      <c r="H424" s="64">
        <f>IF($B424="","",IFERROR(BDP($B424&amp;" Action","OFFERING_GREENSHOE_SHARES_EX"),""))</f>
        <v/>
      </c>
      <c r="I424" s="4">
        <f>Database!V424</f>
        <v/>
      </c>
      <c r="J424" s="21">
        <f>IFERROR(BDP(Database!$A424&amp;" HK Equity","PE_RATIO"),"")</f>
        <v/>
      </c>
      <c r="K424" s="6">
        <f>IFERROR(BDP(Database!$A424&amp;" HK Equity","A/H_SHARE_CONVERSION"),"")</f>
        <v/>
      </c>
      <c r="L424" s="4">
        <f>IF(Database!AL424="","(none found)",Database!AL424)</f>
        <v/>
      </c>
      <c r="M424" s="9">
        <f>IFERROR(BDH(Database!$A424&amp;" HK Equity","CUR_MKT_CAP",Database!$G424,Database!$G424)/1000000,"")</f>
        <v/>
      </c>
      <c r="N424" s="63">
        <f>Database!O424</f>
        <v/>
      </c>
      <c r="O424" s="21">
        <f>IFERROR(BDH(Database!$A424&amp;" HK Equity","PE_RATIO",Database!$G424,Database!$G424),"")</f>
        <v/>
      </c>
      <c r="P424" s="60">
        <f>IF(Database!AI424="","(n/m or not derivable)",Database!AI424)</f>
        <v/>
      </c>
    </row>
    <row r="425">
      <c r="A425" s="4">
        <f>Database!A425&amp;"  "&amp;Database!B425</f>
        <v/>
      </c>
      <c r="B425" s="6">
        <f>IFERROR(INDEX(BDS(Database!$A425&amp;" HK Equity","EQUITY_OFFERINGS","array=t","endcol=1"),MATCH("IPO",BDS(Database!$A425&amp;" HK Equity","EQUITY_OFFERINGS","array=t","startcol=2","endcol=2"),0)),"")</f>
        <v/>
      </c>
      <c r="C425" s="64">
        <f>IF($B425="","",IFERROR(BDP($B425&amp;" Action","CP036"),""))</f>
        <v/>
      </c>
      <c r="D425" s="65">
        <f>Database!Q425</f>
        <v/>
      </c>
      <c r="E425" s="64">
        <f>IF($B425="","",IFERROR(BDP($B425&amp;" Action","CP037"),""))</f>
        <v/>
      </c>
      <c r="F425" s="65">
        <f>Database!R425</f>
        <v/>
      </c>
      <c r="G425" s="64">
        <f>IF($B425="","",IFERROR(BDP($B425&amp;" Action","GREENSHOE_FACILITY"),""))</f>
        <v/>
      </c>
      <c r="H425" s="64">
        <f>IF($B425="","",IFERROR(BDP($B425&amp;" Action","OFFERING_GREENSHOE_SHARES_EX"),""))</f>
        <v/>
      </c>
      <c r="I425" s="4">
        <f>Database!V425</f>
        <v/>
      </c>
      <c r="J425" s="21">
        <f>IFERROR(BDP(Database!$A425&amp;" HK Equity","PE_RATIO"),"")</f>
        <v/>
      </c>
      <c r="K425" s="6">
        <f>IFERROR(BDP(Database!$A425&amp;" HK Equity","A/H_SHARE_CONVERSION"),"")</f>
        <v/>
      </c>
      <c r="L425" s="4">
        <f>IF(Database!AL425="","(none found)",Database!AL425)</f>
        <v/>
      </c>
      <c r="M425" s="9">
        <f>IFERROR(BDH(Database!$A425&amp;" HK Equity","CUR_MKT_CAP",Database!$G425,Database!$G425)/1000000,"")</f>
        <v/>
      </c>
      <c r="N425" s="63">
        <f>Database!O425</f>
        <v/>
      </c>
      <c r="O425" s="21">
        <f>IFERROR(BDH(Database!$A425&amp;" HK Equity","PE_RATIO",Database!$G425,Database!$G425),"")</f>
        <v/>
      </c>
      <c r="P425" s="60">
        <f>IF(Database!AI425="","(n/m or not derivable)",Database!AI425)</f>
        <v/>
      </c>
    </row>
    <row r="426">
      <c r="A426" s="4">
        <f>Database!A426&amp;"  "&amp;Database!B426</f>
        <v/>
      </c>
      <c r="B426" s="6">
        <f>IFERROR(INDEX(BDS(Database!$A426&amp;" HK Equity","EQUITY_OFFERINGS","array=t","endcol=1"),MATCH("IPO",BDS(Database!$A426&amp;" HK Equity","EQUITY_OFFERINGS","array=t","startcol=2","endcol=2"),0)),"")</f>
        <v/>
      </c>
      <c r="C426" s="64">
        <f>IF($B426="","",IFERROR(BDP($B426&amp;" Action","CP036"),""))</f>
        <v/>
      </c>
      <c r="D426" s="65">
        <f>Database!Q426</f>
        <v/>
      </c>
      <c r="E426" s="64">
        <f>IF($B426="","",IFERROR(BDP($B426&amp;" Action","CP037"),""))</f>
        <v/>
      </c>
      <c r="F426" s="65">
        <f>Database!R426</f>
        <v/>
      </c>
      <c r="G426" s="64">
        <f>IF($B426="","",IFERROR(BDP($B426&amp;" Action","GREENSHOE_FACILITY"),""))</f>
        <v/>
      </c>
      <c r="H426" s="64">
        <f>IF($B426="","",IFERROR(BDP($B426&amp;" Action","OFFERING_GREENSHOE_SHARES_EX"),""))</f>
        <v/>
      </c>
      <c r="I426" s="4">
        <f>Database!V426</f>
        <v/>
      </c>
      <c r="J426" s="21">
        <f>IFERROR(BDP(Database!$A426&amp;" HK Equity","PE_RATIO"),"")</f>
        <v/>
      </c>
      <c r="K426" s="6">
        <f>IFERROR(BDP(Database!$A426&amp;" HK Equity","A/H_SHARE_CONVERSION"),"")</f>
        <v/>
      </c>
      <c r="L426" s="4">
        <f>IF(Database!AL426="","(none found)",Database!AL426)</f>
        <v/>
      </c>
      <c r="M426" s="9">
        <f>IFERROR(BDH(Database!$A426&amp;" HK Equity","CUR_MKT_CAP",Database!$G426,Database!$G426)/1000000,"")</f>
        <v/>
      </c>
      <c r="N426" s="63">
        <f>Database!O426</f>
        <v/>
      </c>
      <c r="O426" s="21">
        <f>IFERROR(BDH(Database!$A426&amp;" HK Equity","PE_RATIO",Database!$G426,Database!$G426),"")</f>
        <v/>
      </c>
      <c r="P426" s="60">
        <f>IF(Database!AI426="","(n/m or not derivable)",Database!AI426)</f>
        <v/>
      </c>
    </row>
    <row r="427">
      <c r="A427" s="4">
        <f>Database!A427&amp;"  "&amp;Database!B427</f>
        <v/>
      </c>
      <c r="B427" s="6">
        <f>IFERROR(INDEX(BDS(Database!$A427&amp;" HK Equity","EQUITY_OFFERINGS","array=t","endcol=1"),MATCH("IPO",BDS(Database!$A427&amp;" HK Equity","EQUITY_OFFERINGS","array=t","startcol=2","endcol=2"),0)),"")</f>
        <v/>
      </c>
      <c r="C427" s="64">
        <f>IF($B427="","",IFERROR(BDP($B427&amp;" Action","CP036"),""))</f>
        <v/>
      </c>
      <c r="D427" s="65">
        <f>Database!Q427</f>
        <v/>
      </c>
      <c r="E427" s="64">
        <f>IF($B427="","",IFERROR(BDP($B427&amp;" Action","CP037"),""))</f>
        <v/>
      </c>
      <c r="F427" s="65">
        <f>Database!R427</f>
        <v/>
      </c>
      <c r="G427" s="64">
        <f>IF($B427="","",IFERROR(BDP($B427&amp;" Action","GREENSHOE_FACILITY"),""))</f>
        <v/>
      </c>
      <c r="H427" s="64">
        <f>IF($B427="","",IFERROR(BDP($B427&amp;" Action","OFFERING_GREENSHOE_SHARES_EX"),""))</f>
        <v/>
      </c>
      <c r="I427" s="4">
        <f>Database!V427</f>
        <v/>
      </c>
      <c r="J427" s="21">
        <f>IFERROR(BDP(Database!$A427&amp;" HK Equity","PE_RATIO"),"")</f>
        <v/>
      </c>
      <c r="K427" s="6">
        <f>IFERROR(BDP(Database!$A427&amp;" HK Equity","A/H_SHARE_CONVERSION"),"")</f>
        <v/>
      </c>
      <c r="L427" s="4">
        <f>IF(Database!AL427="","(none found)",Database!AL427)</f>
        <v/>
      </c>
      <c r="M427" s="9">
        <f>IFERROR(BDH(Database!$A427&amp;" HK Equity","CUR_MKT_CAP",Database!$G427,Database!$G427)/1000000,"")</f>
        <v/>
      </c>
      <c r="N427" s="63">
        <f>Database!O427</f>
        <v/>
      </c>
      <c r="O427" s="21">
        <f>IFERROR(BDH(Database!$A427&amp;" HK Equity","PE_RATIO",Database!$G427,Database!$G427),"")</f>
        <v/>
      </c>
      <c r="P427" s="60">
        <f>IF(Database!AI427="","(n/m or not derivable)",Database!AI427)</f>
        <v/>
      </c>
    </row>
    <row r="428">
      <c r="A428" s="4">
        <f>Database!A428&amp;"  "&amp;Database!B428</f>
        <v/>
      </c>
      <c r="B428" s="6">
        <f>IFERROR(INDEX(BDS(Database!$A428&amp;" HK Equity","EQUITY_OFFERINGS","array=t","endcol=1"),MATCH("IPO",BDS(Database!$A428&amp;" HK Equity","EQUITY_OFFERINGS","array=t","startcol=2","endcol=2"),0)),"")</f>
        <v/>
      </c>
      <c r="C428" s="64">
        <f>IF($B428="","",IFERROR(BDP($B428&amp;" Action","CP036"),""))</f>
        <v/>
      </c>
      <c r="D428" s="65">
        <f>Database!Q428</f>
        <v/>
      </c>
      <c r="E428" s="64">
        <f>IF($B428="","",IFERROR(BDP($B428&amp;" Action","CP037"),""))</f>
        <v/>
      </c>
      <c r="F428" s="65">
        <f>Database!R428</f>
        <v/>
      </c>
      <c r="G428" s="64">
        <f>IF($B428="","",IFERROR(BDP($B428&amp;" Action","GREENSHOE_FACILITY"),""))</f>
        <v/>
      </c>
      <c r="H428" s="64">
        <f>IF($B428="","",IFERROR(BDP($B428&amp;" Action","OFFERING_GREENSHOE_SHARES_EX"),""))</f>
        <v/>
      </c>
      <c r="I428" s="4">
        <f>Database!V428</f>
        <v/>
      </c>
      <c r="J428" s="21">
        <f>IFERROR(BDP(Database!$A428&amp;" HK Equity","PE_RATIO"),"")</f>
        <v/>
      </c>
      <c r="K428" s="6">
        <f>IFERROR(BDP(Database!$A428&amp;" HK Equity","A/H_SHARE_CONVERSION"),"")</f>
        <v/>
      </c>
      <c r="L428" s="4">
        <f>IF(Database!AL428="","(none found)",Database!AL428)</f>
        <v/>
      </c>
      <c r="M428" s="9">
        <f>IFERROR(BDH(Database!$A428&amp;" HK Equity","CUR_MKT_CAP",Database!$G428,Database!$G428)/1000000,"")</f>
        <v/>
      </c>
      <c r="N428" s="63">
        <f>Database!O428</f>
        <v/>
      </c>
      <c r="O428" s="21">
        <f>IFERROR(BDH(Database!$A428&amp;" HK Equity","PE_RATIO",Database!$G428,Database!$G428),"")</f>
        <v/>
      </c>
      <c r="P428" s="60">
        <f>IF(Database!AI428="","(n/m or not derivable)",Database!AI428)</f>
        <v/>
      </c>
    </row>
    <row r="429">
      <c r="A429" s="4">
        <f>Database!A429&amp;"  "&amp;Database!B429</f>
        <v/>
      </c>
      <c r="B429" s="6">
        <f>IFERROR(INDEX(BDS(Database!$A429&amp;" HK Equity","EQUITY_OFFERINGS","array=t","endcol=1"),MATCH("IPO",BDS(Database!$A429&amp;" HK Equity","EQUITY_OFFERINGS","array=t","startcol=2","endcol=2"),0)),"")</f>
        <v/>
      </c>
      <c r="C429" s="64">
        <f>IF($B429="","",IFERROR(BDP($B429&amp;" Action","CP036"),""))</f>
        <v/>
      </c>
      <c r="D429" s="65">
        <f>Database!Q429</f>
        <v/>
      </c>
      <c r="E429" s="64">
        <f>IF($B429="","",IFERROR(BDP($B429&amp;" Action","CP037"),""))</f>
        <v/>
      </c>
      <c r="F429" s="65">
        <f>Database!R429</f>
        <v/>
      </c>
      <c r="G429" s="64">
        <f>IF($B429="","",IFERROR(BDP($B429&amp;" Action","GREENSHOE_FACILITY"),""))</f>
        <v/>
      </c>
      <c r="H429" s="64">
        <f>IF($B429="","",IFERROR(BDP($B429&amp;" Action","OFFERING_GREENSHOE_SHARES_EX"),""))</f>
        <v/>
      </c>
      <c r="I429" s="4">
        <f>Database!V429</f>
        <v/>
      </c>
      <c r="J429" s="21">
        <f>IFERROR(BDP(Database!$A429&amp;" HK Equity","PE_RATIO"),"")</f>
        <v/>
      </c>
      <c r="K429" s="6">
        <f>IFERROR(BDP(Database!$A429&amp;" HK Equity","A/H_SHARE_CONVERSION"),"")</f>
        <v/>
      </c>
      <c r="L429" s="4">
        <f>IF(Database!AL429="","(none found)",Database!AL429)</f>
        <v/>
      </c>
      <c r="M429" s="9">
        <f>IFERROR(BDH(Database!$A429&amp;" HK Equity","CUR_MKT_CAP",Database!$G429,Database!$G429)/1000000,"")</f>
        <v/>
      </c>
      <c r="N429" s="63">
        <f>Database!O429</f>
        <v/>
      </c>
      <c r="O429" s="21">
        <f>IFERROR(BDH(Database!$A429&amp;" HK Equity","PE_RATIO",Database!$G429,Database!$G429),"")</f>
        <v/>
      </c>
      <c r="P429" s="60">
        <f>IF(Database!AI429="","(n/m or not derivable)",Database!AI429)</f>
        <v/>
      </c>
    </row>
    <row r="430">
      <c r="A430" s="4">
        <f>Database!A430&amp;"  "&amp;Database!B430</f>
        <v/>
      </c>
      <c r="B430" s="6">
        <f>IFERROR(INDEX(BDS(Database!$A430&amp;" HK Equity","EQUITY_OFFERINGS","array=t","endcol=1"),MATCH("IPO",BDS(Database!$A430&amp;" HK Equity","EQUITY_OFFERINGS","array=t","startcol=2","endcol=2"),0)),"")</f>
        <v/>
      </c>
      <c r="C430" s="64">
        <f>IF($B430="","",IFERROR(BDP($B430&amp;" Action","CP036"),""))</f>
        <v/>
      </c>
      <c r="D430" s="65">
        <f>Database!Q430</f>
        <v/>
      </c>
      <c r="E430" s="64">
        <f>IF($B430="","",IFERROR(BDP($B430&amp;" Action","CP037"),""))</f>
        <v/>
      </c>
      <c r="F430" s="65">
        <f>Database!R430</f>
        <v/>
      </c>
      <c r="G430" s="64">
        <f>IF($B430="","",IFERROR(BDP($B430&amp;" Action","GREENSHOE_FACILITY"),""))</f>
        <v/>
      </c>
      <c r="H430" s="64">
        <f>IF($B430="","",IFERROR(BDP($B430&amp;" Action","OFFERING_GREENSHOE_SHARES_EX"),""))</f>
        <v/>
      </c>
      <c r="I430" s="4">
        <f>Database!V430</f>
        <v/>
      </c>
      <c r="J430" s="21">
        <f>IFERROR(BDP(Database!$A430&amp;" HK Equity","PE_RATIO"),"")</f>
        <v/>
      </c>
      <c r="K430" s="6">
        <f>IFERROR(BDP(Database!$A430&amp;" HK Equity","A/H_SHARE_CONVERSION"),"")</f>
        <v/>
      </c>
      <c r="L430" s="4">
        <f>IF(Database!AL430="","(none found)",Database!AL430)</f>
        <v/>
      </c>
      <c r="M430" s="9">
        <f>IFERROR(BDH(Database!$A430&amp;" HK Equity","CUR_MKT_CAP",Database!$G430,Database!$G430)/1000000,"")</f>
        <v/>
      </c>
      <c r="N430" s="63">
        <f>Database!O430</f>
        <v/>
      </c>
      <c r="O430" s="21">
        <f>IFERROR(BDH(Database!$A430&amp;" HK Equity","PE_RATIO",Database!$G430,Database!$G430),"")</f>
        <v/>
      </c>
      <c r="P430" s="60">
        <f>IF(Database!AI430="","(n/m or not derivable)",Database!AI430)</f>
        <v/>
      </c>
    </row>
    <row r="431">
      <c r="A431" s="4">
        <f>Database!A431&amp;"  "&amp;Database!B431</f>
        <v/>
      </c>
      <c r="B431" s="6">
        <f>IFERROR(INDEX(BDS(Database!$A431&amp;" HK Equity","EQUITY_OFFERINGS","array=t","endcol=1"),MATCH("IPO",BDS(Database!$A431&amp;" HK Equity","EQUITY_OFFERINGS","array=t","startcol=2","endcol=2"),0)),"")</f>
        <v/>
      </c>
      <c r="C431" s="64">
        <f>IF($B431="","",IFERROR(BDP($B431&amp;" Action","CP036"),""))</f>
        <v/>
      </c>
      <c r="D431" s="65">
        <f>Database!Q431</f>
        <v/>
      </c>
      <c r="E431" s="64">
        <f>IF($B431="","",IFERROR(BDP($B431&amp;" Action","CP037"),""))</f>
        <v/>
      </c>
      <c r="F431" s="65">
        <f>Database!R431</f>
        <v/>
      </c>
      <c r="G431" s="64">
        <f>IF($B431="","",IFERROR(BDP($B431&amp;" Action","GREENSHOE_FACILITY"),""))</f>
        <v/>
      </c>
      <c r="H431" s="64">
        <f>IF($B431="","",IFERROR(BDP($B431&amp;" Action","OFFERING_GREENSHOE_SHARES_EX"),""))</f>
        <v/>
      </c>
      <c r="I431" s="4">
        <f>Database!V431</f>
        <v/>
      </c>
      <c r="J431" s="21">
        <f>IFERROR(BDP(Database!$A431&amp;" HK Equity","PE_RATIO"),"")</f>
        <v/>
      </c>
      <c r="K431" s="6">
        <f>IFERROR(BDP(Database!$A431&amp;" HK Equity","A/H_SHARE_CONVERSION"),"")</f>
        <v/>
      </c>
      <c r="L431" s="4">
        <f>IF(Database!AL431="","(none found)",Database!AL431)</f>
        <v/>
      </c>
      <c r="M431" s="9">
        <f>IFERROR(BDH(Database!$A431&amp;" HK Equity","CUR_MKT_CAP",Database!$G431,Database!$G431)/1000000,"")</f>
        <v/>
      </c>
      <c r="N431" s="63">
        <f>Database!O431</f>
        <v/>
      </c>
      <c r="O431" s="21">
        <f>IFERROR(BDH(Database!$A431&amp;" HK Equity","PE_RATIO",Database!$G431,Database!$G431),"")</f>
        <v/>
      </c>
      <c r="P431" s="60">
        <f>IF(Database!AI431="","(n/m or not derivable)",Database!AI431)</f>
        <v/>
      </c>
    </row>
    <row r="432">
      <c r="A432" s="4">
        <f>Database!A432&amp;"  "&amp;Database!B432</f>
        <v/>
      </c>
      <c r="B432" s="6">
        <f>IFERROR(INDEX(BDS(Database!$A432&amp;" HK Equity","EQUITY_OFFERINGS","array=t","endcol=1"),MATCH("IPO",BDS(Database!$A432&amp;" HK Equity","EQUITY_OFFERINGS","array=t","startcol=2","endcol=2"),0)),"")</f>
        <v/>
      </c>
      <c r="C432" s="64">
        <f>IF($B432="","",IFERROR(BDP($B432&amp;" Action","CP036"),""))</f>
        <v/>
      </c>
      <c r="D432" s="65">
        <f>Database!Q432</f>
        <v/>
      </c>
      <c r="E432" s="64">
        <f>IF($B432="","",IFERROR(BDP($B432&amp;" Action","CP037"),""))</f>
        <v/>
      </c>
      <c r="F432" s="65">
        <f>Database!R432</f>
        <v/>
      </c>
      <c r="G432" s="64">
        <f>IF($B432="","",IFERROR(BDP($B432&amp;" Action","GREENSHOE_FACILITY"),""))</f>
        <v/>
      </c>
      <c r="H432" s="64">
        <f>IF($B432="","",IFERROR(BDP($B432&amp;" Action","OFFERING_GREENSHOE_SHARES_EX"),""))</f>
        <v/>
      </c>
      <c r="I432" s="4">
        <f>Database!V432</f>
        <v/>
      </c>
      <c r="J432" s="21">
        <f>IFERROR(BDP(Database!$A432&amp;" HK Equity","PE_RATIO"),"")</f>
        <v/>
      </c>
      <c r="K432" s="6">
        <f>IFERROR(BDP(Database!$A432&amp;" HK Equity","A/H_SHARE_CONVERSION"),"")</f>
        <v/>
      </c>
      <c r="L432" s="4">
        <f>IF(Database!AL432="","(none found)",Database!AL432)</f>
        <v/>
      </c>
      <c r="M432" s="9">
        <f>IFERROR(BDH(Database!$A432&amp;" HK Equity","CUR_MKT_CAP",Database!$G432,Database!$G432)/1000000,"")</f>
        <v/>
      </c>
      <c r="N432" s="63">
        <f>Database!O432</f>
        <v/>
      </c>
      <c r="O432" s="21">
        <f>IFERROR(BDH(Database!$A432&amp;" HK Equity","PE_RATIO",Database!$G432,Database!$G432),"")</f>
        <v/>
      </c>
      <c r="P432" s="60">
        <f>IF(Database!AI432="","(n/m or not derivable)",Database!AI432)</f>
        <v/>
      </c>
    </row>
    <row r="433">
      <c r="A433" s="4">
        <f>Database!A433&amp;"  "&amp;Database!B433</f>
        <v/>
      </c>
      <c r="B433" s="6">
        <f>IFERROR(INDEX(BDS(Database!$A433&amp;" HK Equity","EQUITY_OFFERINGS","array=t","endcol=1"),MATCH("IPO",BDS(Database!$A433&amp;" HK Equity","EQUITY_OFFERINGS","array=t","startcol=2","endcol=2"),0)),"")</f>
        <v/>
      </c>
      <c r="C433" s="64">
        <f>IF($B433="","",IFERROR(BDP($B433&amp;" Action","CP036"),""))</f>
        <v/>
      </c>
      <c r="D433" s="65">
        <f>Database!Q433</f>
        <v/>
      </c>
      <c r="E433" s="64">
        <f>IF($B433="","",IFERROR(BDP($B433&amp;" Action","CP037"),""))</f>
        <v/>
      </c>
      <c r="F433" s="65">
        <f>Database!R433</f>
        <v/>
      </c>
      <c r="G433" s="64">
        <f>IF($B433="","",IFERROR(BDP($B433&amp;" Action","GREENSHOE_FACILITY"),""))</f>
        <v/>
      </c>
      <c r="H433" s="64">
        <f>IF($B433="","",IFERROR(BDP($B433&amp;" Action","OFFERING_GREENSHOE_SHARES_EX"),""))</f>
        <v/>
      </c>
      <c r="I433" s="4">
        <f>Database!V433</f>
        <v/>
      </c>
      <c r="J433" s="21">
        <f>IFERROR(BDP(Database!$A433&amp;" HK Equity","PE_RATIO"),"")</f>
        <v/>
      </c>
      <c r="K433" s="6">
        <f>IFERROR(BDP(Database!$A433&amp;" HK Equity","A/H_SHARE_CONVERSION"),"")</f>
        <v/>
      </c>
      <c r="L433" s="4">
        <f>IF(Database!AL433="","(none found)",Database!AL433)</f>
        <v/>
      </c>
      <c r="M433" s="9">
        <f>IFERROR(BDH(Database!$A433&amp;" HK Equity","CUR_MKT_CAP",Database!$G433,Database!$G433)/1000000,"")</f>
        <v/>
      </c>
      <c r="N433" s="63">
        <f>Database!O433</f>
        <v/>
      </c>
      <c r="O433" s="21">
        <f>IFERROR(BDH(Database!$A433&amp;" HK Equity","PE_RATIO",Database!$G433,Database!$G433),"")</f>
        <v/>
      </c>
      <c r="P433" s="60">
        <f>IF(Database!AI433="","(n/m or not derivable)",Database!AI433)</f>
        <v/>
      </c>
    </row>
    <row r="434">
      <c r="A434" s="4">
        <f>Database!A434&amp;"  "&amp;Database!B434</f>
        <v/>
      </c>
      <c r="B434" s="6">
        <f>IFERROR(INDEX(BDS(Database!$A434&amp;" HK Equity","EQUITY_OFFERINGS","array=t","endcol=1"),MATCH("IPO",BDS(Database!$A434&amp;" HK Equity","EQUITY_OFFERINGS","array=t","startcol=2","endcol=2"),0)),"")</f>
        <v/>
      </c>
      <c r="C434" s="64">
        <f>IF($B434="","",IFERROR(BDP($B434&amp;" Action","CP036"),""))</f>
        <v/>
      </c>
      <c r="D434" s="65">
        <f>Database!Q434</f>
        <v/>
      </c>
      <c r="E434" s="64">
        <f>IF($B434="","",IFERROR(BDP($B434&amp;" Action","CP037"),""))</f>
        <v/>
      </c>
      <c r="F434" s="65">
        <f>Database!R434</f>
        <v/>
      </c>
      <c r="G434" s="64">
        <f>IF($B434="","",IFERROR(BDP($B434&amp;" Action","GREENSHOE_FACILITY"),""))</f>
        <v/>
      </c>
      <c r="H434" s="64">
        <f>IF($B434="","",IFERROR(BDP($B434&amp;" Action","OFFERING_GREENSHOE_SHARES_EX"),""))</f>
        <v/>
      </c>
      <c r="I434" s="4">
        <f>Database!V434</f>
        <v/>
      </c>
      <c r="J434" s="21">
        <f>IFERROR(BDP(Database!$A434&amp;" HK Equity","PE_RATIO"),"")</f>
        <v/>
      </c>
      <c r="K434" s="6">
        <f>IFERROR(BDP(Database!$A434&amp;" HK Equity","A/H_SHARE_CONVERSION"),"")</f>
        <v/>
      </c>
      <c r="L434" s="4">
        <f>IF(Database!AL434="","(none found)",Database!AL434)</f>
        <v/>
      </c>
      <c r="M434" s="9">
        <f>IFERROR(BDH(Database!$A434&amp;" HK Equity","CUR_MKT_CAP",Database!$G434,Database!$G434)/1000000,"")</f>
        <v/>
      </c>
      <c r="N434" s="63">
        <f>Database!O434</f>
        <v/>
      </c>
      <c r="O434" s="21">
        <f>IFERROR(BDH(Database!$A434&amp;" HK Equity","PE_RATIO",Database!$G434,Database!$G434),"")</f>
        <v/>
      </c>
      <c r="P434" s="60">
        <f>IF(Database!AI434="","(n/m or not derivable)",Database!AI434)</f>
        <v/>
      </c>
    </row>
    <row r="435">
      <c r="A435" s="4">
        <f>Database!A435&amp;"  "&amp;Database!B435</f>
        <v/>
      </c>
      <c r="B435" s="6">
        <f>IFERROR(INDEX(BDS(Database!$A435&amp;" HK Equity","EQUITY_OFFERINGS","array=t","endcol=1"),MATCH("IPO",BDS(Database!$A435&amp;" HK Equity","EQUITY_OFFERINGS","array=t","startcol=2","endcol=2"),0)),"")</f>
        <v/>
      </c>
      <c r="C435" s="64">
        <f>IF($B435="","",IFERROR(BDP($B435&amp;" Action","CP036"),""))</f>
        <v/>
      </c>
      <c r="D435" s="65">
        <f>Database!Q435</f>
        <v/>
      </c>
      <c r="E435" s="64">
        <f>IF($B435="","",IFERROR(BDP($B435&amp;" Action","CP037"),""))</f>
        <v/>
      </c>
      <c r="F435" s="65">
        <f>Database!R435</f>
        <v/>
      </c>
      <c r="G435" s="64">
        <f>IF($B435="","",IFERROR(BDP($B435&amp;" Action","GREENSHOE_FACILITY"),""))</f>
        <v/>
      </c>
      <c r="H435" s="64">
        <f>IF($B435="","",IFERROR(BDP($B435&amp;" Action","OFFERING_GREENSHOE_SHARES_EX"),""))</f>
        <v/>
      </c>
      <c r="I435" s="4">
        <f>Database!V435</f>
        <v/>
      </c>
      <c r="J435" s="21">
        <f>IFERROR(BDP(Database!$A435&amp;" HK Equity","PE_RATIO"),"")</f>
        <v/>
      </c>
      <c r="K435" s="6">
        <f>IFERROR(BDP(Database!$A435&amp;" HK Equity","A/H_SHARE_CONVERSION"),"")</f>
        <v/>
      </c>
      <c r="L435" s="4">
        <f>IF(Database!AL435="","(none found)",Database!AL435)</f>
        <v/>
      </c>
      <c r="M435" s="9">
        <f>IFERROR(BDH(Database!$A435&amp;" HK Equity","CUR_MKT_CAP",Database!$G435,Database!$G435)/1000000,"")</f>
        <v/>
      </c>
      <c r="N435" s="63">
        <f>Database!O435</f>
        <v/>
      </c>
      <c r="O435" s="21">
        <f>IFERROR(BDH(Database!$A435&amp;" HK Equity","PE_RATIO",Database!$G435,Database!$G435),"")</f>
        <v/>
      </c>
      <c r="P435" s="60">
        <f>IF(Database!AI435="","(n/m or not derivable)",Database!AI435)</f>
        <v/>
      </c>
    </row>
    <row r="436">
      <c r="A436" s="4">
        <f>Database!A436&amp;"  "&amp;Database!B436</f>
        <v/>
      </c>
      <c r="B436" s="6">
        <f>IFERROR(INDEX(BDS(Database!$A436&amp;" HK Equity","EQUITY_OFFERINGS","array=t","endcol=1"),MATCH("IPO",BDS(Database!$A436&amp;" HK Equity","EQUITY_OFFERINGS","array=t","startcol=2","endcol=2"),0)),"")</f>
        <v/>
      </c>
      <c r="C436" s="64">
        <f>IF($B436="","",IFERROR(BDP($B436&amp;" Action","CP036"),""))</f>
        <v/>
      </c>
      <c r="D436" s="65">
        <f>Database!Q436</f>
        <v/>
      </c>
      <c r="E436" s="64">
        <f>IF($B436="","",IFERROR(BDP($B436&amp;" Action","CP037"),""))</f>
        <v/>
      </c>
      <c r="F436" s="65">
        <f>Database!R436</f>
        <v/>
      </c>
      <c r="G436" s="64">
        <f>IF($B436="","",IFERROR(BDP($B436&amp;" Action","GREENSHOE_FACILITY"),""))</f>
        <v/>
      </c>
      <c r="H436" s="64">
        <f>IF($B436="","",IFERROR(BDP($B436&amp;" Action","OFFERING_GREENSHOE_SHARES_EX"),""))</f>
        <v/>
      </c>
      <c r="I436" s="4">
        <f>Database!V436</f>
        <v/>
      </c>
      <c r="J436" s="21">
        <f>IFERROR(BDP(Database!$A436&amp;" HK Equity","PE_RATIO"),"")</f>
        <v/>
      </c>
      <c r="K436" s="6">
        <f>IFERROR(BDP(Database!$A436&amp;" HK Equity","A/H_SHARE_CONVERSION"),"")</f>
        <v/>
      </c>
      <c r="L436" s="4">
        <f>IF(Database!AL436="","(none found)",Database!AL436)</f>
        <v/>
      </c>
      <c r="M436" s="9">
        <f>IFERROR(BDH(Database!$A436&amp;" HK Equity","CUR_MKT_CAP",Database!$G436,Database!$G436)/1000000,"")</f>
        <v/>
      </c>
      <c r="N436" s="63">
        <f>Database!O436</f>
        <v/>
      </c>
      <c r="O436" s="21">
        <f>IFERROR(BDH(Database!$A436&amp;" HK Equity","PE_RATIO",Database!$G436,Database!$G436),"")</f>
        <v/>
      </c>
      <c r="P436" s="60">
        <f>IF(Database!AI436="","(n/m or not derivable)",Database!AI436)</f>
        <v/>
      </c>
    </row>
    <row r="437">
      <c r="A437" s="4">
        <f>Database!A437&amp;"  "&amp;Database!B437</f>
        <v/>
      </c>
      <c r="B437" s="6">
        <f>IFERROR(INDEX(BDS(Database!$A437&amp;" HK Equity","EQUITY_OFFERINGS","array=t","endcol=1"),MATCH("IPO",BDS(Database!$A437&amp;" HK Equity","EQUITY_OFFERINGS","array=t","startcol=2","endcol=2"),0)),"")</f>
        <v/>
      </c>
      <c r="C437" s="64">
        <f>IF($B437="","",IFERROR(BDP($B437&amp;" Action","CP036"),""))</f>
        <v/>
      </c>
      <c r="D437" s="65">
        <f>Database!Q437</f>
        <v/>
      </c>
      <c r="E437" s="64">
        <f>IF($B437="","",IFERROR(BDP($B437&amp;" Action","CP037"),""))</f>
        <v/>
      </c>
      <c r="F437" s="65">
        <f>Database!R437</f>
        <v/>
      </c>
      <c r="G437" s="64">
        <f>IF($B437="","",IFERROR(BDP($B437&amp;" Action","GREENSHOE_FACILITY"),""))</f>
        <v/>
      </c>
      <c r="H437" s="64">
        <f>IF($B437="","",IFERROR(BDP($B437&amp;" Action","OFFERING_GREENSHOE_SHARES_EX"),""))</f>
        <v/>
      </c>
      <c r="I437" s="4">
        <f>Database!V437</f>
        <v/>
      </c>
      <c r="J437" s="21">
        <f>IFERROR(BDP(Database!$A437&amp;" HK Equity","PE_RATIO"),"")</f>
        <v/>
      </c>
      <c r="K437" s="6">
        <f>IFERROR(BDP(Database!$A437&amp;" HK Equity","A/H_SHARE_CONVERSION"),"")</f>
        <v/>
      </c>
      <c r="L437" s="4">
        <f>IF(Database!AL437="","(none found)",Database!AL437)</f>
        <v/>
      </c>
      <c r="M437" s="9">
        <f>IFERROR(BDH(Database!$A437&amp;" HK Equity","CUR_MKT_CAP",Database!$G437,Database!$G437)/1000000,"")</f>
        <v/>
      </c>
      <c r="N437" s="63">
        <f>Database!O437</f>
        <v/>
      </c>
      <c r="O437" s="21">
        <f>IFERROR(BDH(Database!$A437&amp;" HK Equity","PE_RATIO",Database!$G437,Database!$G437),"")</f>
        <v/>
      </c>
      <c r="P437" s="60">
        <f>IF(Database!AI437="","(n/m or not derivable)",Database!AI437)</f>
        <v/>
      </c>
    </row>
    <row r="438">
      <c r="A438" s="4">
        <f>Database!A438&amp;"  "&amp;Database!B438</f>
        <v/>
      </c>
      <c r="B438" s="6">
        <f>IFERROR(INDEX(BDS(Database!$A438&amp;" HK Equity","EQUITY_OFFERINGS","array=t","endcol=1"),MATCH("IPO",BDS(Database!$A438&amp;" HK Equity","EQUITY_OFFERINGS","array=t","startcol=2","endcol=2"),0)),"")</f>
        <v/>
      </c>
      <c r="C438" s="64">
        <f>IF($B438="","",IFERROR(BDP($B438&amp;" Action","CP036"),""))</f>
        <v/>
      </c>
      <c r="D438" s="65">
        <f>Database!Q438</f>
        <v/>
      </c>
      <c r="E438" s="64">
        <f>IF($B438="","",IFERROR(BDP($B438&amp;" Action","CP037"),""))</f>
        <v/>
      </c>
      <c r="F438" s="65">
        <f>Database!R438</f>
        <v/>
      </c>
      <c r="G438" s="64">
        <f>IF($B438="","",IFERROR(BDP($B438&amp;" Action","GREENSHOE_FACILITY"),""))</f>
        <v/>
      </c>
      <c r="H438" s="64">
        <f>IF($B438="","",IFERROR(BDP($B438&amp;" Action","OFFERING_GREENSHOE_SHARES_EX"),""))</f>
        <v/>
      </c>
      <c r="I438" s="4">
        <f>Database!V438</f>
        <v/>
      </c>
      <c r="J438" s="21">
        <f>IFERROR(BDP(Database!$A438&amp;" HK Equity","PE_RATIO"),"")</f>
        <v/>
      </c>
      <c r="K438" s="6">
        <f>IFERROR(BDP(Database!$A438&amp;" HK Equity","A/H_SHARE_CONVERSION"),"")</f>
        <v/>
      </c>
      <c r="L438" s="4">
        <f>IF(Database!AL438="","(none found)",Database!AL438)</f>
        <v/>
      </c>
      <c r="M438" s="9">
        <f>IFERROR(BDH(Database!$A438&amp;" HK Equity","CUR_MKT_CAP",Database!$G438,Database!$G438)/1000000,"")</f>
        <v/>
      </c>
      <c r="N438" s="63">
        <f>Database!O438</f>
        <v/>
      </c>
      <c r="O438" s="21">
        <f>IFERROR(BDH(Database!$A438&amp;" HK Equity","PE_RATIO",Database!$G438,Database!$G438),"")</f>
        <v/>
      </c>
      <c r="P438" s="60">
        <f>IF(Database!AI438="","(n/m or not derivable)",Database!AI438)</f>
        <v/>
      </c>
    </row>
    <row r="439">
      <c r="A439" s="4">
        <f>Database!A439&amp;"  "&amp;Database!B439</f>
        <v/>
      </c>
      <c r="B439" s="6">
        <f>IFERROR(INDEX(BDS(Database!$A439&amp;" HK Equity","EQUITY_OFFERINGS","array=t","endcol=1"),MATCH("IPO",BDS(Database!$A439&amp;" HK Equity","EQUITY_OFFERINGS","array=t","startcol=2","endcol=2"),0)),"")</f>
        <v/>
      </c>
      <c r="C439" s="64">
        <f>IF($B439="","",IFERROR(BDP($B439&amp;" Action","CP036"),""))</f>
        <v/>
      </c>
      <c r="D439" s="65">
        <f>Database!Q439</f>
        <v/>
      </c>
      <c r="E439" s="64">
        <f>IF($B439="","",IFERROR(BDP($B439&amp;" Action","CP037"),""))</f>
        <v/>
      </c>
      <c r="F439" s="65">
        <f>Database!R439</f>
        <v/>
      </c>
      <c r="G439" s="64">
        <f>IF($B439="","",IFERROR(BDP($B439&amp;" Action","GREENSHOE_FACILITY"),""))</f>
        <v/>
      </c>
      <c r="H439" s="64">
        <f>IF($B439="","",IFERROR(BDP($B439&amp;" Action","OFFERING_GREENSHOE_SHARES_EX"),""))</f>
        <v/>
      </c>
      <c r="I439" s="4">
        <f>Database!V439</f>
        <v/>
      </c>
      <c r="J439" s="21">
        <f>IFERROR(BDP(Database!$A439&amp;" HK Equity","PE_RATIO"),"")</f>
        <v/>
      </c>
      <c r="K439" s="6">
        <f>IFERROR(BDP(Database!$A439&amp;" HK Equity","A/H_SHARE_CONVERSION"),"")</f>
        <v/>
      </c>
      <c r="L439" s="4">
        <f>IF(Database!AL439="","(none found)",Database!AL439)</f>
        <v/>
      </c>
      <c r="M439" s="9">
        <f>IFERROR(BDH(Database!$A439&amp;" HK Equity","CUR_MKT_CAP",Database!$G439,Database!$G439)/1000000,"")</f>
        <v/>
      </c>
      <c r="N439" s="63">
        <f>Database!O439</f>
        <v/>
      </c>
      <c r="O439" s="21">
        <f>IFERROR(BDH(Database!$A439&amp;" HK Equity","PE_RATIO",Database!$G439,Database!$G439),"")</f>
        <v/>
      </c>
      <c r="P439" s="60">
        <f>IF(Database!AI439="","(n/m or not derivable)",Database!AI439)</f>
        <v/>
      </c>
    </row>
    <row r="440">
      <c r="A440" s="4">
        <f>Database!A440&amp;"  "&amp;Database!B440</f>
        <v/>
      </c>
      <c r="B440" s="6">
        <f>IFERROR(INDEX(BDS(Database!$A440&amp;" HK Equity","EQUITY_OFFERINGS","array=t","endcol=1"),MATCH("IPO",BDS(Database!$A440&amp;" HK Equity","EQUITY_OFFERINGS","array=t","startcol=2","endcol=2"),0)),"")</f>
        <v/>
      </c>
      <c r="C440" s="64">
        <f>IF($B440="","",IFERROR(BDP($B440&amp;" Action","CP036"),""))</f>
        <v/>
      </c>
      <c r="D440" s="65">
        <f>Database!Q440</f>
        <v/>
      </c>
      <c r="E440" s="64">
        <f>IF($B440="","",IFERROR(BDP($B440&amp;" Action","CP037"),""))</f>
        <v/>
      </c>
      <c r="F440" s="65">
        <f>Database!R440</f>
        <v/>
      </c>
      <c r="G440" s="64">
        <f>IF($B440="","",IFERROR(BDP($B440&amp;" Action","GREENSHOE_FACILITY"),""))</f>
        <v/>
      </c>
      <c r="H440" s="64">
        <f>IF($B440="","",IFERROR(BDP($B440&amp;" Action","OFFERING_GREENSHOE_SHARES_EX"),""))</f>
        <v/>
      </c>
      <c r="I440" s="4">
        <f>Database!V440</f>
        <v/>
      </c>
      <c r="J440" s="21">
        <f>IFERROR(BDP(Database!$A440&amp;" HK Equity","PE_RATIO"),"")</f>
        <v/>
      </c>
      <c r="K440" s="6">
        <f>IFERROR(BDP(Database!$A440&amp;" HK Equity","A/H_SHARE_CONVERSION"),"")</f>
        <v/>
      </c>
      <c r="L440" s="4">
        <f>IF(Database!AL440="","(none found)",Database!AL440)</f>
        <v/>
      </c>
      <c r="M440" s="9">
        <f>IFERROR(BDH(Database!$A440&amp;" HK Equity","CUR_MKT_CAP",Database!$G440,Database!$G440)/1000000,"")</f>
        <v/>
      </c>
      <c r="N440" s="63">
        <f>Database!O440</f>
        <v/>
      </c>
      <c r="O440" s="21">
        <f>IFERROR(BDH(Database!$A440&amp;" HK Equity","PE_RATIO",Database!$G440,Database!$G440),"")</f>
        <v/>
      </c>
      <c r="P440" s="60">
        <f>IF(Database!AI440="","(n/m or not derivable)",Database!AI440)</f>
        <v/>
      </c>
    </row>
    <row r="441">
      <c r="A441" s="4">
        <f>Database!A441&amp;"  "&amp;Database!B441</f>
        <v/>
      </c>
      <c r="B441" s="6">
        <f>IFERROR(INDEX(BDS(Database!$A441&amp;" HK Equity","EQUITY_OFFERINGS","array=t","endcol=1"),MATCH("IPO",BDS(Database!$A441&amp;" HK Equity","EQUITY_OFFERINGS","array=t","startcol=2","endcol=2"),0)),"")</f>
        <v/>
      </c>
      <c r="C441" s="64">
        <f>IF($B441="","",IFERROR(BDP($B441&amp;" Action","CP036"),""))</f>
        <v/>
      </c>
      <c r="D441" s="65">
        <f>Database!Q441</f>
        <v/>
      </c>
      <c r="E441" s="64">
        <f>IF($B441="","",IFERROR(BDP($B441&amp;" Action","CP037"),""))</f>
        <v/>
      </c>
      <c r="F441" s="65">
        <f>Database!R441</f>
        <v/>
      </c>
      <c r="G441" s="64">
        <f>IF($B441="","",IFERROR(BDP($B441&amp;" Action","GREENSHOE_FACILITY"),""))</f>
        <v/>
      </c>
      <c r="H441" s="64">
        <f>IF($B441="","",IFERROR(BDP($B441&amp;" Action","OFFERING_GREENSHOE_SHARES_EX"),""))</f>
        <v/>
      </c>
      <c r="I441" s="4">
        <f>Database!V441</f>
        <v/>
      </c>
      <c r="J441" s="21">
        <f>IFERROR(BDP(Database!$A441&amp;" HK Equity","PE_RATIO"),"")</f>
        <v/>
      </c>
      <c r="K441" s="6">
        <f>IFERROR(BDP(Database!$A441&amp;" HK Equity","A/H_SHARE_CONVERSION"),"")</f>
        <v/>
      </c>
      <c r="L441" s="4">
        <f>IF(Database!AL441="","(none found)",Database!AL441)</f>
        <v/>
      </c>
      <c r="M441" s="9">
        <f>IFERROR(BDH(Database!$A441&amp;" HK Equity","CUR_MKT_CAP",Database!$G441,Database!$G441)/1000000,"")</f>
        <v/>
      </c>
      <c r="N441" s="63">
        <f>Database!O441</f>
        <v/>
      </c>
      <c r="O441" s="21">
        <f>IFERROR(BDH(Database!$A441&amp;" HK Equity","PE_RATIO",Database!$G441,Database!$G441),"")</f>
        <v/>
      </c>
      <c r="P441" s="60">
        <f>IF(Database!AI441="","(n/m or not derivable)",Database!AI441)</f>
        <v/>
      </c>
    </row>
    <row r="442">
      <c r="A442" s="4">
        <f>Database!A442&amp;"  "&amp;Database!B442</f>
        <v/>
      </c>
      <c r="B442" s="6">
        <f>IFERROR(INDEX(BDS(Database!$A442&amp;" HK Equity","EQUITY_OFFERINGS","array=t","endcol=1"),MATCH("IPO",BDS(Database!$A442&amp;" HK Equity","EQUITY_OFFERINGS","array=t","startcol=2","endcol=2"),0)),"")</f>
        <v/>
      </c>
      <c r="C442" s="64">
        <f>IF($B442="","",IFERROR(BDP($B442&amp;" Action","CP036"),""))</f>
        <v/>
      </c>
      <c r="D442" s="65">
        <f>Database!Q442</f>
        <v/>
      </c>
      <c r="E442" s="64">
        <f>IF($B442="","",IFERROR(BDP($B442&amp;" Action","CP037"),""))</f>
        <v/>
      </c>
      <c r="F442" s="65">
        <f>Database!R442</f>
        <v/>
      </c>
      <c r="G442" s="64">
        <f>IF($B442="","",IFERROR(BDP($B442&amp;" Action","GREENSHOE_FACILITY"),""))</f>
        <v/>
      </c>
      <c r="H442" s="64">
        <f>IF($B442="","",IFERROR(BDP($B442&amp;" Action","OFFERING_GREENSHOE_SHARES_EX"),""))</f>
        <v/>
      </c>
      <c r="I442" s="4">
        <f>Database!V442</f>
        <v/>
      </c>
      <c r="J442" s="21">
        <f>IFERROR(BDP(Database!$A442&amp;" HK Equity","PE_RATIO"),"")</f>
        <v/>
      </c>
      <c r="K442" s="6">
        <f>IFERROR(BDP(Database!$A442&amp;" HK Equity","A/H_SHARE_CONVERSION"),"")</f>
        <v/>
      </c>
      <c r="L442" s="4">
        <f>IF(Database!AL442="","(none found)",Database!AL442)</f>
        <v/>
      </c>
      <c r="M442" s="9">
        <f>IFERROR(BDH(Database!$A442&amp;" HK Equity","CUR_MKT_CAP",Database!$G442,Database!$G442)/1000000,"")</f>
        <v/>
      </c>
      <c r="N442" s="63">
        <f>Database!O442</f>
        <v/>
      </c>
      <c r="O442" s="21">
        <f>IFERROR(BDH(Database!$A442&amp;" HK Equity","PE_RATIO",Database!$G442,Database!$G442),"")</f>
        <v/>
      </c>
      <c r="P442" s="60">
        <f>IF(Database!AI442="","(n/m or not derivable)",Database!AI442)</f>
        <v/>
      </c>
    </row>
    <row r="443">
      <c r="A443" s="4">
        <f>Database!A443&amp;"  "&amp;Database!B443</f>
        <v/>
      </c>
      <c r="B443" s="6">
        <f>IFERROR(INDEX(BDS(Database!$A443&amp;" HK Equity","EQUITY_OFFERINGS","array=t","endcol=1"),MATCH("IPO",BDS(Database!$A443&amp;" HK Equity","EQUITY_OFFERINGS","array=t","startcol=2","endcol=2"),0)),"")</f>
        <v/>
      </c>
      <c r="C443" s="64">
        <f>IF($B443="","",IFERROR(BDP($B443&amp;" Action","CP036"),""))</f>
        <v/>
      </c>
      <c r="D443" s="65">
        <f>Database!Q443</f>
        <v/>
      </c>
      <c r="E443" s="64">
        <f>IF($B443="","",IFERROR(BDP($B443&amp;" Action","CP037"),""))</f>
        <v/>
      </c>
      <c r="F443" s="65">
        <f>Database!R443</f>
        <v/>
      </c>
      <c r="G443" s="64">
        <f>IF($B443="","",IFERROR(BDP($B443&amp;" Action","GREENSHOE_FACILITY"),""))</f>
        <v/>
      </c>
      <c r="H443" s="64">
        <f>IF($B443="","",IFERROR(BDP($B443&amp;" Action","OFFERING_GREENSHOE_SHARES_EX"),""))</f>
        <v/>
      </c>
      <c r="I443" s="4">
        <f>Database!V443</f>
        <v/>
      </c>
      <c r="J443" s="21">
        <f>IFERROR(BDP(Database!$A443&amp;" HK Equity","PE_RATIO"),"")</f>
        <v/>
      </c>
      <c r="K443" s="6">
        <f>IFERROR(BDP(Database!$A443&amp;" HK Equity","A/H_SHARE_CONVERSION"),"")</f>
        <v/>
      </c>
      <c r="L443" s="4">
        <f>IF(Database!AL443="","(none found)",Database!AL443)</f>
        <v/>
      </c>
      <c r="M443" s="9">
        <f>IFERROR(BDH(Database!$A443&amp;" HK Equity","CUR_MKT_CAP",Database!$G443,Database!$G443)/1000000,"")</f>
        <v/>
      </c>
      <c r="N443" s="63">
        <f>Database!O443</f>
        <v/>
      </c>
      <c r="O443" s="21">
        <f>IFERROR(BDH(Database!$A443&amp;" HK Equity","PE_RATIO",Database!$G443,Database!$G443),"")</f>
        <v/>
      </c>
      <c r="P443" s="60">
        <f>IF(Database!AI443="","(n/m or not derivable)",Database!AI443)</f>
        <v/>
      </c>
    </row>
    <row r="444">
      <c r="A444" s="4">
        <f>Database!A444&amp;"  "&amp;Database!B444</f>
        <v/>
      </c>
      <c r="B444" s="6">
        <f>IFERROR(INDEX(BDS(Database!$A444&amp;" HK Equity","EQUITY_OFFERINGS","array=t","endcol=1"),MATCH("IPO",BDS(Database!$A444&amp;" HK Equity","EQUITY_OFFERINGS","array=t","startcol=2","endcol=2"),0)),"")</f>
        <v/>
      </c>
      <c r="C444" s="64">
        <f>IF($B444="","",IFERROR(BDP($B444&amp;" Action","CP036"),""))</f>
        <v/>
      </c>
      <c r="D444" s="65">
        <f>Database!Q444</f>
        <v/>
      </c>
      <c r="E444" s="64">
        <f>IF($B444="","",IFERROR(BDP($B444&amp;" Action","CP037"),""))</f>
        <v/>
      </c>
      <c r="F444" s="65">
        <f>Database!R444</f>
        <v/>
      </c>
      <c r="G444" s="64">
        <f>IF($B444="","",IFERROR(BDP($B444&amp;" Action","GREENSHOE_FACILITY"),""))</f>
        <v/>
      </c>
      <c r="H444" s="64">
        <f>IF($B444="","",IFERROR(BDP($B444&amp;" Action","OFFERING_GREENSHOE_SHARES_EX"),""))</f>
        <v/>
      </c>
      <c r="I444" s="4">
        <f>Database!V444</f>
        <v/>
      </c>
      <c r="J444" s="21">
        <f>IFERROR(BDP(Database!$A444&amp;" HK Equity","PE_RATIO"),"")</f>
        <v/>
      </c>
      <c r="K444" s="6">
        <f>IFERROR(BDP(Database!$A444&amp;" HK Equity","A/H_SHARE_CONVERSION"),"")</f>
        <v/>
      </c>
      <c r="L444" s="4">
        <f>IF(Database!AL444="","(none found)",Database!AL444)</f>
        <v/>
      </c>
      <c r="M444" s="9">
        <f>IFERROR(BDH(Database!$A444&amp;" HK Equity","CUR_MKT_CAP",Database!$G444,Database!$G444)/1000000,"")</f>
        <v/>
      </c>
      <c r="N444" s="63">
        <f>Database!O444</f>
        <v/>
      </c>
      <c r="O444" s="21">
        <f>IFERROR(BDH(Database!$A444&amp;" HK Equity","PE_RATIO",Database!$G444,Database!$G444),"")</f>
        <v/>
      </c>
      <c r="P444" s="60">
        <f>IF(Database!AI444="","(n/m or not derivable)",Database!AI444)</f>
        <v/>
      </c>
    </row>
    <row r="445">
      <c r="A445" s="4">
        <f>Database!A445&amp;"  "&amp;Database!B445</f>
        <v/>
      </c>
      <c r="B445" s="6">
        <f>IFERROR(INDEX(BDS(Database!$A445&amp;" HK Equity","EQUITY_OFFERINGS","array=t","endcol=1"),MATCH("IPO",BDS(Database!$A445&amp;" HK Equity","EQUITY_OFFERINGS","array=t","startcol=2","endcol=2"),0)),"")</f>
        <v/>
      </c>
      <c r="C445" s="64">
        <f>IF($B445="","",IFERROR(BDP($B445&amp;" Action","CP036"),""))</f>
        <v/>
      </c>
      <c r="D445" s="65">
        <f>Database!Q445</f>
        <v/>
      </c>
      <c r="E445" s="64">
        <f>IF($B445="","",IFERROR(BDP($B445&amp;" Action","CP037"),""))</f>
        <v/>
      </c>
      <c r="F445" s="65">
        <f>Database!R445</f>
        <v/>
      </c>
      <c r="G445" s="64">
        <f>IF($B445="","",IFERROR(BDP($B445&amp;" Action","GREENSHOE_FACILITY"),""))</f>
        <v/>
      </c>
      <c r="H445" s="64">
        <f>IF($B445="","",IFERROR(BDP($B445&amp;" Action","OFFERING_GREENSHOE_SHARES_EX"),""))</f>
        <v/>
      </c>
      <c r="I445" s="4">
        <f>Database!V445</f>
        <v/>
      </c>
      <c r="J445" s="21">
        <f>IFERROR(BDP(Database!$A445&amp;" HK Equity","PE_RATIO"),"")</f>
        <v/>
      </c>
      <c r="K445" s="6">
        <f>IFERROR(BDP(Database!$A445&amp;" HK Equity","A/H_SHARE_CONVERSION"),"")</f>
        <v/>
      </c>
      <c r="L445" s="4">
        <f>IF(Database!AL445="","(none found)",Database!AL445)</f>
        <v/>
      </c>
      <c r="M445" s="9">
        <f>IFERROR(BDH(Database!$A445&amp;" HK Equity","CUR_MKT_CAP",Database!$G445,Database!$G445)/1000000,"")</f>
        <v/>
      </c>
      <c r="N445" s="63">
        <f>Database!O445</f>
        <v/>
      </c>
      <c r="O445" s="21">
        <f>IFERROR(BDH(Database!$A445&amp;" HK Equity","PE_RATIO",Database!$G445,Database!$G445),"")</f>
        <v/>
      </c>
      <c r="P445" s="60">
        <f>IF(Database!AI445="","(n/m or not derivable)",Database!AI445)</f>
        <v/>
      </c>
    </row>
    <row r="446">
      <c r="A446" s="4">
        <f>Database!A446&amp;"  "&amp;Database!B446</f>
        <v/>
      </c>
      <c r="B446" s="6">
        <f>IFERROR(INDEX(BDS(Database!$A446&amp;" HK Equity","EQUITY_OFFERINGS","array=t","endcol=1"),MATCH("IPO",BDS(Database!$A446&amp;" HK Equity","EQUITY_OFFERINGS","array=t","startcol=2","endcol=2"),0)),"")</f>
        <v/>
      </c>
      <c r="C446" s="64">
        <f>IF($B446="","",IFERROR(BDP($B446&amp;" Action","CP036"),""))</f>
        <v/>
      </c>
      <c r="D446" s="65">
        <f>Database!Q446</f>
        <v/>
      </c>
      <c r="E446" s="64">
        <f>IF($B446="","",IFERROR(BDP($B446&amp;" Action","CP037"),""))</f>
        <v/>
      </c>
      <c r="F446" s="65">
        <f>Database!R446</f>
        <v/>
      </c>
      <c r="G446" s="64">
        <f>IF($B446="","",IFERROR(BDP($B446&amp;" Action","GREENSHOE_FACILITY"),""))</f>
        <v/>
      </c>
      <c r="H446" s="64">
        <f>IF($B446="","",IFERROR(BDP($B446&amp;" Action","OFFERING_GREENSHOE_SHARES_EX"),""))</f>
        <v/>
      </c>
      <c r="I446" s="4">
        <f>Database!V446</f>
        <v/>
      </c>
      <c r="J446" s="21">
        <f>IFERROR(BDP(Database!$A446&amp;" HK Equity","PE_RATIO"),"")</f>
        <v/>
      </c>
      <c r="K446" s="6">
        <f>IFERROR(BDP(Database!$A446&amp;" HK Equity","A/H_SHARE_CONVERSION"),"")</f>
        <v/>
      </c>
      <c r="L446" s="4">
        <f>IF(Database!AL446="","(none found)",Database!AL446)</f>
        <v/>
      </c>
      <c r="M446" s="9">
        <f>IFERROR(BDH(Database!$A446&amp;" HK Equity","CUR_MKT_CAP",Database!$G446,Database!$G446)/1000000,"")</f>
        <v/>
      </c>
      <c r="N446" s="63">
        <f>Database!O446</f>
        <v/>
      </c>
      <c r="O446" s="21">
        <f>IFERROR(BDH(Database!$A446&amp;" HK Equity","PE_RATIO",Database!$G446,Database!$G446),"")</f>
        <v/>
      </c>
      <c r="P446" s="60">
        <f>IF(Database!AI446="","(n/m or not derivable)",Database!AI446)</f>
        <v/>
      </c>
    </row>
    <row r="447">
      <c r="A447" s="4">
        <f>Database!A447&amp;"  "&amp;Database!B447</f>
        <v/>
      </c>
      <c r="B447" s="6">
        <f>IFERROR(INDEX(BDS(Database!$A447&amp;" HK Equity","EQUITY_OFFERINGS","array=t","endcol=1"),MATCH("IPO",BDS(Database!$A447&amp;" HK Equity","EQUITY_OFFERINGS","array=t","startcol=2","endcol=2"),0)),"")</f>
        <v/>
      </c>
      <c r="C447" s="64">
        <f>IF($B447="","",IFERROR(BDP($B447&amp;" Action","CP036"),""))</f>
        <v/>
      </c>
      <c r="D447" s="65">
        <f>Database!Q447</f>
        <v/>
      </c>
      <c r="E447" s="64">
        <f>IF($B447="","",IFERROR(BDP($B447&amp;" Action","CP037"),""))</f>
        <v/>
      </c>
      <c r="F447" s="65">
        <f>Database!R447</f>
        <v/>
      </c>
      <c r="G447" s="64">
        <f>IF($B447="","",IFERROR(BDP($B447&amp;" Action","GREENSHOE_FACILITY"),""))</f>
        <v/>
      </c>
      <c r="H447" s="64">
        <f>IF($B447="","",IFERROR(BDP($B447&amp;" Action","OFFERING_GREENSHOE_SHARES_EX"),""))</f>
        <v/>
      </c>
      <c r="I447" s="4">
        <f>Database!V447</f>
        <v/>
      </c>
      <c r="J447" s="21">
        <f>IFERROR(BDP(Database!$A447&amp;" HK Equity","PE_RATIO"),"")</f>
        <v/>
      </c>
      <c r="K447" s="6">
        <f>IFERROR(BDP(Database!$A447&amp;" HK Equity","A/H_SHARE_CONVERSION"),"")</f>
        <v/>
      </c>
      <c r="L447" s="4">
        <f>IF(Database!AL447="","(none found)",Database!AL447)</f>
        <v/>
      </c>
      <c r="M447" s="9">
        <f>IFERROR(BDH(Database!$A447&amp;" HK Equity","CUR_MKT_CAP",Database!$G447,Database!$G447)/1000000,"")</f>
        <v/>
      </c>
      <c r="N447" s="63">
        <f>Database!O447</f>
        <v/>
      </c>
      <c r="O447" s="21">
        <f>IFERROR(BDH(Database!$A447&amp;" HK Equity","PE_RATIO",Database!$G447,Database!$G447),"")</f>
        <v/>
      </c>
      <c r="P447" s="60">
        <f>IF(Database!AI447="","(n/m or not derivable)",Database!AI447)</f>
        <v/>
      </c>
    </row>
    <row r="448">
      <c r="A448" s="4">
        <f>Database!A448&amp;"  "&amp;Database!B448</f>
        <v/>
      </c>
      <c r="B448" s="6">
        <f>IFERROR(INDEX(BDS(Database!$A448&amp;" HK Equity","EQUITY_OFFERINGS","array=t","endcol=1"),MATCH("IPO",BDS(Database!$A448&amp;" HK Equity","EQUITY_OFFERINGS","array=t","startcol=2","endcol=2"),0)),"")</f>
        <v/>
      </c>
      <c r="C448" s="64">
        <f>IF($B448="","",IFERROR(BDP($B448&amp;" Action","CP036"),""))</f>
        <v/>
      </c>
      <c r="D448" s="65">
        <f>Database!Q448</f>
        <v/>
      </c>
      <c r="E448" s="64">
        <f>IF($B448="","",IFERROR(BDP($B448&amp;" Action","CP037"),""))</f>
        <v/>
      </c>
      <c r="F448" s="65">
        <f>Database!R448</f>
        <v/>
      </c>
      <c r="G448" s="64">
        <f>IF($B448="","",IFERROR(BDP($B448&amp;" Action","GREENSHOE_FACILITY"),""))</f>
        <v/>
      </c>
      <c r="H448" s="64">
        <f>IF($B448="","",IFERROR(BDP($B448&amp;" Action","OFFERING_GREENSHOE_SHARES_EX"),""))</f>
        <v/>
      </c>
      <c r="I448" s="4">
        <f>Database!V448</f>
        <v/>
      </c>
      <c r="J448" s="21">
        <f>IFERROR(BDP(Database!$A448&amp;" HK Equity","PE_RATIO"),"")</f>
        <v/>
      </c>
      <c r="K448" s="6">
        <f>IFERROR(BDP(Database!$A448&amp;" HK Equity","A/H_SHARE_CONVERSION"),"")</f>
        <v/>
      </c>
      <c r="L448" s="4">
        <f>IF(Database!AL448="","(none found)",Database!AL448)</f>
        <v/>
      </c>
      <c r="M448" s="9">
        <f>IFERROR(BDH(Database!$A448&amp;" HK Equity","CUR_MKT_CAP",Database!$G448,Database!$G448)/1000000,"")</f>
        <v/>
      </c>
      <c r="N448" s="63">
        <f>Database!O448</f>
        <v/>
      </c>
      <c r="O448" s="21">
        <f>IFERROR(BDH(Database!$A448&amp;" HK Equity","PE_RATIO",Database!$G448,Database!$G448),"")</f>
        <v/>
      </c>
      <c r="P448" s="60">
        <f>IF(Database!AI448="","(n/m or not derivable)",Database!AI448)</f>
        <v/>
      </c>
    </row>
    <row r="449">
      <c r="A449" s="4">
        <f>Database!A449&amp;"  "&amp;Database!B449</f>
        <v/>
      </c>
      <c r="B449" s="6">
        <f>IFERROR(INDEX(BDS(Database!$A449&amp;" HK Equity","EQUITY_OFFERINGS","array=t","endcol=1"),MATCH("IPO",BDS(Database!$A449&amp;" HK Equity","EQUITY_OFFERINGS","array=t","startcol=2","endcol=2"),0)),"")</f>
        <v/>
      </c>
      <c r="C449" s="64">
        <f>IF($B449="","",IFERROR(BDP($B449&amp;" Action","CP036"),""))</f>
        <v/>
      </c>
      <c r="D449" s="65">
        <f>Database!Q449</f>
        <v/>
      </c>
      <c r="E449" s="64">
        <f>IF($B449="","",IFERROR(BDP($B449&amp;" Action","CP037"),""))</f>
        <v/>
      </c>
      <c r="F449" s="65">
        <f>Database!R449</f>
        <v/>
      </c>
      <c r="G449" s="64">
        <f>IF($B449="","",IFERROR(BDP($B449&amp;" Action","GREENSHOE_FACILITY"),""))</f>
        <v/>
      </c>
      <c r="H449" s="64">
        <f>IF($B449="","",IFERROR(BDP($B449&amp;" Action","OFFERING_GREENSHOE_SHARES_EX"),""))</f>
        <v/>
      </c>
      <c r="I449" s="4">
        <f>Database!V449</f>
        <v/>
      </c>
      <c r="J449" s="21">
        <f>IFERROR(BDP(Database!$A449&amp;" HK Equity","PE_RATIO"),"")</f>
        <v/>
      </c>
      <c r="K449" s="6">
        <f>IFERROR(BDP(Database!$A449&amp;" HK Equity","A/H_SHARE_CONVERSION"),"")</f>
        <v/>
      </c>
      <c r="L449" s="4">
        <f>IF(Database!AL449="","(none found)",Database!AL449)</f>
        <v/>
      </c>
      <c r="M449" s="9">
        <f>IFERROR(BDH(Database!$A449&amp;" HK Equity","CUR_MKT_CAP",Database!$G449,Database!$G449)/1000000,"")</f>
        <v/>
      </c>
      <c r="N449" s="63">
        <f>Database!O449</f>
        <v/>
      </c>
      <c r="O449" s="21">
        <f>IFERROR(BDH(Database!$A449&amp;" HK Equity","PE_RATIO",Database!$G449,Database!$G449),"")</f>
        <v/>
      </c>
      <c r="P449" s="60">
        <f>IF(Database!AI449="","(n/m or not derivable)",Database!AI449)</f>
        <v/>
      </c>
    </row>
    <row r="450">
      <c r="A450" s="4">
        <f>Database!A450&amp;"  "&amp;Database!B450</f>
        <v/>
      </c>
      <c r="B450" s="6">
        <f>IFERROR(INDEX(BDS(Database!$A450&amp;" HK Equity","EQUITY_OFFERINGS","array=t","endcol=1"),MATCH("IPO",BDS(Database!$A450&amp;" HK Equity","EQUITY_OFFERINGS","array=t","startcol=2","endcol=2"),0)),"")</f>
        <v/>
      </c>
      <c r="C450" s="64">
        <f>IF($B450="","",IFERROR(BDP($B450&amp;" Action","CP036"),""))</f>
        <v/>
      </c>
      <c r="D450" s="65">
        <f>Database!Q450</f>
        <v/>
      </c>
      <c r="E450" s="64">
        <f>IF($B450="","",IFERROR(BDP($B450&amp;" Action","CP037"),""))</f>
        <v/>
      </c>
      <c r="F450" s="65">
        <f>Database!R450</f>
        <v/>
      </c>
      <c r="G450" s="64">
        <f>IF($B450="","",IFERROR(BDP($B450&amp;" Action","GREENSHOE_FACILITY"),""))</f>
        <v/>
      </c>
      <c r="H450" s="64">
        <f>IF($B450="","",IFERROR(BDP($B450&amp;" Action","OFFERING_GREENSHOE_SHARES_EX"),""))</f>
        <v/>
      </c>
      <c r="I450" s="4">
        <f>Database!V450</f>
        <v/>
      </c>
      <c r="J450" s="21">
        <f>IFERROR(BDP(Database!$A450&amp;" HK Equity","PE_RATIO"),"")</f>
        <v/>
      </c>
      <c r="K450" s="6">
        <f>IFERROR(BDP(Database!$A450&amp;" HK Equity","A/H_SHARE_CONVERSION"),"")</f>
        <v/>
      </c>
      <c r="L450" s="4">
        <f>IF(Database!AL450="","(none found)",Database!AL450)</f>
        <v/>
      </c>
      <c r="M450" s="9">
        <f>IFERROR(BDH(Database!$A450&amp;" HK Equity","CUR_MKT_CAP",Database!$G450,Database!$G450)/1000000,"")</f>
        <v/>
      </c>
      <c r="N450" s="63">
        <f>Database!O450</f>
        <v/>
      </c>
      <c r="O450" s="21">
        <f>IFERROR(BDH(Database!$A450&amp;" HK Equity","PE_RATIO",Database!$G450,Database!$G450),"")</f>
        <v/>
      </c>
      <c r="P450" s="60">
        <f>IF(Database!AI450="","(n/m or not derivable)",Database!AI450)</f>
        <v/>
      </c>
    </row>
    <row r="451">
      <c r="A451" s="4">
        <f>Database!A451&amp;"  "&amp;Database!B451</f>
        <v/>
      </c>
      <c r="B451" s="6">
        <f>IFERROR(INDEX(BDS(Database!$A451&amp;" HK Equity","EQUITY_OFFERINGS","array=t","endcol=1"),MATCH("IPO",BDS(Database!$A451&amp;" HK Equity","EQUITY_OFFERINGS","array=t","startcol=2","endcol=2"),0)),"")</f>
        <v/>
      </c>
      <c r="C451" s="64">
        <f>IF($B451="","",IFERROR(BDP($B451&amp;" Action","CP036"),""))</f>
        <v/>
      </c>
      <c r="D451" s="65">
        <f>Database!Q451</f>
        <v/>
      </c>
      <c r="E451" s="64">
        <f>IF($B451="","",IFERROR(BDP($B451&amp;" Action","CP037"),""))</f>
        <v/>
      </c>
      <c r="F451" s="65">
        <f>Database!R451</f>
        <v/>
      </c>
      <c r="G451" s="64">
        <f>IF($B451="","",IFERROR(BDP($B451&amp;" Action","GREENSHOE_FACILITY"),""))</f>
        <v/>
      </c>
      <c r="H451" s="64">
        <f>IF($B451="","",IFERROR(BDP($B451&amp;" Action","OFFERING_GREENSHOE_SHARES_EX"),""))</f>
        <v/>
      </c>
      <c r="I451" s="4">
        <f>Database!V451</f>
        <v/>
      </c>
      <c r="J451" s="21">
        <f>IFERROR(BDP(Database!$A451&amp;" HK Equity","PE_RATIO"),"")</f>
        <v/>
      </c>
      <c r="K451" s="6">
        <f>IFERROR(BDP(Database!$A451&amp;" HK Equity","A/H_SHARE_CONVERSION"),"")</f>
        <v/>
      </c>
      <c r="L451" s="4">
        <f>IF(Database!AL451="","(none found)",Database!AL451)</f>
        <v/>
      </c>
      <c r="M451" s="9">
        <f>IFERROR(BDH(Database!$A451&amp;" HK Equity","CUR_MKT_CAP",Database!$G451,Database!$G451)/1000000,"")</f>
        <v/>
      </c>
      <c r="N451" s="63">
        <f>Database!O451</f>
        <v/>
      </c>
      <c r="O451" s="21">
        <f>IFERROR(BDH(Database!$A451&amp;" HK Equity","PE_RATIO",Database!$G451,Database!$G451),"")</f>
        <v/>
      </c>
      <c r="P451" s="60">
        <f>IF(Database!AI451="","(n/m or not derivable)",Database!AI451)</f>
        <v/>
      </c>
    </row>
    <row r="452">
      <c r="A452" s="4">
        <f>Database!A452&amp;"  "&amp;Database!B452</f>
        <v/>
      </c>
      <c r="B452" s="6">
        <f>IFERROR(INDEX(BDS(Database!$A452&amp;" HK Equity","EQUITY_OFFERINGS","array=t","endcol=1"),MATCH("IPO",BDS(Database!$A452&amp;" HK Equity","EQUITY_OFFERINGS","array=t","startcol=2","endcol=2"),0)),"")</f>
        <v/>
      </c>
      <c r="C452" s="64">
        <f>IF($B452="","",IFERROR(BDP($B452&amp;" Action","CP036"),""))</f>
        <v/>
      </c>
      <c r="D452" s="65">
        <f>Database!Q452</f>
        <v/>
      </c>
      <c r="E452" s="64">
        <f>IF($B452="","",IFERROR(BDP($B452&amp;" Action","CP037"),""))</f>
        <v/>
      </c>
      <c r="F452" s="65">
        <f>Database!R452</f>
        <v/>
      </c>
      <c r="G452" s="64">
        <f>IF($B452="","",IFERROR(BDP($B452&amp;" Action","GREENSHOE_FACILITY"),""))</f>
        <v/>
      </c>
      <c r="H452" s="64">
        <f>IF($B452="","",IFERROR(BDP($B452&amp;" Action","OFFERING_GREENSHOE_SHARES_EX"),""))</f>
        <v/>
      </c>
      <c r="I452" s="4">
        <f>Database!V452</f>
        <v/>
      </c>
      <c r="J452" s="21">
        <f>IFERROR(BDP(Database!$A452&amp;" HK Equity","PE_RATIO"),"")</f>
        <v/>
      </c>
      <c r="K452" s="6">
        <f>IFERROR(BDP(Database!$A452&amp;" HK Equity","A/H_SHARE_CONVERSION"),"")</f>
        <v/>
      </c>
      <c r="L452" s="4">
        <f>IF(Database!AL452="","(none found)",Database!AL452)</f>
        <v/>
      </c>
      <c r="M452" s="9">
        <f>IFERROR(BDH(Database!$A452&amp;" HK Equity","CUR_MKT_CAP",Database!$G452,Database!$G452)/1000000,"")</f>
        <v/>
      </c>
      <c r="N452" s="63">
        <f>Database!O452</f>
        <v/>
      </c>
      <c r="O452" s="21">
        <f>IFERROR(BDH(Database!$A452&amp;" HK Equity","PE_RATIO",Database!$G452,Database!$G452),"")</f>
        <v/>
      </c>
      <c r="P452" s="60">
        <f>IF(Database!AI452="","(n/m or not derivable)",Database!AI452)</f>
        <v/>
      </c>
    </row>
    <row r="453">
      <c r="A453" s="4">
        <f>Database!A453&amp;"  "&amp;Database!B453</f>
        <v/>
      </c>
      <c r="B453" s="6">
        <f>IFERROR(INDEX(BDS(Database!$A453&amp;" HK Equity","EQUITY_OFFERINGS","array=t","endcol=1"),MATCH("IPO",BDS(Database!$A453&amp;" HK Equity","EQUITY_OFFERINGS","array=t","startcol=2","endcol=2"),0)),"")</f>
        <v/>
      </c>
      <c r="C453" s="64">
        <f>IF($B453="","",IFERROR(BDP($B453&amp;" Action","CP036"),""))</f>
        <v/>
      </c>
      <c r="D453" s="65">
        <f>Database!Q453</f>
        <v/>
      </c>
      <c r="E453" s="64">
        <f>IF($B453="","",IFERROR(BDP($B453&amp;" Action","CP037"),""))</f>
        <v/>
      </c>
      <c r="F453" s="65">
        <f>Database!R453</f>
        <v/>
      </c>
      <c r="G453" s="64">
        <f>IF($B453="","",IFERROR(BDP($B453&amp;" Action","GREENSHOE_FACILITY"),""))</f>
        <v/>
      </c>
      <c r="H453" s="64">
        <f>IF($B453="","",IFERROR(BDP($B453&amp;" Action","OFFERING_GREENSHOE_SHARES_EX"),""))</f>
        <v/>
      </c>
      <c r="I453" s="4">
        <f>Database!V453</f>
        <v/>
      </c>
      <c r="J453" s="21">
        <f>IFERROR(BDP(Database!$A453&amp;" HK Equity","PE_RATIO"),"")</f>
        <v/>
      </c>
      <c r="K453" s="6">
        <f>IFERROR(BDP(Database!$A453&amp;" HK Equity","A/H_SHARE_CONVERSION"),"")</f>
        <v/>
      </c>
      <c r="L453" s="4">
        <f>IF(Database!AL453="","(none found)",Database!AL453)</f>
        <v/>
      </c>
      <c r="M453" s="9">
        <f>IFERROR(BDH(Database!$A453&amp;" HK Equity","CUR_MKT_CAP",Database!$G453,Database!$G453)/1000000,"")</f>
        <v/>
      </c>
      <c r="N453" s="63">
        <f>Database!O453</f>
        <v/>
      </c>
      <c r="O453" s="21">
        <f>IFERROR(BDH(Database!$A453&amp;" HK Equity","PE_RATIO",Database!$G453,Database!$G453),"")</f>
        <v/>
      </c>
      <c r="P453" s="60">
        <f>IF(Database!AI453="","(n/m or not derivable)",Database!AI453)</f>
        <v/>
      </c>
    </row>
    <row r="454">
      <c r="A454" s="4">
        <f>Database!A454&amp;"  "&amp;Database!B454</f>
        <v/>
      </c>
      <c r="B454" s="6">
        <f>IFERROR(INDEX(BDS(Database!$A454&amp;" HK Equity","EQUITY_OFFERINGS","array=t","endcol=1"),MATCH("IPO",BDS(Database!$A454&amp;" HK Equity","EQUITY_OFFERINGS","array=t","startcol=2","endcol=2"),0)),"")</f>
        <v/>
      </c>
      <c r="C454" s="64">
        <f>IF($B454="","",IFERROR(BDP($B454&amp;" Action","CP036"),""))</f>
        <v/>
      </c>
      <c r="D454" s="65">
        <f>Database!Q454</f>
        <v/>
      </c>
      <c r="E454" s="64">
        <f>IF($B454="","",IFERROR(BDP($B454&amp;" Action","CP037"),""))</f>
        <v/>
      </c>
      <c r="F454" s="65">
        <f>Database!R454</f>
        <v/>
      </c>
      <c r="G454" s="64">
        <f>IF($B454="","",IFERROR(BDP($B454&amp;" Action","GREENSHOE_FACILITY"),""))</f>
        <v/>
      </c>
      <c r="H454" s="64">
        <f>IF($B454="","",IFERROR(BDP($B454&amp;" Action","OFFERING_GREENSHOE_SHARES_EX"),""))</f>
        <v/>
      </c>
      <c r="I454" s="4">
        <f>Database!V454</f>
        <v/>
      </c>
      <c r="J454" s="21">
        <f>IFERROR(BDP(Database!$A454&amp;" HK Equity","PE_RATIO"),"")</f>
        <v/>
      </c>
      <c r="K454" s="6">
        <f>IFERROR(BDP(Database!$A454&amp;" HK Equity","A/H_SHARE_CONVERSION"),"")</f>
        <v/>
      </c>
      <c r="L454" s="4">
        <f>IF(Database!AL454="","(none found)",Database!AL454)</f>
        <v/>
      </c>
      <c r="M454" s="9">
        <f>IFERROR(BDH(Database!$A454&amp;" HK Equity","CUR_MKT_CAP",Database!$G454,Database!$G454)/1000000,"")</f>
        <v/>
      </c>
      <c r="N454" s="63">
        <f>Database!O454</f>
        <v/>
      </c>
      <c r="O454" s="21">
        <f>IFERROR(BDH(Database!$A454&amp;" HK Equity","PE_RATIO",Database!$G454,Database!$G454),"")</f>
        <v/>
      </c>
      <c r="P454" s="60">
        <f>IF(Database!AI454="","(n/m or not derivable)",Database!AI454)</f>
        <v/>
      </c>
    </row>
    <row r="455">
      <c r="A455" s="4">
        <f>Database!A455&amp;"  "&amp;Database!B455</f>
        <v/>
      </c>
      <c r="B455" s="6">
        <f>IFERROR(INDEX(BDS(Database!$A455&amp;" HK Equity","EQUITY_OFFERINGS","array=t","endcol=1"),MATCH("IPO",BDS(Database!$A455&amp;" HK Equity","EQUITY_OFFERINGS","array=t","startcol=2","endcol=2"),0)),"")</f>
        <v/>
      </c>
      <c r="C455" s="64">
        <f>IF($B455="","",IFERROR(BDP($B455&amp;" Action","CP036"),""))</f>
        <v/>
      </c>
      <c r="D455" s="65">
        <f>Database!Q455</f>
        <v/>
      </c>
      <c r="E455" s="64">
        <f>IF($B455="","",IFERROR(BDP($B455&amp;" Action","CP037"),""))</f>
        <v/>
      </c>
      <c r="F455" s="65">
        <f>Database!R455</f>
        <v/>
      </c>
      <c r="G455" s="64">
        <f>IF($B455="","",IFERROR(BDP($B455&amp;" Action","GREENSHOE_FACILITY"),""))</f>
        <v/>
      </c>
      <c r="H455" s="64">
        <f>IF($B455="","",IFERROR(BDP($B455&amp;" Action","OFFERING_GREENSHOE_SHARES_EX"),""))</f>
        <v/>
      </c>
      <c r="I455" s="4">
        <f>Database!V455</f>
        <v/>
      </c>
      <c r="J455" s="21">
        <f>IFERROR(BDP(Database!$A455&amp;" HK Equity","PE_RATIO"),"")</f>
        <v/>
      </c>
      <c r="K455" s="6">
        <f>IFERROR(BDP(Database!$A455&amp;" HK Equity","A/H_SHARE_CONVERSION"),"")</f>
        <v/>
      </c>
      <c r="L455" s="4">
        <f>IF(Database!AL455="","(none found)",Database!AL455)</f>
        <v/>
      </c>
      <c r="M455" s="9">
        <f>IFERROR(BDH(Database!$A455&amp;" HK Equity","CUR_MKT_CAP",Database!$G455,Database!$G455)/1000000,"")</f>
        <v/>
      </c>
      <c r="N455" s="63">
        <f>Database!O455</f>
        <v/>
      </c>
      <c r="O455" s="21">
        <f>IFERROR(BDH(Database!$A455&amp;" HK Equity","PE_RATIO",Database!$G455,Database!$G455),"")</f>
        <v/>
      </c>
      <c r="P455" s="60">
        <f>IF(Database!AI455="","(n/m or not derivable)",Database!AI455)</f>
        <v/>
      </c>
    </row>
    <row r="456">
      <c r="A456" s="4">
        <f>Database!A456&amp;"  "&amp;Database!B456</f>
        <v/>
      </c>
      <c r="B456" s="6">
        <f>IFERROR(INDEX(BDS(Database!$A456&amp;" HK Equity","EQUITY_OFFERINGS","array=t","endcol=1"),MATCH("IPO",BDS(Database!$A456&amp;" HK Equity","EQUITY_OFFERINGS","array=t","startcol=2","endcol=2"),0)),"")</f>
        <v/>
      </c>
      <c r="C456" s="64">
        <f>IF($B456="","",IFERROR(BDP($B456&amp;" Action","CP036"),""))</f>
        <v/>
      </c>
      <c r="D456" s="65">
        <f>Database!Q456</f>
        <v/>
      </c>
      <c r="E456" s="64">
        <f>IF($B456="","",IFERROR(BDP($B456&amp;" Action","CP037"),""))</f>
        <v/>
      </c>
      <c r="F456" s="65">
        <f>Database!R456</f>
        <v/>
      </c>
      <c r="G456" s="64">
        <f>IF($B456="","",IFERROR(BDP($B456&amp;" Action","GREENSHOE_FACILITY"),""))</f>
        <v/>
      </c>
      <c r="H456" s="64">
        <f>IF($B456="","",IFERROR(BDP($B456&amp;" Action","OFFERING_GREENSHOE_SHARES_EX"),""))</f>
        <v/>
      </c>
      <c r="I456" s="4">
        <f>Database!V456</f>
        <v/>
      </c>
      <c r="J456" s="21">
        <f>IFERROR(BDP(Database!$A456&amp;" HK Equity","PE_RATIO"),"")</f>
        <v/>
      </c>
      <c r="K456" s="6">
        <f>IFERROR(BDP(Database!$A456&amp;" HK Equity","A/H_SHARE_CONVERSION"),"")</f>
        <v/>
      </c>
      <c r="L456" s="4">
        <f>IF(Database!AL456="","(none found)",Database!AL456)</f>
        <v/>
      </c>
      <c r="M456" s="9">
        <f>IFERROR(BDH(Database!$A456&amp;" HK Equity","CUR_MKT_CAP",Database!$G456,Database!$G456)/1000000,"")</f>
        <v/>
      </c>
      <c r="N456" s="63">
        <f>Database!O456</f>
        <v/>
      </c>
      <c r="O456" s="21">
        <f>IFERROR(BDH(Database!$A456&amp;" HK Equity","PE_RATIO",Database!$G456,Database!$G456),"")</f>
        <v/>
      </c>
      <c r="P456" s="60">
        <f>IF(Database!AI456="","(n/m or not derivable)",Database!AI456)</f>
        <v/>
      </c>
    </row>
    <row r="457">
      <c r="A457" s="4">
        <f>Database!A457&amp;"  "&amp;Database!B457</f>
        <v/>
      </c>
      <c r="B457" s="6">
        <f>IFERROR(INDEX(BDS(Database!$A457&amp;" HK Equity","EQUITY_OFFERINGS","array=t","endcol=1"),MATCH("IPO",BDS(Database!$A457&amp;" HK Equity","EQUITY_OFFERINGS","array=t","startcol=2","endcol=2"),0)),"")</f>
        <v/>
      </c>
      <c r="C457" s="64">
        <f>IF($B457="","",IFERROR(BDP($B457&amp;" Action","CP036"),""))</f>
        <v/>
      </c>
      <c r="D457" s="65">
        <f>Database!Q457</f>
        <v/>
      </c>
      <c r="E457" s="64">
        <f>IF($B457="","",IFERROR(BDP($B457&amp;" Action","CP037"),""))</f>
        <v/>
      </c>
      <c r="F457" s="65">
        <f>Database!R457</f>
        <v/>
      </c>
      <c r="G457" s="64">
        <f>IF($B457="","",IFERROR(BDP($B457&amp;" Action","GREENSHOE_FACILITY"),""))</f>
        <v/>
      </c>
      <c r="H457" s="64">
        <f>IF($B457="","",IFERROR(BDP($B457&amp;" Action","OFFERING_GREENSHOE_SHARES_EX"),""))</f>
        <v/>
      </c>
      <c r="I457" s="4">
        <f>Database!V457</f>
        <v/>
      </c>
      <c r="J457" s="21">
        <f>IFERROR(BDP(Database!$A457&amp;" HK Equity","PE_RATIO"),"")</f>
        <v/>
      </c>
      <c r="K457" s="6">
        <f>IFERROR(BDP(Database!$A457&amp;" HK Equity","A/H_SHARE_CONVERSION"),"")</f>
        <v/>
      </c>
      <c r="L457" s="4">
        <f>IF(Database!AL457="","(none found)",Database!AL457)</f>
        <v/>
      </c>
      <c r="M457" s="9">
        <f>IFERROR(BDH(Database!$A457&amp;" HK Equity","CUR_MKT_CAP",Database!$G457,Database!$G457)/1000000,"")</f>
        <v/>
      </c>
      <c r="N457" s="63">
        <f>Database!O457</f>
        <v/>
      </c>
      <c r="O457" s="21">
        <f>IFERROR(BDH(Database!$A457&amp;" HK Equity","PE_RATIO",Database!$G457,Database!$G457),"")</f>
        <v/>
      </c>
      <c r="P457" s="60">
        <f>IF(Database!AI457="","(n/m or not derivable)",Database!AI457)</f>
        <v/>
      </c>
    </row>
    <row r="458">
      <c r="A458" s="4">
        <f>Database!A458&amp;"  "&amp;Database!B458</f>
        <v/>
      </c>
      <c r="B458" s="6">
        <f>IFERROR(INDEX(BDS(Database!$A458&amp;" HK Equity","EQUITY_OFFERINGS","array=t","endcol=1"),MATCH("IPO",BDS(Database!$A458&amp;" HK Equity","EQUITY_OFFERINGS","array=t","startcol=2","endcol=2"),0)),"")</f>
        <v/>
      </c>
      <c r="C458" s="64">
        <f>IF($B458="","",IFERROR(BDP($B458&amp;" Action","CP036"),""))</f>
        <v/>
      </c>
      <c r="D458" s="65">
        <f>Database!Q458</f>
        <v/>
      </c>
      <c r="E458" s="64">
        <f>IF($B458="","",IFERROR(BDP($B458&amp;" Action","CP037"),""))</f>
        <v/>
      </c>
      <c r="F458" s="65">
        <f>Database!R458</f>
        <v/>
      </c>
      <c r="G458" s="64">
        <f>IF($B458="","",IFERROR(BDP($B458&amp;" Action","GREENSHOE_FACILITY"),""))</f>
        <v/>
      </c>
      <c r="H458" s="64">
        <f>IF($B458="","",IFERROR(BDP($B458&amp;" Action","OFFERING_GREENSHOE_SHARES_EX"),""))</f>
        <v/>
      </c>
      <c r="I458" s="4">
        <f>Database!V458</f>
        <v/>
      </c>
      <c r="J458" s="21">
        <f>IFERROR(BDP(Database!$A458&amp;" HK Equity","PE_RATIO"),"")</f>
        <v/>
      </c>
      <c r="K458" s="6">
        <f>IFERROR(BDP(Database!$A458&amp;" HK Equity","A/H_SHARE_CONVERSION"),"")</f>
        <v/>
      </c>
      <c r="L458" s="4">
        <f>IF(Database!AL458="","(none found)",Database!AL458)</f>
        <v/>
      </c>
      <c r="M458" s="9">
        <f>IFERROR(BDH(Database!$A458&amp;" HK Equity","CUR_MKT_CAP",Database!$G458,Database!$G458)/1000000,"")</f>
        <v/>
      </c>
      <c r="N458" s="63">
        <f>Database!O458</f>
        <v/>
      </c>
      <c r="O458" s="21">
        <f>IFERROR(BDH(Database!$A458&amp;" HK Equity","PE_RATIO",Database!$G458,Database!$G458),"")</f>
        <v/>
      </c>
      <c r="P458" s="60">
        <f>IF(Database!AI458="","(n/m or not derivable)",Database!AI458)</f>
        <v/>
      </c>
    </row>
    <row r="459">
      <c r="A459" s="4">
        <f>Database!A459&amp;"  "&amp;Database!B459</f>
        <v/>
      </c>
      <c r="B459" s="6">
        <f>IFERROR(INDEX(BDS(Database!$A459&amp;" HK Equity","EQUITY_OFFERINGS","array=t","endcol=1"),MATCH("IPO",BDS(Database!$A459&amp;" HK Equity","EQUITY_OFFERINGS","array=t","startcol=2","endcol=2"),0)),"")</f>
        <v/>
      </c>
      <c r="C459" s="64">
        <f>IF($B459="","",IFERROR(BDP($B459&amp;" Action","CP036"),""))</f>
        <v/>
      </c>
      <c r="D459" s="65">
        <f>Database!Q459</f>
        <v/>
      </c>
      <c r="E459" s="64">
        <f>IF($B459="","",IFERROR(BDP($B459&amp;" Action","CP037"),""))</f>
        <v/>
      </c>
      <c r="F459" s="65">
        <f>Database!R459</f>
        <v/>
      </c>
      <c r="G459" s="64">
        <f>IF($B459="","",IFERROR(BDP($B459&amp;" Action","GREENSHOE_FACILITY"),""))</f>
        <v/>
      </c>
      <c r="H459" s="64">
        <f>IF($B459="","",IFERROR(BDP($B459&amp;" Action","OFFERING_GREENSHOE_SHARES_EX"),""))</f>
        <v/>
      </c>
      <c r="I459" s="4">
        <f>Database!V459</f>
        <v/>
      </c>
      <c r="J459" s="21">
        <f>IFERROR(BDP(Database!$A459&amp;" HK Equity","PE_RATIO"),"")</f>
        <v/>
      </c>
      <c r="K459" s="6">
        <f>IFERROR(BDP(Database!$A459&amp;" HK Equity","A/H_SHARE_CONVERSION"),"")</f>
        <v/>
      </c>
      <c r="L459" s="4">
        <f>IF(Database!AL459="","(none found)",Database!AL459)</f>
        <v/>
      </c>
      <c r="M459" s="9">
        <f>IFERROR(BDH(Database!$A459&amp;" HK Equity","CUR_MKT_CAP",Database!$G459,Database!$G459)/1000000,"")</f>
        <v/>
      </c>
      <c r="N459" s="63">
        <f>Database!O459</f>
        <v/>
      </c>
      <c r="O459" s="21">
        <f>IFERROR(BDH(Database!$A459&amp;" HK Equity","PE_RATIO",Database!$G459,Database!$G459),"")</f>
        <v/>
      </c>
      <c r="P459" s="60">
        <f>IF(Database!AI459="","(n/m or not derivable)",Database!AI459)</f>
        <v/>
      </c>
    </row>
    <row r="460">
      <c r="A460" s="4">
        <f>Database!A460&amp;"  "&amp;Database!B460</f>
        <v/>
      </c>
      <c r="B460" s="6">
        <f>IFERROR(INDEX(BDS(Database!$A460&amp;" HK Equity","EQUITY_OFFERINGS","array=t","endcol=1"),MATCH("IPO",BDS(Database!$A460&amp;" HK Equity","EQUITY_OFFERINGS","array=t","startcol=2","endcol=2"),0)),"")</f>
        <v/>
      </c>
      <c r="C460" s="64">
        <f>IF($B460="","",IFERROR(BDP($B460&amp;" Action","CP036"),""))</f>
        <v/>
      </c>
      <c r="D460" s="65">
        <f>Database!Q460</f>
        <v/>
      </c>
      <c r="E460" s="64">
        <f>IF($B460="","",IFERROR(BDP($B460&amp;" Action","CP037"),""))</f>
        <v/>
      </c>
      <c r="F460" s="65">
        <f>Database!R460</f>
        <v/>
      </c>
      <c r="G460" s="64">
        <f>IF($B460="","",IFERROR(BDP($B460&amp;" Action","GREENSHOE_FACILITY"),""))</f>
        <v/>
      </c>
      <c r="H460" s="64">
        <f>IF($B460="","",IFERROR(BDP($B460&amp;" Action","OFFERING_GREENSHOE_SHARES_EX"),""))</f>
        <v/>
      </c>
      <c r="I460" s="4">
        <f>Database!V460</f>
        <v/>
      </c>
      <c r="J460" s="21">
        <f>IFERROR(BDP(Database!$A460&amp;" HK Equity","PE_RATIO"),"")</f>
        <v/>
      </c>
      <c r="K460" s="6">
        <f>IFERROR(BDP(Database!$A460&amp;" HK Equity","A/H_SHARE_CONVERSION"),"")</f>
        <v/>
      </c>
      <c r="L460" s="4">
        <f>IF(Database!AL460="","(none found)",Database!AL460)</f>
        <v/>
      </c>
      <c r="M460" s="9">
        <f>IFERROR(BDH(Database!$A460&amp;" HK Equity","CUR_MKT_CAP",Database!$G460,Database!$G460)/1000000,"")</f>
        <v/>
      </c>
      <c r="N460" s="63">
        <f>Database!O460</f>
        <v/>
      </c>
      <c r="O460" s="21">
        <f>IFERROR(BDH(Database!$A460&amp;" HK Equity","PE_RATIO",Database!$G460,Database!$G460),"")</f>
        <v/>
      </c>
      <c r="P460" s="60">
        <f>IF(Database!AI460="","(n/m or not derivable)",Database!AI460)</f>
        <v/>
      </c>
    </row>
    <row r="461">
      <c r="A461" s="4">
        <f>Database!A461&amp;"  "&amp;Database!B461</f>
        <v/>
      </c>
      <c r="B461" s="6">
        <f>IFERROR(INDEX(BDS(Database!$A461&amp;" HK Equity","EQUITY_OFFERINGS","array=t","endcol=1"),MATCH("IPO",BDS(Database!$A461&amp;" HK Equity","EQUITY_OFFERINGS","array=t","startcol=2","endcol=2"),0)),"")</f>
        <v/>
      </c>
      <c r="C461" s="64">
        <f>IF($B461="","",IFERROR(BDP($B461&amp;" Action","CP036"),""))</f>
        <v/>
      </c>
      <c r="D461" s="65">
        <f>Database!Q461</f>
        <v/>
      </c>
      <c r="E461" s="64">
        <f>IF($B461="","",IFERROR(BDP($B461&amp;" Action","CP037"),""))</f>
        <v/>
      </c>
      <c r="F461" s="65">
        <f>Database!R461</f>
        <v/>
      </c>
      <c r="G461" s="64">
        <f>IF($B461="","",IFERROR(BDP($B461&amp;" Action","GREENSHOE_FACILITY"),""))</f>
        <v/>
      </c>
      <c r="H461" s="64">
        <f>IF($B461="","",IFERROR(BDP($B461&amp;" Action","OFFERING_GREENSHOE_SHARES_EX"),""))</f>
        <v/>
      </c>
      <c r="I461" s="4">
        <f>Database!V461</f>
        <v/>
      </c>
      <c r="J461" s="21">
        <f>IFERROR(BDP(Database!$A461&amp;" HK Equity","PE_RATIO"),"")</f>
        <v/>
      </c>
      <c r="K461" s="6">
        <f>IFERROR(BDP(Database!$A461&amp;" HK Equity","A/H_SHARE_CONVERSION"),"")</f>
        <v/>
      </c>
      <c r="L461" s="4">
        <f>IF(Database!AL461="","(none found)",Database!AL461)</f>
        <v/>
      </c>
      <c r="M461" s="9">
        <f>IFERROR(BDH(Database!$A461&amp;" HK Equity","CUR_MKT_CAP",Database!$G461,Database!$G461)/1000000,"")</f>
        <v/>
      </c>
      <c r="N461" s="63">
        <f>Database!O461</f>
        <v/>
      </c>
      <c r="O461" s="21">
        <f>IFERROR(BDH(Database!$A461&amp;" HK Equity","PE_RATIO",Database!$G461,Database!$G461),"")</f>
        <v/>
      </c>
      <c r="P461" s="60">
        <f>IF(Database!AI461="","(n/m or not derivable)",Database!AI461)</f>
        <v/>
      </c>
    </row>
    <row r="462">
      <c r="A462" s="4">
        <f>Database!A462&amp;"  "&amp;Database!B462</f>
        <v/>
      </c>
      <c r="B462" s="6">
        <f>IFERROR(INDEX(BDS(Database!$A462&amp;" HK Equity","EQUITY_OFFERINGS","array=t","endcol=1"),MATCH("IPO",BDS(Database!$A462&amp;" HK Equity","EQUITY_OFFERINGS","array=t","startcol=2","endcol=2"),0)),"")</f>
        <v/>
      </c>
      <c r="C462" s="64">
        <f>IF($B462="","",IFERROR(BDP($B462&amp;" Action","CP036"),""))</f>
        <v/>
      </c>
      <c r="D462" s="65">
        <f>Database!Q462</f>
        <v/>
      </c>
      <c r="E462" s="64">
        <f>IF($B462="","",IFERROR(BDP($B462&amp;" Action","CP037"),""))</f>
        <v/>
      </c>
      <c r="F462" s="65">
        <f>Database!R462</f>
        <v/>
      </c>
      <c r="G462" s="64">
        <f>IF($B462="","",IFERROR(BDP($B462&amp;" Action","GREENSHOE_FACILITY"),""))</f>
        <v/>
      </c>
      <c r="H462" s="64">
        <f>IF($B462="","",IFERROR(BDP($B462&amp;" Action","OFFERING_GREENSHOE_SHARES_EX"),""))</f>
        <v/>
      </c>
      <c r="I462" s="4">
        <f>Database!V462</f>
        <v/>
      </c>
      <c r="J462" s="21">
        <f>IFERROR(BDP(Database!$A462&amp;" HK Equity","PE_RATIO"),"")</f>
        <v/>
      </c>
      <c r="K462" s="6">
        <f>IFERROR(BDP(Database!$A462&amp;" HK Equity","A/H_SHARE_CONVERSION"),"")</f>
        <v/>
      </c>
      <c r="L462" s="4">
        <f>IF(Database!AL462="","(none found)",Database!AL462)</f>
        <v/>
      </c>
      <c r="M462" s="9">
        <f>IFERROR(BDH(Database!$A462&amp;" HK Equity","CUR_MKT_CAP",Database!$G462,Database!$G462)/1000000,"")</f>
        <v/>
      </c>
      <c r="N462" s="63">
        <f>Database!O462</f>
        <v/>
      </c>
      <c r="O462" s="21">
        <f>IFERROR(BDH(Database!$A462&amp;" HK Equity","PE_RATIO",Database!$G462,Database!$G462),"")</f>
        <v/>
      </c>
      <c r="P462" s="60">
        <f>IF(Database!AI462="","(n/m or not derivable)",Database!AI462)</f>
        <v/>
      </c>
    </row>
    <row r="463">
      <c r="A463" s="4">
        <f>Database!A463&amp;"  "&amp;Database!B463</f>
        <v/>
      </c>
      <c r="B463" s="6">
        <f>IFERROR(INDEX(BDS(Database!$A463&amp;" HK Equity","EQUITY_OFFERINGS","array=t","endcol=1"),MATCH("IPO",BDS(Database!$A463&amp;" HK Equity","EQUITY_OFFERINGS","array=t","startcol=2","endcol=2"),0)),"")</f>
        <v/>
      </c>
      <c r="C463" s="64">
        <f>IF($B463="","",IFERROR(BDP($B463&amp;" Action","CP036"),""))</f>
        <v/>
      </c>
      <c r="D463" s="65">
        <f>Database!Q463</f>
        <v/>
      </c>
      <c r="E463" s="64">
        <f>IF($B463="","",IFERROR(BDP($B463&amp;" Action","CP037"),""))</f>
        <v/>
      </c>
      <c r="F463" s="65">
        <f>Database!R463</f>
        <v/>
      </c>
      <c r="G463" s="64">
        <f>IF($B463="","",IFERROR(BDP($B463&amp;" Action","GREENSHOE_FACILITY"),""))</f>
        <v/>
      </c>
      <c r="H463" s="64">
        <f>IF($B463="","",IFERROR(BDP($B463&amp;" Action","OFFERING_GREENSHOE_SHARES_EX"),""))</f>
        <v/>
      </c>
      <c r="I463" s="4">
        <f>Database!V463</f>
        <v/>
      </c>
      <c r="J463" s="21">
        <f>IFERROR(BDP(Database!$A463&amp;" HK Equity","PE_RATIO"),"")</f>
        <v/>
      </c>
      <c r="K463" s="6">
        <f>IFERROR(BDP(Database!$A463&amp;" HK Equity","A/H_SHARE_CONVERSION"),"")</f>
        <v/>
      </c>
      <c r="L463" s="4">
        <f>IF(Database!AL463="","(none found)",Database!AL463)</f>
        <v/>
      </c>
      <c r="M463" s="9">
        <f>IFERROR(BDH(Database!$A463&amp;" HK Equity","CUR_MKT_CAP",Database!$G463,Database!$G463)/1000000,"")</f>
        <v/>
      </c>
      <c r="N463" s="63">
        <f>Database!O463</f>
        <v/>
      </c>
      <c r="O463" s="21">
        <f>IFERROR(BDH(Database!$A463&amp;" HK Equity","PE_RATIO",Database!$G463,Database!$G463),"")</f>
        <v/>
      </c>
      <c r="P463" s="60">
        <f>IF(Database!AI463="","(n/m or not derivable)",Database!AI463)</f>
        <v/>
      </c>
    </row>
    <row r="464">
      <c r="A464" s="4">
        <f>Database!A464&amp;"  "&amp;Database!B464</f>
        <v/>
      </c>
      <c r="B464" s="6">
        <f>IFERROR(INDEX(BDS(Database!$A464&amp;" HK Equity","EQUITY_OFFERINGS","array=t","endcol=1"),MATCH("IPO",BDS(Database!$A464&amp;" HK Equity","EQUITY_OFFERINGS","array=t","startcol=2","endcol=2"),0)),"")</f>
        <v/>
      </c>
      <c r="C464" s="64">
        <f>IF($B464="","",IFERROR(BDP($B464&amp;" Action","CP036"),""))</f>
        <v/>
      </c>
      <c r="D464" s="65">
        <f>Database!Q464</f>
        <v/>
      </c>
      <c r="E464" s="64">
        <f>IF($B464="","",IFERROR(BDP($B464&amp;" Action","CP037"),""))</f>
        <v/>
      </c>
      <c r="F464" s="65">
        <f>Database!R464</f>
        <v/>
      </c>
      <c r="G464" s="64">
        <f>IF($B464="","",IFERROR(BDP($B464&amp;" Action","GREENSHOE_FACILITY"),""))</f>
        <v/>
      </c>
      <c r="H464" s="64">
        <f>IF($B464="","",IFERROR(BDP($B464&amp;" Action","OFFERING_GREENSHOE_SHARES_EX"),""))</f>
        <v/>
      </c>
      <c r="I464" s="4">
        <f>Database!V464</f>
        <v/>
      </c>
      <c r="J464" s="21">
        <f>IFERROR(BDP(Database!$A464&amp;" HK Equity","PE_RATIO"),"")</f>
        <v/>
      </c>
      <c r="K464" s="6">
        <f>IFERROR(BDP(Database!$A464&amp;" HK Equity","A/H_SHARE_CONVERSION"),"")</f>
        <v/>
      </c>
      <c r="L464" s="4">
        <f>IF(Database!AL464="","(none found)",Database!AL464)</f>
        <v/>
      </c>
      <c r="M464" s="9">
        <f>IFERROR(BDH(Database!$A464&amp;" HK Equity","CUR_MKT_CAP",Database!$G464,Database!$G464)/1000000,"")</f>
        <v/>
      </c>
      <c r="N464" s="63">
        <f>Database!O464</f>
        <v/>
      </c>
      <c r="O464" s="21">
        <f>IFERROR(BDH(Database!$A464&amp;" HK Equity","PE_RATIO",Database!$G464,Database!$G464),"")</f>
        <v/>
      </c>
      <c r="P464" s="60">
        <f>IF(Database!AI464="","(n/m or not derivable)",Database!AI464)</f>
        <v/>
      </c>
    </row>
    <row r="465">
      <c r="A465" s="4">
        <f>Database!A465&amp;"  "&amp;Database!B465</f>
        <v/>
      </c>
      <c r="B465" s="6">
        <f>IFERROR(INDEX(BDS(Database!$A465&amp;" HK Equity","EQUITY_OFFERINGS","array=t","endcol=1"),MATCH("IPO",BDS(Database!$A465&amp;" HK Equity","EQUITY_OFFERINGS","array=t","startcol=2","endcol=2"),0)),"")</f>
        <v/>
      </c>
      <c r="C465" s="64">
        <f>IF($B465="","",IFERROR(BDP($B465&amp;" Action","CP036"),""))</f>
        <v/>
      </c>
      <c r="D465" s="65">
        <f>Database!Q465</f>
        <v/>
      </c>
      <c r="E465" s="64">
        <f>IF($B465="","",IFERROR(BDP($B465&amp;" Action","CP037"),""))</f>
        <v/>
      </c>
      <c r="F465" s="65">
        <f>Database!R465</f>
        <v/>
      </c>
      <c r="G465" s="64">
        <f>IF($B465="","",IFERROR(BDP($B465&amp;" Action","GREENSHOE_FACILITY"),""))</f>
        <v/>
      </c>
      <c r="H465" s="64">
        <f>IF($B465="","",IFERROR(BDP($B465&amp;" Action","OFFERING_GREENSHOE_SHARES_EX"),""))</f>
        <v/>
      </c>
      <c r="I465" s="4">
        <f>Database!V465</f>
        <v/>
      </c>
      <c r="J465" s="21">
        <f>IFERROR(BDP(Database!$A465&amp;" HK Equity","PE_RATIO"),"")</f>
        <v/>
      </c>
      <c r="K465" s="6">
        <f>IFERROR(BDP(Database!$A465&amp;" HK Equity","A/H_SHARE_CONVERSION"),"")</f>
        <v/>
      </c>
      <c r="L465" s="4">
        <f>IF(Database!AL465="","(none found)",Database!AL465)</f>
        <v/>
      </c>
      <c r="M465" s="9">
        <f>IFERROR(BDH(Database!$A465&amp;" HK Equity","CUR_MKT_CAP",Database!$G465,Database!$G465)/1000000,"")</f>
        <v/>
      </c>
      <c r="N465" s="63">
        <f>Database!O465</f>
        <v/>
      </c>
      <c r="O465" s="21">
        <f>IFERROR(BDH(Database!$A465&amp;" HK Equity","PE_RATIO",Database!$G465,Database!$G465),"")</f>
        <v/>
      </c>
      <c r="P465" s="60">
        <f>IF(Database!AI465="","(n/m or not derivable)",Database!AI465)</f>
        <v/>
      </c>
    </row>
    <row r="466">
      <c r="A466" s="4">
        <f>Database!A466&amp;"  "&amp;Database!B466</f>
        <v/>
      </c>
      <c r="B466" s="6">
        <f>IFERROR(INDEX(BDS(Database!$A466&amp;" HK Equity","EQUITY_OFFERINGS","array=t","endcol=1"),MATCH("IPO",BDS(Database!$A466&amp;" HK Equity","EQUITY_OFFERINGS","array=t","startcol=2","endcol=2"),0)),"")</f>
        <v/>
      </c>
      <c r="C466" s="64">
        <f>IF($B466="","",IFERROR(BDP($B466&amp;" Action","CP036"),""))</f>
        <v/>
      </c>
      <c r="D466" s="65">
        <f>Database!Q466</f>
        <v/>
      </c>
      <c r="E466" s="64">
        <f>IF($B466="","",IFERROR(BDP($B466&amp;" Action","CP037"),""))</f>
        <v/>
      </c>
      <c r="F466" s="65">
        <f>Database!R466</f>
        <v/>
      </c>
      <c r="G466" s="64">
        <f>IF($B466="","",IFERROR(BDP($B466&amp;" Action","GREENSHOE_FACILITY"),""))</f>
        <v/>
      </c>
      <c r="H466" s="64">
        <f>IF($B466="","",IFERROR(BDP($B466&amp;" Action","OFFERING_GREENSHOE_SHARES_EX"),""))</f>
        <v/>
      </c>
      <c r="I466" s="4">
        <f>Database!V466</f>
        <v/>
      </c>
      <c r="J466" s="21">
        <f>IFERROR(BDP(Database!$A466&amp;" HK Equity","PE_RATIO"),"")</f>
        <v/>
      </c>
      <c r="K466" s="6">
        <f>IFERROR(BDP(Database!$A466&amp;" HK Equity","A/H_SHARE_CONVERSION"),"")</f>
        <v/>
      </c>
      <c r="L466" s="4">
        <f>IF(Database!AL466="","(none found)",Database!AL466)</f>
        <v/>
      </c>
      <c r="M466" s="9">
        <f>IFERROR(BDH(Database!$A466&amp;" HK Equity","CUR_MKT_CAP",Database!$G466,Database!$G466)/1000000,"")</f>
        <v/>
      </c>
      <c r="N466" s="63">
        <f>Database!O466</f>
        <v/>
      </c>
      <c r="O466" s="21">
        <f>IFERROR(BDH(Database!$A466&amp;" HK Equity","PE_RATIO",Database!$G466,Database!$G466),"")</f>
        <v/>
      </c>
      <c r="P466" s="60">
        <f>IF(Database!AI466="","(n/m or not derivable)",Database!AI466)</f>
        <v/>
      </c>
    </row>
    <row r="467">
      <c r="A467" s="4">
        <f>Database!A467&amp;"  "&amp;Database!B467</f>
        <v/>
      </c>
      <c r="B467" s="6">
        <f>IFERROR(INDEX(BDS(Database!$A467&amp;" HK Equity","EQUITY_OFFERINGS","array=t","endcol=1"),MATCH("IPO",BDS(Database!$A467&amp;" HK Equity","EQUITY_OFFERINGS","array=t","startcol=2","endcol=2"),0)),"")</f>
        <v/>
      </c>
      <c r="C467" s="64">
        <f>IF($B467="","",IFERROR(BDP($B467&amp;" Action","CP036"),""))</f>
        <v/>
      </c>
      <c r="D467" s="65">
        <f>Database!Q467</f>
        <v/>
      </c>
      <c r="E467" s="64">
        <f>IF($B467="","",IFERROR(BDP($B467&amp;" Action","CP037"),""))</f>
        <v/>
      </c>
      <c r="F467" s="65">
        <f>Database!R467</f>
        <v/>
      </c>
      <c r="G467" s="64">
        <f>IF($B467="","",IFERROR(BDP($B467&amp;" Action","GREENSHOE_FACILITY"),""))</f>
        <v/>
      </c>
      <c r="H467" s="64">
        <f>IF($B467="","",IFERROR(BDP($B467&amp;" Action","OFFERING_GREENSHOE_SHARES_EX"),""))</f>
        <v/>
      </c>
      <c r="I467" s="4">
        <f>Database!V467</f>
        <v/>
      </c>
      <c r="J467" s="21">
        <f>IFERROR(BDP(Database!$A467&amp;" HK Equity","PE_RATIO"),"")</f>
        <v/>
      </c>
      <c r="K467" s="6">
        <f>IFERROR(BDP(Database!$A467&amp;" HK Equity","A/H_SHARE_CONVERSION"),"")</f>
        <v/>
      </c>
      <c r="L467" s="4">
        <f>IF(Database!AL467="","(none found)",Database!AL467)</f>
        <v/>
      </c>
      <c r="M467" s="9">
        <f>IFERROR(BDH(Database!$A467&amp;" HK Equity","CUR_MKT_CAP",Database!$G467,Database!$G467)/1000000,"")</f>
        <v/>
      </c>
      <c r="N467" s="63">
        <f>Database!O467</f>
        <v/>
      </c>
      <c r="O467" s="21">
        <f>IFERROR(BDH(Database!$A467&amp;" HK Equity","PE_RATIO",Database!$G467,Database!$G467),"")</f>
        <v/>
      </c>
      <c r="P467" s="60">
        <f>IF(Database!AI467="","(n/m or not derivable)",Database!AI467)</f>
        <v/>
      </c>
    </row>
    <row r="468">
      <c r="A468" s="4">
        <f>Database!A468&amp;"  "&amp;Database!B468</f>
        <v/>
      </c>
      <c r="B468" s="6">
        <f>IFERROR(INDEX(BDS(Database!$A468&amp;" HK Equity","EQUITY_OFFERINGS","array=t","endcol=1"),MATCH("IPO",BDS(Database!$A468&amp;" HK Equity","EQUITY_OFFERINGS","array=t","startcol=2","endcol=2"),0)),"")</f>
        <v/>
      </c>
      <c r="C468" s="64">
        <f>IF($B468="","",IFERROR(BDP($B468&amp;" Action","CP036"),""))</f>
        <v/>
      </c>
      <c r="D468" s="65">
        <f>Database!Q468</f>
        <v/>
      </c>
      <c r="E468" s="64">
        <f>IF($B468="","",IFERROR(BDP($B468&amp;" Action","CP037"),""))</f>
        <v/>
      </c>
      <c r="F468" s="65">
        <f>Database!R468</f>
        <v/>
      </c>
      <c r="G468" s="64">
        <f>IF($B468="","",IFERROR(BDP($B468&amp;" Action","GREENSHOE_FACILITY"),""))</f>
        <v/>
      </c>
      <c r="H468" s="64">
        <f>IF($B468="","",IFERROR(BDP($B468&amp;" Action","OFFERING_GREENSHOE_SHARES_EX"),""))</f>
        <v/>
      </c>
      <c r="I468" s="4">
        <f>Database!V468</f>
        <v/>
      </c>
      <c r="J468" s="21">
        <f>IFERROR(BDP(Database!$A468&amp;" HK Equity","PE_RATIO"),"")</f>
        <v/>
      </c>
      <c r="K468" s="6">
        <f>IFERROR(BDP(Database!$A468&amp;" HK Equity","A/H_SHARE_CONVERSION"),"")</f>
        <v/>
      </c>
      <c r="L468" s="4">
        <f>IF(Database!AL468="","(none found)",Database!AL468)</f>
        <v/>
      </c>
      <c r="M468" s="9">
        <f>IFERROR(BDH(Database!$A468&amp;" HK Equity","CUR_MKT_CAP",Database!$G468,Database!$G468)/1000000,"")</f>
        <v/>
      </c>
      <c r="N468" s="63">
        <f>Database!O468</f>
        <v/>
      </c>
      <c r="O468" s="21">
        <f>IFERROR(BDH(Database!$A468&amp;" HK Equity","PE_RATIO",Database!$G468,Database!$G468),"")</f>
        <v/>
      </c>
      <c r="P468" s="60">
        <f>IF(Database!AI468="","(n/m or not derivable)",Database!AI468)</f>
        <v/>
      </c>
    </row>
    <row r="469">
      <c r="A469" s="4">
        <f>Database!A469&amp;"  "&amp;Database!B469</f>
        <v/>
      </c>
      <c r="B469" s="6">
        <f>IFERROR(INDEX(BDS(Database!$A469&amp;" HK Equity","EQUITY_OFFERINGS","array=t","endcol=1"),MATCH("IPO",BDS(Database!$A469&amp;" HK Equity","EQUITY_OFFERINGS","array=t","startcol=2","endcol=2"),0)),"")</f>
        <v/>
      </c>
      <c r="C469" s="64">
        <f>IF($B469="","",IFERROR(BDP($B469&amp;" Action","CP036"),""))</f>
        <v/>
      </c>
      <c r="D469" s="65">
        <f>Database!Q469</f>
        <v/>
      </c>
      <c r="E469" s="64">
        <f>IF($B469="","",IFERROR(BDP($B469&amp;" Action","CP037"),""))</f>
        <v/>
      </c>
      <c r="F469" s="65">
        <f>Database!R469</f>
        <v/>
      </c>
      <c r="G469" s="64">
        <f>IF($B469="","",IFERROR(BDP($B469&amp;" Action","GREENSHOE_FACILITY"),""))</f>
        <v/>
      </c>
      <c r="H469" s="64">
        <f>IF($B469="","",IFERROR(BDP($B469&amp;" Action","OFFERING_GREENSHOE_SHARES_EX"),""))</f>
        <v/>
      </c>
      <c r="I469" s="4">
        <f>Database!V469</f>
        <v/>
      </c>
      <c r="J469" s="21">
        <f>IFERROR(BDP(Database!$A469&amp;" HK Equity","PE_RATIO"),"")</f>
        <v/>
      </c>
      <c r="K469" s="6">
        <f>IFERROR(BDP(Database!$A469&amp;" HK Equity","A/H_SHARE_CONVERSION"),"")</f>
        <v/>
      </c>
      <c r="L469" s="4">
        <f>IF(Database!AL469="","(none found)",Database!AL469)</f>
        <v/>
      </c>
      <c r="M469" s="9">
        <f>IFERROR(BDH(Database!$A469&amp;" HK Equity","CUR_MKT_CAP",Database!$G469,Database!$G469)/1000000,"")</f>
        <v/>
      </c>
      <c r="N469" s="63">
        <f>Database!O469</f>
        <v/>
      </c>
      <c r="O469" s="21">
        <f>IFERROR(BDH(Database!$A469&amp;" HK Equity","PE_RATIO",Database!$G469,Database!$G469),"")</f>
        <v/>
      </c>
      <c r="P469" s="60">
        <f>IF(Database!AI469="","(n/m or not derivable)",Database!AI469)</f>
        <v/>
      </c>
    </row>
    <row r="470">
      <c r="A470" s="4">
        <f>Database!A470&amp;"  "&amp;Database!B470</f>
        <v/>
      </c>
      <c r="B470" s="6">
        <f>IFERROR(INDEX(BDS(Database!$A470&amp;" HK Equity","EQUITY_OFFERINGS","array=t","endcol=1"),MATCH("IPO",BDS(Database!$A470&amp;" HK Equity","EQUITY_OFFERINGS","array=t","startcol=2","endcol=2"),0)),"")</f>
        <v/>
      </c>
      <c r="C470" s="64">
        <f>IF($B470="","",IFERROR(BDP($B470&amp;" Action","CP036"),""))</f>
        <v/>
      </c>
      <c r="D470" s="65">
        <f>Database!Q470</f>
        <v/>
      </c>
      <c r="E470" s="64">
        <f>IF($B470="","",IFERROR(BDP($B470&amp;" Action","CP037"),""))</f>
        <v/>
      </c>
      <c r="F470" s="65">
        <f>Database!R470</f>
        <v/>
      </c>
      <c r="G470" s="64">
        <f>IF($B470="","",IFERROR(BDP($B470&amp;" Action","GREENSHOE_FACILITY"),""))</f>
        <v/>
      </c>
      <c r="H470" s="64">
        <f>IF($B470="","",IFERROR(BDP($B470&amp;" Action","OFFERING_GREENSHOE_SHARES_EX"),""))</f>
        <v/>
      </c>
      <c r="I470" s="4">
        <f>Database!V470</f>
        <v/>
      </c>
      <c r="J470" s="21">
        <f>IFERROR(BDP(Database!$A470&amp;" HK Equity","PE_RATIO"),"")</f>
        <v/>
      </c>
      <c r="K470" s="6">
        <f>IFERROR(BDP(Database!$A470&amp;" HK Equity","A/H_SHARE_CONVERSION"),"")</f>
        <v/>
      </c>
      <c r="L470" s="4">
        <f>IF(Database!AL470="","(none found)",Database!AL470)</f>
        <v/>
      </c>
      <c r="M470" s="9">
        <f>IFERROR(BDH(Database!$A470&amp;" HK Equity","CUR_MKT_CAP",Database!$G470,Database!$G470)/1000000,"")</f>
        <v/>
      </c>
      <c r="N470" s="63">
        <f>Database!O470</f>
        <v/>
      </c>
      <c r="O470" s="21">
        <f>IFERROR(BDH(Database!$A470&amp;" HK Equity","PE_RATIO",Database!$G470,Database!$G470),"")</f>
        <v/>
      </c>
      <c r="P470" s="60">
        <f>IF(Database!AI470="","(n/m or not derivable)",Database!AI470)</f>
        <v/>
      </c>
    </row>
    <row r="471">
      <c r="A471" s="4">
        <f>Database!A471&amp;"  "&amp;Database!B471</f>
        <v/>
      </c>
      <c r="B471" s="6">
        <f>IFERROR(INDEX(BDS(Database!$A471&amp;" HK Equity","EQUITY_OFFERINGS","array=t","endcol=1"),MATCH("IPO",BDS(Database!$A471&amp;" HK Equity","EQUITY_OFFERINGS","array=t","startcol=2","endcol=2"),0)),"")</f>
        <v/>
      </c>
      <c r="C471" s="64">
        <f>IF($B471="","",IFERROR(BDP($B471&amp;" Action","CP036"),""))</f>
        <v/>
      </c>
      <c r="D471" s="65">
        <f>Database!Q471</f>
        <v/>
      </c>
      <c r="E471" s="64">
        <f>IF($B471="","",IFERROR(BDP($B471&amp;" Action","CP037"),""))</f>
        <v/>
      </c>
      <c r="F471" s="65">
        <f>Database!R471</f>
        <v/>
      </c>
      <c r="G471" s="64">
        <f>IF($B471="","",IFERROR(BDP($B471&amp;" Action","GREENSHOE_FACILITY"),""))</f>
        <v/>
      </c>
      <c r="H471" s="64">
        <f>IF($B471="","",IFERROR(BDP($B471&amp;" Action","OFFERING_GREENSHOE_SHARES_EX"),""))</f>
        <v/>
      </c>
      <c r="I471" s="4">
        <f>Database!V471</f>
        <v/>
      </c>
      <c r="J471" s="21">
        <f>IFERROR(BDP(Database!$A471&amp;" HK Equity","PE_RATIO"),"")</f>
        <v/>
      </c>
      <c r="K471" s="6">
        <f>IFERROR(BDP(Database!$A471&amp;" HK Equity","A/H_SHARE_CONVERSION"),"")</f>
        <v/>
      </c>
      <c r="L471" s="4">
        <f>IF(Database!AL471="","(none found)",Database!AL471)</f>
        <v/>
      </c>
      <c r="M471" s="9">
        <f>IFERROR(BDH(Database!$A471&amp;" HK Equity","CUR_MKT_CAP",Database!$G471,Database!$G471)/1000000,"")</f>
        <v/>
      </c>
      <c r="N471" s="63">
        <f>Database!O471</f>
        <v/>
      </c>
      <c r="O471" s="21">
        <f>IFERROR(BDH(Database!$A471&amp;" HK Equity","PE_RATIO",Database!$G471,Database!$G471),"")</f>
        <v/>
      </c>
      <c r="P471" s="60">
        <f>IF(Database!AI471="","(n/m or not derivable)",Database!AI471)</f>
        <v/>
      </c>
    </row>
    <row r="472">
      <c r="A472" s="4">
        <f>Database!A472&amp;"  "&amp;Database!B472</f>
        <v/>
      </c>
      <c r="B472" s="6">
        <f>IFERROR(INDEX(BDS(Database!$A472&amp;" HK Equity","EQUITY_OFFERINGS","array=t","endcol=1"),MATCH("IPO",BDS(Database!$A472&amp;" HK Equity","EQUITY_OFFERINGS","array=t","startcol=2","endcol=2"),0)),"")</f>
        <v/>
      </c>
      <c r="C472" s="64">
        <f>IF($B472="","",IFERROR(BDP($B472&amp;" Action","CP036"),""))</f>
        <v/>
      </c>
      <c r="D472" s="65">
        <f>Database!Q472</f>
        <v/>
      </c>
      <c r="E472" s="64">
        <f>IF($B472="","",IFERROR(BDP($B472&amp;" Action","CP037"),""))</f>
        <v/>
      </c>
      <c r="F472" s="65">
        <f>Database!R472</f>
        <v/>
      </c>
      <c r="G472" s="64">
        <f>IF($B472="","",IFERROR(BDP($B472&amp;" Action","GREENSHOE_FACILITY"),""))</f>
        <v/>
      </c>
      <c r="H472" s="64">
        <f>IF($B472="","",IFERROR(BDP($B472&amp;" Action","OFFERING_GREENSHOE_SHARES_EX"),""))</f>
        <v/>
      </c>
      <c r="I472" s="4">
        <f>Database!V472</f>
        <v/>
      </c>
      <c r="J472" s="21">
        <f>IFERROR(BDP(Database!$A472&amp;" HK Equity","PE_RATIO"),"")</f>
        <v/>
      </c>
      <c r="K472" s="6">
        <f>IFERROR(BDP(Database!$A472&amp;" HK Equity","A/H_SHARE_CONVERSION"),"")</f>
        <v/>
      </c>
      <c r="L472" s="4">
        <f>IF(Database!AL472="","(none found)",Database!AL472)</f>
        <v/>
      </c>
      <c r="M472" s="9">
        <f>IFERROR(BDH(Database!$A472&amp;" HK Equity","CUR_MKT_CAP",Database!$G472,Database!$G472)/1000000,"")</f>
        <v/>
      </c>
      <c r="N472" s="63">
        <f>Database!O472</f>
        <v/>
      </c>
      <c r="O472" s="21">
        <f>IFERROR(BDH(Database!$A472&amp;" HK Equity","PE_RATIO",Database!$G472,Database!$G472),"")</f>
        <v/>
      </c>
      <c r="P472" s="60">
        <f>IF(Database!AI472="","(n/m or not derivable)",Database!AI472)</f>
        <v/>
      </c>
    </row>
    <row r="473">
      <c r="A473" s="4">
        <f>Database!A473&amp;"  "&amp;Database!B473</f>
        <v/>
      </c>
      <c r="B473" s="6">
        <f>IFERROR(INDEX(BDS(Database!$A473&amp;" HK Equity","EQUITY_OFFERINGS","array=t","endcol=1"),MATCH("IPO",BDS(Database!$A473&amp;" HK Equity","EQUITY_OFFERINGS","array=t","startcol=2","endcol=2"),0)),"")</f>
        <v/>
      </c>
      <c r="C473" s="64">
        <f>IF($B473="","",IFERROR(BDP($B473&amp;" Action","CP036"),""))</f>
        <v/>
      </c>
      <c r="D473" s="65">
        <f>Database!Q473</f>
        <v/>
      </c>
      <c r="E473" s="64">
        <f>IF($B473="","",IFERROR(BDP($B473&amp;" Action","CP037"),""))</f>
        <v/>
      </c>
      <c r="F473" s="65">
        <f>Database!R473</f>
        <v/>
      </c>
      <c r="G473" s="64">
        <f>IF($B473="","",IFERROR(BDP($B473&amp;" Action","GREENSHOE_FACILITY"),""))</f>
        <v/>
      </c>
      <c r="H473" s="64">
        <f>IF($B473="","",IFERROR(BDP($B473&amp;" Action","OFFERING_GREENSHOE_SHARES_EX"),""))</f>
        <v/>
      </c>
      <c r="I473" s="4">
        <f>Database!V473</f>
        <v/>
      </c>
      <c r="J473" s="21">
        <f>IFERROR(BDP(Database!$A473&amp;" HK Equity","PE_RATIO"),"")</f>
        <v/>
      </c>
      <c r="K473" s="6">
        <f>IFERROR(BDP(Database!$A473&amp;" HK Equity","A/H_SHARE_CONVERSION"),"")</f>
        <v/>
      </c>
      <c r="L473" s="4">
        <f>IF(Database!AL473="","(none found)",Database!AL473)</f>
        <v/>
      </c>
      <c r="M473" s="9">
        <f>IFERROR(BDH(Database!$A473&amp;" HK Equity","CUR_MKT_CAP",Database!$G473,Database!$G473)/1000000,"")</f>
        <v/>
      </c>
      <c r="N473" s="63">
        <f>Database!O473</f>
        <v/>
      </c>
      <c r="O473" s="21">
        <f>IFERROR(BDH(Database!$A473&amp;" HK Equity","PE_RATIO",Database!$G473,Database!$G473),"")</f>
        <v/>
      </c>
      <c r="P473" s="60">
        <f>IF(Database!AI473="","(n/m or not derivable)",Database!AI473)</f>
        <v/>
      </c>
    </row>
    <row r="474">
      <c r="A474" s="4">
        <f>Database!A474&amp;"  "&amp;Database!B474</f>
        <v/>
      </c>
      <c r="B474" s="6">
        <f>IFERROR(INDEX(BDS(Database!$A474&amp;" HK Equity","EQUITY_OFFERINGS","array=t","endcol=1"),MATCH("IPO",BDS(Database!$A474&amp;" HK Equity","EQUITY_OFFERINGS","array=t","startcol=2","endcol=2"),0)),"")</f>
        <v/>
      </c>
      <c r="C474" s="64">
        <f>IF($B474="","",IFERROR(BDP($B474&amp;" Action","CP036"),""))</f>
        <v/>
      </c>
      <c r="D474" s="65">
        <f>Database!Q474</f>
        <v/>
      </c>
      <c r="E474" s="64">
        <f>IF($B474="","",IFERROR(BDP($B474&amp;" Action","CP037"),""))</f>
        <v/>
      </c>
      <c r="F474" s="65">
        <f>Database!R474</f>
        <v/>
      </c>
      <c r="G474" s="64">
        <f>IF($B474="","",IFERROR(BDP($B474&amp;" Action","GREENSHOE_FACILITY"),""))</f>
        <v/>
      </c>
      <c r="H474" s="64">
        <f>IF($B474="","",IFERROR(BDP($B474&amp;" Action","OFFERING_GREENSHOE_SHARES_EX"),""))</f>
        <v/>
      </c>
      <c r="I474" s="4">
        <f>Database!V474</f>
        <v/>
      </c>
      <c r="J474" s="21">
        <f>IFERROR(BDP(Database!$A474&amp;" HK Equity","PE_RATIO"),"")</f>
        <v/>
      </c>
      <c r="K474" s="6">
        <f>IFERROR(BDP(Database!$A474&amp;" HK Equity","A/H_SHARE_CONVERSION"),"")</f>
        <v/>
      </c>
      <c r="L474" s="4">
        <f>IF(Database!AL474="","(none found)",Database!AL474)</f>
        <v/>
      </c>
      <c r="M474" s="9">
        <f>IFERROR(BDH(Database!$A474&amp;" HK Equity","CUR_MKT_CAP",Database!$G474,Database!$G474)/1000000,"")</f>
        <v/>
      </c>
      <c r="N474" s="63">
        <f>Database!O474</f>
        <v/>
      </c>
      <c r="O474" s="21">
        <f>IFERROR(BDH(Database!$A474&amp;" HK Equity","PE_RATIO",Database!$G474,Database!$G474),"")</f>
        <v/>
      </c>
      <c r="P474" s="60">
        <f>IF(Database!AI474="","(n/m or not derivable)",Database!AI474)</f>
        <v/>
      </c>
    </row>
    <row r="475">
      <c r="A475" s="4">
        <f>Database!A475&amp;"  "&amp;Database!B475</f>
        <v/>
      </c>
      <c r="B475" s="6">
        <f>IFERROR(INDEX(BDS(Database!$A475&amp;" HK Equity","EQUITY_OFFERINGS","array=t","endcol=1"),MATCH("IPO",BDS(Database!$A475&amp;" HK Equity","EQUITY_OFFERINGS","array=t","startcol=2","endcol=2"),0)),"")</f>
        <v/>
      </c>
      <c r="C475" s="64">
        <f>IF($B475="","",IFERROR(BDP($B475&amp;" Action","CP036"),""))</f>
        <v/>
      </c>
      <c r="D475" s="65">
        <f>Database!Q475</f>
        <v/>
      </c>
      <c r="E475" s="64">
        <f>IF($B475="","",IFERROR(BDP($B475&amp;" Action","CP037"),""))</f>
        <v/>
      </c>
      <c r="F475" s="65">
        <f>Database!R475</f>
        <v/>
      </c>
      <c r="G475" s="64">
        <f>IF($B475="","",IFERROR(BDP($B475&amp;" Action","GREENSHOE_FACILITY"),""))</f>
        <v/>
      </c>
      <c r="H475" s="64">
        <f>IF($B475="","",IFERROR(BDP($B475&amp;" Action","OFFERING_GREENSHOE_SHARES_EX"),""))</f>
        <v/>
      </c>
      <c r="I475" s="4">
        <f>Database!V475</f>
        <v/>
      </c>
      <c r="J475" s="21">
        <f>IFERROR(BDP(Database!$A475&amp;" HK Equity","PE_RATIO"),"")</f>
        <v/>
      </c>
      <c r="K475" s="6">
        <f>IFERROR(BDP(Database!$A475&amp;" HK Equity","A/H_SHARE_CONVERSION"),"")</f>
        <v/>
      </c>
      <c r="L475" s="4">
        <f>IF(Database!AL475="","(none found)",Database!AL475)</f>
        <v/>
      </c>
      <c r="M475" s="9">
        <f>IFERROR(BDH(Database!$A475&amp;" HK Equity","CUR_MKT_CAP",Database!$G475,Database!$G475)/1000000,"")</f>
        <v/>
      </c>
      <c r="N475" s="63">
        <f>Database!O475</f>
        <v/>
      </c>
      <c r="O475" s="21">
        <f>IFERROR(BDH(Database!$A475&amp;" HK Equity","PE_RATIO",Database!$G475,Database!$G475),"")</f>
        <v/>
      </c>
      <c r="P475" s="60">
        <f>IF(Database!AI475="","(n/m or not derivable)",Database!AI475)</f>
        <v/>
      </c>
    </row>
    <row r="476">
      <c r="A476" s="4">
        <f>Database!A476&amp;"  "&amp;Database!B476</f>
        <v/>
      </c>
      <c r="B476" s="6">
        <f>IFERROR(INDEX(BDS(Database!$A476&amp;" HK Equity","EQUITY_OFFERINGS","array=t","endcol=1"),MATCH("IPO",BDS(Database!$A476&amp;" HK Equity","EQUITY_OFFERINGS","array=t","startcol=2","endcol=2"),0)),"")</f>
        <v/>
      </c>
      <c r="C476" s="64">
        <f>IF($B476="","",IFERROR(BDP($B476&amp;" Action","CP036"),""))</f>
        <v/>
      </c>
      <c r="D476" s="65">
        <f>Database!Q476</f>
        <v/>
      </c>
      <c r="E476" s="64">
        <f>IF($B476="","",IFERROR(BDP($B476&amp;" Action","CP037"),""))</f>
        <v/>
      </c>
      <c r="F476" s="65">
        <f>Database!R476</f>
        <v/>
      </c>
      <c r="G476" s="64">
        <f>IF($B476="","",IFERROR(BDP($B476&amp;" Action","GREENSHOE_FACILITY"),""))</f>
        <v/>
      </c>
      <c r="H476" s="64">
        <f>IF($B476="","",IFERROR(BDP($B476&amp;" Action","OFFERING_GREENSHOE_SHARES_EX"),""))</f>
        <v/>
      </c>
      <c r="I476" s="4">
        <f>Database!V476</f>
        <v/>
      </c>
      <c r="J476" s="21">
        <f>IFERROR(BDP(Database!$A476&amp;" HK Equity","PE_RATIO"),"")</f>
        <v/>
      </c>
      <c r="K476" s="6">
        <f>IFERROR(BDP(Database!$A476&amp;" HK Equity","A/H_SHARE_CONVERSION"),"")</f>
        <v/>
      </c>
      <c r="L476" s="4">
        <f>IF(Database!AL476="","(none found)",Database!AL476)</f>
        <v/>
      </c>
      <c r="M476" s="9">
        <f>IFERROR(BDH(Database!$A476&amp;" HK Equity","CUR_MKT_CAP",Database!$G476,Database!$G476)/1000000,"")</f>
        <v/>
      </c>
      <c r="N476" s="63">
        <f>Database!O476</f>
        <v/>
      </c>
      <c r="O476" s="21">
        <f>IFERROR(BDH(Database!$A476&amp;" HK Equity","PE_RATIO",Database!$G476,Database!$G476),"")</f>
        <v/>
      </c>
      <c r="P476" s="60">
        <f>IF(Database!AI476="","(n/m or not derivable)",Database!AI476)</f>
        <v/>
      </c>
    </row>
    <row r="477">
      <c r="A477" s="4">
        <f>Database!A477&amp;"  "&amp;Database!B477</f>
        <v/>
      </c>
      <c r="B477" s="6">
        <f>IFERROR(INDEX(BDS(Database!$A477&amp;" HK Equity","EQUITY_OFFERINGS","array=t","endcol=1"),MATCH("IPO",BDS(Database!$A477&amp;" HK Equity","EQUITY_OFFERINGS","array=t","startcol=2","endcol=2"),0)),"")</f>
        <v/>
      </c>
      <c r="C477" s="64">
        <f>IF($B477="","",IFERROR(BDP($B477&amp;" Action","CP036"),""))</f>
        <v/>
      </c>
      <c r="D477" s="65">
        <f>Database!Q477</f>
        <v/>
      </c>
      <c r="E477" s="64">
        <f>IF($B477="","",IFERROR(BDP($B477&amp;" Action","CP037"),""))</f>
        <v/>
      </c>
      <c r="F477" s="65">
        <f>Database!R477</f>
        <v/>
      </c>
      <c r="G477" s="64">
        <f>IF($B477="","",IFERROR(BDP($B477&amp;" Action","GREENSHOE_FACILITY"),""))</f>
        <v/>
      </c>
      <c r="H477" s="64">
        <f>IF($B477="","",IFERROR(BDP($B477&amp;" Action","OFFERING_GREENSHOE_SHARES_EX"),""))</f>
        <v/>
      </c>
      <c r="I477" s="4">
        <f>Database!V477</f>
        <v/>
      </c>
      <c r="J477" s="21">
        <f>IFERROR(BDP(Database!$A477&amp;" HK Equity","PE_RATIO"),"")</f>
        <v/>
      </c>
      <c r="K477" s="6">
        <f>IFERROR(BDP(Database!$A477&amp;" HK Equity","A/H_SHARE_CONVERSION"),"")</f>
        <v/>
      </c>
      <c r="L477" s="4">
        <f>IF(Database!AL477="","(none found)",Database!AL477)</f>
        <v/>
      </c>
      <c r="M477" s="9">
        <f>IFERROR(BDH(Database!$A477&amp;" HK Equity","CUR_MKT_CAP",Database!$G477,Database!$G477)/1000000,"")</f>
        <v/>
      </c>
      <c r="N477" s="63">
        <f>Database!O477</f>
        <v/>
      </c>
      <c r="O477" s="21">
        <f>IFERROR(BDH(Database!$A477&amp;" HK Equity","PE_RATIO",Database!$G477,Database!$G477),"")</f>
        <v/>
      </c>
      <c r="P477" s="60">
        <f>IF(Database!AI477="","(n/m or not derivable)",Database!AI477)</f>
        <v/>
      </c>
    </row>
    <row r="478">
      <c r="A478" s="4">
        <f>Database!A478&amp;"  "&amp;Database!B478</f>
        <v/>
      </c>
      <c r="B478" s="6">
        <f>IFERROR(INDEX(BDS(Database!$A478&amp;" HK Equity","EQUITY_OFFERINGS","array=t","endcol=1"),MATCH("IPO",BDS(Database!$A478&amp;" HK Equity","EQUITY_OFFERINGS","array=t","startcol=2","endcol=2"),0)),"")</f>
        <v/>
      </c>
      <c r="C478" s="64">
        <f>IF($B478="","",IFERROR(BDP($B478&amp;" Action","CP036"),""))</f>
        <v/>
      </c>
      <c r="D478" s="65">
        <f>Database!Q478</f>
        <v/>
      </c>
      <c r="E478" s="64">
        <f>IF($B478="","",IFERROR(BDP($B478&amp;" Action","CP037"),""))</f>
        <v/>
      </c>
      <c r="F478" s="65">
        <f>Database!R478</f>
        <v/>
      </c>
      <c r="G478" s="64">
        <f>IF($B478="","",IFERROR(BDP($B478&amp;" Action","GREENSHOE_FACILITY"),""))</f>
        <v/>
      </c>
      <c r="H478" s="64">
        <f>IF($B478="","",IFERROR(BDP($B478&amp;" Action","OFFERING_GREENSHOE_SHARES_EX"),""))</f>
        <v/>
      </c>
      <c r="I478" s="4">
        <f>Database!V478</f>
        <v/>
      </c>
      <c r="J478" s="21">
        <f>IFERROR(BDP(Database!$A478&amp;" HK Equity","PE_RATIO"),"")</f>
        <v/>
      </c>
      <c r="K478" s="6">
        <f>IFERROR(BDP(Database!$A478&amp;" HK Equity","A/H_SHARE_CONVERSION"),"")</f>
        <v/>
      </c>
      <c r="L478" s="4">
        <f>IF(Database!AL478="","(none found)",Database!AL478)</f>
        <v/>
      </c>
      <c r="M478" s="9">
        <f>IFERROR(BDH(Database!$A478&amp;" HK Equity","CUR_MKT_CAP",Database!$G478,Database!$G478)/1000000,"")</f>
        <v/>
      </c>
      <c r="N478" s="63">
        <f>Database!O478</f>
        <v/>
      </c>
      <c r="O478" s="21">
        <f>IFERROR(BDH(Database!$A478&amp;" HK Equity","PE_RATIO",Database!$G478,Database!$G478),"")</f>
        <v/>
      </c>
      <c r="P478" s="60">
        <f>IF(Database!AI478="","(n/m or not derivable)",Database!AI478)</f>
        <v/>
      </c>
    </row>
    <row r="479">
      <c r="A479" s="4">
        <f>Database!A479&amp;"  "&amp;Database!B479</f>
        <v/>
      </c>
      <c r="B479" s="6">
        <f>IFERROR(INDEX(BDS(Database!$A479&amp;" HK Equity","EQUITY_OFFERINGS","array=t","endcol=1"),MATCH("IPO",BDS(Database!$A479&amp;" HK Equity","EQUITY_OFFERINGS","array=t","startcol=2","endcol=2"),0)),"")</f>
        <v/>
      </c>
      <c r="C479" s="64">
        <f>IF($B479="","",IFERROR(BDP($B479&amp;" Action","CP036"),""))</f>
        <v/>
      </c>
      <c r="D479" s="65">
        <f>Database!Q479</f>
        <v/>
      </c>
      <c r="E479" s="64">
        <f>IF($B479="","",IFERROR(BDP($B479&amp;" Action","CP037"),""))</f>
        <v/>
      </c>
      <c r="F479" s="65">
        <f>Database!R479</f>
        <v/>
      </c>
      <c r="G479" s="64">
        <f>IF($B479="","",IFERROR(BDP($B479&amp;" Action","GREENSHOE_FACILITY"),""))</f>
        <v/>
      </c>
      <c r="H479" s="64">
        <f>IF($B479="","",IFERROR(BDP($B479&amp;" Action","OFFERING_GREENSHOE_SHARES_EX"),""))</f>
        <v/>
      </c>
      <c r="I479" s="4">
        <f>Database!V479</f>
        <v/>
      </c>
      <c r="J479" s="21">
        <f>IFERROR(BDP(Database!$A479&amp;" HK Equity","PE_RATIO"),"")</f>
        <v/>
      </c>
      <c r="K479" s="6">
        <f>IFERROR(BDP(Database!$A479&amp;" HK Equity","A/H_SHARE_CONVERSION"),"")</f>
        <v/>
      </c>
      <c r="L479" s="4">
        <f>IF(Database!AL479="","(none found)",Database!AL479)</f>
        <v/>
      </c>
      <c r="M479" s="9">
        <f>IFERROR(BDH(Database!$A479&amp;" HK Equity","CUR_MKT_CAP",Database!$G479,Database!$G479)/1000000,"")</f>
        <v/>
      </c>
      <c r="N479" s="63">
        <f>Database!O479</f>
        <v/>
      </c>
      <c r="O479" s="21">
        <f>IFERROR(BDH(Database!$A479&amp;" HK Equity","PE_RATIO",Database!$G479,Database!$G479),"")</f>
        <v/>
      </c>
      <c r="P479" s="60">
        <f>IF(Database!AI479="","(n/m or not derivable)",Database!AI479)</f>
        <v/>
      </c>
    </row>
    <row r="480">
      <c r="A480" s="4">
        <f>Database!A480&amp;"  "&amp;Database!B480</f>
        <v/>
      </c>
      <c r="B480" s="6">
        <f>IFERROR(INDEX(BDS(Database!$A480&amp;" HK Equity","EQUITY_OFFERINGS","array=t","endcol=1"),MATCH("IPO",BDS(Database!$A480&amp;" HK Equity","EQUITY_OFFERINGS","array=t","startcol=2","endcol=2"),0)),"")</f>
        <v/>
      </c>
      <c r="C480" s="64">
        <f>IF($B480="","",IFERROR(BDP($B480&amp;" Action","CP036"),""))</f>
        <v/>
      </c>
      <c r="D480" s="65">
        <f>Database!Q480</f>
        <v/>
      </c>
      <c r="E480" s="64">
        <f>IF($B480="","",IFERROR(BDP($B480&amp;" Action","CP037"),""))</f>
        <v/>
      </c>
      <c r="F480" s="65">
        <f>Database!R480</f>
        <v/>
      </c>
      <c r="G480" s="64">
        <f>IF($B480="","",IFERROR(BDP($B480&amp;" Action","GREENSHOE_FACILITY"),""))</f>
        <v/>
      </c>
      <c r="H480" s="64">
        <f>IF($B480="","",IFERROR(BDP($B480&amp;" Action","OFFERING_GREENSHOE_SHARES_EX"),""))</f>
        <v/>
      </c>
      <c r="I480" s="4">
        <f>Database!V480</f>
        <v/>
      </c>
      <c r="J480" s="21">
        <f>IFERROR(BDP(Database!$A480&amp;" HK Equity","PE_RATIO"),"")</f>
        <v/>
      </c>
      <c r="K480" s="6">
        <f>IFERROR(BDP(Database!$A480&amp;" HK Equity","A/H_SHARE_CONVERSION"),"")</f>
        <v/>
      </c>
      <c r="L480" s="4">
        <f>IF(Database!AL480="","(none found)",Database!AL480)</f>
        <v/>
      </c>
      <c r="M480" s="9">
        <f>IFERROR(BDH(Database!$A480&amp;" HK Equity","CUR_MKT_CAP",Database!$G480,Database!$G480)/1000000,"")</f>
        <v/>
      </c>
      <c r="N480" s="63">
        <f>Database!O480</f>
        <v/>
      </c>
      <c r="O480" s="21">
        <f>IFERROR(BDH(Database!$A480&amp;" HK Equity","PE_RATIO",Database!$G480,Database!$G480),"")</f>
        <v/>
      </c>
      <c r="P480" s="60">
        <f>IF(Database!AI480="","(n/m or not derivable)",Database!AI480)</f>
        <v/>
      </c>
    </row>
    <row r="481">
      <c r="A481" s="4">
        <f>Database!A481&amp;"  "&amp;Database!B481</f>
        <v/>
      </c>
      <c r="B481" s="6">
        <f>IFERROR(INDEX(BDS(Database!$A481&amp;" HK Equity","EQUITY_OFFERINGS","array=t","endcol=1"),MATCH("IPO",BDS(Database!$A481&amp;" HK Equity","EQUITY_OFFERINGS","array=t","startcol=2","endcol=2"),0)),"")</f>
        <v/>
      </c>
      <c r="C481" s="64">
        <f>IF($B481="","",IFERROR(BDP($B481&amp;" Action","CP036"),""))</f>
        <v/>
      </c>
      <c r="D481" s="65">
        <f>Database!Q481</f>
        <v/>
      </c>
      <c r="E481" s="64">
        <f>IF($B481="","",IFERROR(BDP($B481&amp;" Action","CP037"),""))</f>
        <v/>
      </c>
      <c r="F481" s="65">
        <f>Database!R481</f>
        <v/>
      </c>
      <c r="G481" s="64">
        <f>IF($B481="","",IFERROR(BDP($B481&amp;" Action","GREENSHOE_FACILITY"),""))</f>
        <v/>
      </c>
      <c r="H481" s="64">
        <f>IF($B481="","",IFERROR(BDP($B481&amp;" Action","OFFERING_GREENSHOE_SHARES_EX"),""))</f>
        <v/>
      </c>
      <c r="I481" s="4">
        <f>Database!V481</f>
        <v/>
      </c>
      <c r="J481" s="21">
        <f>IFERROR(BDP(Database!$A481&amp;" HK Equity","PE_RATIO"),"")</f>
        <v/>
      </c>
      <c r="K481" s="6">
        <f>IFERROR(BDP(Database!$A481&amp;" HK Equity","A/H_SHARE_CONVERSION"),"")</f>
        <v/>
      </c>
      <c r="L481" s="4">
        <f>IF(Database!AL481="","(none found)",Database!AL481)</f>
        <v/>
      </c>
      <c r="M481" s="9">
        <f>IFERROR(BDH(Database!$A481&amp;" HK Equity","CUR_MKT_CAP",Database!$G481,Database!$G481)/1000000,"")</f>
        <v/>
      </c>
      <c r="N481" s="63">
        <f>Database!O481</f>
        <v/>
      </c>
      <c r="O481" s="21">
        <f>IFERROR(BDH(Database!$A481&amp;" HK Equity","PE_RATIO",Database!$G481,Database!$G481),"")</f>
        <v/>
      </c>
      <c r="P481" s="60">
        <f>IF(Database!AI481="","(n/m or not derivable)",Database!AI481)</f>
        <v/>
      </c>
    </row>
    <row r="482">
      <c r="A482" s="4">
        <f>Database!A482&amp;"  "&amp;Database!B482</f>
        <v/>
      </c>
      <c r="B482" s="6">
        <f>IFERROR(INDEX(BDS(Database!$A482&amp;" HK Equity","EQUITY_OFFERINGS","array=t","endcol=1"),MATCH("IPO",BDS(Database!$A482&amp;" HK Equity","EQUITY_OFFERINGS","array=t","startcol=2","endcol=2"),0)),"")</f>
        <v/>
      </c>
      <c r="C482" s="64">
        <f>IF($B482="","",IFERROR(BDP($B482&amp;" Action","CP036"),""))</f>
        <v/>
      </c>
      <c r="D482" s="65">
        <f>Database!Q482</f>
        <v/>
      </c>
      <c r="E482" s="64">
        <f>IF($B482="","",IFERROR(BDP($B482&amp;" Action","CP037"),""))</f>
        <v/>
      </c>
      <c r="F482" s="65">
        <f>Database!R482</f>
        <v/>
      </c>
      <c r="G482" s="64">
        <f>IF($B482="","",IFERROR(BDP($B482&amp;" Action","GREENSHOE_FACILITY"),""))</f>
        <v/>
      </c>
      <c r="H482" s="64">
        <f>IF($B482="","",IFERROR(BDP($B482&amp;" Action","OFFERING_GREENSHOE_SHARES_EX"),""))</f>
        <v/>
      </c>
      <c r="I482" s="4">
        <f>Database!V482</f>
        <v/>
      </c>
      <c r="J482" s="21">
        <f>IFERROR(BDP(Database!$A482&amp;" HK Equity","PE_RATIO"),"")</f>
        <v/>
      </c>
      <c r="K482" s="6">
        <f>IFERROR(BDP(Database!$A482&amp;" HK Equity","A/H_SHARE_CONVERSION"),"")</f>
        <v/>
      </c>
      <c r="L482" s="4">
        <f>IF(Database!AL482="","(none found)",Database!AL482)</f>
        <v/>
      </c>
      <c r="M482" s="9">
        <f>IFERROR(BDH(Database!$A482&amp;" HK Equity","CUR_MKT_CAP",Database!$G482,Database!$G482)/1000000,"")</f>
        <v/>
      </c>
      <c r="N482" s="63">
        <f>Database!O482</f>
        <v/>
      </c>
      <c r="O482" s="21">
        <f>IFERROR(BDH(Database!$A482&amp;" HK Equity","PE_RATIO",Database!$G482,Database!$G482),"")</f>
        <v/>
      </c>
      <c r="P482" s="60">
        <f>IF(Database!AI482="","(n/m or not derivable)",Database!AI482)</f>
        <v/>
      </c>
    </row>
    <row r="483">
      <c r="A483" s="4">
        <f>Database!A483&amp;"  "&amp;Database!B483</f>
        <v/>
      </c>
      <c r="B483" s="6">
        <f>IFERROR(INDEX(BDS(Database!$A483&amp;" HK Equity","EQUITY_OFFERINGS","array=t","endcol=1"),MATCH("IPO",BDS(Database!$A483&amp;" HK Equity","EQUITY_OFFERINGS","array=t","startcol=2","endcol=2"),0)),"")</f>
        <v/>
      </c>
      <c r="C483" s="64">
        <f>IF($B483="","",IFERROR(BDP($B483&amp;" Action","CP036"),""))</f>
        <v/>
      </c>
      <c r="D483" s="65">
        <f>Database!Q483</f>
        <v/>
      </c>
      <c r="E483" s="64">
        <f>IF($B483="","",IFERROR(BDP($B483&amp;" Action","CP037"),""))</f>
        <v/>
      </c>
      <c r="F483" s="65">
        <f>Database!R483</f>
        <v/>
      </c>
      <c r="G483" s="64">
        <f>IF($B483="","",IFERROR(BDP($B483&amp;" Action","GREENSHOE_FACILITY"),""))</f>
        <v/>
      </c>
      <c r="H483" s="64">
        <f>IF($B483="","",IFERROR(BDP($B483&amp;" Action","OFFERING_GREENSHOE_SHARES_EX"),""))</f>
        <v/>
      </c>
      <c r="I483" s="4">
        <f>Database!V483</f>
        <v/>
      </c>
      <c r="J483" s="21">
        <f>IFERROR(BDP(Database!$A483&amp;" HK Equity","PE_RATIO"),"")</f>
        <v/>
      </c>
      <c r="K483" s="6">
        <f>IFERROR(BDP(Database!$A483&amp;" HK Equity","A/H_SHARE_CONVERSION"),"")</f>
        <v/>
      </c>
      <c r="L483" s="4">
        <f>IF(Database!AL483="","(none found)",Database!AL483)</f>
        <v/>
      </c>
      <c r="M483" s="9">
        <f>IFERROR(BDH(Database!$A483&amp;" HK Equity","CUR_MKT_CAP",Database!$G483,Database!$G483)/1000000,"")</f>
        <v/>
      </c>
      <c r="N483" s="63">
        <f>Database!O483</f>
        <v/>
      </c>
      <c r="O483" s="21">
        <f>IFERROR(BDH(Database!$A483&amp;" HK Equity","PE_RATIO",Database!$G483,Database!$G483),"")</f>
        <v/>
      </c>
      <c r="P483" s="60">
        <f>IF(Database!AI483="","(n/m or not derivable)",Database!AI483)</f>
        <v/>
      </c>
    </row>
    <row r="484">
      <c r="A484" s="4">
        <f>Database!A484&amp;"  "&amp;Database!B484</f>
        <v/>
      </c>
      <c r="B484" s="6">
        <f>IFERROR(INDEX(BDS(Database!$A484&amp;" HK Equity","EQUITY_OFFERINGS","array=t","endcol=1"),MATCH("IPO",BDS(Database!$A484&amp;" HK Equity","EQUITY_OFFERINGS","array=t","startcol=2","endcol=2"),0)),"")</f>
        <v/>
      </c>
      <c r="C484" s="64">
        <f>IF($B484="","",IFERROR(BDP($B484&amp;" Action","CP036"),""))</f>
        <v/>
      </c>
      <c r="D484" s="65">
        <f>Database!Q484</f>
        <v/>
      </c>
      <c r="E484" s="64">
        <f>IF($B484="","",IFERROR(BDP($B484&amp;" Action","CP037"),""))</f>
        <v/>
      </c>
      <c r="F484" s="65">
        <f>Database!R484</f>
        <v/>
      </c>
      <c r="G484" s="64">
        <f>IF($B484="","",IFERROR(BDP($B484&amp;" Action","GREENSHOE_FACILITY"),""))</f>
        <v/>
      </c>
      <c r="H484" s="64">
        <f>IF($B484="","",IFERROR(BDP($B484&amp;" Action","OFFERING_GREENSHOE_SHARES_EX"),""))</f>
        <v/>
      </c>
      <c r="I484" s="4">
        <f>Database!V484</f>
        <v/>
      </c>
      <c r="J484" s="21">
        <f>IFERROR(BDP(Database!$A484&amp;" HK Equity","PE_RATIO"),"")</f>
        <v/>
      </c>
      <c r="K484" s="6">
        <f>IFERROR(BDP(Database!$A484&amp;" HK Equity","A/H_SHARE_CONVERSION"),"")</f>
        <v/>
      </c>
      <c r="L484" s="4">
        <f>IF(Database!AL484="","(none found)",Database!AL484)</f>
        <v/>
      </c>
      <c r="M484" s="9">
        <f>IFERROR(BDH(Database!$A484&amp;" HK Equity","CUR_MKT_CAP",Database!$G484,Database!$G484)/1000000,"")</f>
        <v/>
      </c>
      <c r="N484" s="63">
        <f>Database!O484</f>
        <v/>
      </c>
      <c r="O484" s="21">
        <f>IFERROR(BDH(Database!$A484&amp;" HK Equity","PE_RATIO",Database!$G484,Database!$G484),"")</f>
        <v/>
      </c>
      <c r="P484" s="60">
        <f>IF(Database!AI484="","(n/m or not derivable)",Database!AI484)</f>
        <v/>
      </c>
    </row>
    <row r="485">
      <c r="A485" s="4">
        <f>Database!A485&amp;"  "&amp;Database!B485</f>
        <v/>
      </c>
      <c r="B485" s="6">
        <f>IFERROR(INDEX(BDS(Database!$A485&amp;" HK Equity","EQUITY_OFFERINGS","array=t","endcol=1"),MATCH("IPO",BDS(Database!$A485&amp;" HK Equity","EQUITY_OFFERINGS","array=t","startcol=2","endcol=2"),0)),"")</f>
        <v/>
      </c>
      <c r="C485" s="64">
        <f>IF($B485="","",IFERROR(BDP($B485&amp;" Action","CP036"),""))</f>
        <v/>
      </c>
      <c r="D485" s="65">
        <f>Database!Q485</f>
        <v/>
      </c>
      <c r="E485" s="64">
        <f>IF($B485="","",IFERROR(BDP($B485&amp;" Action","CP037"),""))</f>
        <v/>
      </c>
      <c r="F485" s="65">
        <f>Database!R485</f>
        <v/>
      </c>
      <c r="G485" s="64">
        <f>IF($B485="","",IFERROR(BDP($B485&amp;" Action","GREENSHOE_FACILITY"),""))</f>
        <v/>
      </c>
      <c r="H485" s="64">
        <f>IF($B485="","",IFERROR(BDP($B485&amp;" Action","OFFERING_GREENSHOE_SHARES_EX"),""))</f>
        <v/>
      </c>
      <c r="I485" s="4">
        <f>Database!V485</f>
        <v/>
      </c>
      <c r="J485" s="21">
        <f>IFERROR(BDP(Database!$A485&amp;" HK Equity","PE_RATIO"),"")</f>
        <v/>
      </c>
      <c r="K485" s="6">
        <f>IFERROR(BDP(Database!$A485&amp;" HK Equity","A/H_SHARE_CONVERSION"),"")</f>
        <v/>
      </c>
      <c r="L485" s="4">
        <f>IF(Database!AL485="","(none found)",Database!AL485)</f>
        <v/>
      </c>
      <c r="M485" s="9">
        <f>IFERROR(BDH(Database!$A485&amp;" HK Equity","CUR_MKT_CAP",Database!$G485,Database!$G485)/1000000,"")</f>
        <v/>
      </c>
      <c r="N485" s="63">
        <f>Database!O485</f>
        <v/>
      </c>
      <c r="O485" s="21">
        <f>IFERROR(BDH(Database!$A485&amp;" HK Equity","PE_RATIO",Database!$G485,Database!$G485),"")</f>
        <v/>
      </c>
      <c r="P485" s="60">
        <f>IF(Database!AI485="","(n/m or not derivable)",Database!AI485)</f>
        <v/>
      </c>
    </row>
    <row r="486">
      <c r="A486" s="4">
        <f>Database!A486&amp;"  "&amp;Database!B486</f>
        <v/>
      </c>
      <c r="B486" s="6">
        <f>IFERROR(INDEX(BDS(Database!$A486&amp;" HK Equity","EQUITY_OFFERINGS","array=t","endcol=1"),MATCH("IPO",BDS(Database!$A486&amp;" HK Equity","EQUITY_OFFERINGS","array=t","startcol=2","endcol=2"),0)),"")</f>
        <v/>
      </c>
      <c r="C486" s="64">
        <f>IF($B486="","",IFERROR(BDP($B486&amp;" Action","CP036"),""))</f>
        <v/>
      </c>
      <c r="D486" s="65">
        <f>Database!Q486</f>
        <v/>
      </c>
      <c r="E486" s="64">
        <f>IF($B486="","",IFERROR(BDP($B486&amp;" Action","CP037"),""))</f>
        <v/>
      </c>
      <c r="F486" s="65">
        <f>Database!R486</f>
        <v/>
      </c>
      <c r="G486" s="64">
        <f>IF($B486="","",IFERROR(BDP($B486&amp;" Action","GREENSHOE_FACILITY"),""))</f>
        <v/>
      </c>
      <c r="H486" s="64">
        <f>IF($B486="","",IFERROR(BDP($B486&amp;" Action","OFFERING_GREENSHOE_SHARES_EX"),""))</f>
        <v/>
      </c>
      <c r="I486" s="4">
        <f>Database!V486</f>
        <v/>
      </c>
      <c r="J486" s="21">
        <f>IFERROR(BDP(Database!$A486&amp;" HK Equity","PE_RATIO"),"")</f>
        <v/>
      </c>
      <c r="K486" s="6">
        <f>IFERROR(BDP(Database!$A486&amp;" HK Equity","A/H_SHARE_CONVERSION"),"")</f>
        <v/>
      </c>
      <c r="L486" s="4">
        <f>IF(Database!AL486="","(none found)",Database!AL486)</f>
        <v/>
      </c>
      <c r="M486" s="9">
        <f>IFERROR(BDH(Database!$A486&amp;" HK Equity","CUR_MKT_CAP",Database!$G486,Database!$G486)/1000000,"")</f>
        <v/>
      </c>
      <c r="N486" s="63">
        <f>Database!O486</f>
        <v/>
      </c>
      <c r="O486" s="21">
        <f>IFERROR(BDH(Database!$A486&amp;" HK Equity","PE_RATIO",Database!$G486,Database!$G486),"")</f>
        <v/>
      </c>
      <c r="P486" s="60">
        <f>IF(Database!AI486="","(n/m or not derivable)",Database!AI486)</f>
        <v/>
      </c>
    </row>
    <row r="487">
      <c r="A487" s="4">
        <f>Database!A487&amp;"  "&amp;Database!B487</f>
        <v/>
      </c>
      <c r="B487" s="6">
        <f>IFERROR(INDEX(BDS(Database!$A487&amp;" HK Equity","EQUITY_OFFERINGS","array=t","endcol=1"),MATCH("IPO",BDS(Database!$A487&amp;" HK Equity","EQUITY_OFFERINGS","array=t","startcol=2","endcol=2"),0)),"")</f>
        <v/>
      </c>
      <c r="C487" s="64">
        <f>IF($B487="","",IFERROR(BDP($B487&amp;" Action","CP036"),""))</f>
        <v/>
      </c>
      <c r="D487" s="65">
        <f>Database!Q487</f>
        <v/>
      </c>
      <c r="E487" s="64">
        <f>IF($B487="","",IFERROR(BDP($B487&amp;" Action","CP037"),""))</f>
        <v/>
      </c>
      <c r="F487" s="65">
        <f>Database!R487</f>
        <v/>
      </c>
      <c r="G487" s="64">
        <f>IF($B487="","",IFERROR(BDP($B487&amp;" Action","GREENSHOE_FACILITY"),""))</f>
        <v/>
      </c>
      <c r="H487" s="64">
        <f>IF($B487="","",IFERROR(BDP($B487&amp;" Action","OFFERING_GREENSHOE_SHARES_EX"),""))</f>
        <v/>
      </c>
      <c r="I487" s="4">
        <f>Database!V487</f>
        <v/>
      </c>
      <c r="J487" s="21">
        <f>IFERROR(BDP(Database!$A487&amp;" HK Equity","PE_RATIO"),"")</f>
        <v/>
      </c>
      <c r="K487" s="6">
        <f>IFERROR(BDP(Database!$A487&amp;" HK Equity","A/H_SHARE_CONVERSION"),"")</f>
        <v/>
      </c>
      <c r="L487" s="4">
        <f>IF(Database!AL487="","(none found)",Database!AL487)</f>
        <v/>
      </c>
      <c r="M487" s="9">
        <f>IFERROR(BDH(Database!$A487&amp;" HK Equity","CUR_MKT_CAP",Database!$G487,Database!$G487)/1000000,"")</f>
        <v/>
      </c>
      <c r="N487" s="63">
        <f>Database!O487</f>
        <v/>
      </c>
      <c r="O487" s="21">
        <f>IFERROR(BDH(Database!$A487&amp;" HK Equity","PE_RATIO",Database!$G487,Database!$G487),"")</f>
        <v/>
      </c>
      <c r="P487" s="60">
        <f>IF(Database!AI487="","(n/m or not derivable)",Database!AI487)</f>
        <v/>
      </c>
    </row>
    <row r="488">
      <c r="A488" s="4">
        <f>Database!A488&amp;"  "&amp;Database!B488</f>
        <v/>
      </c>
      <c r="B488" s="6">
        <f>IFERROR(INDEX(BDS(Database!$A488&amp;" HK Equity","EQUITY_OFFERINGS","array=t","endcol=1"),MATCH("IPO",BDS(Database!$A488&amp;" HK Equity","EQUITY_OFFERINGS","array=t","startcol=2","endcol=2"),0)),"")</f>
        <v/>
      </c>
      <c r="C488" s="64">
        <f>IF($B488="","",IFERROR(BDP($B488&amp;" Action","CP036"),""))</f>
        <v/>
      </c>
      <c r="D488" s="65">
        <f>Database!Q488</f>
        <v/>
      </c>
      <c r="E488" s="64">
        <f>IF($B488="","",IFERROR(BDP($B488&amp;" Action","CP037"),""))</f>
        <v/>
      </c>
      <c r="F488" s="65">
        <f>Database!R488</f>
        <v/>
      </c>
      <c r="G488" s="64">
        <f>IF($B488="","",IFERROR(BDP($B488&amp;" Action","GREENSHOE_FACILITY"),""))</f>
        <v/>
      </c>
      <c r="H488" s="64">
        <f>IF($B488="","",IFERROR(BDP($B488&amp;" Action","OFFERING_GREENSHOE_SHARES_EX"),""))</f>
        <v/>
      </c>
      <c r="I488" s="4">
        <f>Database!V488</f>
        <v/>
      </c>
      <c r="J488" s="21">
        <f>IFERROR(BDP(Database!$A488&amp;" HK Equity","PE_RATIO"),"")</f>
        <v/>
      </c>
      <c r="K488" s="6">
        <f>IFERROR(BDP(Database!$A488&amp;" HK Equity","A/H_SHARE_CONVERSION"),"")</f>
        <v/>
      </c>
      <c r="L488" s="4">
        <f>IF(Database!AL488="","(none found)",Database!AL488)</f>
        <v/>
      </c>
      <c r="M488" s="9">
        <f>IFERROR(BDH(Database!$A488&amp;" HK Equity","CUR_MKT_CAP",Database!$G488,Database!$G488)/1000000,"")</f>
        <v/>
      </c>
      <c r="N488" s="63">
        <f>Database!O488</f>
        <v/>
      </c>
      <c r="O488" s="21">
        <f>IFERROR(BDH(Database!$A488&amp;" HK Equity","PE_RATIO",Database!$G488,Database!$G488),"")</f>
        <v/>
      </c>
      <c r="P488" s="60">
        <f>IF(Database!AI488="","(n/m or not derivable)",Database!AI488)</f>
        <v/>
      </c>
    </row>
    <row r="489">
      <c r="A489" s="4">
        <f>Database!A489&amp;"  "&amp;Database!B489</f>
        <v/>
      </c>
      <c r="B489" s="6">
        <f>IFERROR(INDEX(BDS(Database!$A489&amp;" HK Equity","EQUITY_OFFERINGS","array=t","endcol=1"),MATCH("IPO",BDS(Database!$A489&amp;" HK Equity","EQUITY_OFFERINGS","array=t","startcol=2","endcol=2"),0)),"")</f>
        <v/>
      </c>
      <c r="C489" s="64">
        <f>IF($B489="","",IFERROR(BDP($B489&amp;" Action","CP036"),""))</f>
        <v/>
      </c>
      <c r="D489" s="65">
        <f>Database!Q489</f>
        <v/>
      </c>
      <c r="E489" s="64">
        <f>IF($B489="","",IFERROR(BDP($B489&amp;" Action","CP037"),""))</f>
        <v/>
      </c>
      <c r="F489" s="65">
        <f>Database!R489</f>
        <v/>
      </c>
      <c r="G489" s="64">
        <f>IF($B489="","",IFERROR(BDP($B489&amp;" Action","GREENSHOE_FACILITY"),""))</f>
        <v/>
      </c>
      <c r="H489" s="64">
        <f>IF($B489="","",IFERROR(BDP($B489&amp;" Action","OFFERING_GREENSHOE_SHARES_EX"),""))</f>
        <v/>
      </c>
      <c r="I489" s="4">
        <f>Database!V489</f>
        <v/>
      </c>
      <c r="J489" s="21">
        <f>IFERROR(BDP(Database!$A489&amp;" HK Equity","PE_RATIO"),"")</f>
        <v/>
      </c>
      <c r="K489" s="6">
        <f>IFERROR(BDP(Database!$A489&amp;" HK Equity","A/H_SHARE_CONVERSION"),"")</f>
        <v/>
      </c>
      <c r="L489" s="4">
        <f>IF(Database!AL489="","(none found)",Database!AL489)</f>
        <v/>
      </c>
      <c r="M489" s="9">
        <f>IFERROR(BDH(Database!$A489&amp;" HK Equity","CUR_MKT_CAP",Database!$G489,Database!$G489)/1000000,"")</f>
        <v/>
      </c>
      <c r="N489" s="63">
        <f>Database!O489</f>
        <v/>
      </c>
      <c r="O489" s="21">
        <f>IFERROR(BDH(Database!$A489&amp;" HK Equity","PE_RATIO",Database!$G489,Database!$G489),"")</f>
        <v/>
      </c>
      <c r="P489" s="60">
        <f>IF(Database!AI489="","(n/m or not derivable)",Database!AI489)</f>
        <v/>
      </c>
    </row>
    <row r="490">
      <c r="A490" s="4">
        <f>Database!A490&amp;"  "&amp;Database!B490</f>
        <v/>
      </c>
      <c r="B490" s="6">
        <f>IFERROR(INDEX(BDS(Database!$A490&amp;" HK Equity","EQUITY_OFFERINGS","array=t","endcol=1"),MATCH("IPO",BDS(Database!$A490&amp;" HK Equity","EQUITY_OFFERINGS","array=t","startcol=2","endcol=2"),0)),"")</f>
        <v/>
      </c>
      <c r="C490" s="64">
        <f>IF($B490="","",IFERROR(BDP($B490&amp;" Action","CP036"),""))</f>
        <v/>
      </c>
      <c r="D490" s="65">
        <f>Database!Q490</f>
        <v/>
      </c>
      <c r="E490" s="64">
        <f>IF($B490="","",IFERROR(BDP($B490&amp;" Action","CP037"),""))</f>
        <v/>
      </c>
      <c r="F490" s="65">
        <f>Database!R490</f>
        <v/>
      </c>
      <c r="G490" s="64">
        <f>IF($B490="","",IFERROR(BDP($B490&amp;" Action","GREENSHOE_FACILITY"),""))</f>
        <v/>
      </c>
      <c r="H490" s="64">
        <f>IF($B490="","",IFERROR(BDP($B490&amp;" Action","OFFERING_GREENSHOE_SHARES_EX"),""))</f>
        <v/>
      </c>
      <c r="I490" s="4">
        <f>Database!V490</f>
        <v/>
      </c>
      <c r="J490" s="21">
        <f>IFERROR(BDP(Database!$A490&amp;" HK Equity","PE_RATIO"),"")</f>
        <v/>
      </c>
      <c r="K490" s="6">
        <f>IFERROR(BDP(Database!$A490&amp;" HK Equity","A/H_SHARE_CONVERSION"),"")</f>
        <v/>
      </c>
      <c r="L490" s="4">
        <f>IF(Database!AL490="","(none found)",Database!AL490)</f>
        <v/>
      </c>
      <c r="M490" s="9">
        <f>IFERROR(BDH(Database!$A490&amp;" HK Equity","CUR_MKT_CAP",Database!$G490,Database!$G490)/1000000,"")</f>
        <v/>
      </c>
      <c r="N490" s="63">
        <f>Database!O490</f>
        <v/>
      </c>
      <c r="O490" s="21">
        <f>IFERROR(BDH(Database!$A490&amp;" HK Equity","PE_RATIO",Database!$G490,Database!$G490),"")</f>
        <v/>
      </c>
      <c r="P490" s="60">
        <f>IF(Database!AI490="","(n/m or not derivable)",Database!AI490)</f>
        <v/>
      </c>
    </row>
    <row r="491">
      <c r="A491" s="4">
        <f>Database!A491&amp;"  "&amp;Database!B491</f>
        <v/>
      </c>
      <c r="B491" s="6">
        <f>IFERROR(INDEX(BDS(Database!$A491&amp;" HK Equity","EQUITY_OFFERINGS","array=t","endcol=1"),MATCH("IPO",BDS(Database!$A491&amp;" HK Equity","EQUITY_OFFERINGS","array=t","startcol=2","endcol=2"),0)),"")</f>
        <v/>
      </c>
      <c r="C491" s="64">
        <f>IF($B491="","",IFERROR(BDP($B491&amp;" Action","CP036"),""))</f>
        <v/>
      </c>
      <c r="D491" s="65">
        <f>Database!Q491</f>
        <v/>
      </c>
      <c r="E491" s="64">
        <f>IF($B491="","",IFERROR(BDP($B491&amp;" Action","CP037"),""))</f>
        <v/>
      </c>
      <c r="F491" s="65">
        <f>Database!R491</f>
        <v/>
      </c>
      <c r="G491" s="64">
        <f>IF($B491="","",IFERROR(BDP($B491&amp;" Action","GREENSHOE_FACILITY"),""))</f>
        <v/>
      </c>
      <c r="H491" s="64">
        <f>IF($B491="","",IFERROR(BDP($B491&amp;" Action","OFFERING_GREENSHOE_SHARES_EX"),""))</f>
        <v/>
      </c>
      <c r="I491" s="4">
        <f>Database!V491</f>
        <v/>
      </c>
      <c r="J491" s="21">
        <f>IFERROR(BDP(Database!$A491&amp;" HK Equity","PE_RATIO"),"")</f>
        <v/>
      </c>
      <c r="K491" s="6">
        <f>IFERROR(BDP(Database!$A491&amp;" HK Equity","A/H_SHARE_CONVERSION"),"")</f>
        <v/>
      </c>
      <c r="L491" s="4">
        <f>IF(Database!AL491="","(none found)",Database!AL491)</f>
        <v/>
      </c>
      <c r="M491" s="9">
        <f>IFERROR(BDH(Database!$A491&amp;" HK Equity","CUR_MKT_CAP",Database!$G491,Database!$G491)/1000000,"")</f>
        <v/>
      </c>
      <c r="N491" s="63">
        <f>Database!O491</f>
        <v/>
      </c>
      <c r="O491" s="21">
        <f>IFERROR(BDH(Database!$A491&amp;" HK Equity","PE_RATIO",Database!$G491,Database!$G491),"")</f>
        <v/>
      </c>
      <c r="P491" s="60">
        <f>IF(Database!AI491="","(n/m or not derivable)",Database!AI491)</f>
        <v/>
      </c>
    </row>
    <row r="492">
      <c r="A492" s="4">
        <f>Database!A492&amp;"  "&amp;Database!B492</f>
        <v/>
      </c>
      <c r="B492" s="6">
        <f>IFERROR(INDEX(BDS(Database!$A492&amp;" HK Equity","EQUITY_OFFERINGS","array=t","endcol=1"),MATCH("IPO",BDS(Database!$A492&amp;" HK Equity","EQUITY_OFFERINGS","array=t","startcol=2","endcol=2"),0)),"")</f>
        <v/>
      </c>
      <c r="C492" s="64">
        <f>IF($B492="","",IFERROR(BDP($B492&amp;" Action","CP036"),""))</f>
        <v/>
      </c>
      <c r="D492" s="65">
        <f>Database!Q492</f>
        <v/>
      </c>
      <c r="E492" s="64">
        <f>IF($B492="","",IFERROR(BDP($B492&amp;" Action","CP037"),""))</f>
        <v/>
      </c>
      <c r="F492" s="65">
        <f>Database!R492</f>
        <v/>
      </c>
      <c r="G492" s="64">
        <f>IF($B492="","",IFERROR(BDP($B492&amp;" Action","GREENSHOE_FACILITY"),""))</f>
        <v/>
      </c>
      <c r="H492" s="64">
        <f>IF($B492="","",IFERROR(BDP($B492&amp;" Action","OFFERING_GREENSHOE_SHARES_EX"),""))</f>
        <v/>
      </c>
      <c r="I492" s="4">
        <f>Database!V492</f>
        <v/>
      </c>
      <c r="J492" s="21">
        <f>IFERROR(BDP(Database!$A492&amp;" HK Equity","PE_RATIO"),"")</f>
        <v/>
      </c>
      <c r="K492" s="6">
        <f>IFERROR(BDP(Database!$A492&amp;" HK Equity","A/H_SHARE_CONVERSION"),"")</f>
        <v/>
      </c>
      <c r="L492" s="4">
        <f>IF(Database!AL492="","(none found)",Database!AL492)</f>
        <v/>
      </c>
      <c r="M492" s="9">
        <f>IFERROR(BDH(Database!$A492&amp;" HK Equity","CUR_MKT_CAP",Database!$G492,Database!$G492)/1000000,"")</f>
        <v/>
      </c>
      <c r="N492" s="63">
        <f>Database!O492</f>
        <v/>
      </c>
      <c r="O492" s="21">
        <f>IFERROR(BDH(Database!$A492&amp;" HK Equity","PE_RATIO",Database!$G492,Database!$G492),"")</f>
        <v/>
      </c>
      <c r="P492" s="60">
        <f>IF(Database!AI492="","(n/m or not derivable)",Database!AI492)</f>
        <v/>
      </c>
    </row>
    <row r="493">
      <c r="A493" s="4">
        <f>Database!A493&amp;"  "&amp;Database!B493</f>
        <v/>
      </c>
      <c r="B493" s="6">
        <f>IFERROR(INDEX(BDS(Database!$A493&amp;" HK Equity","EQUITY_OFFERINGS","array=t","endcol=1"),MATCH("IPO",BDS(Database!$A493&amp;" HK Equity","EQUITY_OFFERINGS","array=t","startcol=2","endcol=2"),0)),"")</f>
        <v/>
      </c>
      <c r="C493" s="64">
        <f>IF($B493="","",IFERROR(BDP($B493&amp;" Action","CP036"),""))</f>
        <v/>
      </c>
      <c r="D493" s="65">
        <f>Database!Q493</f>
        <v/>
      </c>
      <c r="E493" s="64">
        <f>IF($B493="","",IFERROR(BDP($B493&amp;" Action","CP037"),""))</f>
        <v/>
      </c>
      <c r="F493" s="65">
        <f>Database!R493</f>
        <v/>
      </c>
      <c r="G493" s="64">
        <f>IF($B493="","",IFERROR(BDP($B493&amp;" Action","GREENSHOE_FACILITY"),""))</f>
        <v/>
      </c>
      <c r="H493" s="64">
        <f>IF($B493="","",IFERROR(BDP($B493&amp;" Action","OFFERING_GREENSHOE_SHARES_EX"),""))</f>
        <v/>
      </c>
      <c r="I493" s="4">
        <f>Database!V493</f>
        <v/>
      </c>
      <c r="J493" s="21">
        <f>IFERROR(BDP(Database!$A493&amp;" HK Equity","PE_RATIO"),"")</f>
        <v/>
      </c>
      <c r="K493" s="6">
        <f>IFERROR(BDP(Database!$A493&amp;" HK Equity","A/H_SHARE_CONVERSION"),"")</f>
        <v/>
      </c>
      <c r="L493" s="4">
        <f>IF(Database!AL493="","(none found)",Database!AL493)</f>
        <v/>
      </c>
      <c r="M493" s="9">
        <f>IFERROR(BDH(Database!$A493&amp;" HK Equity","CUR_MKT_CAP",Database!$G493,Database!$G493)/1000000,"")</f>
        <v/>
      </c>
      <c r="N493" s="63">
        <f>Database!O493</f>
        <v/>
      </c>
      <c r="O493" s="21">
        <f>IFERROR(BDH(Database!$A493&amp;" HK Equity","PE_RATIO",Database!$G493,Database!$G493),"")</f>
        <v/>
      </c>
      <c r="P493" s="60">
        <f>IF(Database!AI493="","(n/m or not derivable)",Database!AI493)</f>
        <v/>
      </c>
    </row>
    <row r="494">
      <c r="A494" s="4">
        <f>Database!A494&amp;"  "&amp;Database!B494</f>
        <v/>
      </c>
      <c r="B494" s="6">
        <f>IFERROR(INDEX(BDS(Database!$A494&amp;" HK Equity","EQUITY_OFFERINGS","array=t","endcol=1"),MATCH("IPO",BDS(Database!$A494&amp;" HK Equity","EQUITY_OFFERINGS","array=t","startcol=2","endcol=2"),0)),"")</f>
        <v/>
      </c>
      <c r="C494" s="64">
        <f>IF($B494="","",IFERROR(BDP($B494&amp;" Action","CP036"),""))</f>
        <v/>
      </c>
      <c r="D494" s="65">
        <f>Database!Q494</f>
        <v/>
      </c>
      <c r="E494" s="64">
        <f>IF($B494="","",IFERROR(BDP($B494&amp;" Action","CP037"),""))</f>
        <v/>
      </c>
      <c r="F494" s="65">
        <f>Database!R494</f>
        <v/>
      </c>
      <c r="G494" s="64">
        <f>IF($B494="","",IFERROR(BDP($B494&amp;" Action","GREENSHOE_FACILITY"),""))</f>
        <v/>
      </c>
      <c r="H494" s="64">
        <f>IF($B494="","",IFERROR(BDP($B494&amp;" Action","OFFERING_GREENSHOE_SHARES_EX"),""))</f>
        <v/>
      </c>
      <c r="I494" s="4">
        <f>Database!V494</f>
        <v/>
      </c>
      <c r="J494" s="21">
        <f>IFERROR(BDP(Database!$A494&amp;" HK Equity","PE_RATIO"),"")</f>
        <v/>
      </c>
      <c r="K494" s="6">
        <f>IFERROR(BDP(Database!$A494&amp;" HK Equity","A/H_SHARE_CONVERSION"),"")</f>
        <v/>
      </c>
      <c r="L494" s="4">
        <f>IF(Database!AL494="","(none found)",Database!AL494)</f>
        <v/>
      </c>
      <c r="M494" s="9">
        <f>IFERROR(BDH(Database!$A494&amp;" HK Equity","CUR_MKT_CAP",Database!$G494,Database!$G494)/1000000,"")</f>
        <v/>
      </c>
      <c r="N494" s="63">
        <f>Database!O494</f>
        <v/>
      </c>
      <c r="O494" s="21">
        <f>IFERROR(BDH(Database!$A494&amp;" HK Equity","PE_RATIO",Database!$G494,Database!$G494),"")</f>
        <v/>
      </c>
      <c r="P494" s="60">
        <f>IF(Database!AI494="","(n/m or not derivable)",Database!AI494)</f>
        <v/>
      </c>
    </row>
    <row r="495">
      <c r="A495" s="4">
        <f>Database!A495&amp;"  "&amp;Database!B495</f>
        <v/>
      </c>
      <c r="B495" s="6">
        <f>IFERROR(INDEX(BDS(Database!$A495&amp;" HK Equity","EQUITY_OFFERINGS","array=t","endcol=1"),MATCH("IPO",BDS(Database!$A495&amp;" HK Equity","EQUITY_OFFERINGS","array=t","startcol=2","endcol=2"),0)),"")</f>
        <v/>
      </c>
      <c r="C495" s="64">
        <f>IF($B495="","",IFERROR(BDP($B495&amp;" Action","CP036"),""))</f>
        <v/>
      </c>
      <c r="D495" s="65">
        <f>Database!Q495</f>
        <v/>
      </c>
      <c r="E495" s="64">
        <f>IF($B495="","",IFERROR(BDP($B495&amp;" Action","CP037"),""))</f>
        <v/>
      </c>
      <c r="F495" s="65">
        <f>Database!R495</f>
        <v/>
      </c>
      <c r="G495" s="64">
        <f>IF($B495="","",IFERROR(BDP($B495&amp;" Action","GREENSHOE_FACILITY"),""))</f>
        <v/>
      </c>
      <c r="H495" s="64">
        <f>IF($B495="","",IFERROR(BDP($B495&amp;" Action","OFFERING_GREENSHOE_SHARES_EX"),""))</f>
        <v/>
      </c>
      <c r="I495" s="4">
        <f>Database!V495</f>
        <v/>
      </c>
      <c r="J495" s="21">
        <f>IFERROR(BDP(Database!$A495&amp;" HK Equity","PE_RATIO"),"")</f>
        <v/>
      </c>
      <c r="K495" s="6">
        <f>IFERROR(BDP(Database!$A495&amp;" HK Equity","A/H_SHARE_CONVERSION"),"")</f>
        <v/>
      </c>
      <c r="L495" s="4">
        <f>IF(Database!AL495="","(none found)",Database!AL495)</f>
        <v/>
      </c>
      <c r="M495" s="9">
        <f>IFERROR(BDH(Database!$A495&amp;" HK Equity","CUR_MKT_CAP",Database!$G495,Database!$G495)/1000000,"")</f>
        <v/>
      </c>
      <c r="N495" s="63">
        <f>Database!O495</f>
        <v/>
      </c>
      <c r="O495" s="21">
        <f>IFERROR(BDH(Database!$A495&amp;" HK Equity","PE_RATIO",Database!$G495,Database!$G495),"")</f>
        <v/>
      </c>
      <c r="P495" s="60">
        <f>IF(Database!AI495="","(n/m or not derivable)",Database!AI495)</f>
        <v/>
      </c>
    </row>
    <row r="496">
      <c r="A496" s="4">
        <f>Database!A496&amp;"  "&amp;Database!B496</f>
        <v/>
      </c>
      <c r="B496" s="6">
        <f>IFERROR(INDEX(BDS(Database!$A496&amp;" HK Equity","EQUITY_OFFERINGS","array=t","endcol=1"),MATCH("IPO",BDS(Database!$A496&amp;" HK Equity","EQUITY_OFFERINGS","array=t","startcol=2","endcol=2"),0)),"")</f>
        <v/>
      </c>
      <c r="C496" s="64">
        <f>IF($B496="","",IFERROR(BDP($B496&amp;" Action","CP036"),""))</f>
        <v/>
      </c>
      <c r="D496" s="65">
        <f>Database!Q496</f>
        <v/>
      </c>
      <c r="E496" s="64">
        <f>IF($B496="","",IFERROR(BDP($B496&amp;" Action","CP037"),""))</f>
        <v/>
      </c>
      <c r="F496" s="65">
        <f>Database!R496</f>
        <v/>
      </c>
      <c r="G496" s="64">
        <f>IF($B496="","",IFERROR(BDP($B496&amp;" Action","GREENSHOE_FACILITY"),""))</f>
        <v/>
      </c>
      <c r="H496" s="64">
        <f>IF($B496="","",IFERROR(BDP($B496&amp;" Action","OFFERING_GREENSHOE_SHARES_EX"),""))</f>
        <v/>
      </c>
      <c r="I496" s="4">
        <f>Database!V496</f>
        <v/>
      </c>
      <c r="J496" s="21">
        <f>IFERROR(BDP(Database!$A496&amp;" HK Equity","PE_RATIO"),"")</f>
        <v/>
      </c>
      <c r="K496" s="6">
        <f>IFERROR(BDP(Database!$A496&amp;" HK Equity","A/H_SHARE_CONVERSION"),"")</f>
        <v/>
      </c>
      <c r="L496" s="4">
        <f>IF(Database!AL496="","(none found)",Database!AL496)</f>
        <v/>
      </c>
      <c r="M496" s="9">
        <f>IFERROR(BDH(Database!$A496&amp;" HK Equity","CUR_MKT_CAP",Database!$G496,Database!$G496)/1000000,"")</f>
        <v/>
      </c>
      <c r="N496" s="63">
        <f>Database!O496</f>
        <v/>
      </c>
      <c r="O496" s="21">
        <f>IFERROR(BDH(Database!$A496&amp;" HK Equity","PE_RATIO",Database!$G496,Database!$G496),"")</f>
        <v/>
      </c>
      <c r="P496" s="60">
        <f>IF(Database!AI496="","(n/m or not derivable)",Database!AI496)</f>
        <v/>
      </c>
    </row>
    <row r="497">
      <c r="A497" s="4">
        <f>Database!A497&amp;"  "&amp;Database!B497</f>
        <v/>
      </c>
      <c r="B497" s="6">
        <f>IFERROR(INDEX(BDS(Database!$A497&amp;" HK Equity","EQUITY_OFFERINGS","array=t","endcol=1"),MATCH("IPO",BDS(Database!$A497&amp;" HK Equity","EQUITY_OFFERINGS","array=t","startcol=2","endcol=2"),0)),"")</f>
        <v/>
      </c>
      <c r="C497" s="64">
        <f>IF($B497="","",IFERROR(BDP($B497&amp;" Action","CP036"),""))</f>
        <v/>
      </c>
      <c r="D497" s="65">
        <f>Database!Q497</f>
        <v/>
      </c>
      <c r="E497" s="64">
        <f>IF($B497="","",IFERROR(BDP($B497&amp;" Action","CP037"),""))</f>
        <v/>
      </c>
      <c r="F497" s="65">
        <f>Database!R497</f>
        <v/>
      </c>
      <c r="G497" s="64">
        <f>IF($B497="","",IFERROR(BDP($B497&amp;" Action","GREENSHOE_FACILITY"),""))</f>
        <v/>
      </c>
      <c r="H497" s="64">
        <f>IF($B497="","",IFERROR(BDP($B497&amp;" Action","OFFERING_GREENSHOE_SHARES_EX"),""))</f>
        <v/>
      </c>
      <c r="I497" s="4">
        <f>Database!V497</f>
        <v/>
      </c>
      <c r="J497" s="21">
        <f>IFERROR(BDP(Database!$A497&amp;" HK Equity","PE_RATIO"),"")</f>
        <v/>
      </c>
      <c r="K497" s="6">
        <f>IFERROR(BDP(Database!$A497&amp;" HK Equity","A/H_SHARE_CONVERSION"),"")</f>
        <v/>
      </c>
      <c r="L497" s="4">
        <f>IF(Database!AL497="","(none found)",Database!AL497)</f>
        <v/>
      </c>
      <c r="M497" s="9">
        <f>IFERROR(BDH(Database!$A497&amp;" HK Equity","CUR_MKT_CAP",Database!$G497,Database!$G497)/1000000,"")</f>
        <v/>
      </c>
      <c r="N497" s="63">
        <f>Database!O497</f>
        <v/>
      </c>
      <c r="O497" s="21">
        <f>IFERROR(BDH(Database!$A497&amp;" HK Equity","PE_RATIO",Database!$G497,Database!$G497),"")</f>
        <v/>
      </c>
      <c r="P497" s="60">
        <f>IF(Database!AI497="","(n/m or not derivable)",Database!AI497)</f>
        <v/>
      </c>
    </row>
    <row r="498">
      <c r="A498" s="4">
        <f>Database!A498&amp;"  "&amp;Database!B498</f>
        <v/>
      </c>
      <c r="B498" s="6">
        <f>IFERROR(INDEX(BDS(Database!$A498&amp;" HK Equity","EQUITY_OFFERINGS","array=t","endcol=1"),MATCH("IPO",BDS(Database!$A498&amp;" HK Equity","EQUITY_OFFERINGS","array=t","startcol=2","endcol=2"),0)),"")</f>
        <v/>
      </c>
      <c r="C498" s="64">
        <f>IF($B498="","",IFERROR(BDP($B498&amp;" Action","CP036"),""))</f>
        <v/>
      </c>
      <c r="D498" s="65">
        <f>Database!Q498</f>
        <v/>
      </c>
      <c r="E498" s="64">
        <f>IF($B498="","",IFERROR(BDP($B498&amp;" Action","CP037"),""))</f>
        <v/>
      </c>
      <c r="F498" s="65">
        <f>Database!R498</f>
        <v/>
      </c>
      <c r="G498" s="64">
        <f>IF($B498="","",IFERROR(BDP($B498&amp;" Action","GREENSHOE_FACILITY"),""))</f>
        <v/>
      </c>
      <c r="H498" s="64">
        <f>IF($B498="","",IFERROR(BDP($B498&amp;" Action","OFFERING_GREENSHOE_SHARES_EX"),""))</f>
        <v/>
      </c>
      <c r="I498" s="4">
        <f>Database!V498</f>
        <v/>
      </c>
      <c r="J498" s="21">
        <f>IFERROR(BDP(Database!$A498&amp;" HK Equity","PE_RATIO"),"")</f>
        <v/>
      </c>
      <c r="K498" s="6">
        <f>IFERROR(BDP(Database!$A498&amp;" HK Equity","A/H_SHARE_CONVERSION"),"")</f>
        <v/>
      </c>
      <c r="L498" s="4">
        <f>IF(Database!AL498="","(none found)",Database!AL498)</f>
        <v/>
      </c>
      <c r="M498" s="9">
        <f>IFERROR(BDH(Database!$A498&amp;" HK Equity","CUR_MKT_CAP",Database!$G498,Database!$G498)/1000000,"")</f>
        <v/>
      </c>
      <c r="N498" s="63">
        <f>Database!O498</f>
        <v/>
      </c>
      <c r="O498" s="21">
        <f>IFERROR(BDH(Database!$A498&amp;" HK Equity","PE_RATIO",Database!$G498,Database!$G498),"")</f>
        <v/>
      </c>
      <c r="P498" s="60">
        <f>IF(Database!AI498="","(n/m or not derivable)",Database!AI498)</f>
        <v/>
      </c>
    </row>
    <row r="499">
      <c r="A499" s="4">
        <f>Database!A499&amp;"  "&amp;Database!B499</f>
        <v/>
      </c>
      <c r="B499" s="6">
        <f>IFERROR(INDEX(BDS(Database!$A499&amp;" HK Equity","EQUITY_OFFERINGS","array=t","endcol=1"),MATCH("IPO",BDS(Database!$A499&amp;" HK Equity","EQUITY_OFFERINGS","array=t","startcol=2","endcol=2"),0)),"")</f>
        <v/>
      </c>
      <c r="C499" s="64">
        <f>IF($B499="","",IFERROR(BDP($B499&amp;" Action","CP036"),""))</f>
        <v/>
      </c>
      <c r="D499" s="65">
        <f>Database!Q499</f>
        <v/>
      </c>
      <c r="E499" s="64">
        <f>IF($B499="","",IFERROR(BDP($B499&amp;" Action","CP037"),""))</f>
        <v/>
      </c>
      <c r="F499" s="65">
        <f>Database!R499</f>
        <v/>
      </c>
      <c r="G499" s="64">
        <f>IF($B499="","",IFERROR(BDP($B499&amp;" Action","GREENSHOE_FACILITY"),""))</f>
        <v/>
      </c>
      <c r="H499" s="64">
        <f>IF($B499="","",IFERROR(BDP($B499&amp;" Action","OFFERING_GREENSHOE_SHARES_EX"),""))</f>
        <v/>
      </c>
      <c r="I499" s="4">
        <f>Database!V499</f>
        <v/>
      </c>
      <c r="J499" s="21">
        <f>IFERROR(BDP(Database!$A499&amp;" HK Equity","PE_RATIO"),"")</f>
        <v/>
      </c>
      <c r="K499" s="6">
        <f>IFERROR(BDP(Database!$A499&amp;" HK Equity","A/H_SHARE_CONVERSION"),"")</f>
        <v/>
      </c>
      <c r="L499" s="4">
        <f>IF(Database!AL499="","(none found)",Database!AL499)</f>
        <v/>
      </c>
      <c r="M499" s="9">
        <f>IFERROR(BDH(Database!$A499&amp;" HK Equity","CUR_MKT_CAP",Database!$G499,Database!$G499)/1000000,"")</f>
        <v/>
      </c>
      <c r="N499" s="63">
        <f>Database!O499</f>
        <v/>
      </c>
      <c r="O499" s="21">
        <f>IFERROR(BDH(Database!$A499&amp;" HK Equity","PE_RATIO",Database!$G499,Database!$G499),"")</f>
        <v/>
      </c>
      <c r="P499" s="60">
        <f>IF(Database!AI499="","(n/m or not derivable)",Database!AI499)</f>
        <v/>
      </c>
    </row>
    <row r="500">
      <c r="A500" s="4">
        <f>Database!A500&amp;"  "&amp;Database!B500</f>
        <v/>
      </c>
      <c r="B500" s="6">
        <f>IFERROR(INDEX(BDS(Database!$A500&amp;" HK Equity","EQUITY_OFFERINGS","array=t","endcol=1"),MATCH("IPO",BDS(Database!$A500&amp;" HK Equity","EQUITY_OFFERINGS","array=t","startcol=2","endcol=2"),0)),"")</f>
        <v/>
      </c>
      <c r="C500" s="64">
        <f>IF($B500="","",IFERROR(BDP($B500&amp;" Action","CP036"),""))</f>
        <v/>
      </c>
      <c r="D500" s="65">
        <f>Database!Q500</f>
        <v/>
      </c>
      <c r="E500" s="64">
        <f>IF($B500="","",IFERROR(BDP($B500&amp;" Action","CP037"),""))</f>
        <v/>
      </c>
      <c r="F500" s="65">
        <f>Database!R500</f>
        <v/>
      </c>
      <c r="G500" s="64">
        <f>IF($B500="","",IFERROR(BDP($B500&amp;" Action","GREENSHOE_FACILITY"),""))</f>
        <v/>
      </c>
      <c r="H500" s="64">
        <f>IF($B500="","",IFERROR(BDP($B500&amp;" Action","OFFERING_GREENSHOE_SHARES_EX"),""))</f>
        <v/>
      </c>
      <c r="I500" s="4">
        <f>Database!V500</f>
        <v/>
      </c>
      <c r="J500" s="21">
        <f>IFERROR(BDP(Database!$A500&amp;" HK Equity","PE_RATIO"),"")</f>
        <v/>
      </c>
      <c r="K500" s="6">
        <f>IFERROR(BDP(Database!$A500&amp;" HK Equity","A/H_SHARE_CONVERSION"),"")</f>
        <v/>
      </c>
      <c r="L500" s="4">
        <f>IF(Database!AL500="","(none found)",Database!AL500)</f>
        <v/>
      </c>
      <c r="M500" s="9">
        <f>IFERROR(BDH(Database!$A500&amp;" HK Equity","CUR_MKT_CAP",Database!$G500,Database!$G500)/1000000,"")</f>
        <v/>
      </c>
      <c r="N500" s="63">
        <f>Database!O500</f>
        <v/>
      </c>
      <c r="O500" s="21">
        <f>IFERROR(BDH(Database!$A500&amp;" HK Equity","PE_RATIO",Database!$G500,Database!$G500),"")</f>
        <v/>
      </c>
      <c r="P500" s="60">
        <f>IF(Database!AI500="","(n/m or not derivable)",Database!AI500)</f>
        <v/>
      </c>
    </row>
    <row r="501">
      <c r="A501" s="4">
        <f>Database!A501&amp;"  "&amp;Database!B501</f>
        <v/>
      </c>
      <c r="B501" s="6">
        <f>IFERROR(INDEX(BDS(Database!$A501&amp;" HK Equity","EQUITY_OFFERINGS","array=t","endcol=1"),MATCH("IPO",BDS(Database!$A501&amp;" HK Equity","EQUITY_OFFERINGS","array=t","startcol=2","endcol=2"),0)),"")</f>
        <v/>
      </c>
      <c r="C501" s="64">
        <f>IF($B501="","",IFERROR(BDP($B501&amp;" Action","CP036"),""))</f>
        <v/>
      </c>
      <c r="D501" s="65">
        <f>Database!Q501</f>
        <v/>
      </c>
      <c r="E501" s="64">
        <f>IF($B501="","",IFERROR(BDP($B501&amp;" Action","CP037"),""))</f>
        <v/>
      </c>
      <c r="F501" s="65">
        <f>Database!R501</f>
        <v/>
      </c>
      <c r="G501" s="64">
        <f>IF($B501="","",IFERROR(BDP($B501&amp;" Action","GREENSHOE_FACILITY"),""))</f>
        <v/>
      </c>
      <c r="H501" s="64">
        <f>IF($B501="","",IFERROR(BDP($B501&amp;" Action","OFFERING_GREENSHOE_SHARES_EX"),""))</f>
        <v/>
      </c>
      <c r="I501" s="4">
        <f>Database!V501</f>
        <v/>
      </c>
      <c r="J501" s="21">
        <f>IFERROR(BDP(Database!$A501&amp;" HK Equity","PE_RATIO"),"")</f>
        <v/>
      </c>
      <c r="K501" s="6">
        <f>IFERROR(BDP(Database!$A501&amp;" HK Equity","A/H_SHARE_CONVERSION"),"")</f>
        <v/>
      </c>
      <c r="L501" s="4">
        <f>IF(Database!AL501="","(none found)",Database!AL501)</f>
        <v/>
      </c>
      <c r="M501" s="9">
        <f>IFERROR(BDH(Database!$A501&amp;" HK Equity","CUR_MKT_CAP",Database!$G501,Database!$G501)/1000000,"")</f>
        <v/>
      </c>
      <c r="N501" s="63">
        <f>Database!O501</f>
        <v/>
      </c>
      <c r="O501" s="21">
        <f>IFERROR(BDH(Database!$A501&amp;" HK Equity","PE_RATIO",Database!$G501,Database!$G501),"")</f>
        <v/>
      </c>
      <c r="P501" s="60">
        <f>IF(Database!AI501="","(n/m or not derivable)",Database!AI501)</f>
        <v/>
      </c>
    </row>
    <row r="502">
      <c r="A502" s="4">
        <f>Database!A502&amp;"  "&amp;Database!B502</f>
        <v/>
      </c>
      <c r="B502" s="6">
        <f>IFERROR(INDEX(BDS(Database!$A502&amp;" HK Equity","EQUITY_OFFERINGS","array=t","endcol=1"),MATCH("IPO",BDS(Database!$A502&amp;" HK Equity","EQUITY_OFFERINGS","array=t","startcol=2","endcol=2"),0)),"")</f>
        <v/>
      </c>
      <c r="C502" s="64">
        <f>IF($B502="","",IFERROR(BDP($B502&amp;" Action","CP036"),""))</f>
        <v/>
      </c>
      <c r="D502" s="65">
        <f>Database!Q502</f>
        <v/>
      </c>
      <c r="E502" s="64">
        <f>IF($B502="","",IFERROR(BDP($B502&amp;" Action","CP037"),""))</f>
        <v/>
      </c>
      <c r="F502" s="65">
        <f>Database!R502</f>
        <v/>
      </c>
      <c r="G502" s="64">
        <f>IF($B502="","",IFERROR(BDP($B502&amp;" Action","GREENSHOE_FACILITY"),""))</f>
        <v/>
      </c>
      <c r="H502" s="64">
        <f>IF($B502="","",IFERROR(BDP($B502&amp;" Action","OFFERING_GREENSHOE_SHARES_EX"),""))</f>
        <v/>
      </c>
      <c r="I502" s="4">
        <f>Database!V502</f>
        <v/>
      </c>
      <c r="J502" s="21">
        <f>IFERROR(BDP(Database!$A502&amp;" HK Equity","PE_RATIO"),"")</f>
        <v/>
      </c>
      <c r="K502" s="6">
        <f>IFERROR(BDP(Database!$A502&amp;" HK Equity","A/H_SHARE_CONVERSION"),"")</f>
        <v/>
      </c>
      <c r="L502" s="4">
        <f>IF(Database!AL502="","(none found)",Database!AL502)</f>
        <v/>
      </c>
      <c r="M502" s="9">
        <f>IFERROR(BDH(Database!$A502&amp;" HK Equity","CUR_MKT_CAP",Database!$G502,Database!$G502)/1000000,"")</f>
        <v/>
      </c>
      <c r="N502" s="63">
        <f>Database!O502</f>
        <v/>
      </c>
      <c r="O502" s="21">
        <f>IFERROR(BDH(Database!$A502&amp;" HK Equity","PE_RATIO",Database!$G502,Database!$G502),"")</f>
        <v/>
      </c>
      <c r="P502" s="60">
        <f>IF(Database!AI502="","(n/m or not derivable)",Database!AI502)</f>
        <v/>
      </c>
    </row>
    <row r="503">
      <c r="A503" s="4">
        <f>Database!A503&amp;"  "&amp;Database!B503</f>
        <v/>
      </c>
      <c r="B503" s="6">
        <f>IFERROR(INDEX(BDS(Database!$A503&amp;" HK Equity","EQUITY_OFFERINGS","array=t","endcol=1"),MATCH("IPO",BDS(Database!$A503&amp;" HK Equity","EQUITY_OFFERINGS","array=t","startcol=2","endcol=2"),0)),"")</f>
        <v/>
      </c>
      <c r="C503" s="64">
        <f>IF($B503="","",IFERROR(BDP($B503&amp;" Action","CP036"),""))</f>
        <v/>
      </c>
      <c r="D503" s="65">
        <f>Database!Q503</f>
        <v/>
      </c>
      <c r="E503" s="64">
        <f>IF($B503="","",IFERROR(BDP($B503&amp;" Action","CP037"),""))</f>
        <v/>
      </c>
      <c r="F503" s="65">
        <f>Database!R503</f>
        <v/>
      </c>
      <c r="G503" s="64">
        <f>IF($B503="","",IFERROR(BDP($B503&amp;" Action","GREENSHOE_FACILITY"),""))</f>
        <v/>
      </c>
      <c r="H503" s="64">
        <f>IF($B503="","",IFERROR(BDP($B503&amp;" Action","OFFERING_GREENSHOE_SHARES_EX"),""))</f>
        <v/>
      </c>
      <c r="I503" s="4">
        <f>Database!V503</f>
        <v/>
      </c>
      <c r="J503" s="21">
        <f>IFERROR(BDP(Database!$A503&amp;" HK Equity","PE_RATIO"),"")</f>
        <v/>
      </c>
      <c r="K503" s="6">
        <f>IFERROR(BDP(Database!$A503&amp;" HK Equity","A/H_SHARE_CONVERSION"),"")</f>
        <v/>
      </c>
      <c r="L503" s="4">
        <f>IF(Database!AL503="","(none found)",Database!AL503)</f>
        <v/>
      </c>
      <c r="M503" s="9">
        <f>IFERROR(BDH(Database!$A503&amp;" HK Equity","CUR_MKT_CAP",Database!$G503,Database!$G503)/1000000,"")</f>
        <v/>
      </c>
      <c r="N503" s="63">
        <f>Database!O503</f>
        <v/>
      </c>
      <c r="O503" s="21">
        <f>IFERROR(BDH(Database!$A503&amp;" HK Equity","PE_RATIO",Database!$G503,Database!$G503),"")</f>
        <v/>
      </c>
      <c r="P503" s="60">
        <f>IF(Database!AI503="","(n/m or not derivable)",Database!AI503)</f>
        <v/>
      </c>
    </row>
    <row r="504">
      <c r="A504" s="4">
        <f>Database!A504&amp;"  "&amp;Database!B504</f>
        <v/>
      </c>
      <c r="B504" s="6">
        <f>IFERROR(INDEX(BDS(Database!$A504&amp;" HK Equity","EQUITY_OFFERINGS","array=t","endcol=1"),MATCH("IPO",BDS(Database!$A504&amp;" HK Equity","EQUITY_OFFERINGS","array=t","startcol=2","endcol=2"),0)),"")</f>
        <v/>
      </c>
      <c r="C504" s="64">
        <f>IF($B504="","",IFERROR(BDP($B504&amp;" Action","CP036"),""))</f>
        <v/>
      </c>
      <c r="D504" s="65">
        <f>Database!Q504</f>
        <v/>
      </c>
      <c r="E504" s="64">
        <f>IF($B504="","",IFERROR(BDP($B504&amp;" Action","CP037"),""))</f>
        <v/>
      </c>
      <c r="F504" s="65">
        <f>Database!R504</f>
        <v/>
      </c>
      <c r="G504" s="64">
        <f>IF($B504="","",IFERROR(BDP($B504&amp;" Action","GREENSHOE_FACILITY"),""))</f>
        <v/>
      </c>
      <c r="H504" s="64">
        <f>IF($B504="","",IFERROR(BDP($B504&amp;" Action","OFFERING_GREENSHOE_SHARES_EX"),""))</f>
        <v/>
      </c>
      <c r="I504" s="4">
        <f>Database!V504</f>
        <v/>
      </c>
      <c r="J504" s="21">
        <f>IFERROR(BDP(Database!$A504&amp;" HK Equity","PE_RATIO"),"")</f>
        <v/>
      </c>
      <c r="K504" s="6">
        <f>IFERROR(BDP(Database!$A504&amp;" HK Equity","A/H_SHARE_CONVERSION"),"")</f>
        <v/>
      </c>
      <c r="L504" s="4">
        <f>IF(Database!AL504="","(none found)",Database!AL504)</f>
        <v/>
      </c>
      <c r="M504" s="9">
        <f>IFERROR(BDH(Database!$A504&amp;" HK Equity","CUR_MKT_CAP",Database!$G504,Database!$G504)/1000000,"")</f>
        <v/>
      </c>
      <c r="N504" s="63">
        <f>Database!O504</f>
        <v/>
      </c>
      <c r="O504" s="21">
        <f>IFERROR(BDH(Database!$A504&amp;" HK Equity","PE_RATIO",Database!$G504,Database!$G504),"")</f>
        <v/>
      </c>
      <c r="P504" s="60">
        <f>IF(Database!AI504="","(n/m or not derivable)",Database!AI504)</f>
        <v/>
      </c>
    </row>
    <row r="505">
      <c r="A505" s="4">
        <f>Database!A505&amp;"  "&amp;Database!B505</f>
        <v/>
      </c>
      <c r="B505" s="6">
        <f>IFERROR(INDEX(BDS(Database!$A505&amp;" HK Equity","EQUITY_OFFERINGS","array=t","endcol=1"),MATCH("IPO",BDS(Database!$A505&amp;" HK Equity","EQUITY_OFFERINGS","array=t","startcol=2","endcol=2"),0)),"")</f>
        <v/>
      </c>
      <c r="C505" s="64">
        <f>IF($B505="","",IFERROR(BDP($B505&amp;" Action","CP036"),""))</f>
        <v/>
      </c>
      <c r="D505" s="65">
        <f>Database!Q505</f>
        <v/>
      </c>
      <c r="E505" s="64">
        <f>IF($B505="","",IFERROR(BDP($B505&amp;" Action","CP037"),""))</f>
        <v/>
      </c>
      <c r="F505" s="65">
        <f>Database!R505</f>
        <v/>
      </c>
      <c r="G505" s="64">
        <f>IF($B505="","",IFERROR(BDP($B505&amp;" Action","GREENSHOE_FACILITY"),""))</f>
        <v/>
      </c>
      <c r="H505" s="64">
        <f>IF($B505="","",IFERROR(BDP($B505&amp;" Action","OFFERING_GREENSHOE_SHARES_EX"),""))</f>
        <v/>
      </c>
      <c r="I505" s="4">
        <f>Database!V505</f>
        <v/>
      </c>
      <c r="J505" s="21">
        <f>IFERROR(BDP(Database!$A505&amp;" HK Equity","PE_RATIO"),"")</f>
        <v/>
      </c>
      <c r="K505" s="6">
        <f>IFERROR(BDP(Database!$A505&amp;" HK Equity","A/H_SHARE_CONVERSION"),"")</f>
        <v/>
      </c>
      <c r="L505" s="4">
        <f>IF(Database!AL505="","(none found)",Database!AL505)</f>
        <v/>
      </c>
      <c r="M505" s="9">
        <f>IFERROR(BDH(Database!$A505&amp;" HK Equity","CUR_MKT_CAP",Database!$G505,Database!$G505)/1000000,"")</f>
        <v/>
      </c>
      <c r="N505" s="63">
        <f>Database!O505</f>
        <v/>
      </c>
      <c r="O505" s="21">
        <f>IFERROR(BDH(Database!$A505&amp;" HK Equity","PE_RATIO",Database!$G505,Database!$G505),"")</f>
        <v/>
      </c>
      <c r="P505" s="60">
        <f>IF(Database!AI505="","(n/m or not derivable)",Database!AI505)</f>
        <v/>
      </c>
    </row>
    <row r="506">
      <c r="A506" s="4">
        <f>Database!A506&amp;"  "&amp;Database!B506</f>
        <v/>
      </c>
      <c r="B506" s="6">
        <f>IFERROR(INDEX(BDS(Database!$A506&amp;" HK Equity","EQUITY_OFFERINGS","array=t","endcol=1"),MATCH("IPO",BDS(Database!$A506&amp;" HK Equity","EQUITY_OFFERINGS","array=t","startcol=2","endcol=2"),0)),"")</f>
        <v/>
      </c>
      <c r="C506" s="64">
        <f>IF($B506="","",IFERROR(BDP($B506&amp;" Action","CP036"),""))</f>
        <v/>
      </c>
      <c r="D506" s="65">
        <f>Database!Q506</f>
        <v/>
      </c>
      <c r="E506" s="64">
        <f>IF($B506="","",IFERROR(BDP($B506&amp;" Action","CP037"),""))</f>
        <v/>
      </c>
      <c r="F506" s="65">
        <f>Database!R506</f>
        <v/>
      </c>
      <c r="G506" s="64">
        <f>IF($B506="","",IFERROR(BDP($B506&amp;" Action","GREENSHOE_FACILITY"),""))</f>
        <v/>
      </c>
      <c r="H506" s="64">
        <f>IF($B506="","",IFERROR(BDP($B506&amp;" Action","OFFERING_GREENSHOE_SHARES_EX"),""))</f>
        <v/>
      </c>
      <c r="I506" s="4">
        <f>Database!V506</f>
        <v/>
      </c>
      <c r="J506" s="21">
        <f>IFERROR(BDP(Database!$A506&amp;" HK Equity","PE_RATIO"),"")</f>
        <v/>
      </c>
      <c r="K506" s="6">
        <f>IFERROR(BDP(Database!$A506&amp;" HK Equity","A/H_SHARE_CONVERSION"),"")</f>
        <v/>
      </c>
      <c r="L506" s="4">
        <f>IF(Database!AL506="","(none found)",Database!AL506)</f>
        <v/>
      </c>
      <c r="M506" s="9">
        <f>IFERROR(BDH(Database!$A506&amp;" HK Equity","CUR_MKT_CAP",Database!$G506,Database!$G506)/1000000,"")</f>
        <v/>
      </c>
      <c r="N506" s="63">
        <f>Database!O506</f>
        <v/>
      </c>
      <c r="O506" s="21">
        <f>IFERROR(BDH(Database!$A506&amp;" HK Equity","PE_RATIO",Database!$G506,Database!$G506),"")</f>
        <v/>
      </c>
      <c r="P506" s="60">
        <f>IF(Database!AI506="","(n/m or not derivable)",Database!AI506)</f>
        <v/>
      </c>
    </row>
    <row r="507">
      <c r="A507" s="4">
        <f>Database!A507&amp;"  "&amp;Database!B507</f>
        <v/>
      </c>
      <c r="B507" s="6">
        <f>IFERROR(INDEX(BDS(Database!$A507&amp;" HK Equity","EQUITY_OFFERINGS","array=t","endcol=1"),MATCH("IPO",BDS(Database!$A507&amp;" HK Equity","EQUITY_OFFERINGS","array=t","startcol=2","endcol=2"),0)),"")</f>
        <v/>
      </c>
      <c r="C507" s="64">
        <f>IF($B507="","",IFERROR(BDP($B507&amp;" Action","CP036"),""))</f>
        <v/>
      </c>
      <c r="D507" s="65">
        <f>Database!Q507</f>
        <v/>
      </c>
      <c r="E507" s="64">
        <f>IF($B507="","",IFERROR(BDP($B507&amp;" Action","CP037"),""))</f>
        <v/>
      </c>
      <c r="F507" s="65">
        <f>Database!R507</f>
        <v/>
      </c>
      <c r="G507" s="64">
        <f>IF($B507="","",IFERROR(BDP($B507&amp;" Action","GREENSHOE_FACILITY"),""))</f>
        <v/>
      </c>
      <c r="H507" s="64">
        <f>IF($B507="","",IFERROR(BDP($B507&amp;" Action","OFFERING_GREENSHOE_SHARES_EX"),""))</f>
        <v/>
      </c>
      <c r="I507" s="4">
        <f>Database!V507</f>
        <v/>
      </c>
      <c r="J507" s="21">
        <f>IFERROR(BDP(Database!$A507&amp;" HK Equity","PE_RATIO"),"")</f>
        <v/>
      </c>
      <c r="K507" s="6">
        <f>IFERROR(BDP(Database!$A507&amp;" HK Equity","A/H_SHARE_CONVERSION"),"")</f>
        <v/>
      </c>
      <c r="L507" s="4">
        <f>IF(Database!AL507="","(none found)",Database!AL507)</f>
        <v/>
      </c>
      <c r="M507" s="9">
        <f>IFERROR(BDH(Database!$A507&amp;" HK Equity","CUR_MKT_CAP",Database!$G507,Database!$G507)/1000000,"")</f>
        <v/>
      </c>
      <c r="N507" s="63">
        <f>Database!O507</f>
        <v/>
      </c>
      <c r="O507" s="21">
        <f>IFERROR(BDH(Database!$A507&amp;" HK Equity","PE_RATIO",Database!$G507,Database!$G507),"")</f>
        <v/>
      </c>
      <c r="P507" s="60">
        <f>IF(Database!AI507="","(n/m or not derivable)",Database!AI507)</f>
        <v/>
      </c>
    </row>
    <row r="508">
      <c r="A508" s="4">
        <f>Database!A508&amp;"  "&amp;Database!B508</f>
        <v/>
      </c>
      <c r="B508" s="6">
        <f>IFERROR(INDEX(BDS(Database!$A508&amp;" HK Equity","EQUITY_OFFERINGS","array=t","endcol=1"),MATCH("IPO",BDS(Database!$A508&amp;" HK Equity","EQUITY_OFFERINGS","array=t","startcol=2","endcol=2"),0)),"")</f>
        <v/>
      </c>
      <c r="C508" s="64">
        <f>IF($B508="","",IFERROR(BDP($B508&amp;" Action","CP036"),""))</f>
        <v/>
      </c>
      <c r="D508" s="65">
        <f>Database!Q508</f>
        <v/>
      </c>
      <c r="E508" s="64">
        <f>IF($B508="","",IFERROR(BDP($B508&amp;" Action","CP037"),""))</f>
        <v/>
      </c>
      <c r="F508" s="65">
        <f>Database!R508</f>
        <v/>
      </c>
      <c r="G508" s="64">
        <f>IF($B508="","",IFERROR(BDP($B508&amp;" Action","GREENSHOE_FACILITY"),""))</f>
        <v/>
      </c>
      <c r="H508" s="64">
        <f>IF($B508="","",IFERROR(BDP($B508&amp;" Action","OFFERING_GREENSHOE_SHARES_EX"),""))</f>
        <v/>
      </c>
      <c r="I508" s="4">
        <f>Database!V508</f>
        <v/>
      </c>
      <c r="J508" s="21">
        <f>IFERROR(BDP(Database!$A508&amp;" HK Equity","PE_RATIO"),"")</f>
        <v/>
      </c>
      <c r="K508" s="6">
        <f>IFERROR(BDP(Database!$A508&amp;" HK Equity","A/H_SHARE_CONVERSION"),"")</f>
        <v/>
      </c>
      <c r="L508" s="4">
        <f>IF(Database!AL508="","(none found)",Database!AL508)</f>
        <v/>
      </c>
      <c r="M508" s="9">
        <f>IFERROR(BDH(Database!$A508&amp;" HK Equity","CUR_MKT_CAP",Database!$G508,Database!$G508)/1000000,"")</f>
        <v/>
      </c>
      <c r="N508" s="63">
        <f>Database!O508</f>
        <v/>
      </c>
      <c r="O508" s="21">
        <f>IFERROR(BDH(Database!$A508&amp;" HK Equity","PE_RATIO",Database!$G508,Database!$G508),"")</f>
        <v/>
      </c>
      <c r="P508" s="60">
        <f>IF(Database!AI508="","(n/m or not derivable)",Database!AI508)</f>
        <v/>
      </c>
    </row>
    <row r="509">
      <c r="A509" s="4">
        <f>Database!A509&amp;"  "&amp;Database!B509</f>
        <v/>
      </c>
      <c r="B509" s="6">
        <f>IFERROR(INDEX(BDS(Database!$A509&amp;" HK Equity","EQUITY_OFFERINGS","array=t","endcol=1"),MATCH("IPO",BDS(Database!$A509&amp;" HK Equity","EQUITY_OFFERINGS","array=t","startcol=2","endcol=2"),0)),"")</f>
        <v/>
      </c>
      <c r="C509" s="64">
        <f>IF($B509="","",IFERROR(BDP($B509&amp;" Action","CP036"),""))</f>
        <v/>
      </c>
      <c r="D509" s="65">
        <f>Database!Q509</f>
        <v/>
      </c>
      <c r="E509" s="64">
        <f>IF($B509="","",IFERROR(BDP($B509&amp;" Action","CP037"),""))</f>
        <v/>
      </c>
      <c r="F509" s="65">
        <f>Database!R509</f>
        <v/>
      </c>
      <c r="G509" s="64">
        <f>IF($B509="","",IFERROR(BDP($B509&amp;" Action","GREENSHOE_FACILITY"),""))</f>
        <v/>
      </c>
      <c r="H509" s="64">
        <f>IF($B509="","",IFERROR(BDP($B509&amp;" Action","OFFERING_GREENSHOE_SHARES_EX"),""))</f>
        <v/>
      </c>
      <c r="I509" s="4">
        <f>Database!V509</f>
        <v/>
      </c>
      <c r="J509" s="21">
        <f>IFERROR(BDP(Database!$A509&amp;" HK Equity","PE_RATIO"),"")</f>
        <v/>
      </c>
      <c r="K509" s="6">
        <f>IFERROR(BDP(Database!$A509&amp;" HK Equity","A/H_SHARE_CONVERSION"),"")</f>
        <v/>
      </c>
      <c r="L509" s="4">
        <f>IF(Database!AL509="","(none found)",Database!AL509)</f>
        <v/>
      </c>
      <c r="M509" s="9">
        <f>IFERROR(BDH(Database!$A509&amp;" HK Equity","CUR_MKT_CAP",Database!$G509,Database!$G509)/1000000,"")</f>
        <v/>
      </c>
      <c r="N509" s="63">
        <f>Database!O509</f>
        <v/>
      </c>
      <c r="O509" s="21">
        <f>IFERROR(BDH(Database!$A509&amp;" HK Equity","PE_RATIO",Database!$G509,Database!$G509),"")</f>
        <v/>
      </c>
      <c r="P509" s="60">
        <f>IF(Database!AI509="","(n/m or not derivable)",Database!AI509)</f>
        <v/>
      </c>
    </row>
    <row r="510">
      <c r="A510" s="4">
        <f>Database!A510&amp;"  "&amp;Database!B510</f>
        <v/>
      </c>
      <c r="B510" s="6">
        <f>IFERROR(INDEX(BDS(Database!$A510&amp;" HK Equity","EQUITY_OFFERINGS","array=t","endcol=1"),MATCH("IPO",BDS(Database!$A510&amp;" HK Equity","EQUITY_OFFERINGS","array=t","startcol=2","endcol=2"),0)),"")</f>
        <v/>
      </c>
      <c r="C510" s="64">
        <f>IF($B510="","",IFERROR(BDP($B510&amp;" Action","CP036"),""))</f>
        <v/>
      </c>
      <c r="D510" s="65">
        <f>Database!Q510</f>
        <v/>
      </c>
      <c r="E510" s="64">
        <f>IF($B510="","",IFERROR(BDP($B510&amp;" Action","CP037"),""))</f>
        <v/>
      </c>
      <c r="F510" s="65">
        <f>Database!R510</f>
        <v/>
      </c>
      <c r="G510" s="64">
        <f>IF($B510="","",IFERROR(BDP($B510&amp;" Action","GREENSHOE_FACILITY"),""))</f>
        <v/>
      </c>
      <c r="H510" s="64">
        <f>IF($B510="","",IFERROR(BDP($B510&amp;" Action","OFFERING_GREENSHOE_SHARES_EX"),""))</f>
        <v/>
      </c>
      <c r="I510" s="4">
        <f>Database!V510</f>
        <v/>
      </c>
      <c r="J510" s="21">
        <f>IFERROR(BDP(Database!$A510&amp;" HK Equity","PE_RATIO"),"")</f>
        <v/>
      </c>
      <c r="K510" s="6">
        <f>IFERROR(BDP(Database!$A510&amp;" HK Equity","A/H_SHARE_CONVERSION"),"")</f>
        <v/>
      </c>
      <c r="L510" s="4">
        <f>IF(Database!AL510="","(none found)",Database!AL510)</f>
        <v/>
      </c>
      <c r="M510" s="9">
        <f>IFERROR(BDH(Database!$A510&amp;" HK Equity","CUR_MKT_CAP",Database!$G510,Database!$G510)/1000000,"")</f>
        <v/>
      </c>
      <c r="N510" s="63">
        <f>Database!O510</f>
        <v/>
      </c>
      <c r="O510" s="21">
        <f>IFERROR(BDH(Database!$A510&amp;" HK Equity","PE_RATIO",Database!$G510,Database!$G510),"")</f>
        <v/>
      </c>
      <c r="P510" s="60">
        <f>IF(Database!AI510="","(n/m or not derivable)",Database!AI510)</f>
        <v/>
      </c>
    </row>
    <row r="511">
      <c r="A511" s="4">
        <f>Database!A511&amp;"  "&amp;Database!B511</f>
        <v/>
      </c>
      <c r="B511" s="6">
        <f>IFERROR(INDEX(BDS(Database!$A511&amp;" HK Equity","EQUITY_OFFERINGS","array=t","endcol=1"),MATCH("IPO",BDS(Database!$A511&amp;" HK Equity","EQUITY_OFFERINGS","array=t","startcol=2","endcol=2"),0)),"")</f>
        <v/>
      </c>
      <c r="C511" s="64">
        <f>IF($B511="","",IFERROR(BDP($B511&amp;" Action","CP036"),""))</f>
        <v/>
      </c>
      <c r="D511" s="65">
        <f>Database!Q511</f>
        <v/>
      </c>
      <c r="E511" s="64">
        <f>IF($B511="","",IFERROR(BDP($B511&amp;" Action","CP037"),""))</f>
        <v/>
      </c>
      <c r="F511" s="65">
        <f>Database!R511</f>
        <v/>
      </c>
      <c r="G511" s="64">
        <f>IF($B511="","",IFERROR(BDP($B511&amp;" Action","GREENSHOE_FACILITY"),""))</f>
        <v/>
      </c>
      <c r="H511" s="64">
        <f>IF($B511="","",IFERROR(BDP($B511&amp;" Action","OFFERING_GREENSHOE_SHARES_EX"),""))</f>
        <v/>
      </c>
      <c r="I511" s="4">
        <f>Database!V511</f>
        <v/>
      </c>
      <c r="J511" s="21">
        <f>IFERROR(BDP(Database!$A511&amp;" HK Equity","PE_RATIO"),"")</f>
        <v/>
      </c>
      <c r="K511" s="6">
        <f>IFERROR(BDP(Database!$A511&amp;" HK Equity","A/H_SHARE_CONVERSION"),"")</f>
        <v/>
      </c>
      <c r="L511" s="4">
        <f>IF(Database!AL511="","(none found)",Database!AL511)</f>
        <v/>
      </c>
      <c r="M511" s="9">
        <f>IFERROR(BDH(Database!$A511&amp;" HK Equity","CUR_MKT_CAP",Database!$G511,Database!$G511)/1000000,"")</f>
        <v/>
      </c>
      <c r="N511" s="63">
        <f>Database!O511</f>
        <v/>
      </c>
      <c r="O511" s="21">
        <f>IFERROR(BDH(Database!$A511&amp;" HK Equity","PE_RATIO",Database!$G511,Database!$G511),"")</f>
        <v/>
      </c>
      <c r="P511" s="60">
        <f>IF(Database!AI511="","(n/m or not derivable)",Database!AI511)</f>
        <v/>
      </c>
    </row>
    <row r="512">
      <c r="A512" s="4">
        <f>Database!A512&amp;"  "&amp;Database!B512</f>
        <v/>
      </c>
      <c r="B512" s="6">
        <f>IFERROR(INDEX(BDS(Database!$A512&amp;" HK Equity","EQUITY_OFFERINGS","array=t","endcol=1"),MATCH("IPO",BDS(Database!$A512&amp;" HK Equity","EQUITY_OFFERINGS","array=t","startcol=2","endcol=2"),0)),"")</f>
        <v/>
      </c>
      <c r="C512" s="64">
        <f>IF($B512="","",IFERROR(BDP($B512&amp;" Action","CP036"),""))</f>
        <v/>
      </c>
      <c r="D512" s="65">
        <f>Database!Q512</f>
        <v/>
      </c>
      <c r="E512" s="64">
        <f>IF($B512="","",IFERROR(BDP($B512&amp;" Action","CP037"),""))</f>
        <v/>
      </c>
      <c r="F512" s="65">
        <f>Database!R512</f>
        <v/>
      </c>
      <c r="G512" s="64">
        <f>IF($B512="","",IFERROR(BDP($B512&amp;" Action","GREENSHOE_FACILITY"),""))</f>
        <v/>
      </c>
      <c r="H512" s="64">
        <f>IF($B512="","",IFERROR(BDP($B512&amp;" Action","OFFERING_GREENSHOE_SHARES_EX"),""))</f>
        <v/>
      </c>
      <c r="I512" s="4">
        <f>Database!V512</f>
        <v/>
      </c>
      <c r="J512" s="21">
        <f>IFERROR(BDP(Database!$A512&amp;" HK Equity","PE_RATIO"),"")</f>
        <v/>
      </c>
      <c r="K512" s="6">
        <f>IFERROR(BDP(Database!$A512&amp;" HK Equity","A/H_SHARE_CONVERSION"),"")</f>
        <v/>
      </c>
      <c r="L512" s="4">
        <f>IF(Database!AL512="","(none found)",Database!AL512)</f>
        <v/>
      </c>
      <c r="M512" s="9">
        <f>IFERROR(BDH(Database!$A512&amp;" HK Equity","CUR_MKT_CAP",Database!$G512,Database!$G512)/1000000,"")</f>
        <v/>
      </c>
      <c r="N512" s="63">
        <f>Database!O512</f>
        <v/>
      </c>
      <c r="O512" s="21">
        <f>IFERROR(BDH(Database!$A512&amp;" HK Equity","PE_RATIO",Database!$G512,Database!$G512),"")</f>
        <v/>
      </c>
      <c r="P512" s="60">
        <f>IF(Database!AI512="","(n/m or not derivable)",Database!AI512)</f>
        <v/>
      </c>
    </row>
    <row r="513">
      <c r="A513" s="4">
        <f>Database!A513&amp;"  "&amp;Database!B513</f>
        <v/>
      </c>
      <c r="B513" s="6">
        <f>IFERROR(INDEX(BDS(Database!$A513&amp;" HK Equity","EQUITY_OFFERINGS","array=t","endcol=1"),MATCH("IPO",BDS(Database!$A513&amp;" HK Equity","EQUITY_OFFERINGS","array=t","startcol=2","endcol=2"),0)),"")</f>
        <v/>
      </c>
      <c r="C513" s="64">
        <f>IF($B513="","",IFERROR(BDP($B513&amp;" Action","CP036"),""))</f>
        <v/>
      </c>
      <c r="D513" s="65">
        <f>Database!Q513</f>
        <v/>
      </c>
      <c r="E513" s="64">
        <f>IF($B513="","",IFERROR(BDP($B513&amp;" Action","CP037"),""))</f>
        <v/>
      </c>
      <c r="F513" s="65">
        <f>Database!R513</f>
        <v/>
      </c>
      <c r="G513" s="64">
        <f>IF($B513="","",IFERROR(BDP($B513&amp;" Action","GREENSHOE_FACILITY"),""))</f>
        <v/>
      </c>
      <c r="H513" s="64">
        <f>IF($B513="","",IFERROR(BDP($B513&amp;" Action","OFFERING_GREENSHOE_SHARES_EX"),""))</f>
        <v/>
      </c>
      <c r="I513" s="4">
        <f>Database!V513</f>
        <v/>
      </c>
      <c r="J513" s="21">
        <f>IFERROR(BDP(Database!$A513&amp;" HK Equity","PE_RATIO"),"")</f>
        <v/>
      </c>
      <c r="K513" s="6">
        <f>IFERROR(BDP(Database!$A513&amp;" HK Equity","A/H_SHARE_CONVERSION"),"")</f>
        <v/>
      </c>
      <c r="L513" s="4">
        <f>IF(Database!AL513="","(none found)",Database!AL513)</f>
        <v/>
      </c>
      <c r="M513" s="9">
        <f>IFERROR(BDH(Database!$A513&amp;" HK Equity","CUR_MKT_CAP",Database!$G513,Database!$G513)/1000000,"")</f>
        <v/>
      </c>
      <c r="N513" s="63">
        <f>Database!O513</f>
        <v/>
      </c>
      <c r="O513" s="21">
        <f>IFERROR(BDH(Database!$A513&amp;" HK Equity","PE_RATIO",Database!$G513,Database!$G513),"")</f>
        <v/>
      </c>
      <c r="P513" s="60">
        <f>IF(Database!AI513="","(n/m or not derivable)",Database!AI513)</f>
        <v/>
      </c>
    </row>
    <row r="514">
      <c r="A514" s="4">
        <f>Database!A514&amp;"  "&amp;Database!B514</f>
        <v/>
      </c>
      <c r="B514" s="6">
        <f>IFERROR(INDEX(BDS(Database!$A514&amp;" HK Equity","EQUITY_OFFERINGS","array=t","endcol=1"),MATCH("IPO",BDS(Database!$A514&amp;" HK Equity","EQUITY_OFFERINGS","array=t","startcol=2","endcol=2"),0)),"")</f>
        <v/>
      </c>
      <c r="C514" s="64">
        <f>IF($B514="","",IFERROR(BDP($B514&amp;" Action","CP036"),""))</f>
        <v/>
      </c>
      <c r="D514" s="65">
        <f>Database!Q514</f>
        <v/>
      </c>
      <c r="E514" s="64">
        <f>IF($B514="","",IFERROR(BDP($B514&amp;" Action","CP037"),""))</f>
        <v/>
      </c>
      <c r="F514" s="65">
        <f>Database!R514</f>
        <v/>
      </c>
      <c r="G514" s="64">
        <f>IF($B514="","",IFERROR(BDP($B514&amp;" Action","GREENSHOE_FACILITY"),""))</f>
        <v/>
      </c>
      <c r="H514" s="64">
        <f>IF($B514="","",IFERROR(BDP($B514&amp;" Action","OFFERING_GREENSHOE_SHARES_EX"),""))</f>
        <v/>
      </c>
      <c r="I514" s="4">
        <f>Database!V514</f>
        <v/>
      </c>
      <c r="J514" s="21">
        <f>IFERROR(BDP(Database!$A514&amp;" HK Equity","PE_RATIO"),"")</f>
        <v/>
      </c>
      <c r="K514" s="6">
        <f>IFERROR(BDP(Database!$A514&amp;" HK Equity","A/H_SHARE_CONVERSION"),"")</f>
        <v/>
      </c>
      <c r="L514" s="4">
        <f>IF(Database!AL514="","(none found)",Database!AL514)</f>
        <v/>
      </c>
      <c r="M514" s="9">
        <f>IFERROR(BDH(Database!$A514&amp;" HK Equity","CUR_MKT_CAP",Database!$G514,Database!$G514)/1000000,"")</f>
        <v/>
      </c>
      <c r="N514" s="63">
        <f>Database!O514</f>
        <v/>
      </c>
      <c r="O514" s="21">
        <f>IFERROR(BDH(Database!$A514&amp;" HK Equity","PE_RATIO",Database!$G514,Database!$G514),"")</f>
        <v/>
      </c>
      <c r="P514" s="60">
        <f>IF(Database!AI514="","(n/m or not derivable)",Database!AI514)</f>
        <v/>
      </c>
    </row>
    <row r="515">
      <c r="A515" s="4">
        <f>Database!A515&amp;"  "&amp;Database!B515</f>
        <v/>
      </c>
      <c r="B515" s="6">
        <f>IFERROR(INDEX(BDS(Database!$A515&amp;" HK Equity","EQUITY_OFFERINGS","array=t","endcol=1"),MATCH("IPO",BDS(Database!$A515&amp;" HK Equity","EQUITY_OFFERINGS","array=t","startcol=2","endcol=2"),0)),"")</f>
        <v/>
      </c>
      <c r="C515" s="64">
        <f>IF($B515="","",IFERROR(BDP($B515&amp;" Action","CP036"),""))</f>
        <v/>
      </c>
      <c r="D515" s="65">
        <f>Database!Q515</f>
        <v/>
      </c>
      <c r="E515" s="64">
        <f>IF($B515="","",IFERROR(BDP($B515&amp;" Action","CP037"),""))</f>
        <v/>
      </c>
      <c r="F515" s="65">
        <f>Database!R515</f>
        <v/>
      </c>
      <c r="G515" s="64">
        <f>IF($B515="","",IFERROR(BDP($B515&amp;" Action","GREENSHOE_FACILITY"),""))</f>
        <v/>
      </c>
      <c r="H515" s="64">
        <f>IF($B515="","",IFERROR(BDP($B515&amp;" Action","OFFERING_GREENSHOE_SHARES_EX"),""))</f>
        <v/>
      </c>
      <c r="I515" s="4">
        <f>Database!V515</f>
        <v/>
      </c>
      <c r="J515" s="21">
        <f>IFERROR(BDP(Database!$A515&amp;" HK Equity","PE_RATIO"),"")</f>
        <v/>
      </c>
      <c r="K515" s="6">
        <f>IFERROR(BDP(Database!$A515&amp;" HK Equity","A/H_SHARE_CONVERSION"),"")</f>
        <v/>
      </c>
      <c r="L515" s="4">
        <f>IF(Database!AL515="","(none found)",Database!AL515)</f>
        <v/>
      </c>
      <c r="M515" s="9">
        <f>IFERROR(BDH(Database!$A515&amp;" HK Equity","CUR_MKT_CAP",Database!$G515,Database!$G515)/1000000,"")</f>
        <v/>
      </c>
      <c r="N515" s="63">
        <f>Database!O515</f>
        <v/>
      </c>
      <c r="O515" s="21">
        <f>IFERROR(BDH(Database!$A515&amp;" HK Equity","PE_RATIO",Database!$G515,Database!$G515),"")</f>
        <v/>
      </c>
      <c r="P515" s="60">
        <f>IF(Database!AI515="","(n/m or not derivable)",Database!AI515)</f>
        <v/>
      </c>
    </row>
    <row r="516"/>
    <row r="517">
      <c r="A517" s="2" t="inlineStr">
        <is>
          <t>Orange = Bloomberg and the scraped value differ by more than 25%. A blank scraped cell beside a Bloomberg value is a gap this file could not fill from public filings — take Bloomberg's.</t>
        </is>
      </c>
    </row>
  </sheetData>
  <conditionalFormatting sqref="C5:C515">
    <cfRule type="expression" priority="1" dxfId="3">
      <formula>AND(ISNUMBER(C5),ISNUMBER(D5),ABS(C5-D5)&gt;0.25*ABS(D5))</formula>
    </cfRule>
  </conditionalFormatting>
  <conditionalFormatting sqref="E5:E515">
    <cfRule type="expression" priority="2" dxfId="3">
      <formula>AND(ISNUMBER(E5),ISNUMBER(F5),ABS(E5-F5)&gt;0.25*ABS(F5))</formula>
    </cfRule>
  </conditionalFormatting>
  <conditionalFormatting sqref="M5:M515">
    <cfRule type="expression" priority="3" dxfId="3">
      <formula>AND(ISNUMBER(M5),ISNUMBER(N5),ABS(M5-N5)&gt;0.25*ABS(N5))</formula>
    </cfRule>
  </conditionalFormatting>
  <conditionalFormatting sqref="O5:O515">
    <cfRule type="expression" priority="4" dxfId="3">
      <formula>AND(ISNUMBER(O5),ISNUMBER(P5),ABS(O5-P5)&gt;0.25*ABS(P5))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5"/>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single source: data/taxonomy.json — edit there and rebuild; screener gates on subsector first</t>
        </is>
      </c>
    </row>
    <row r="3">
      <c r="A3" s="7" t="inlineStr">
        <is>
          <t>Sector / subsector</t>
        </is>
      </c>
      <c r="B3" s="7" t="inlineStr"/>
      <c r="C3" s="7" t="inlineStr">
        <is>
          <t>Comp note</t>
        </is>
      </c>
      <c r="D3" s="7" t="inlineStr">
        <is>
          <t>Alpha benchmark (ticker — name)</t>
        </is>
      </c>
    </row>
    <row r="4">
      <c r="A4" s="66" t="inlineStr">
        <is>
          <t>Tech/AI</t>
        </is>
      </c>
      <c r="D4" s="36" t="inlineStr">
        <is>
          <t>3033.HK — HSTECH (Hang Seng TECH ETF)</t>
        </is>
      </c>
      <c r="E4" s="2" t="inlineStr">
        <is>
          <t>LLM / foundation model</t>
        </is>
      </c>
    </row>
    <row r="5">
      <c r="B5" s="26" t="inlineStr">
        <is>
          <t>LLM / foundation model</t>
        </is>
      </c>
      <c r="C5" s="2" t="inlineStr">
        <is>
          <t>Model-layer cos (MiniMax-type). NOT data-center, NOT AI application.</t>
        </is>
      </c>
      <c r="E5" s="2" t="inlineStr">
        <is>
          <t>AI application / agent software</t>
        </is>
      </c>
    </row>
    <row r="6">
      <c r="B6" s="26" t="inlineStr">
        <is>
          <t>AI application / agent software</t>
        </is>
      </c>
      <c r="C6" s="2" t="inlineStr">
        <is>
          <t>AI-native software &amp; agents monetising models; not the model layer itself.</t>
        </is>
      </c>
      <c r="E6" s="2" t="inlineStr">
        <is>
          <t>AI chips &amp; semis</t>
        </is>
      </c>
    </row>
    <row r="7">
      <c r="B7" s="26" t="inlineStr">
        <is>
          <t>AI chips &amp; semis</t>
        </is>
      </c>
      <c r="C7" s="2" t="inlineStr">
        <is>
          <t>GPU/ASIC/accelerator designers and semi supply chain.</t>
        </is>
      </c>
      <c r="E7" s="2" t="inlineStr">
        <is>
          <t>Data center / cloud infra</t>
        </is>
      </c>
    </row>
    <row r="8">
      <c r="B8" s="26" t="inlineStr">
        <is>
          <t>Data center / cloud infra</t>
        </is>
      </c>
      <c r="C8" s="2" t="inlineStr">
        <is>
          <t>IDC, cloud capacity, AI infra landlords. Distinct from model layer.</t>
        </is>
      </c>
      <c r="E8" s="2" t="inlineStr">
        <is>
          <t>Robotics &amp; autonomous driving</t>
        </is>
      </c>
    </row>
    <row r="9">
      <c r="B9" s="26" t="inlineStr">
        <is>
          <t>Robotics &amp; autonomous driving</t>
        </is>
      </c>
      <c r="C9" s="2" t="inlineStr">
        <is>
          <t>Embodied AI, ADAS/AD stacks, robotaxi, humanoid.</t>
        </is>
      </c>
      <c r="E9" s="2" t="inlineStr">
        <is>
          <t>Smart hardware / consumer electronics</t>
        </is>
      </c>
    </row>
    <row r="10">
      <c r="B10" s="26" t="inlineStr">
        <is>
          <t>Smart hardware / consumer electronics</t>
        </is>
      </c>
      <c r="C10" s="2" t="inlineStr">
        <is>
          <t>Devices, IoT, components ex-semis.</t>
        </is>
      </c>
      <c r="E10" s="2" t="inlineStr">
        <is>
          <t>SaaS / enterprise software</t>
        </is>
      </c>
    </row>
    <row r="11">
      <c r="B11" s="26" t="inlineStr">
        <is>
          <t>SaaS / enterprise software</t>
        </is>
      </c>
      <c r="C11" s="2" t="inlineStr">
        <is>
          <t>Recurring-revenue software without AI-native positioning.</t>
        </is>
      </c>
      <c r="E11" s="2" t="inlineStr">
        <is>
          <t>Internet platform / e-commerce</t>
        </is>
      </c>
    </row>
    <row r="12">
      <c r="B12" s="26" t="inlineStr">
        <is>
          <t>Internet platform / e-commerce</t>
        </is>
      </c>
      <c r="C12" s="2" t="inlineStr">
        <is>
          <t>Marketplaces, local services, content platforms.</t>
        </is>
      </c>
      <c r="E12" s="2" t="inlineStr">
        <is>
          <t>Gaming / entertainment tech</t>
        </is>
      </c>
    </row>
    <row r="13">
      <c r="B13" s="26" t="inlineStr">
        <is>
          <t>Gaming / entertainment tech</t>
        </is>
      </c>
      <c r="C13" s="2" t="inlineStr">
        <is>
          <t>Game devs/publishers, entertainment tech.</t>
        </is>
      </c>
      <c r="E13" s="2" t="inlineStr">
        <is>
          <t>Fintech platform</t>
        </is>
      </c>
    </row>
    <row r="14">
      <c r="B14" s="26" t="inlineStr">
        <is>
          <t>Fintech platform</t>
        </is>
      </c>
      <c r="C14" s="2" t="inlineStr">
        <is>
          <t>Payments, lending, wealth platforms (tech-first).</t>
        </is>
      </c>
      <c r="E14" s="2" t="inlineStr">
        <is>
          <t>Biotech pre-revenue (18A)</t>
        </is>
      </c>
    </row>
    <row r="15">
      <c r="A15" s="66" t="inlineStr">
        <is>
          <t>Healthcare</t>
        </is>
      </c>
      <c r="D15" s="36" t="inlineStr">
        <is>
          <t>2820.HK — China Biotech ETF (HS biotech proxy)</t>
        </is>
      </c>
      <c r="E15" s="2" t="inlineStr">
        <is>
          <t>Biopharma commercial</t>
        </is>
      </c>
    </row>
    <row r="16">
      <c r="B16" s="26" t="inlineStr">
        <is>
          <t>Biotech pre-revenue (18A)</t>
        </is>
      </c>
      <c r="C16" s="2" t="inlineStr">
        <is>
          <t>Loss-making 18A; comp on pipeline/P-S-if-any, never P/E.</t>
        </is>
      </c>
      <c r="E16" s="2" t="inlineStr">
        <is>
          <t>Medical devices</t>
        </is>
      </c>
    </row>
    <row r="17">
      <c r="B17" s="26" t="inlineStr">
        <is>
          <t>Biopharma commercial</t>
        </is>
      </c>
      <c r="C17" s="2" t="inlineStr">
        <is>
          <t>Revenue-generating pharma/biotech.</t>
        </is>
      </c>
      <c r="E17" s="2" t="inlineStr">
        <is>
          <t>CXO / pharma services</t>
        </is>
      </c>
    </row>
    <row r="18">
      <c r="B18" s="26" t="inlineStr">
        <is>
          <t>Medical devices</t>
        </is>
      </c>
      <c r="C18" s="2" t="inlineStr">
        <is>
          <t>Devices incl. 18A device names.</t>
        </is>
      </c>
      <c r="E18" s="2" t="inlineStr">
        <is>
          <t>Digital health</t>
        </is>
      </c>
    </row>
    <row r="19">
      <c r="B19" s="26" t="inlineStr">
        <is>
          <t>CXO / pharma services</t>
        </is>
      </c>
      <c r="C19" s="2" t="inlineStr">
        <is>
          <t>CRO/CDMO/CMO.</t>
        </is>
      </c>
      <c r="E19" s="2" t="inlineStr">
        <is>
          <t>Hospitals / clinics</t>
        </is>
      </c>
    </row>
    <row r="20">
      <c r="B20" s="26" t="inlineStr">
        <is>
          <t>Digital health</t>
        </is>
      </c>
      <c r="C20" s="2" t="inlineStr">
        <is>
          <t>Online healthcare platforms.</t>
        </is>
      </c>
      <c r="E20" s="2" t="inlineStr">
        <is>
          <t>TCM</t>
        </is>
      </c>
    </row>
    <row r="21">
      <c r="B21" s="26" t="inlineStr">
        <is>
          <t>Hospitals / clinics</t>
        </is>
      </c>
      <c r="C21" s="2" t="inlineStr">
        <is>
          <t>Service providers.</t>
        </is>
      </c>
      <c r="E21" s="2" t="inlineStr">
        <is>
          <t>F&amp;B chains / restaurants</t>
        </is>
      </c>
    </row>
    <row r="22">
      <c r="B22" s="26" t="inlineStr">
        <is>
          <t>TCM</t>
        </is>
      </c>
      <c r="C22" s="2" t="inlineStr">
        <is>
          <t>Traditional Chinese medicine.</t>
        </is>
      </c>
      <c r="E22" s="2" t="inlineStr">
        <is>
          <t>Beverages / packaged food</t>
        </is>
      </c>
    </row>
    <row r="23">
      <c r="A23" s="66" t="inlineStr">
        <is>
          <t>Consumer</t>
        </is>
      </c>
      <c r="D23" s="36" t="inlineStr">
        <is>
          <t>^HSNC — Hang Seng Commerce &amp; Industry sub-index</t>
        </is>
      </c>
      <c r="E23" s="2" t="inlineStr">
        <is>
          <t>Apparel / luxury</t>
        </is>
      </c>
    </row>
    <row r="24">
      <c r="B24" s="26" t="inlineStr">
        <is>
          <t>F&amp;B chains / restaurants</t>
        </is>
      </c>
      <c r="C24" s="2" t="inlineStr">
        <is>
          <t>Mixue-type store-count stories.</t>
        </is>
      </c>
      <c r="E24" s="2" t="inlineStr">
        <is>
          <t>Beauty / personal care</t>
        </is>
      </c>
    </row>
    <row r="25">
      <c r="B25" s="26" t="inlineStr">
        <is>
          <t>Beverages / packaged food</t>
        </is>
      </c>
      <c r="C25" s="2" t="inlineStr">
        <is>
          <t>Brands, not chains.</t>
        </is>
      </c>
      <c r="E25" s="2" t="inlineStr">
        <is>
          <t>Consumer services / education</t>
        </is>
      </c>
    </row>
    <row r="26">
      <c r="B26" s="26" t="inlineStr">
        <is>
          <t>Apparel / luxury</t>
        </is>
      </c>
      <c r="C26" s="2" t="inlineStr"/>
      <c r="E26" s="2" t="inlineStr">
        <is>
          <t>Autos (NEV OEM)</t>
        </is>
      </c>
    </row>
    <row r="27">
      <c r="B27" s="26" t="inlineStr">
        <is>
          <t>Beauty / personal care</t>
        </is>
      </c>
      <c r="C27" s="2" t="inlineStr"/>
      <c r="E27" s="2" t="inlineStr">
        <is>
          <t>Auto parts / supply chain</t>
        </is>
      </c>
    </row>
    <row r="28">
      <c r="B28" s="26" t="inlineStr">
        <is>
          <t>Consumer services / education</t>
        </is>
      </c>
      <c r="C28" s="2" t="inlineStr"/>
      <c r="E28" s="2" t="inlineStr">
        <is>
          <t>Retail / distribution</t>
        </is>
      </c>
    </row>
    <row r="29">
      <c r="B29" s="26" t="inlineStr">
        <is>
          <t>Autos (NEV OEM)</t>
        </is>
      </c>
      <c r="C29" s="2" t="inlineStr">
        <is>
          <t>Vehicle OEMs; loss-making OEMs comp on P/S.</t>
        </is>
      </c>
      <c r="E29" s="2" t="inlineStr">
        <is>
          <t>Banks</t>
        </is>
      </c>
    </row>
    <row r="30">
      <c r="B30" s="26" t="inlineStr">
        <is>
          <t>Auto parts / supply chain</t>
        </is>
      </c>
      <c r="C30" s="2" t="inlineStr"/>
      <c r="E30" s="2" t="inlineStr">
        <is>
          <t>Insurance</t>
        </is>
      </c>
    </row>
    <row r="31">
      <c r="B31" s="26" t="inlineStr">
        <is>
          <t>Retail / distribution</t>
        </is>
      </c>
      <c r="C31" s="2" t="inlineStr"/>
      <c r="E31" s="2" t="inlineStr">
        <is>
          <t>Brokers / asset management</t>
        </is>
      </c>
    </row>
    <row r="32">
      <c r="A32" s="66" t="inlineStr">
        <is>
          <t>Financials</t>
        </is>
      </c>
      <c r="D32" s="36" t="inlineStr">
        <is>
          <t>^HSNF — Hang Seng Finance sub-index</t>
        </is>
      </c>
      <c r="E32" s="2" t="inlineStr">
        <is>
          <t>Payments / lending (non-platform)</t>
        </is>
      </c>
    </row>
    <row r="33">
      <c r="B33" s="26" t="inlineStr">
        <is>
          <t>Banks</t>
        </is>
      </c>
      <c r="C33" s="2" t="inlineStr"/>
      <c r="E33" s="2" t="inlineStr">
        <is>
          <t>Capital goods / machinery</t>
        </is>
      </c>
    </row>
    <row r="34">
      <c r="B34" s="26" t="inlineStr">
        <is>
          <t>Insurance</t>
        </is>
      </c>
      <c r="C34" s="2" t="inlineStr"/>
      <c r="E34" s="2" t="inlineStr">
        <is>
          <t>Batteries / energy storage</t>
        </is>
      </c>
    </row>
    <row r="35">
      <c r="B35" s="26" t="inlineStr">
        <is>
          <t>Brokers / asset management</t>
        </is>
      </c>
      <c r="C35" s="2" t="inlineStr"/>
      <c r="E35" s="2" t="inlineStr">
        <is>
          <t>Solar / wind supply chain</t>
        </is>
      </c>
    </row>
    <row r="36">
      <c r="B36" s="26" t="inlineStr">
        <is>
          <t>Payments / lending (non-platform)</t>
        </is>
      </c>
      <c r="C36" s="2" t="inlineStr"/>
      <c r="E36" s="2" t="inlineStr">
        <is>
          <t>Logistics</t>
        </is>
      </c>
    </row>
    <row r="37">
      <c r="A37" s="66" t="inlineStr">
        <is>
          <t>Industrials</t>
        </is>
      </c>
      <c r="D37" s="36" t="inlineStr">
        <is>
          <t>^HSNC — Hang Seng Commerce &amp; Industry sub-index</t>
        </is>
      </c>
      <c r="E37" s="2" t="inlineStr">
        <is>
          <t>Construction / engineering</t>
        </is>
      </c>
    </row>
    <row r="38">
      <c r="B38" s="26" t="inlineStr">
        <is>
          <t>Capital goods / machinery</t>
        </is>
      </c>
      <c r="C38" s="2" t="inlineStr"/>
      <c r="E38" s="2" t="inlineStr">
        <is>
          <t>Mining / metals</t>
        </is>
      </c>
    </row>
    <row r="39">
      <c r="B39" s="26" t="inlineStr">
        <is>
          <t>Batteries / energy storage</t>
        </is>
      </c>
      <c r="C39" s="2" t="inlineStr">
        <is>
          <t>CATL bucket: cells, materials, ESS.</t>
        </is>
      </c>
      <c r="E39" s="2" t="inlineStr">
        <is>
          <t>Chemicals</t>
        </is>
      </c>
    </row>
    <row r="40">
      <c r="B40" s="26" t="inlineStr">
        <is>
          <t>Solar / wind supply chain</t>
        </is>
      </c>
      <c r="C40" s="2" t="inlineStr"/>
      <c r="E40" s="2" t="inlineStr">
        <is>
          <t>Oil &amp; gas / utilities</t>
        </is>
      </c>
    </row>
    <row r="41">
      <c r="B41" s="26" t="inlineStr">
        <is>
          <t>Logistics</t>
        </is>
      </c>
      <c r="C41" s="2" t="inlineStr"/>
      <c r="E41" s="2" t="inlineStr">
        <is>
          <t>Developers</t>
        </is>
      </c>
    </row>
    <row r="42">
      <c r="B42" s="26" t="inlineStr">
        <is>
          <t>Construction / engineering</t>
        </is>
      </c>
      <c r="C42" s="2" t="inlineStr"/>
      <c r="E42" s="2" t="inlineStr">
        <is>
          <t>Property management</t>
        </is>
      </c>
    </row>
    <row r="43">
      <c r="A43" s="66" t="inlineStr">
        <is>
          <t>Materials/Energy</t>
        </is>
      </c>
      <c r="D43" s="36" t="inlineStr">
        <is>
          <t>^HSNU — Hang Seng Utilities sub-index</t>
        </is>
      </c>
      <c r="E43" s="2" t="inlineStr">
        <is>
          <t>REITs / asset-light</t>
        </is>
      </c>
    </row>
    <row r="44">
      <c r="B44" s="26" t="inlineStr">
        <is>
          <t>Mining / metals</t>
        </is>
      </c>
      <c r="C44" s="2" t="inlineStr"/>
      <c r="E44" s="2" t="inlineStr">
        <is>
          <t>Telecom</t>
        </is>
      </c>
    </row>
    <row r="45">
      <c r="B45" s="26" t="inlineStr">
        <is>
          <t>Chemicals</t>
        </is>
      </c>
      <c r="C45" s="2" t="inlineStr"/>
      <c r="E45" s="2" t="inlineStr">
        <is>
          <t>Media / advertising</t>
        </is>
      </c>
    </row>
    <row r="46">
      <c r="B46" s="26" t="inlineStr">
        <is>
          <t>Oil &amp; gas / utilities</t>
        </is>
      </c>
      <c r="C46" s="2" t="inlineStr"/>
      <c r="E46" s="2" t="inlineStr">
        <is>
          <t>Other / unclassified</t>
        </is>
      </c>
    </row>
    <row r="47">
      <c r="A47" s="66" t="inlineStr">
        <is>
          <t>Real Estate</t>
        </is>
      </c>
      <c r="D47" s="36" t="inlineStr">
        <is>
          <t>^HSNP — Hang Seng Properties sub-index</t>
        </is>
      </c>
    </row>
    <row r="48">
      <c r="B48" s="26" t="inlineStr">
        <is>
          <t>Developers</t>
        </is>
      </c>
      <c r="C48" s="2" t="inlineStr"/>
    </row>
    <row r="49">
      <c r="B49" s="26" t="inlineStr">
        <is>
          <t>Property management</t>
        </is>
      </c>
      <c r="C49" s="2" t="inlineStr"/>
    </row>
    <row r="50">
      <c r="B50" s="26" t="inlineStr">
        <is>
          <t>REITs / asset-light</t>
        </is>
      </c>
      <c r="C50" s="2" t="inlineStr"/>
    </row>
    <row r="51">
      <c r="A51" s="66" t="inlineStr">
        <is>
          <t>TMT-other</t>
        </is>
      </c>
      <c r="D51" s="36" t="inlineStr">
        <is>
          <t>^HSI — Hang Seng Index</t>
        </is>
      </c>
    </row>
    <row r="52">
      <c r="B52" s="26" t="inlineStr">
        <is>
          <t>Telecom</t>
        </is>
      </c>
      <c r="C52" s="2" t="inlineStr"/>
    </row>
    <row r="53">
      <c r="B53" s="26" t="inlineStr">
        <is>
          <t>Media / advertising</t>
        </is>
      </c>
      <c r="C53" s="2" t="inlineStr"/>
    </row>
    <row r="54">
      <c r="A54" s="66" t="inlineStr">
        <is>
          <t>Other</t>
        </is>
      </c>
      <c r="D54" s="36" t="inlineStr">
        <is>
          <t>^HSI — Hang Seng Index</t>
        </is>
      </c>
    </row>
    <row r="55">
      <c r="B55" s="26" t="inlineStr">
        <is>
          <t>Other / unclassified</t>
        </is>
      </c>
      <c r="C55" s="2" t="inlineStr">
        <is>
          <t>Must stay &lt;5% of deals (checks.py enforces).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VERIFICATION — book vs official HKEX statistics</t>
        </is>
      </c>
    </row>
    <row r="2">
      <c r="A2" s="2" t="inlineStr">
        <is>
          <t>book counts are IPOs with a public offer (allotment results filed); official totals include listings by introduction / transfers — the Delta column is expected to be small and positive</t>
        </is>
      </c>
    </row>
    <row r="3"/>
    <row r="4">
      <c r="A4" s="7" t="inlineStr">
        <is>
          <t>Year</t>
        </is>
      </c>
      <c r="B4" s="7" t="inlineStr">
        <is>
          <t>Deals in book</t>
        </is>
      </c>
      <c r="C4" s="7" t="inlineStr">
        <is>
          <t>Official new listings</t>
        </is>
      </c>
      <c r="D4" s="7" t="inlineStr">
        <is>
          <t>Delta</t>
        </is>
      </c>
      <c r="E4" s="7" t="inlineStr">
        <is>
          <t>Book proceeds HK$bn</t>
        </is>
      </c>
      <c r="F4" s="7" t="inlineStr">
        <is>
          <t>Official IPO funds HK$bn</t>
        </is>
      </c>
      <c r="G4" s="7" t="inlineStr">
        <is>
          <t>Diff %</t>
        </is>
      </c>
    </row>
    <row r="5">
      <c r="A5" s="61" t="inlineStr">
        <is>
          <t>2021</t>
        </is>
      </c>
      <c r="B5" s="23">
        <f>COUNTIFS(Database!$G$5:$G$515,"&gt;="&amp;DATE(2021,1,1),Database!$G$5:$G$515,"&lt;="&amp;DATE(2021,12,31))</f>
        <v/>
      </c>
      <c r="C5" s="50" t="n"/>
      <c r="D5" s="23">
        <f>IF(C5="","n/a",C5-B5)</f>
        <v/>
      </c>
      <c r="E5" s="14">
        <f>SUMIFS(Database!$H$5:$H$515,Database!$G$5:$G$515,"&gt;="&amp;DATE(2021,1,1),Database!$G$5:$G$515,"&lt;="&amp;DATE(2021,12,31))/1000</f>
        <v/>
      </c>
      <c r="F5" s="67" t="n">
        <v>331.3</v>
      </c>
      <c r="G5" s="22">
        <f>IF(OR(F5="",E5=0),"n/a",F5/E5-1)</f>
        <v/>
      </c>
    </row>
    <row r="6">
      <c r="A6" s="61" t="inlineStr">
        <is>
          <t>2022</t>
        </is>
      </c>
      <c r="B6" s="23">
        <f>COUNTIFS(Database!$G$5:$G$515,"&gt;="&amp;DATE(2022,1,1),Database!$G$5:$G$515,"&lt;="&amp;DATE(2022,12,31))</f>
        <v/>
      </c>
      <c r="C6" s="50" t="n">
        <v>90</v>
      </c>
      <c r="D6" s="23">
        <f>IF(C6="","n/a",C6-B6)</f>
        <v/>
      </c>
      <c r="E6" s="14">
        <f>SUMIFS(Database!$H$5:$H$515,Database!$G$5:$G$515,"&gt;="&amp;DATE(2022,1,1),Database!$G$5:$G$515,"&lt;="&amp;DATE(2022,12,31))/1000</f>
        <v/>
      </c>
      <c r="F6" s="67" t="n">
        <v>104.6</v>
      </c>
      <c r="G6" s="22">
        <f>IF(OR(F6="",E6=0),"n/a",F6/E6-1)</f>
        <v/>
      </c>
    </row>
    <row r="7">
      <c r="A7" s="61" t="inlineStr">
        <is>
          <t>2023</t>
        </is>
      </c>
      <c r="B7" s="23">
        <f>COUNTIFS(Database!$G$5:$G$515,"&gt;="&amp;DATE(2023,1,1),Database!$G$5:$G$515,"&lt;="&amp;DATE(2023,12,31))</f>
        <v/>
      </c>
      <c r="C7" s="50" t="n">
        <v>73</v>
      </c>
      <c r="D7" s="23">
        <f>IF(C7="","n/a",C7-B7)</f>
        <v/>
      </c>
      <c r="E7" s="14">
        <f>SUMIFS(Database!$H$5:$H$515,Database!$G$5:$G$515,"&gt;="&amp;DATE(2023,1,1),Database!$G$5:$G$515,"&lt;="&amp;DATE(2023,12,31))/1000</f>
        <v/>
      </c>
      <c r="F7" s="67" t="n">
        <v>46.3</v>
      </c>
      <c r="G7" s="22">
        <f>IF(OR(F7="",E7=0),"n/a",F7/E7-1)</f>
        <v/>
      </c>
    </row>
    <row r="8">
      <c r="A8" s="61" t="inlineStr">
        <is>
          <t>2024</t>
        </is>
      </c>
      <c r="B8" s="23">
        <f>COUNTIFS(Database!$G$5:$G$515,"&gt;="&amp;DATE(2024,1,1),Database!$G$5:$G$515,"&lt;="&amp;DATE(2024,12,31))</f>
        <v/>
      </c>
      <c r="C8" s="50" t="n">
        <v>71</v>
      </c>
      <c r="D8" s="23">
        <f>IF(C8="","n/a",C8-B8)</f>
        <v/>
      </c>
      <c r="E8" s="14">
        <f>SUMIFS(Database!$H$5:$H$515,Database!$G$5:$G$515,"&gt;="&amp;DATE(2024,1,1),Database!$G$5:$G$515,"&lt;="&amp;DATE(2024,12,31))/1000</f>
        <v/>
      </c>
      <c r="F8" s="67" t="n">
        <v>87.5</v>
      </c>
      <c r="G8" s="22">
        <f>IF(OR(F8="",E8=0),"n/a",F8/E8-1)</f>
        <v/>
      </c>
    </row>
    <row r="9">
      <c r="A9" s="61" t="inlineStr">
        <is>
          <t>2025</t>
        </is>
      </c>
      <c r="B9" s="23">
        <f>COUNTIFS(Database!$G$5:$G$515,"&gt;="&amp;DATE(2025,1,1),Database!$G$5:$G$515,"&lt;="&amp;DATE(2025,12,31))</f>
        <v/>
      </c>
      <c r="C9" s="50" t="n"/>
      <c r="D9" s="23">
        <f>IF(C9="","n/a",C9-B9)</f>
        <v/>
      </c>
      <c r="E9" s="14">
        <f>SUMIFS(Database!$H$5:$H$515,Database!$G$5:$G$515,"&gt;="&amp;DATE(2025,1,1),Database!$G$5:$G$515,"&lt;="&amp;DATE(2025,12,31))/1000</f>
        <v/>
      </c>
      <c r="F9" s="67" t="n"/>
      <c r="G9" s="22">
        <f>IF(OR(F9="",E9=0),"n/a",F9/E9-1)</f>
        <v/>
      </c>
    </row>
    <row r="10">
      <c r="A10" s="61" t="inlineStr">
        <is>
          <t>2026</t>
        </is>
      </c>
      <c r="B10" s="23">
        <f>COUNTIFS(Database!$G$5:$G$515,"&gt;="&amp;DATE(2026,1,1),Database!$G$5:$G$515,"&lt;="&amp;DATE(2026,12,31))</f>
        <v/>
      </c>
      <c r="C10" s="50" t="n"/>
      <c r="D10" s="23">
        <f>IF(C10="","n/a",C10-B10)</f>
        <v/>
      </c>
      <c r="E10" s="14">
        <f>SUMIFS(Database!$H$5:$H$515,Database!$G$5:$G$515,"&gt;="&amp;DATE(2026,1,1),Database!$G$5:$G$515,"&lt;="&amp;DATE(2026,12,31))/1000</f>
        <v/>
      </c>
      <c r="F10" s="67" t="n"/>
      <c r="G10" s="22">
        <f>IF(OR(F10="",E10=0),"n/a",F10/E10-1)</f>
        <v/>
      </c>
    </row>
    <row r="11"/>
    <row r="12">
      <c r="A12" s="3" t="inlineStr">
        <is>
          <t>LANDMARK SPOT-CHECKS</t>
        </is>
      </c>
    </row>
    <row r="13">
      <c r="A13" s="7" t="inlineStr">
        <is>
          <t>Code</t>
        </is>
      </c>
      <c r="B13" s="7" t="inlineStr">
        <is>
          <t>Name</t>
        </is>
      </c>
      <c r="C13" s="7" t="inlineStr">
        <is>
          <t>Field</t>
        </is>
      </c>
      <c r="D13" s="7" t="inlineStr">
        <is>
          <t>Official</t>
        </is>
      </c>
      <c r="E13" s="7" t="inlineStr">
        <is>
          <t>In book</t>
        </is>
      </c>
      <c r="F13" s="7" t="inlineStr">
        <is>
          <t>Check</t>
        </is>
      </c>
    </row>
    <row r="14">
      <c r="A14" s="53" t="inlineStr">
        <is>
          <t>1024</t>
        </is>
      </c>
      <c r="B14" s="4" t="inlineStr">
        <is>
          <t>Kuaishou</t>
        </is>
      </c>
      <c r="C14" s="4" t="inlineStr">
        <is>
          <t>final_price</t>
        </is>
      </c>
      <c r="D14" s="68" t="n">
        <v>115</v>
      </c>
      <c r="E14" s="54">
        <f>INDEX(Database!$L$5:$L$515,MATCH("1024",Database!$A$5:$A$515,0))</f>
        <v/>
      </c>
      <c r="F14" s="6">
        <f>IF(E14="","MISSING",IF(ABS(E14-D14)/D14&lt;0.02,"OK","CHECK"))</f>
        <v/>
      </c>
    </row>
    <row r="15">
      <c r="A15" s="53" t="inlineStr">
        <is>
          <t>3750</t>
        </is>
      </c>
      <c r="B15" s="4" t="inlineStr">
        <is>
          <t>CATL (H)</t>
        </is>
      </c>
      <c r="C15" s="4" t="inlineStr">
        <is>
          <t>final_price</t>
        </is>
      </c>
      <c r="D15" s="68" t="n">
        <v>263</v>
      </c>
      <c r="E15" s="54">
        <f>INDEX(Database!$L$5:$L$515,MATCH("3750",Database!$A$5:$A$515,0))</f>
        <v/>
      </c>
      <c r="F15" s="6">
        <f>IF(E15="","MISSING",IF(ABS(E15-D15)/D15&lt;0.02,"OK","CHECK"))</f>
        <v/>
      </c>
    </row>
    <row r="16">
      <c r="A16" s="53" t="inlineStr">
        <is>
          <t>0300</t>
        </is>
      </c>
      <c r="B16" s="4" t="inlineStr">
        <is>
          <t>Midea Group (H)</t>
        </is>
      </c>
      <c r="C16" s="4" t="inlineStr">
        <is>
          <t>final_price</t>
        </is>
      </c>
      <c r="D16" s="68" t="n">
        <v>54.8</v>
      </c>
      <c r="E16" s="54">
        <f>INDEX(Database!$L$5:$L$515,MATCH("0300",Database!$A$5:$A$515,0))</f>
        <v/>
      </c>
      <c r="F16" s="6">
        <f>IF(E16="","MISSING",IF(ABS(E16-D16)/D16&lt;0.02,"OK","CHECK"))</f>
        <v/>
      </c>
    </row>
    <row r="17">
      <c r="A17" s="53" t="inlineStr">
        <is>
          <t>9660</t>
        </is>
      </c>
      <c r="B17" s="4" t="inlineStr">
        <is>
          <t>Horizon Robotics</t>
        </is>
      </c>
      <c r="C17" s="4" t="inlineStr">
        <is>
          <t>final_price</t>
        </is>
      </c>
      <c r="D17" s="68" t="n">
        <v>3.99</v>
      </c>
      <c r="E17" s="54">
        <f>INDEX(Database!$L$5:$L$515,MATCH("9660",Database!$A$5:$A$515,0))</f>
        <v/>
      </c>
      <c r="F17" s="6">
        <f>IF(E17="","MISSING",IF(ABS(E17-D17)/D17&lt;0.02,"OK","CHECK"))</f>
        <v/>
      </c>
    </row>
    <row r="18">
      <c r="A18" s="53" t="inlineStr">
        <is>
          <t>2097</t>
        </is>
      </c>
      <c r="B18" s="4" t="inlineStr">
        <is>
          <t>Mixue Group</t>
        </is>
      </c>
      <c r="C18" s="4" t="inlineStr">
        <is>
          <t>final_price</t>
        </is>
      </c>
      <c r="D18" s="68" t="n">
        <v>202.5</v>
      </c>
      <c r="E18" s="54">
        <f>INDEX(Database!$L$5:$L$515,MATCH("2097",Database!$A$5:$A$515,0))</f>
        <v/>
      </c>
      <c r="F18" s="6">
        <f>IF(E18="","MISSING",IF(ABS(E18-D18)/D18&lt;0.02,"OK","CHECK"))</f>
        <v/>
      </c>
    </row>
    <row r="19">
      <c r="A19" s="53" t="inlineStr">
        <is>
          <t>9696</t>
        </is>
      </c>
      <c r="B19" s="4" t="inlineStr">
        <is>
          <t>Tianqi Lithium (H)</t>
        </is>
      </c>
      <c r="C19" s="4" t="inlineStr">
        <is>
          <t>final_price</t>
        </is>
      </c>
      <c r="D19" s="68" t="n">
        <v>82</v>
      </c>
      <c r="E19" s="54">
        <f>INDEX(Database!$L$5:$L$515,MATCH("9696",Database!$A$5:$A$515,0))</f>
        <v/>
      </c>
      <c r="F19" s="6">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523"/>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SCORING ENGINE</t>
        </is>
      </c>
      <c r="I1" s="2" t="inlineStr">
        <is>
          <t>target cornerstone split →</t>
        </is>
      </c>
      <c r="J1">
        <f>IFERROR(INDEX(Database!$T$5:$T$515,MATCH(Screener!$B$5,Database!$B$5:$B$515,0))&amp;"","")</f>
        <v/>
      </c>
      <c r="K1">
        <f>TRIM(IFERROR(LEFT($J$1,FIND(";",$J$1&amp;";")-1),$J$1))</f>
        <v/>
      </c>
      <c r="L1">
        <f>TRIM(IFERROR(LEFT($J$2,FIND(";",$J$2&amp;";")-1),$J$2))</f>
        <v/>
      </c>
      <c r="M1">
        <f>TRIM(IFERROR(LEFT($J$3,FIND(";",$J$3&amp;";")-1),$J$3))</f>
        <v/>
      </c>
      <c r="N1">
        <f>TRIM(IFERROR(LEFT($J$4,FIND(";",$J$4&amp;";")-1),$J$4))</f>
        <v/>
      </c>
      <c r="O1">
        <f>TRIM(IFERROR(LEFT($J$5,FIND(";",$J$5&amp;";")-1),$J$5))</f>
        <v/>
      </c>
    </row>
    <row r="2">
      <c r="A2" s="2" t="inlineStr">
        <is>
          <t>One row per Database deal. The Screener ranks by column H (comp score vs the Screener target). Weights are named cells on the Notes tab.</t>
        </is>
      </c>
      <c r="J2">
        <f>IFERROR(MID($J$1,FIND(";",$J$1)+1,9999),"")</f>
        <v/>
      </c>
      <c r="K2" s="2" t="inlineStr">
        <is>
          <t>name</t>
        </is>
      </c>
      <c r="L2" s="2" t="inlineStr">
        <is>
          <t>sector</t>
        </is>
      </c>
      <c r="M2" s="2" t="inlineStr">
        <is>
          <t>subsector</t>
        </is>
      </c>
      <c r="N2" s="2" t="inlineStr">
        <is>
          <t>size HK$m</t>
        </is>
      </c>
      <c r="O2" s="2" t="inlineStr">
        <is>
          <t>profitable</t>
        </is>
      </c>
      <c r="P2" s="2" t="inlineStr">
        <is>
          <t>H-share</t>
        </is>
      </c>
      <c r="Q2" s="2" t="inlineStr">
        <is>
          <t>date</t>
        </is>
      </c>
    </row>
    <row r="3">
      <c r="J3">
        <f>IFERROR(MID($J$2,FIND(";",$J$2)+1,9999),"")</f>
        <v/>
      </c>
      <c r="K3">
        <f>Pipeline!B6</f>
        <v/>
      </c>
      <c r="L3">
        <f>Pipeline!D6</f>
        <v/>
      </c>
      <c r="M3">
        <f>Pipeline!E6</f>
        <v/>
      </c>
      <c r="N3">
        <f>Pipeline!F6</f>
        <v/>
      </c>
      <c r="O3">
        <f>Pipeline!L6</f>
        <v/>
      </c>
      <c r="P3">
        <f>Pipeline!M6</f>
        <v/>
      </c>
      <c r="Q3">
        <f>Pipeline!K6</f>
        <v/>
      </c>
    </row>
    <row r="4">
      <c r="A4" s="7" t="inlineStr">
        <is>
          <t>Deal</t>
        </is>
      </c>
      <c r="B4" s="7" t="inlineStr">
        <is>
          <t>Subsector =</t>
        </is>
      </c>
      <c r="C4" s="7" t="inlineStr">
        <is>
          <t>Sector =</t>
        </is>
      </c>
      <c r="D4" s="7" t="inlineStr">
        <is>
          <t>Size pts</t>
        </is>
      </c>
      <c r="E4" s="7" t="inlineStr">
        <is>
          <t>Profit =</t>
        </is>
      </c>
      <c r="F4" s="7" t="inlineStr">
        <is>
          <t>A/H =</t>
        </is>
      </c>
      <c r="G4" s="7" t="inlineStr">
        <is>
          <t>Recency</t>
        </is>
      </c>
      <c r="H4" s="7" t="inlineStr">
        <is>
          <t>Cornerstone</t>
        </is>
      </c>
      <c r="I4" s="7" t="inlineStr">
        <is>
          <t>SCORE</t>
        </is>
      </c>
      <c r="J4">
        <f>IFERROR(MID($J$3,FIND(";",$J$3)+1,9999),"")</f>
        <v/>
      </c>
      <c r="K4">
        <f>Pipeline!B7</f>
        <v/>
      </c>
      <c r="L4">
        <f>Pipeline!D7</f>
        <v/>
      </c>
      <c r="M4">
        <f>Pipeline!E7</f>
        <v/>
      </c>
      <c r="N4">
        <f>Pipeline!F7</f>
        <v/>
      </c>
      <c r="O4">
        <f>Pipeline!L7</f>
        <v/>
      </c>
      <c r="P4">
        <f>Pipeline!M7</f>
        <v/>
      </c>
      <c r="Q4">
        <f>Pipeline!K7</f>
        <v/>
      </c>
    </row>
    <row r="5">
      <c r="A5">
        <f>Database!B5</f>
        <v/>
      </c>
      <c r="B5">
        <f>IF(AND(Screener!$D$9&lt;&gt;"",Database!$E5=Screener!$D$9),1,0)</f>
        <v/>
      </c>
      <c r="C5">
        <f>IF(AND(Screener!$D$8&lt;&gt;"",Database!$D5=Screener!$D$8),1,0)</f>
        <v/>
      </c>
      <c r="D5">
        <f>IF(OR(Database!$H5="",N(Screener!$D$10)&lt;=0),0,MAX(0,1-ABS(LOG10(Database!$H5/Screener!$D$10))/W_SIZEHW))</f>
        <v/>
      </c>
      <c r="E5">
        <f>IF(OR(Database!$AH5="",Screener!$D$11=""),0,IF(Database!$AH5=Screener!$D$11,1,0))</f>
        <v/>
      </c>
      <c r="F5">
        <f>IF(OR(Database!$AK5="",Screener!$D$12=""),0,IF(Database!$AK5=Screener!$D$12,1,0))</f>
        <v/>
      </c>
      <c r="G5">
        <f>IF(OR(Database!$G5="",N(Screener!$D$13)&lt;=0),0,MAX(0,1-(N(Screener!$D$13)-Database!$G5)/W_RECD))</f>
        <v/>
      </c>
      <c r="H5">
        <f>IF($K$1="",0,N(ISNUMBER(SEARCH($K$1,Database!$T5&amp;""))))+IF($L$1="",0,N(ISNUMBER(SEARCH($L$1,Database!$T5&amp;""))))+IF($M$1="",0,N(ISNUMBER(SEARCH($M$1,Database!$T5&amp;""))))+IF($N$1="",0,N(ISNUMBER(SEARCH($N$1,Database!$T5&amp;""))))+IF($O$1="",0,N(ISNUMBER(SEARCH($O$1,Database!$T5&amp;""))))+IF(Screener!$B$14="",0,N(ISNUMBER(SEARCH(Screener!$B$14,Database!$T5&amp;""))))</f>
        <v/>
      </c>
      <c r="I5">
        <f>IF(OR(Database!$B5=Screener!$B$5,IF(OR(Screener!$B$17="All",AND(Screener!$B$17="With A-share",(Database!$AL5&lt;&gt;"")),AND(Screener!$B$17="Without A-share",NOT((Database!$AL5&lt;&gt;"")))),1,0)=0),-999999,IF(Screener!$B$15="cornerstone overlap first",H5*100000,0)+W_SUB*B5+W_SEC*C5*(1-B5)+W_SIZE*D5+W_PROF*E5+W_AH*F5+W_REC*G5+W_CS*H5)+ROW()/1000000</f>
        <v/>
      </c>
      <c r="J5">
        <f>IFERROR(MID($J$4,FIND(";",$J$4)+1,9999),"")</f>
        <v/>
      </c>
      <c r="K5">
        <f>Pipeline!B8</f>
        <v/>
      </c>
      <c r="L5">
        <f>Pipeline!D8</f>
        <v/>
      </c>
      <c r="M5">
        <f>Pipeline!E8</f>
        <v/>
      </c>
      <c r="N5">
        <f>Pipeline!F8</f>
        <v/>
      </c>
      <c r="O5">
        <f>Pipeline!L8</f>
        <v/>
      </c>
      <c r="P5">
        <f>Pipeline!M8</f>
        <v/>
      </c>
      <c r="Q5">
        <f>Pipeline!K8</f>
        <v/>
      </c>
    </row>
    <row r="6">
      <c r="A6">
        <f>Database!B6</f>
        <v/>
      </c>
      <c r="B6">
        <f>IF(AND(Screener!$D$9&lt;&gt;"",Database!$E6=Screener!$D$9),1,0)</f>
        <v/>
      </c>
      <c r="C6">
        <f>IF(AND(Screener!$D$8&lt;&gt;"",Database!$D6=Screener!$D$8),1,0)</f>
        <v/>
      </c>
      <c r="D6">
        <f>IF(OR(Database!$H6="",N(Screener!$D$10)&lt;=0),0,MAX(0,1-ABS(LOG10(Database!$H6/Screener!$D$10))/W_SIZEHW))</f>
        <v/>
      </c>
      <c r="E6">
        <f>IF(OR(Database!$AH6="",Screener!$D$11=""),0,IF(Database!$AH6=Screener!$D$11,1,0))</f>
        <v/>
      </c>
      <c r="F6">
        <f>IF(OR(Database!$AK6="",Screener!$D$12=""),0,IF(Database!$AK6=Screener!$D$12,1,0))</f>
        <v/>
      </c>
      <c r="G6">
        <f>IF(OR(Database!$G6="",N(Screener!$D$13)&lt;=0),0,MAX(0,1-(N(Screener!$D$13)-Database!$G6)/W_RECD))</f>
        <v/>
      </c>
      <c r="H6">
        <f>IF($K$1="",0,N(ISNUMBER(SEARCH($K$1,Database!$T6&amp;""))))+IF($L$1="",0,N(ISNUMBER(SEARCH($L$1,Database!$T6&amp;""))))+IF($M$1="",0,N(ISNUMBER(SEARCH($M$1,Database!$T6&amp;""))))+IF($N$1="",0,N(ISNUMBER(SEARCH($N$1,Database!$T6&amp;""))))+IF($O$1="",0,N(ISNUMBER(SEARCH($O$1,Database!$T6&amp;""))))+IF(Screener!$B$14="",0,N(ISNUMBER(SEARCH(Screener!$B$14,Database!$T6&amp;""))))</f>
        <v/>
      </c>
      <c r="I6">
        <f>IF(OR(Database!$B6=Screener!$B$5,IF(OR(Screener!$B$17="All",AND(Screener!$B$17="With A-share",(Database!$AL6&lt;&gt;"")),AND(Screener!$B$17="Without A-share",NOT((Database!$AL6&lt;&gt;"")))),1,0)=0),-999999,IF(Screener!$B$15="cornerstone overlap first",H6*100000,0)+W_SUB*B6+W_SEC*C6*(1-B6)+W_SIZE*D6+W_PROF*E6+W_AH*F6+W_REC*G6+W_CS*H6)+ROW()/1000000</f>
        <v/>
      </c>
      <c r="K6">
        <f>Pipeline!B9</f>
        <v/>
      </c>
      <c r="L6">
        <f>Pipeline!D9</f>
        <v/>
      </c>
      <c r="M6">
        <f>Pipeline!E9</f>
        <v/>
      </c>
      <c r="N6">
        <f>Pipeline!F9</f>
        <v/>
      </c>
      <c r="O6">
        <f>Pipeline!L9</f>
        <v/>
      </c>
      <c r="P6">
        <f>Pipeline!M9</f>
        <v/>
      </c>
      <c r="Q6">
        <f>Pipeline!K9</f>
        <v/>
      </c>
    </row>
    <row r="7">
      <c r="A7">
        <f>Database!B7</f>
        <v/>
      </c>
      <c r="B7">
        <f>IF(AND(Screener!$D$9&lt;&gt;"",Database!$E7=Screener!$D$9),1,0)</f>
        <v/>
      </c>
      <c r="C7">
        <f>IF(AND(Screener!$D$8&lt;&gt;"",Database!$D7=Screener!$D$8),1,0)</f>
        <v/>
      </c>
      <c r="D7">
        <f>IF(OR(Database!$H7="",N(Screener!$D$10)&lt;=0),0,MAX(0,1-ABS(LOG10(Database!$H7/Screener!$D$10))/W_SIZEHW))</f>
        <v/>
      </c>
      <c r="E7">
        <f>IF(OR(Database!$AH7="",Screener!$D$11=""),0,IF(Database!$AH7=Screener!$D$11,1,0))</f>
        <v/>
      </c>
      <c r="F7">
        <f>IF(OR(Database!$AK7="",Screener!$D$12=""),0,IF(Database!$AK7=Screener!$D$12,1,0))</f>
        <v/>
      </c>
      <c r="G7">
        <f>IF(OR(Database!$G7="",N(Screener!$D$13)&lt;=0),0,MAX(0,1-(N(Screener!$D$13)-Database!$G7)/W_RECD))</f>
        <v/>
      </c>
      <c r="H7">
        <f>IF($K$1="",0,N(ISNUMBER(SEARCH($K$1,Database!$T7&amp;""))))+IF($L$1="",0,N(ISNUMBER(SEARCH($L$1,Database!$T7&amp;""))))+IF($M$1="",0,N(ISNUMBER(SEARCH($M$1,Database!$T7&amp;""))))+IF($N$1="",0,N(ISNUMBER(SEARCH($N$1,Database!$T7&amp;""))))+IF($O$1="",0,N(ISNUMBER(SEARCH($O$1,Database!$T7&amp;""))))+IF(Screener!$B$14="",0,N(ISNUMBER(SEARCH(Screener!$B$14,Database!$T7&amp;""))))</f>
        <v/>
      </c>
      <c r="I7">
        <f>IF(OR(Database!$B7=Screener!$B$5,IF(OR(Screener!$B$17="All",AND(Screener!$B$17="With A-share",(Database!$AL7&lt;&gt;"")),AND(Screener!$B$17="Without A-share",NOT((Database!$AL7&lt;&gt;"")))),1,0)=0),-999999,IF(Screener!$B$15="cornerstone overlap first",H7*100000,0)+W_SUB*B7+W_SEC*C7*(1-B7)+W_SIZE*D7+W_PROF*E7+W_AH*F7+W_REC*G7+W_CS*H7)+ROW()/1000000</f>
        <v/>
      </c>
      <c r="K7">
        <f>Pipeline!B10</f>
        <v/>
      </c>
      <c r="L7">
        <f>Pipeline!D10</f>
        <v/>
      </c>
      <c r="M7">
        <f>Pipeline!E10</f>
        <v/>
      </c>
      <c r="N7">
        <f>Pipeline!F10</f>
        <v/>
      </c>
      <c r="O7">
        <f>Pipeline!L10</f>
        <v/>
      </c>
      <c r="P7">
        <f>Pipeline!M10</f>
        <v/>
      </c>
      <c r="Q7">
        <f>Pipeline!K10</f>
        <v/>
      </c>
    </row>
    <row r="8">
      <c r="A8">
        <f>Database!B8</f>
        <v/>
      </c>
      <c r="B8">
        <f>IF(AND(Screener!$D$9&lt;&gt;"",Database!$E8=Screener!$D$9),1,0)</f>
        <v/>
      </c>
      <c r="C8">
        <f>IF(AND(Screener!$D$8&lt;&gt;"",Database!$D8=Screener!$D$8),1,0)</f>
        <v/>
      </c>
      <c r="D8">
        <f>IF(OR(Database!$H8="",N(Screener!$D$10)&lt;=0),0,MAX(0,1-ABS(LOG10(Database!$H8/Screener!$D$10))/W_SIZEHW))</f>
        <v/>
      </c>
      <c r="E8">
        <f>IF(OR(Database!$AH8="",Screener!$D$11=""),0,IF(Database!$AH8=Screener!$D$11,1,0))</f>
        <v/>
      </c>
      <c r="F8">
        <f>IF(OR(Database!$AK8="",Screener!$D$12=""),0,IF(Database!$AK8=Screener!$D$12,1,0))</f>
        <v/>
      </c>
      <c r="G8">
        <f>IF(OR(Database!$G8="",N(Screener!$D$13)&lt;=0),0,MAX(0,1-(N(Screener!$D$13)-Database!$G8)/W_RECD))</f>
        <v/>
      </c>
      <c r="H8">
        <f>IF($K$1="",0,N(ISNUMBER(SEARCH($K$1,Database!$T8&amp;""))))+IF($L$1="",0,N(ISNUMBER(SEARCH($L$1,Database!$T8&amp;""))))+IF($M$1="",0,N(ISNUMBER(SEARCH($M$1,Database!$T8&amp;""))))+IF($N$1="",0,N(ISNUMBER(SEARCH($N$1,Database!$T8&amp;""))))+IF($O$1="",0,N(ISNUMBER(SEARCH($O$1,Database!$T8&amp;""))))+IF(Screener!$B$14="",0,N(ISNUMBER(SEARCH(Screener!$B$14,Database!$T8&amp;""))))</f>
        <v/>
      </c>
      <c r="I8">
        <f>IF(OR(Database!$B8=Screener!$B$5,IF(OR(Screener!$B$17="All",AND(Screener!$B$17="With A-share",(Database!$AL8&lt;&gt;"")),AND(Screener!$B$17="Without A-share",NOT((Database!$AL8&lt;&gt;"")))),1,0)=0),-999999,IF(Screener!$B$15="cornerstone overlap first",H8*100000,0)+W_SUB*B8+W_SEC*C8*(1-B8)+W_SIZE*D8+W_PROF*E8+W_AH*F8+W_REC*G8+W_CS*H8)+ROW()/1000000</f>
        <v/>
      </c>
      <c r="K8">
        <f>Pipeline!B11</f>
        <v/>
      </c>
      <c r="L8">
        <f>Pipeline!D11</f>
        <v/>
      </c>
      <c r="M8">
        <f>Pipeline!E11</f>
        <v/>
      </c>
      <c r="N8">
        <f>Pipeline!F11</f>
        <v/>
      </c>
      <c r="O8">
        <f>Pipeline!L11</f>
        <v/>
      </c>
      <c r="P8">
        <f>Pipeline!M11</f>
        <v/>
      </c>
      <c r="Q8">
        <f>Pipeline!K11</f>
        <v/>
      </c>
    </row>
    <row r="9">
      <c r="A9">
        <f>Database!B9</f>
        <v/>
      </c>
      <c r="B9">
        <f>IF(AND(Screener!$D$9&lt;&gt;"",Database!$E9=Screener!$D$9),1,0)</f>
        <v/>
      </c>
      <c r="C9">
        <f>IF(AND(Screener!$D$8&lt;&gt;"",Database!$D9=Screener!$D$8),1,0)</f>
        <v/>
      </c>
      <c r="D9">
        <f>IF(OR(Database!$H9="",N(Screener!$D$10)&lt;=0),0,MAX(0,1-ABS(LOG10(Database!$H9/Screener!$D$10))/W_SIZEHW))</f>
        <v/>
      </c>
      <c r="E9">
        <f>IF(OR(Database!$AH9="",Screener!$D$11=""),0,IF(Database!$AH9=Screener!$D$11,1,0))</f>
        <v/>
      </c>
      <c r="F9">
        <f>IF(OR(Database!$AK9="",Screener!$D$12=""),0,IF(Database!$AK9=Screener!$D$12,1,0))</f>
        <v/>
      </c>
      <c r="G9">
        <f>IF(OR(Database!$G9="",N(Screener!$D$13)&lt;=0),0,MAX(0,1-(N(Screener!$D$13)-Database!$G9)/W_RECD))</f>
        <v/>
      </c>
      <c r="H9">
        <f>IF($K$1="",0,N(ISNUMBER(SEARCH($K$1,Database!$T9&amp;""))))+IF($L$1="",0,N(ISNUMBER(SEARCH($L$1,Database!$T9&amp;""))))+IF($M$1="",0,N(ISNUMBER(SEARCH($M$1,Database!$T9&amp;""))))+IF($N$1="",0,N(ISNUMBER(SEARCH($N$1,Database!$T9&amp;""))))+IF($O$1="",0,N(ISNUMBER(SEARCH($O$1,Database!$T9&amp;""))))+IF(Screener!$B$14="",0,N(ISNUMBER(SEARCH(Screener!$B$14,Database!$T9&amp;""))))</f>
        <v/>
      </c>
      <c r="I9">
        <f>IF(OR(Database!$B9=Screener!$B$5,IF(OR(Screener!$B$17="All",AND(Screener!$B$17="With A-share",(Database!$AL9&lt;&gt;"")),AND(Screener!$B$17="Without A-share",NOT((Database!$AL9&lt;&gt;"")))),1,0)=0),-999999,IF(Screener!$B$15="cornerstone overlap first",H9*100000,0)+W_SUB*B9+W_SEC*C9*(1-B9)+W_SIZE*D9+W_PROF*E9+W_AH*F9+W_REC*G9+W_CS*H9)+ROW()/1000000</f>
        <v/>
      </c>
      <c r="K9">
        <f>Pipeline!B12</f>
        <v/>
      </c>
      <c r="L9">
        <f>Pipeline!D12</f>
        <v/>
      </c>
      <c r="M9">
        <f>Pipeline!E12</f>
        <v/>
      </c>
      <c r="N9">
        <f>Pipeline!F12</f>
        <v/>
      </c>
      <c r="O9">
        <f>Pipeline!L12</f>
        <v/>
      </c>
      <c r="P9">
        <f>Pipeline!M12</f>
        <v/>
      </c>
      <c r="Q9">
        <f>Pipeline!K12</f>
        <v/>
      </c>
    </row>
    <row r="10">
      <c r="A10">
        <f>Database!B10</f>
        <v/>
      </c>
      <c r="B10">
        <f>IF(AND(Screener!$D$9&lt;&gt;"",Database!$E10=Screener!$D$9),1,0)</f>
        <v/>
      </c>
      <c r="C10">
        <f>IF(AND(Screener!$D$8&lt;&gt;"",Database!$D10=Screener!$D$8),1,0)</f>
        <v/>
      </c>
      <c r="D10">
        <f>IF(OR(Database!$H10="",N(Screener!$D$10)&lt;=0),0,MAX(0,1-ABS(LOG10(Database!$H10/Screener!$D$10))/W_SIZEHW))</f>
        <v/>
      </c>
      <c r="E10">
        <f>IF(OR(Database!$AH10="",Screener!$D$11=""),0,IF(Database!$AH10=Screener!$D$11,1,0))</f>
        <v/>
      </c>
      <c r="F10">
        <f>IF(OR(Database!$AK10="",Screener!$D$12=""),0,IF(Database!$AK10=Screener!$D$12,1,0))</f>
        <v/>
      </c>
      <c r="G10">
        <f>IF(OR(Database!$G10="",N(Screener!$D$13)&lt;=0),0,MAX(0,1-(N(Screener!$D$13)-Database!$G10)/W_RECD))</f>
        <v/>
      </c>
      <c r="H10">
        <f>IF($K$1="",0,N(ISNUMBER(SEARCH($K$1,Database!$T10&amp;""))))+IF($L$1="",0,N(ISNUMBER(SEARCH($L$1,Database!$T10&amp;""))))+IF($M$1="",0,N(ISNUMBER(SEARCH($M$1,Database!$T10&amp;""))))+IF($N$1="",0,N(ISNUMBER(SEARCH($N$1,Database!$T10&amp;""))))+IF($O$1="",0,N(ISNUMBER(SEARCH($O$1,Database!$T10&amp;""))))+IF(Screener!$B$14="",0,N(ISNUMBER(SEARCH(Screener!$B$14,Database!$T10&amp;""))))</f>
        <v/>
      </c>
      <c r="I10">
        <f>IF(OR(Database!$B10=Screener!$B$5,IF(OR(Screener!$B$17="All",AND(Screener!$B$17="With A-share",(Database!$AL10&lt;&gt;"")),AND(Screener!$B$17="Without A-share",NOT((Database!$AL10&lt;&gt;"")))),1,0)=0),-999999,IF(Screener!$B$15="cornerstone overlap first",H10*100000,0)+W_SUB*B10+W_SEC*C10*(1-B10)+W_SIZE*D10+W_PROF*E10+W_AH*F10+W_REC*G10+W_CS*H10)+ROW()/1000000</f>
        <v/>
      </c>
      <c r="K10">
        <f>Pipeline!B13</f>
        <v/>
      </c>
      <c r="L10">
        <f>Pipeline!D13</f>
        <v/>
      </c>
      <c r="M10">
        <f>Pipeline!E13</f>
        <v/>
      </c>
      <c r="N10">
        <f>Pipeline!F13</f>
        <v/>
      </c>
      <c r="O10">
        <f>Pipeline!L13</f>
        <v/>
      </c>
      <c r="P10">
        <f>Pipeline!M13</f>
        <v/>
      </c>
      <c r="Q10">
        <f>Pipeline!K13</f>
        <v/>
      </c>
    </row>
    <row r="11">
      <c r="A11">
        <f>Database!B11</f>
        <v/>
      </c>
      <c r="B11">
        <f>IF(AND(Screener!$D$9&lt;&gt;"",Database!$E11=Screener!$D$9),1,0)</f>
        <v/>
      </c>
      <c r="C11">
        <f>IF(AND(Screener!$D$8&lt;&gt;"",Database!$D11=Screener!$D$8),1,0)</f>
        <v/>
      </c>
      <c r="D11">
        <f>IF(OR(Database!$H11="",N(Screener!$D$10)&lt;=0),0,MAX(0,1-ABS(LOG10(Database!$H11/Screener!$D$10))/W_SIZEHW))</f>
        <v/>
      </c>
      <c r="E11">
        <f>IF(OR(Database!$AH11="",Screener!$D$11=""),0,IF(Database!$AH11=Screener!$D$11,1,0))</f>
        <v/>
      </c>
      <c r="F11">
        <f>IF(OR(Database!$AK11="",Screener!$D$12=""),0,IF(Database!$AK11=Screener!$D$12,1,0))</f>
        <v/>
      </c>
      <c r="G11">
        <f>IF(OR(Database!$G11="",N(Screener!$D$13)&lt;=0),0,MAX(0,1-(N(Screener!$D$13)-Database!$G11)/W_RECD))</f>
        <v/>
      </c>
      <c r="H11">
        <f>IF($K$1="",0,N(ISNUMBER(SEARCH($K$1,Database!$T11&amp;""))))+IF($L$1="",0,N(ISNUMBER(SEARCH($L$1,Database!$T11&amp;""))))+IF($M$1="",0,N(ISNUMBER(SEARCH($M$1,Database!$T11&amp;""))))+IF($N$1="",0,N(ISNUMBER(SEARCH($N$1,Database!$T11&amp;""))))+IF($O$1="",0,N(ISNUMBER(SEARCH($O$1,Database!$T11&amp;""))))+IF(Screener!$B$14="",0,N(ISNUMBER(SEARCH(Screener!$B$14,Database!$T11&amp;""))))</f>
        <v/>
      </c>
      <c r="I11">
        <f>IF(OR(Database!$B11=Screener!$B$5,IF(OR(Screener!$B$17="All",AND(Screener!$B$17="With A-share",(Database!$AL11&lt;&gt;"")),AND(Screener!$B$17="Without A-share",NOT((Database!$AL11&lt;&gt;"")))),1,0)=0),-999999,IF(Screener!$B$15="cornerstone overlap first",H11*100000,0)+W_SUB*B11+W_SEC*C11*(1-B11)+W_SIZE*D11+W_PROF*E11+W_AH*F11+W_REC*G11+W_CS*H11)+ROW()/1000000</f>
        <v/>
      </c>
      <c r="K11">
        <f>Pipeline!B14</f>
        <v/>
      </c>
      <c r="L11">
        <f>Pipeline!D14</f>
        <v/>
      </c>
      <c r="M11">
        <f>Pipeline!E14</f>
        <v/>
      </c>
      <c r="N11">
        <f>Pipeline!F14</f>
        <v/>
      </c>
      <c r="O11">
        <f>Pipeline!L14</f>
        <v/>
      </c>
      <c r="P11">
        <f>Pipeline!M14</f>
        <v/>
      </c>
      <c r="Q11">
        <f>Pipeline!K14</f>
        <v/>
      </c>
    </row>
    <row r="12">
      <c r="A12">
        <f>Database!B12</f>
        <v/>
      </c>
      <c r="B12">
        <f>IF(AND(Screener!$D$9&lt;&gt;"",Database!$E12=Screener!$D$9),1,0)</f>
        <v/>
      </c>
      <c r="C12">
        <f>IF(AND(Screener!$D$8&lt;&gt;"",Database!$D12=Screener!$D$8),1,0)</f>
        <v/>
      </c>
      <c r="D12">
        <f>IF(OR(Database!$H12="",N(Screener!$D$10)&lt;=0),0,MAX(0,1-ABS(LOG10(Database!$H12/Screener!$D$10))/W_SIZEHW))</f>
        <v/>
      </c>
      <c r="E12">
        <f>IF(OR(Database!$AH12="",Screener!$D$11=""),0,IF(Database!$AH12=Screener!$D$11,1,0))</f>
        <v/>
      </c>
      <c r="F12">
        <f>IF(OR(Database!$AK12="",Screener!$D$12=""),0,IF(Database!$AK12=Screener!$D$12,1,0))</f>
        <v/>
      </c>
      <c r="G12">
        <f>IF(OR(Database!$G12="",N(Screener!$D$13)&lt;=0),0,MAX(0,1-(N(Screener!$D$13)-Database!$G12)/W_RECD))</f>
        <v/>
      </c>
      <c r="H12">
        <f>IF($K$1="",0,N(ISNUMBER(SEARCH($K$1,Database!$T12&amp;""))))+IF($L$1="",0,N(ISNUMBER(SEARCH($L$1,Database!$T12&amp;""))))+IF($M$1="",0,N(ISNUMBER(SEARCH($M$1,Database!$T12&amp;""))))+IF($N$1="",0,N(ISNUMBER(SEARCH($N$1,Database!$T12&amp;""))))+IF($O$1="",0,N(ISNUMBER(SEARCH($O$1,Database!$T12&amp;""))))+IF(Screener!$B$14="",0,N(ISNUMBER(SEARCH(Screener!$B$14,Database!$T12&amp;""))))</f>
        <v/>
      </c>
      <c r="I12">
        <f>IF(OR(Database!$B12=Screener!$B$5,IF(OR(Screener!$B$17="All",AND(Screener!$B$17="With A-share",(Database!$AL12&lt;&gt;"")),AND(Screener!$B$17="Without A-share",NOT((Database!$AL12&lt;&gt;"")))),1,0)=0),-999999,IF(Screener!$B$15="cornerstone overlap first",H12*100000,0)+W_SUB*B12+W_SEC*C12*(1-B12)+W_SIZE*D12+W_PROF*E12+W_AH*F12+W_REC*G12+W_CS*H12)+ROW()/1000000</f>
        <v/>
      </c>
      <c r="K12">
        <f>Pipeline!B15</f>
        <v/>
      </c>
      <c r="L12">
        <f>Pipeline!D15</f>
        <v/>
      </c>
      <c r="M12">
        <f>Pipeline!E15</f>
        <v/>
      </c>
      <c r="N12">
        <f>Pipeline!F15</f>
        <v/>
      </c>
      <c r="O12">
        <f>Pipeline!L15</f>
        <v/>
      </c>
      <c r="P12">
        <f>Pipeline!M15</f>
        <v/>
      </c>
      <c r="Q12">
        <f>Pipeline!K15</f>
        <v/>
      </c>
    </row>
    <row r="13">
      <c r="A13">
        <f>Database!B13</f>
        <v/>
      </c>
      <c r="B13">
        <f>IF(AND(Screener!$D$9&lt;&gt;"",Database!$E13=Screener!$D$9),1,0)</f>
        <v/>
      </c>
      <c r="C13">
        <f>IF(AND(Screener!$D$8&lt;&gt;"",Database!$D13=Screener!$D$8),1,0)</f>
        <v/>
      </c>
      <c r="D13">
        <f>IF(OR(Database!$H13="",N(Screener!$D$10)&lt;=0),0,MAX(0,1-ABS(LOG10(Database!$H13/Screener!$D$10))/W_SIZEHW))</f>
        <v/>
      </c>
      <c r="E13">
        <f>IF(OR(Database!$AH13="",Screener!$D$11=""),0,IF(Database!$AH13=Screener!$D$11,1,0))</f>
        <v/>
      </c>
      <c r="F13">
        <f>IF(OR(Database!$AK13="",Screener!$D$12=""),0,IF(Database!$AK13=Screener!$D$12,1,0))</f>
        <v/>
      </c>
      <c r="G13">
        <f>IF(OR(Database!$G13="",N(Screener!$D$13)&lt;=0),0,MAX(0,1-(N(Screener!$D$13)-Database!$G13)/W_RECD))</f>
        <v/>
      </c>
      <c r="H13">
        <f>IF($K$1="",0,N(ISNUMBER(SEARCH($K$1,Database!$T13&amp;""))))+IF($L$1="",0,N(ISNUMBER(SEARCH($L$1,Database!$T13&amp;""))))+IF($M$1="",0,N(ISNUMBER(SEARCH($M$1,Database!$T13&amp;""))))+IF($N$1="",0,N(ISNUMBER(SEARCH($N$1,Database!$T13&amp;""))))+IF($O$1="",0,N(ISNUMBER(SEARCH($O$1,Database!$T13&amp;""))))+IF(Screener!$B$14="",0,N(ISNUMBER(SEARCH(Screener!$B$14,Database!$T13&amp;""))))</f>
        <v/>
      </c>
      <c r="I13">
        <f>IF(OR(Database!$B13=Screener!$B$5,IF(OR(Screener!$B$17="All",AND(Screener!$B$17="With A-share",(Database!$AL13&lt;&gt;"")),AND(Screener!$B$17="Without A-share",NOT((Database!$AL13&lt;&gt;"")))),1,0)=0),-999999,IF(Screener!$B$15="cornerstone overlap first",H13*100000,0)+W_SUB*B13+W_SEC*C13*(1-B13)+W_SIZE*D13+W_PROF*E13+W_AH*F13+W_REC*G13+W_CS*H13)+ROW()/1000000</f>
        <v/>
      </c>
      <c r="K13">
        <f>Database!B5</f>
        <v/>
      </c>
      <c r="L13">
        <f>Database!D5</f>
        <v/>
      </c>
      <c r="M13">
        <f>Database!E5</f>
        <v/>
      </c>
      <c r="N13">
        <f>Database!H5</f>
        <v/>
      </c>
      <c r="O13">
        <f>Database!AH5</f>
        <v/>
      </c>
      <c r="P13">
        <f>Database!AK5</f>
        <v/>
      </c>
      <c r="Q13">
        <f>Database!G5</f>
        <v/>
      </c>
    </row>
    <row r="14">
      <c r="A14">
        <f>Database!B14</f>
        <v/>
      </c>
      <c r="B14">
        <f>IF(AND(Screener!$D$9&lt;&gt;"",Database!$E14=Screener!$D$9),1,0)</f>
        <v/>
      </c>
      <c r="C14">
        <f>IF(AND(Screener!$D$8&lt;&gt;"",Database!$D14=Screener!$D$8),1,0)</f>
        <v/>
      </c>
      <c r="D14">
        <f>IF(OR(Database!$H14="",N(Screener!$D$10)&lt;=0),0,MAX(0,1-ABS(LOG10(Database!$H14/Screener!$D$10))/W_SIZEHW))</f>
        <v/>
      </c>
      <c r="E14">
        <f>IF(OR(Database!$AH14="",Screener!$D$11=""),0,IF(Database!$AH14=Screener!$D$11,1,0))</f>
        <v/>
      </c>
      <c r="F14">
        <f>IF(OR(Database!$AK14="",Screener!$D$12=""),0,IF(Database!$AK14=Screener!$D$12,1,0))</f>
        <v/>
      </c>
      <c r="G14">
        <f>IF(OR(Database!$G14="",N(Screener!$D$13)&lt;=0),0,MAX(0,1-(N(Screener!$D$13)-Database!$G14)/W_RECD))</f>
        <v/>
      </c>
      <c r="H14">
        <f>IF($K$1="",0,N(ISNUMBER(SEARCH($K$1,Database!$T14&amp;""))))+IF($L$1="",0,N(ISNUMBER(SEARCH($L$1,Database!$T14&amp;""))))+IF($M$1="",0,N(ISNUMBER(SEARCH($M$1,Database!$T14&amp;""))))+IF($N$1="",0,N(ISNUMBER(SEARCH($N$1,Database!$T14&amp;""))))+IF($O$1="",0,N(ISNUMBER(SEARCH($O$1,Database!$T14&amp;""))))+IF(Screener!$B$14="",0,N(ISNUMBER(SEARCH(Screener!$B$14,Database!$T14&amp;""))))</f>
        <v/>
      </c>
      <c r="I14">
        <f>IF(OR(Database!$B14=Screener!$B$5,IF(OR(Screener!$B$17="All",AND(Screener!$B$17="With A-share",(Database!$AL14&lt;&gt;"")),AND(Screener!$B$17="Without A-share",NOT((Database!$AL14&lt;&gt;"")))),1,0)=0),-999999,IF(Screener!$B$15="cornerstone overlap first",H14*100000,0)+W_SUB*B14+W_SEC*C14*(1-B14)+W_SIZE*D14+W_PROF*E14+W_AH*F14+W_REC*G14+W_CS*H14)+ROW()/1000000</f>
        <v/>
      </c>
      <c r="K14">
        <f>Database!B6</f>
        <v/>
      </c>
      <c r="L14">
        <f>Database!D6</f>
        <v/>
      </c>
      <c r="M14">
        <f>Database!E6</f>
        <v/>
      </c>
      <c r="N14">
        <f>Database!H6</f>
        <v/>
      </c>
      <c r="O14">
        <f>Database!AH6</f>
        <v/>
      </c>
      <c r="P14">
        <f>Database!AK6</f>
        <v/>
      </c>
      <c r="Q14">
        <f>Database!G6</f>
        <v/>
      </c>
    </row>
    <row r="15">
      <c r="A15">
        <f>Database!B15</f>
        <v/>
      </c>
      <c r="B15">
        <f>IF(AND(Screener!$D$9&lt;&gt;"",Database!$E15=Screener!$D$9),1,0)</f>
        <v/>
      </c>
      <c r="C15">
        <f>IF(AND(Screener!$D$8&lt;&gt;"",Database!$D15=Screener!$D$8),1,0)</f>
        <v/>
      </c>
      <c r="D15">
        <f>IF(OR(Database!$H15="",N(Screener!$D$10)&lt;=0),0,MAX(0,1-ABS(LOG10(Database!$H15/Screener!$D$10))/W_SIZEHW))</f>
        <v/>
      </c>
      <c r="E15">
        <f>IF(OR(Database!$AH15="",Screener!$D$11=""),0,IF(Database!$AH15=Screener!$D$11,1,0))</f>
        <v/>
      </c>
      <c r="F15">
        <f>IF(OR(Database!$AK15="",Screener!$D$12=""),0,IF(Database!$AK15=Screener!$D$12,1,0))</f>
        <v/>
      </c>
      <c r="G15">
        <f>IF(OR(Database!$G15="",N(Screener!$D$13)&lt;=0),0,MAX(0,1-(N(Screener!$D$13)-Database!$G15)/W_RECD))</f>
        <v/>
      </c>
      <c r="H15">
        <f>IF($K$1="",0,N(ISNUMBER(SEARCH($K$1,Database!$T15&amp;""))))+IF($L$1="",0,N(ISNUMBER(SEARCH($L$1,Database!$T15&amp;""))))+IF($M$1="",0,N(ISNUMBER(SEARCH($M$1,Database!$T15&amp;""))))+IF($N$1="",0,N(ISNUMBER(SEARCH($N$1,Database!$T15&amp;""))))+IF($O$1="",0,N(ISNUMBER(SEARCH($O$1,Database!$T15&amp;""))))+IF(Screener!$B$14="",0,N(ISNUMBER(SEARCH(Screener!$B$14,Database!$T15&amp;""))))</f>
        <v/>
      </c>
      <c r="I15">
        <f>IF(OR(Database!$B15=Screener!$B$5,IF(OR(Screener!$B$17="All",AND(Screener!$B$17="With A-share",(Database!$AL15&lt;&gt;"")),AND(Screener!$B$17="Without A-share",NOT((Database!$AL15&lt;&gt;"")))),1,0)=0),-999999,IF(Screener!$B$15="cornerstone overlap first",H15*100000,0)+W_SUB*B15+W_SEC*C15*(1-B15)+W_SIZE*D15+W_PROF*E15+W_AH*F15+W_REC*G15+W_CS*H15)+ROW()/1000000</f>
        <v/>
      </c>
      <c r="K15">
        <f>Database!B7</f>
        <v/>
      </c>
      <c r="L15">
        <f>Database!D7</f>
        <v/>
      </c>
      <c r="M15">
        <f>Database!E7</f>
        <v/>
      </c>
      <c r="N15">
        <f>Database!H7</f>
        <v/>
      </c>
      <c r="O15">
        <f>Database!AH7</f>
        <v/>
      </c>
      <c r="P15">
        <f>Database!AK7</f>
        <v/>
      </c>
      <c r="Q15">
        <f>Database!G7</f>
        <v/>
      </c>
    </row>
    <row r="16">
      <c r="A16">
        <f>Database!B16</f>
        <v/>
      </c>
      <c r="B16">
        <f>IF(AND(Screener!$D$9&lt;&gt;"",Database!$E16=Screener!$D$9),1,0)</f>
        <v/>
      </c>
      <c r="C16">
        <f>IF(AND(Screener!$D$8&lt;&gt;"",Database!$D16=Screener!$D$8),1,0)</f>
        <v/>
      </c>
      <c r="D16">
        <f>IF(OR(Database!$H16="",N(Screener!$D$10)&lt;=0),0,MAX(0,1-ABS(LOG10(Database!$H16/Screener!$D$10))/W_SIZEHW))</f>
        <v/>
      </c>
      <c r="E16">
        <f>IF(OR(Database!$AH16="",Screener!$D$11=""),0,IF(Database!$AH16=Screener!$D$11,1,0))</f>
        <v/>
      </c>
      <c r="F16">
        <f>IF(OR(Database!$AK16="",Screener!$D$12=""),0,IF(Database!$AK16=Screener!$D$12,1,0))</f>
        <v/>
      </c>
      <c r="G16">
        <f>IF(OR(Database!$G16="",N(Screener!$D$13)&lt;=0),0,MAX(0,1-(N(Screener!$D$13)-Database!$G16)/W_RECD))</f>
        <v/>
      </c>
      <c r="H16">
        <f>IF($K$1="",0,N(ISNUMBER(SEARCH($K$1,Database!$T16&amp;""))))+IF($L$1="",0,N(ISNUMBER(SEARCH($L$1,Database!$T16&amp;""))))+IF($M$1="",0,N(ISNUMBER(SEARCH($M$1,Database!$T16&amp;""))))+IF($N$1="",0,N(ISNUMBER(SEARCH($N$1,Database!$T16&amp;""))))+IF($O$1="",0,N(ISNUMBER(SEARCH($O$1,Database!$T16&amp;""))))+IF(Screener!$B$14="",0,N(ISNUMBER(SEARCH(Screener!$B$14,Database!$T16&amp;""))))</f>
        <v/>
      </c>
      <c r="I16">
        <f>IF(OR(Database!$B16=Screener!$B$5,IF(OR(Screener!$B$17="All",AND(Screener!$B$17="With A-share",(Database!$AL16&lt;&gt;"")),AND(Screener!$B$17="Without A-share",NOT((Database!$AL16&lt;&gt;"")))),1,0)=0),-999999,IF(Screener!$B$15="cornerstone overlap first",H16*100000,0)+W_SUB*B16+W_SEC*C16*(1-B16)+W_SIZE*D16+W_PROF*E16+W_AH*F16+W_REC*G16+W_CS*H16)+ROW()/1000000</f>
        <v/>
      </c>
      <c r="K16">
        <f>Database!B8</f>
        <v/>
      </c>
      <c r="L16">
        <f>Database!D8</f>
        <v/>
      </c>
      <c r="M16">
        <f>Database!E8</f>
        <v/>
      </c>
      <c r="N16">
        <f>Database!H8</f>
        <v/>
      </c>
      <c r="O16">
        <f>Database!AH8</f>
        <v/>
      </c>
      <c r="P16">
        <f>Database!AK8</f>
        <v/>
      </c>
      <c r="Q16">
        <f>Database!G8</f>
        <v/>
      </c>
    </row>
    <row r="17">
      <c r="A17">
        <f>Database!B17</f>
        <v/>
      </c>
      <c r="B17">
        <f>IF(AND(Screener!$D$9&lt;&gt;"",Database!$E17=Screener!$D$9),1,0)</f>
        <v/>
      </c>
      <c r="C17">
        <f>IF(AND(Screener!$D$8&lt;&gt;"",Database!$D17=Screener!$D$8),1,0)</f>
        <v/>
      </c>
      <c r="D17">
        <f>IF(OR(Database!$H17="",N(Screener!$D$10)&lt;=0),0,MAX(0,1-ABS(LOG10(Database!$H17/Screener!$D$10))/W_SIZEHW))</f>
        <v/>
      </c>
      <c r="E17">
        <f>IF(OR(Database!$AH17="",Screener!$D$11=""),0,IF(Database!$AH17=Screener!$D$11,1,0))</f>
        <v/>
      </c>
      <c r="F17">
        <f>IF(OR(Database!$AK17="",Screener!$D$12=""),0,IF(Database!$AK17=Screener!$D$12,1,0))</f>
        <v/>
      </c>
      <c r="G17">
        <f>IF(OR(Database!$G17="",N(Screener!$D$13)&lt;=0),0,MAX(0,1-(N(Screener!$D$13)-Database!$G17)/W_RECD))</f>
        <v/>
      </c>
      <c r="H17">
        <f>IF($K$1="",0,N(ISNUMBER(SEARCH($K$1,Database!$T17&amp;""))))+IF($L$1="",0,N(ISNUMBER(SEARCH($L$1,Database!$T17&amp;""))))+IF($M$1="",0,N(ISNUMBER(SEARCH($M$1,Database!$T17&amp;""))))+IF($N$1="",0,N(ISNUMBER(SEARCH($N$1,Database!$T17&amp;""))))+IF($O$1="",0,N(ISNUMBER(SEARCH($O$1,Database!$T17&amp;""))))+IF(Screener!$B$14="",0,N(ISNUMBER(SEARCH(Screener!$B$14,Database!$T17&amp;""))))</f>
        <v/>
      </c>
      <c r="I17">
        <f>IF(OR(Database!$B17=Screener!$B$5,IF(OR(Screener!$B$17="All",AND(Screener!$B$17="With A-share",(Database!$AL17&lt;&gt;"")),AND(Screener!$B$17="Without A-share",NOT((Database!$AL17&lt;&gt;"")))),1,0)=0),-999999,IF(Screener!$B$15="cornerstone overlap first",H17*100000,0)+W_SUB*B17+W_SEC*C17*(1-B17)+W_SIZE*D17+W_PROF*E17+W_AH*F17+W_REC*G17+W_CS*H17)+ROW()/1000000</f>
        <v/>
      </c>
      <c r="K17">
        <f>Database!B9</f>
        <v/>
      </c>
      <c r="L17">
        <f>Database!D9</f>
        <v/>
      </c>
      <c r="M17">
        <f>Database!E9</f>
        <v/>
      </c>
      <c r="N17">
        <f>Database!H9</f>
        <v/>
      </c>
      <c r="O17">
        <f>Database!AH9</f>
        <v/>
      </c>
      <c r="P17">
        <f>Database!AK9</f>
        <v/>
      </c>
      <c r="Q17">
        <f>Database!G9</f>
        <v/>
      </c>
    </row>
    <row r="18">
      <c r="A18">
        <f>Database!B18</f>
        <v/>
      </c>
      <c r="B18">
        <f>IF(AND(Screener!$D$9&lt;&gt;"",Database!$E18=Screener!$D$9),1,0)</f>
        <v/>
      </c>
      <c r="C18">
        <f>IF(AND(Screener!$D$8&lt;&gt;"",Database!$D18=Screener!$D$8),1,0)</f>
        <v/>
      </c>
      <c r="D18">
        <f>IF(OR(Database!$H18="",N(Screener!$D$10)&lt;=0),0,MAX(0,1-ABS(LOG10(Database!$H18/Screener!$D$10))/W_SIZEHW))</f>
        <v/>
      </c>
      <c r="E18">
        <f>IF(OR(Database!$AH18="",Screener!$D$11=""),0,IF(Database!$AH18=Screener!$D$11,1,0))</f>
        <v/>
      </c>
      <c r="F18">
        <f>IF(OR(Database!$AK18="",Screener!$D$12=""),0,IF(Database!$AK18=Screener!$D$12,1,0))</f>
        <v/>
      </c>
      <c r="G18">
        <f>IF(OR(Database!$G18="",N(Screener!$D$13)&lt;=0),0,MAX(0,1-(N(Screener!$D$13)-Database!$G18)/W_RECD))</f>
        <v/>
      </c>
      <c r="H18">
        <f>IF($K$1="",0,N(ISNUMBER(SEARCH($K$1,Database!$T18&amp;""))))+IF($L$1="",0,N(ISNUMBER(SEARCH($L$1,Database!$T18&amp;""))))+IF($M$1="",0,N(ISNUMBER(SEARCH($M$1,Database!$T18&amp;""))))+IF($N$1="",0,N(ISNUMBER(SEARCH($N$1,Database!$T18&amp;""))))+IF($O$1="",0,N(ISNUMBER(SEARCH($O$1,Database!$T18&amp;""))))+IF(Screener!$B$14="",0,N(ISNUMBER(SEARCH(Screener!$B$14,Database!$T18&amp;""))))</f>
        <v/>
      </c>
      <c r="I18">
        <f>IF(OR(Database!$B18=Screener!$B$5,IF(OR(Screener!$B$17="All",AND(Screener!$B$17="With A-share",(Database!$AL18&lt;&gt;"")),AND(Screener!$B$17="Without A-share",NOT((Database!$AL18&lt;&gt;"")))),1,0)=0),-999999,IF(Screener!$B$15="cornerstone overlap first",H18*100000,0)+W_SUB*B18+W_SEC*C18*(1-B18)+W_SIZE*D18+W_PROF*E18+W_AH*F18+W_REC*G18+W_CS*H18)+ROW()/1000000</f>
        <v/>
      </c>
      <c r="K18">
        <f>Database!B10</f>
        <v/>
      </c>
      <c r="L18">
        <f>Database!D10</f>
        <v/>
      </c>
      <c r="M18">
        <f>Database!E10</f>
        <v/>
      </c>
      <c r="N18">
        <f>Database!H10</f>
        <v/>
      </c>
      <c r="O18">
        <f>Database!AH10</f>
        <v/>
      </c>
      <c r="P18">
        <f>Database!AK10</f>
        <v/>
      </c>
      <c r="Q18">
        <f>Database!G10</f>
        <v/>
      </c>
    </row>
    <row r="19">
      <c r="A19">
        <f>Database!B19</f>
        <v/>
      </c>
      <c r="B19">
        <f>IF(AND(Screener!$D$9&lt;&gt;"",Database!$E19=Screener!$D$9),1,0)</f>
        <v/>
      </c>
      <c r="C19">
        <f>IF(AND(Screener!$D$8&lt;&gt;"",Database!$D19=Screener!$D$8),1,0)</f>
        <v/>
      </c>
      <c r="D19">
        <f>IF(OR(Database!$H19="",N(Screener!$D$10)&lt;=0),0,MAX(0,1-ABS(LOG10(Database!$H19/Screener!$D$10))/W_SIZEHW))</f>
        <v/>
      </c>
      <c r="E19">
        <f>IF(OR(Database!$AH19="",Screener!$D$11=""),0,IF(Database!$AH19=Screener!$D$11,1,0))</f>
        <v/>
      </c>
      <c r="F19">
        <f>IF(OR(Database!$AK19="",Screener!$D$12=""),0,IF(Database!$AK19=Screener!$D$12,1,0))</f>
        <v/>
      </c>
      <c r="G19">
        <f>IF(OR(Database!$G19="",N(Screener!$D$13)&lt;=0),0,MAX(0,1-(N(Screener!$D$13)-Database!$G19)/W_RECD))</f>
        <v/>
      </c>
      <c r="H19">
        <f>IF($K$1="",0,N(ISNUMBER(SEARCH($K$1,Database!$T19&amp;""))))+IF($L$1="",0,N(ISNUMBER(SEARCH($L$1,Database!$T19&amp;""))))+IF($M$1="",0,N(ISNUMBER(SEARCH($M$1,Database!$T19&amp;""))))+IF($N$1="",0,N(ISNUMBER(SEARCH($N$1,Database!$T19&amp;""))))+IF($O$1="",0,N(ISNUMBER(SEARCH($O$1,Database!$T19&amp;""))))+IF(Screener!$B$14="",0,N(ISNUMBER(SEARCH(Screener!$B$14,Database!$T19&amp;""))))</f>
        <v/>
      </c>
      <c r="I19">
        <f>IF(OR(Database!$B19=Screener!$B$5,IF(OR(Screener!$B$17="All",AND(Screener!$B$17="With A-share",(Database!$AL19&lt;&gt;"")),AND(Screener!$B$17="Without A-share",NOT((Database!$AL19&lt;&gt;"")))),1,0)=0),-999999,IF(Screener!$B$15="cornerstone overlap first",H19*100000,0)+W_SUB*B19+W_SEC*C19*(1-B19)+W_SIZE*D19+W_PROF*E19+W_AH*F19+W_REC*G19+W_CS*H19)+ROW()/1000000</f>
        <v/>
      </c>
      <c r="K19">
        <f>Database!B11</f>
        <v/>
      </c>
      <c r="L19">
        <f>Database!D11</f>
        <v/>
      </c>
      <c r="M19">
        <f>Database!E11</f>
        <v/>
      </c>
      <c r="N19">
        <f>Database!H11</f>
        <v/>
      </c>
      <c r="O19">
        <f>Database!AH11</f>
        <v/>
      </c>
      <c r="P19">
        <f>Database!AK11</f>
        <v/>
      </c>
      <c r="Q19">
        <f>Database!G11</f>
        <v/>
      </c>
    </row>
    <row r="20">
      <c r="A20">
        <f>Database!B20</f>
        <v/>
      </c>
      <c r="B20">
        <f>IF(AND(Screener!$D$9&lt;&gt;"",Database!$E20=Screener!$D$9),1,0)</f>
        <v/>
      </c>
      <c r="C20">
        <f>IF(AND(Screener!$D$8&lt;&gt;"",Database!$D20=Screener!$D$8),1,0)</f>
        <v/>
      </c>
      <c r="D20">
        <f>IF(OR(Database!$H20="",N(Screener!$D$10)&lt;=0),0,MAX(0,1-ABS(LOG10(Database!$H20/Screener!$D$10))/W_SIZEHW))</f>
        <v/>
      </c>
      <c r="E20">
        <f>IF(OR(Database!$AH20="",Screener!$D$11=""),0,IF(Database!$AH20=Screener!$D$11,1,0))</f>
        <v/>
      </c>
      <c r="F20">
        <f>IF(OR(Database!$AK20="",Screener!$D$12=""),0,IF(Database!$AK20=Screener!$D$12,1,0))</f>
        <v/>
      </c>
      <c r="G20">
        <f>IF(OR(Database!$G20="",N(Screener!$D$13)&lt;=0),0,MAX(0,1-(N(Screener!$D$13)-Database!$G20)/W_RECD))</f>
        <v/>
      </c>
      <c r="H20">
        <f>IF($K$1="",0,N(ISNUMBER(SEARCH($K$1,Database!$T20&amp;""))))+IF($L$1="",0,N(ISNUMBER(SEARCH($L$1,Database!$T20&amp;""))))+IF($M$1="",0,N(ISNUMBER(SEARCH($M$1,Database!$T20&amp;""))))+IF($N$1="",0,N(ISNUMBER(SEARCH($N$1,Database!$T20&amp;""))))+IF($O$1="",0,N(ISNUMBER(SEARCH($O$1,Database!$T20&amp;""))))+IF(Screener!$B$14="",0,N(ISNUMBER(SEARCH(Screener!$B$14,Database!$T20&amp;""))))</f>
        <v/>
      </c>
      <c r="I20">
        <f>IF(OR(Database!$B20=Screener!$B$5,IF(OR(Screener!$B$17="All",AND(Screener!$B$17="With A-share",(Database!$AL20&lt;&gt;"")),AND(Screener!$B$17="Without A-share",NOT((Database!$AL20&lt;&gt;"")))),1,0)=0),-999999,IF(Screener!$B$15="cornerstone overlap first",H20*100000,0)+W_SUB*B20+W_SEC*C20*(1-B20)+W_SIZE*D20+W_PROF*E20+W_AH*F20+W_REC*G20+W_CS*H20)+ROW()/1000000</f>
        <v/>
      </c>
      <c r="K20">
        <f>Database!B12</f>
        <v/>
      </c>
      <c r="L20">
        <f>Database!D12</f>
        <v/>
      </c>
      <c r="M20">
        <f>Database!E12</f>
        <v/>
      </c>
      <c r="N20">
        <f>Database!H12</f>
        <v/>
      </c>
      <c r="O20">
        <f>Database!AH12</f>
        <v/>
      </c>
      <c r="P20">
        <f>Database!AK12</f>
        <v/>
      </c>
      <c r="Q20">
        <f>Database!G12</f>
        <v/>
      </c>
    </row>
    <row r="21">
      <c r="A21">
        <f>Database!B21</f>
        <v/>
      </c>
      <c r="B21">
        <f>IF(AND(Screener!$D$9&lt;&gt;"",Database!$E21=Screener!$D$9),1,0)</f>
        <v/>
      </c>
      <c r="C21">
        <f>IF(AND(Screener!$D$8&lt;&gt;"",Database!$D21=Screener!$D$8),1,0)</f>
        <v/>
      </c>
      <c r="D21">
        <f>IF(OR(Database!$H21="",N(Screener!$D$10)&lt;=0),0,MAX(0,1-ABS(LOG10(Database!$H21/Screener!$D$10))/W_SIZEHW))</f>
        <v/>
      </c>
      <c r="E21">
        <f>IF(OR(Database!$AH21="",Screener!$D$11=""),0,IF(Database!$AH21=Screener!$D$11,1,0))</f>
        <v/>
      </c>
      <c r="F21">
        <f>IF(OR(Database!$AK21="",Screener!$D$12=""),0,IF(Database!$AK21=Screener!$D$12,1,0))</f>
        <v/>
      </c>
      <c r="G21">
        <f>IF(OR(Database!$G21="",N(Screener!$D$13)&lt;=0),0,MAX(0,1-(N(Screener!$D$13)-Database!$G21)/W_RECD))</f>
        <v/>
      </c>
      <c r="H21">
        <f>IF($K$1="",0,N(ISNUMBER(SEARCH($K$1,Database!$T21&amp;""))))+IF($L$1="",0,N(ISNUMBER(SEARCH($L$1,Database!$T21&amp;""))))+IF($M$1="",0,N(ISNUMBER(SEARCH($M$1,Database!$T21&amp;""))))+IF($N$1="",0,N(ISNUMBER(SEARCH($N$1,Database!$T21&amp;""))))+IF($O$1="",0,N(ISNUMBER(SEARCH($O$1,Database!$T21&amp;""))))+IF(Screener!$B$14="",0,N(ISNUMBER(SEARCH(Screener!$B$14,Database!$T21&amp;""))))</f>
        <v/>
      </c>
      <c r="I21">
        <f>IF(OR(Database!$B21=Screener!$B$5,IF(OR(Screener!$B$17="All",AND(Screener!$B$17="With A-share",(Database!$AL21&lt;&gt;"")),AND(Screener!$B$17="Without A-share",NOT((Database!$AL21&lt;&gt;"")))),1,0)=0),-999999,IF(Screener!$B$15="cornerstone overlap first",H21*100000,0)+W_SUB*B21+W_SEC*C21*(1-B21)+W_SIZE*D21+W_PROF*E21+W_AH*F21+W_REC*G21+W_CS*H21)+ROW()/1000000</f>
        <v/>
      </c>
      <c r="K21">
        <f>Database!B13</f>
        <v/>
      </c>
      <c r="L21">
        <f>Database!D13</f>
        <v/>
      </c>
      <c r="M21">
        <f>Database!E13</f>
        <v/>
      </c>
      <c r="N21">
        <f>Database!H13</f>
        <v/>
      </c>
      <c r="O21">
        <f>Database!AH13</f>
        <v/>
      </c>
      <c r="P21">
        <f>Database!AK13</f>
        <v/>
      </c>
      <c r="Q21">
        <f>Database!G13</f>
        <v/>
      </c>
    </row>
    <row r="22">
      <c r="A22">
        <f>Database!B22</f>
        <v/>
      </c>
      <c r="B22">
        <f>IF(AND(Screener!$D$9&lt;&gt;"",Database!$E22=Screener!$D$9),1,0)</f>
        <v/>
      </c>
      <c r="C22">
        <f>IF(AND(Screener!$D$8&lt;&gt;"",Database!$D22=Screener!$D$8),1,0)</f>
        <v/>
      </c>
      <c r="D22">
        <f>IF(OR(Database!$H22="",N(Screener!$D$10)&lt;=0),0,MAX(0,1-ABS(LOG10(Database!$H22/Screener!$D$10))/W_SIZEHW))</f>
        <v/>
      </c>
      <c r="E22">
        <f>IF(OR(Database!$AH22="",Screener!$D$11=""),0,IF(Database!$AH22=Screener!$D$11,1,0))</f>
        <v/>
      </c>
      <c r="F22">
        <f>IF(OR(Database!$AK22="",Screener!$D$12=""),0,IF(Database!$AK22=Screener!$D$12,1,0))</f>
        <v/>
      </c>
      <c r="G22">
        <f>IF(OR(Database!$G22="",N(Screener!$D$13)&lt;=0),0,MAX(0,1-(N(Screener!$D$13)-Database!$G22)/W_RECD))</f>
        <v/>
      </c>
      <c r="H22">
        <f>IF($K$1="",0,N(ISNUMBER(SEARCH($K$1,Database!$T22&amp;""))))+IF($L$1="",0,N(ISNUMBER(SEARCH($L$1,Database!$T22&amp;""))))+IF($M$1="",0,N(ISNUMBER(SEARCH($M$1,Database!$T22&amp;""))))+IF($N$1="",0,N(ISNUMBER(SEARCH($N$1,Database!$T22&amp;""))))+IF($O$1="",0,N(ISNUMBER(SEARCH($O$1,Database!$T22&amp;""))))+IF(Screener!$B$14="",0,N(ISNUMBER(SEARCH(Screener!$B$14,Database!$T22&amp;""))))</f>
        <v/>
      </c>
      <c r="I22">
        <f>IF(OR(Database!$B22=Screener!$B$5,IF(OR(Screener!$B$17="All",AND(Screener!$B$17="With A-share",(Database!$AL22&lt;&gt;"")),AND(Screener!$B$17="Without A-share",NOT((Database!$AL22&lt;&gt;"")))),1,0)=0),-999999,IF(Screener!$B$15="cornerstone overlap first",H22*100000,0)+W_SUB*B22+W_SEC*C22*(1-B22)+W_SIZE*D22+W_PROF*E22+W_AH*F22+W_REC*G22+W_CS*H22)+ROW()/1000000</f>
        <v/>
      </c>
      <c r="K22">
        <f>Database!B14</f>
        <v/>
      </c>
      <c r="L22">
        <f>Database!D14</f>
        <v/>
      </c>
      <c r="M22">
        <f>Database!E14</f>
        <v/>
      </c>
      <c r="N22">
        <f>Database!H14</f>
        <v/>
      </c>
      <c r="O22">
        <f>Database!AH14</f>
        <v/>
      </c>
      <c r="P22">
        <f>Database!AK14</f>
        <v/>
      </c>
      <c r="Q22">
        <f>Database!G14</f>
        <v/>
      </c>
    </row>
    <row r="23">
      <c r="A23">
        <f>Database!B23</f>
        <v/>
      </c>
      <c r="B23">
        <f>IF(AND(Screener!$D$9&lt;&gt;"",Database!$E23=Screener!$D$9),1,0)</f>
        <v/>
      </c>
      <c r="C23">
        <f>IF(AND(Screener!$D$8&lt;&gt;"",Database!$D23=Screener!$D$8),1,0)</f>
        <v/>
      </c>
      <c r="D23">
        <f>IF(OR(Database!$H23="",N(Screener!$D$10)&lt;=0),0,MAX(0,1-ABS(LOG10(Database!$H23/Screener!$D$10))/W_SIZEHW))</f>
        <v/>
      </c>
      <c r="E23">
        <f>IF(OR(Database!$AH23="",Screener!$D$11=""),0,IF(Database!$AH23=Screener!$D$11,1,0))</f>
        <v/>
      </c>
      <c r="F23">
        <f>IF(OR(Database!$AK23="",Screener!$D$12=""),0,IF(Database!$AK23=Screener!$D$12,1,0))</f>
        <v/>
      </c>
      <c r="G23">
        <f>IF(OR(Database!$G23="",N(Screener!$D$13)&lt;=0),0,MAX(0,1-(N(Screener!$D$13)-Database!$G23)/W_RECD))</f>
        <v/>
      </c>
      <c r="H23">
        <f>IF($K$1="",0,N(ISNUMBER(SEARCH($K$1,Database!$T23&amp;""))))+IF($L$1="",0,N(ISNUMBER(SEARCH($L$1,Database!$T23&amp;""))))+IF($M$1="",0,N(ISNUMBER(SEARCH($M$1,Database!$T23&amp;""))))+IF($N$1="",0,N(ISNUMBER(SEARCH($N$1,Database!$T23&amp;""))))+IF($O$1="",0,N(ISNUMBER(SEARCH($O$1,Database!$T23&amp;""))))+IF(Screener!$B$14="",0,N(ISNUMBER(SEARCH(Screener!$B$14,Database!$T23&amp;""))))</f>
        <v/>
      </c>
      <c r="I23">
        <f>IF(OR(Database!$B23=Screener!$B$5,IF(OR(Screener!$B$17="All",AND(Screener!$B$17="With A-share",(Database!$AL23&lt;&gt;"")),AND(Screener!$B$17="Without A-share",NOT((Database!$AL23&lt;&gt;"")))),1,0)=0),-999999,IF(Screener!$B$15="cornerstone overlap first",H23*100000,0)+W_SUB*B23+W_SEC*C23*(1-B23)+W_SIZE*D23+W_PROF*E23+W_AH*F23+W_REC*G23+W_CS*H23)+ROW()/1000000</f>
        <v/>
      </c>
      <c r="K23">
        <f>Database!B15</f>
        <v/>
      </c>
      <c r="L23">
        <f>Database!D15</f>
        <v/>
      </c>
      <c r="M23">
        <f>Database!E15</f>
        <v/>
      </c>
      <c r="N23">
        <f>Database!H15</f>
        <v/>
      </c>
      <c r="O23">
        <f>Database!AH15</f>
        <v/>
      </c>
      <c r="P23">
        <f>Database!AK15</f>
        <v/>
      </c>
      <c r="Q23">
        <f>Database!G15</f>
        <v/>
      </c>
    </row>
    <row r="24">
      <c r="A24">
        <f>Database!B24</f>
        <v/>
      </c>
      <c r="B24">
        <f>IF(AND(Screener!$D$9&lt;&gt;"",Database!$E24=Screener!$D$9),1,0)</f>
        <v/>
      </c>
      <c r="C24">
        <f>IF(AND(Screener!$D$8&lt;&gt;"",Database!$D24=Screener!$D$8),1,0)</f>
        <v/>
      </c>
      <c r="D24">
        <f>IF(OR(Database!$H24="",N(Screener!$D$10)&lt;=0),0,MAX(0,1-ABS(LOG10(Database!$H24/Screener!$D$10))/W_SIZEHW))</f>
        <v/>
      </c>
      <c r="E24">
        <f>IF(OR(Database!$AH24="",Screener!$D$11=""),0,IF(Database!$AH24=Screener!$D$11,1,0))</f>
        <v/>
      </c>
      <c r="F24">
        <f>IF(OR(Database!$AK24="",Screener!$D$12=""),0,IF(Database!$AK24=Screener!$D$12,1,0))</f>
        <v/>
      </c>
      <c r="G24">
        <f>IF(OR(Database!$G24="",N(Screener!$D$13)&lt;=0),0,MAX(0,1-(N(Screener!$D$13)-Database!$G24)/W_RECD))</f>
        <v/>
      </c>
      <c r="H24">
        <f>IF($K$1="",0,N(ISNUMBER(SEARCH($K$1,Database!$T24&amp;""))))+IF($L$1="",0,N(ISNUMBER(SEARCH($L$1,Database!$T24&amp;""))))+IF($M$1="",0,N(ISNUMBER(SEARCH($M$1,Database!$T24&amp;""))))+IF($N$1="",0,N(ISNUMBER(SEARCH($N$1,Database!$T24&amp;""))))+IF($O$1="",0,N(ISNUMBER(SEARCH($O$1,Database!$T24&amp;""))))+IF(Screener!$B$14="",0,N(ISNUMBER(SEARCH(Screener!$B$14,Database!$T24&amp;""))))</f>
        <v/>
      </c>
      <c r="I24">
        <f>IF(OR(Database!$B24=Screener!$B$5,IF(OR(Screener!$B$17="All",AND(Screener!$B$17="With A-share",(Database!$AL24&lt;&gt;"")),AND(Screener!$B$17="Without A-share",NOT((Database!$AL24&lt;&gt;"")))),1,0)=0),-999999,IF(Screener!$B$15="cornerstone overlap first",H24*100000,0)+W_SUB*B24+W_SEC*C24*(1-B24)+W_SIZE*D24+W_PROF*E24+W_AH*F24+W_REC*G24+W_CS*H24)+ROW()/1000000</f>
        <v/>
      </c>
      <c r="K24">
        <f>Database!B16</f>
        <v/>
      </c>
      <c r="L24">
        <f>Database!D16</f>
        <v/>
      </c>
      <c r="M24">
        <f>Database!E16</f>
        <v/>
      </c>
      <c r="N24">
        <f>Database!H16</f>
        <v/>
      </c>
      <c r="O24">
        <f>Database!AH16</f>
        <v/>
      </c>
      <c r="P24">
        <f>Database!AK16</f>
        <v/>
      </c>
      <c r="Q24">
        <f>Database!G16</f>
        <v/>
      </c>
    </row>
    <row r="25">
      <c r="A25">
        <f>Database!B25</f>
        <v/>
      </c>
      <c r="B25">
        <f>IF(AND(Screener!$D$9&lt;&gt;"",Database!$E25=Screener!$D$9),1,0)</f>
        <v/>
      </c>
      <c r="C25">
        <f>IF(AND(Screener!$D$8&lt;&gt;"",Database!$D25=Screener!$D$8),1,0)</f>
        <v/>
      </c>
      <c r="D25">
        <f>IF(OR(Database!$H25="",N(Screener!$D$10)&lt;=0),0,MAX(0,1-ABS(LOG10(Database!$H25/Screener!$D$10))/W_SIZEHW))</f>
        <v/>
      </c>
      <c r="E25">
        <f>IF(OR(Database!$AH25="",Screener!$D$11=""),0,IF(Database!$AH25=Screener!$D$11,1,0))</f>
        <v/>
      </c>
      <c r="F25">
        <f>IF(OR(Database!$AK25="",Screener!$D$12=""),0,IF(Database!$AK25=Screener!$D$12,1,0))</f>
        <v/>
      </c>
      <c r="G25">
        <f>IF(OR(Database!$G25="",N(Screener!$D$13)&lt;=0),0,MAX(0,1-(N(Screener!$D$13)-Database!$G25)/W_RECD))</f>
        <v/>
      </c>
      <c r="H25">
        <f>IF($K$1="",0,N(ISNUMBER(SEARCH($K$1,Database!$T25&amp;""))))+IF($L$1="",0,N(ISNUMBER(SEARCH($L$1,Database!$T25&amp;""))))+IF($M$1="",0,N(ISNUMBER(SEARCH($M$1,Database!$T25&amp;""))))+IF($N$1="",0,N(ISNUMBER(SEARCH($N$1,Database!$T25&amp;""))))+IF($O$1="",0,N(ISNUMBER(SEARCH($O$1,Database!$T25&amp;""))))+IF(Screener!$B$14="",0,N(ISNUMBER(SEARCH(Screener!$B$14,Database!$T25&amp;""))))</f>
        <v/>
      </c>
      <c r="I25">
        <f>IF(OR(Database!$B25=Screener!$B$5,IF(OR(Screener!$B$17="All",AND(Screener!$B$17="With A-share",(Database!$AL25&lt;&gt;"")),AND(Screener!$B$17="Without A-share",NOT((Database!$AL25&lt;&gt;"")))),1,0)=0),-999999,IF(Screener!$B$15="cornerstone overlap first",H25*100000,0)+W_SUB*B25+W_SEC*C25*(1-B25)+W_SIZE*D25+W_PROF*E25+W_AH*F25+W_REC*G25+W_CS*H25)+ROW()/1000000</f>
        <v/>
      </c>
      <c r="K25">
        <f>Database!B17</f>
        <v/>
      </c>
      <c r="L25">
        <f>Database!D17</f>
        <v/>
      </c>
      <c r="M25">
        <f>Database!E17</f>
        <v/>
      </c>
      <c r="N25">
        <f>Database!H17</f>
        <v/>
      </c>
      <c r="O25">
        <f>Database!AH17</f>
        <v/>
      </c>
      <c r="P25">
        <f>Database!AK17</f>
        <v/>
      </c>
      <c r="Q25">
        <f>Database!G17</f>
        <v/>
      </c>
    </row>
    <row r="26">
      <c r="A26">
        <f>Database!B26</f>
        <v/>
      </c>
      <c r="B26">
        <f>IF(AND(Screener!$D$9&lt;&gt;"",Database!$E26=Screener!$D$9),1,0)</f>
        <v/>
      </c>
      <c r="C26">
        <f>IF(AND(Screener!$D$8&lt;&gt;"",Database!$D26=Screener!$D$8),1,0)</f>
        <v/>
      </c>
      <c r="D26">
        <f>IF(OR(Database!$H26="",N(Screener!$D$10)&lt;=0),0,MAX(0,1-ABS(LOG10(Database!$H26/Screener!$D$10))/W_SIZEHW))</f>
        <v/>
      </c>
      <c r="E26">
        <f>IF(OR(Database!$AH26="",Screener!$D$11=""),0,IF(Database!$AH26=Screener!$D$11,1,0))</f>
        <v/>
      </c>
      <c r="F26">
        <f>IF(OR(Database!$AK26="",Screener!$D$12=""),0,IF(Database!$AK26=Screener!$D$12,1,0))</f>
        <v/>
      </c>
      <c r="G26">
        <f>IF(OR(Database!$G26="",N(Screener!$D$13)&lt;=0),0,MAX(0,1-(N(Screener!$D$13)-Database!$G26)/W_RECD))</f>
        <v/>
      </c>
      <c r="H26">
        <f>IF($K$1="",0,N(ISNUMBER(SEARCH($K$1,Database!$T26&amp;""))))+IF($L$1="",0,N(ISNUMBER(SEARCH($L$1,Database!$T26&amp;""))))+IF($M$1="",0,N(ISNUMBER(SEARCH($M$1,Database!$T26&amp;""))))+IF($N$1="",0,N(ISNUMBER(SEARCH($N$1,Database!$T26&amp;""))))+IF($O$1="",0,N(ISNUMBER(SEARCH($O$1,Database!$T26&amp;""))))+IF(Screener!$B$14="",0,N(ISNUMBER(SEARCH(Screener!$B$14,Database!$T26&amp;""))))</f>
        <v/>
      </c>
      <c r="I26">
        <f>IF(OR(Database!$B26=Screener!$B$5,IF(OR(Screener!$B$17="All",AND(Screener!$B$17="With A-share",(Database!$AL26&lt;&gt;"")),AND(Screener!$B$17="Without A-share",NOT((Database!$AL26&lt;&gt;"")))),1,0)=0),-999999,IF(Screener!$B$15="cornerstone overlap first",H26*100000,0)+W_SUB*B26+W_SEC*C26*(1-B26)+W_SIZE*D26+W_PROF*E26+W_AH*F26+W_REC*G26+W_CS*H26)+ROW()/1000000</f>
        <v/>
      </c>
      <c r="K26">
        <f>Database!B18</f>
        <v/>
      </c>
      <c r="L26">
        <f>Database!D18</f>
        <v/>
      </c>
      <c r="M26">
        <f>Database!E18</f>
        <v/>
      </c>
      <c r="N26">
        <f>Database!H18</f>
        <v/>
      </c>
      <c r="O26">
        <f>Database!AH18</f>
        <v/>
      </c>
      <c r="P26">
        <f>Database!AK18</f>
        <v/>
      </c>
      <c r="Q26">
        <f>Database!G18</f>
        <v/>
      </c>
    </row>
    <row r="27">
      <c r="A27">
        <f>Database!B27</f>
        <v/>
      </c>
      <c r="B27">
        <f>IF(AND(Screener!$D$9&lt;&gt;"",Database!$E27=Screener!$D$9),1,0)</f>
        <v/>
      </c>
      <c r="C27">
        <f>IF(AND(Screener!$D$8&lt;&gt;"",Database!$D27=Screener!$D$8),1,0)</f>
        <v/>
      </c>
      <c r="D27">
        <f>IF(OR(Database!$H27="",N(Screener!$D$10)&lt;=0),0,MAX(0,1-ABS(LOG10(Database!$H27/Screener!$D$10))/W_SIZEHW))</f>
        <v/>
      </c>
      <c r="E27">
        <f>IF(OR(Database!$AH27="",Screener!$D$11=""),0,IF(Database!$AH27=Screener!$D$11,1,0))</f>
        <v/>
      </c>
      <c r="F27">
        <f>IF(OR(Database!$AK27="",Screener!$D$12=""),0,IF(Database!$AK27=Screener!$D$12,1,0))</f>
        <v/>
      </c>
      <c r="G27">
        <f>IF(OR(Database!$G27="",N(Screener!$D$13)&lt;=0),0,MAX(0,1-(N(Screener!$D$13)-Database!$G27)/W_RECD))</f>
        <v/>
      </c>
      <c r="H27">
        <f>IF($K$1="",0,N(ISNUMBER(SEARCH($K$1,Database!$T27&amp;""))))+IF($L$1="",0,N(ISNUMBER(SEARCH($L$1,Database!$T27&amp;""))))+IF($M$1="",0,N(ISNUMBER(SEARCH($M$1,Database!$T27&amp;""))))+IF($N$1="",0,N(ISNUMBER(SEARCH($N$1,Database!$T27&amp;""))))+IF($O$1="",0,N(ISNUMBER(SEARCH($O$1,Database!$T27&amp;""))))+IF(Screener!$B$14="",0,N(ISNUMBER(SEARCH(Screener!$B$14,Database!$T27&amp;""))))</f>
        <v/>
      </c>
      <c r="I27">
        <f>IF(OR(Database!$B27=Screener!$B$5,IF(OR(Screener!$B$17="All",AND(Screener!$B$17="With A-share",(Database!$AL27&lt;&gt;"")),AND(Screener!$B$17="Without A-share",NOT((Database!$AL27&lt;&gt;"")))),1,0)=0),-999999,IF(Screener!$B$15="cornerstone overlap first",H27*100000,0)+W_SUB*B27+W_SEC*C27*(1-B27)+W_SIZE*D27+W_PROF*E27+W_AH*F27+W_REC*G27+W_CS*H27)+ROW()/1000000</f>
        <v/>
      </c>
      <c r="K27">
        <f>Database!B19</f>
        <v/>
      </c>
      <c r="L27">
        <f>Database!D19</f>
        <v/>
      </c>
      <c r="M27">
        <f>Database!E19</f>
        <v/>
      </c>
      <c r="N27">
        <f>Database!H19</f>
        <v/>
      </c>
      <c r="O27">
        <f>Database!AH19</f>
        <v/>
      </c>
      <c r="P27">
        <f>Database!AK19</f>
        <v/>
      </c>
      <c r="Q27">
        <f>Database!G19</f>
        <v/>
      </c>
    </row>
    <row r="28">
      <c r="A28">
        <f>Database!B28</f>
        <v/>
      </c>
      <c r="B28">
        <f>IF(AND(Screener!$D$9&lt;&gt;"",Database!$E28=Screener!$D$9),1,0)</f>
        <v/>
      </c>
      <c r="C28">
        <f>IF(AND(Screener!$D$8&lt;&gt;"",Database!$D28=Screener!$D$8),1,0)</f>
        <v/>
      </c>
      <c r="D28">
        <f>IF(OR(Database!$H28="",N(Screener!$D$10)&lt;=0),0,MAX(0,1-ABS(LOG10(Database!$H28/Screener!$D$10))/W_SIZEHW))</f>
        <v/>
      </c>
      <c r="E28">
        <f>IF(OR(Database!$AH28="",Screener!$D$11=""),0,IF(Database!$AH28=Screener!$D$11,1,0))</f>
        <v/>
      </c>
      <c r="F28">
        <f>IF(OR(Database!$AK28="",Screener!$D$12=""),0,IF(Database!$AK28=Screener!$D$12,1,0))</f>
        <v/>
      </c>
      <c r="G28">
        <f>IF(OR(Database!$G28="",N(Screener!$D$13)&lt;=0),0,MAX(0,1-(N(Screener!$D$13)-Database!$G28)/W_RECD))</f>
        <v/>
      </c>
      <c r="H28">
        <f>IF($K$1="",0,N(ISNUMBER(SEARCH($K$1,Database!$T28&amp;""))))+IF($L$1="",0,N(ISNUMBER(SEARCH($L$1,Database!$T28&amp;""))))+IF($M$1="",0,N(ISNUMBER(SEARCH($M$1,Database!$T28&amp;""))))+IF($N$1="",0,N(ISNUMBER(SEARCH($N$1,Database!$T28&amp;""))))+IF($O$1="",0,N(ISNUMBER(SEARCH($O$1,Database!$T28&amp;""))))+IF(Screener!$B$14="",0,N(ISNUMBER(SEARCH(Screener!$B$14,Database!$T28&amp;""))))</f>
        <v/>
      </c>
      <c r="I28">
        <f>IF(OR(Database!$B28=Screener!$B$5,IF(OR(Screener!$B$17="All",AND(Screener!$B$17="With A-share",(Database!$AL28&lt;&gt;"")),AND(Screener!$B$17="Without A-share",NOT((Database!$AL28&lt;&gt;"")))),1,0)=0),-999999,IF(Screener!$B$15="cornerstone overlap first",H28*100000,0)+W_SUB*B28+W_SEC*C28*(1-B28)+W_SIZE*D28+W_PROF*E28+W_AH*F28+W_REC*G28+W_CS*H28)+ROW()/1000000</f>
        <v/>
      </c>
      <c r="K28">
        <f>Database!B20</f>
        <v/>
      </c>
      <c r="L28">
        <f>Database!D20</f>
        <v/>
      </c>
      <c r="M28">
        <f>Database!E20</f>
        <v/>
      </c>
      <c r="N28">
        <f>Database!H20</f>
        <v/>
      </c>
      <c r="O28">
        <f>Database!AH20</f>
        <v/>
      </c>
      <c r="P28">
        <f>Database!AK20</f>
        <v/>
      </c>
      <c r="Q28">
        <f>Database!G20</f>
        <v/>
      </c>
    </row>
    <row r="29">
      <c r="A29">
        <f>Database!B29</f>
        <v/>
      </c>
      <c r="B29">
        <f>IF(AND(Screener!$D$9&lt;&gt;"",Database!$E29=Screener!$D$9),1,0)</f>
        <v/>
      </c>
      <c r="C29">
        <f>IF(AND(Screener!$D$8&lt;&gt;"",Database!$D29=Screener!$D$8),1,0)</f>
        <v/>
      </c>
      <c r="D29">
        <f>IF(OR(Database!$H29="",N(Screener!$D$10)&lt;=0),0,MAX(0,1-ABS(LOG10(Database!$H29/Screener!$D$10))/W_SIZEHW))</f>
        <v/>
      </c>
      <c r="E29">
        <f>IF(OR(Database!$AH29="",Screener!$D$11=""),0,IF(Database!$AH29=Screener!$D$11,1,0))</f>
        <v/>
      </c>
      <c r="F29">
        <f>IF(OR(Database!$AK29="",Screener!$D$12=""),0,IF(Database!$AK29=Screener!$D$12,1,0))</f>
        <v/>
      </c>
      <c r="G29">
        <f>IF(OR(Database!$G29="",N(Screener!$D$13)&lt;=0),0,MAX(0,1-(N(Screener!$D$13)-Database!$G29)/W_RECD))</f>
        <v/>
      </c>
      <c r="H29">
        <f>IF($K$1="",0,N(ISNUMBER(SEARCH($K$1,Database!$T29&amp;""))))+IF($L$1="",0,N(ISNUMBER(SEARCH($L$1,Database!$T29&amp;""))))+IF($M$1="",0,N(ISNUMBER(SEARCH($M$1,Database!$T29&amp;""))))+IF($N$1="",0,N(ISNUMBER(SEARCH($N$1,Database!$T29&amp;""))))+IF($O$1="",0,N(ISNUMBER(SEARCH($O$1,Database!$T29&amp;""))))+IF(Screener!$B$14="",0,N(ISNUMBER(SEARCH(Screener!$B$14,Database!$T29&amp;""))))</f>
        <v/>
      </c>
      <c r="I29">
        <f>IF(OR(Database!$B29=Screener!$B$5,IF(OR(Screener!$B$17="All",AND(Screener!$B$17="With A-share",(Database!$AL29&lt;&gt;"")),AND(Screener!$B$17="Without A-share",NOT((Database!$AL29&lt;&gt;"")))),1,0)=0),-999999,IF(Screener!$B$15="cornerstone overlap first",H29*100000,0)+W_SUB*B29+W_SEC*C29*(1-B29)+W_SIZE*D29+W_PROF*E29+W_AH*F29+W_REC*G29+W_CS*H29)+ROW()/1000000</f>
        <v/>
      </c>
      <c r="K29">
        <f>Database!B21</f>
        <v/>
      </c>
      <c r="L29">
        <f>Database!D21</f>
        <v/>
      </c>
      <c r="M29">
        <f>Database!E21</f>
        <v/>
      </c>
      <c r="N29">
        <f>Database!H21</f>
        <v/>
      </c>
      <c r="O29">
        <f>Database!AH21</f>
        <v/>
      </c>
      <c r="P29">
        <f>Database!AK21</f>
        <v/>
      </c>
      <c r="Q29">
        <f>Database!G21</f>
        <v/>
      </c>
    </row>
    <row r="30">
      <c r="A30">
        <f>Database!B30</f>
        <v/>
      </c>
      <c r="B30">
        <f>IF(AND(Screener!$D$9&lt;&gt;"",Database!$E30=Screener!$D$9),1,0)</f>
        <v/>
      </c>
      <c r="C30">
        <f>IF(AND(Screener!$D$8&lt;&gt;"",Database!$D30=Screener!$D$8),1,0)</f>
        <v/>
      </c>
      <c r="D30">
        <f>IF(OR(Database!$H30="",N(Screener!$D$10)&lt;=0),0,MAX(0,1-ABS(LOG10(Database!$H30/Screener!$D$10))/W_SIZEHW))</f>
        <v/>
      </c>
      <c r="E30">
        <f>IF(OR(Database!$AH30="",Screener!$D$11=""),0,IF(Database!$AH30=Screener!$D$11,1,0))</f>
        <v/>
      </c>
      <c r="F30">
        <f>IF(OR(Database!$AK30="",Screener!$D$12=""),0,IF(Database!$AK30=Screener!$D$12,1,0))</f>
        <v/>
      </c>
      <c r="G30">
        <f>IF(OR(Database!$G30="",N(Screener!$D$13)&lt;=0),0,MAX(0,1-(N(Screener!$D$13)-Database!$G30)/W_RECD))</f>
        <v/>
      </c>
      <c r="H30">
        <f>IF($K$1="",0,N(ISNUMBER(SEARCH($K$1,Database!$T30&amp;""))))+IF($L$1="",0,N(ISNUMBER(SEARCH($L$1,Database!$T30&amp;""))))+IF($M$1="",0,N(ISNUMBER(SEARCH($M$1,Database!$T30&amp;""))))+IF($N$1="",0,N(ISNUMBER(SEARCH($N$1,Database!$T30&amp;""))))+IF($O$1="",0,N(ISNUMBER(SEARCH($O$1,Database!$T30&amp;""))))+IF(Screener!$B$14="",0,N(ISNUMBER(SEARCH(Screener!$B$14,Database!$T30&amp;""))))</f>
        <v/>
      </c>
      <c r="I30">
        <f>IF(OR(Database!$B30=Screener!$B$5,IF(OR(Screener!$B$17="All",AND(Screener!$B$17="With A-share",(Database!$AL30&lt;&gt;"")),AND(Screener!$B$17="Without A-share",NOT((Database!$AL30&lt;&gt;"")))),1,0)=0),-999999,IF(Screener!$B$15="cornerstone overlap first",H30*100000,0)+W_SUB*B30+W_SEC*C30*(1-B30)+W_SIZE*D30+W_PROF*E30+W_AH*F30+W_REC*G30+W_CS*H30)+ROW()/1000000</f>
        <v/>
      </c>
      <c r="K30">
        <f>Database!B22</f>
        <v/>
      </c>
      <c r="L30">
        <f>Database!D22</f>
        <v/>
      </c>
      <c r="M30">
        <f>Database!E22</f>
        <v/>
      </c>
      <c r="N30">
        <f>Database!H22</f>
        <v/>
      </c>
      <c r="O30">
        <f>Database!AH22</f>
        <v/>
      </c>
      <c r="P30">
        <f>Database!AK22</f>
        <v/>
      </c>
      <c r="Q30">
        <f>Database!G22</f>
        <v/>
      </c>
    </row>
    <row r="31">
      <c r="A31">
        <f>Database!B31</f>
        <v/>
      </c>
      <c r="B31">
        <f>IF(AND(Screener!$D$9&lt;&gt;"",Database!$E31=Screener!$D$9),1,0)</f>
        <v/>
      </c>
      <c r="C31">
        <f>IF(AND(Screener!$D$8&lt;&gt;"",Database!$D31=Screener!$D$8),1,0)</f>
        <v/>
      </c>
      <c r="D31">
        <f>IF(OR(Database!$H31="",N(Screener!$D$10)&lt;=0),0,MAX(0,1-ABS(LOG10(Database!$H31/Screener!$D$10))/W_SIZEHW))</f>
        <v/>
      </c>
      <c r="E31">
        <f>IF(OR(Database!$AH31="",Screener!$D$11=""),0,IF(Database!$AH31=Screener!$D$11,1,0))</f>
        <v/>
      </c>
      <c r="F31">
        <f>IF(OR(Database!$AK31="",Screener!$D$12=""),0,IF(Database!$AK31=Screener!$D$12,1,0))</f>
        <v/>
      </c>
      <c r="G31">
        <f>IF(OR(Database!$G31="",N(Screener!$D$13)&lt;=0),0,MAX(0,1-(N(Screener!$D$13)-Database!$G31)/W_RECD))</f>
        <v/>
      </c>
      <c r="H31">
        <f>IF($K$1="",0,N(ISNUMBER(SEARCH($K$1,Database!$T31&amp;""))))+IF($L$1="",0,N(ISNUMBER(SEARCH($L$1,Database!$T31&amp;""))))+IF($M$1="",0,N(ISNUMBER(SEARCH($M$1,Database!$T31&amp;""))))+IF($N$1="",0,N(ISNUMBER(SEARCH($N$1,Database!$T31&amp;""))))+IF($O$1="",0,N(ISNUMBER(SEARCH($O$1,Database!$T31&amp;""))))+IF(Screener!$B$14="",0,N(ISNUMBER(SEARCH(Screener!$B$14,Database!$T31&amp;""))))</f>
        <v/>
      </c>
      <c r="I31">
        <f>IF(OR(Database!$B31=Screener!$B$5,IF(OR(Screener!$B$17="All",AND(Screener!$B$17="With A-share",(Database!$AL31&lt;&gt;"")),AND(Screener!$B$17="Without A-share",NOT((Database!$AL31&lt;&gt;"")))),1,0)=0),-999999,IF(Screener!$B$15="cornerstone overlap first",H31*100000,0)+W_SUB*B31+W_SEC*C31*(1-B31)+W_SIZE*D31+W_PROF*E31+W_AH*F31+W_REC*G31+W_CS*H31)+ROW()/1000000</f>
        <v/>
      </c>
      <c r="K31">
        <f>Database!B23</f>
        <v/>
      </c>
      <c r="L31">
        <f>Database!D23</f>
        <v/>
      </c>
      <c r="M31">
        <f>Database!E23</f>
        <v/>
      </c>
      <c r="N31">
        <f>Database!H23</f>
        <v/>
      </c>
      <c r="O31">
        <f>Database!AH23</f>
        <v/>
      </c>
      <c r="P31">
        <f>Database!AK23</f>
        <v/>
      </c>
      <c r="Q31">
        <f>Database!G23</f>
        <v/>
      </c>
    </row>
    <row r="32">
      <c r="A32">
        <f>Database!B32</f>
        <v/>
      </c>
      <c r="B32">
        <f>IF(AND(Screener!$D$9&lt;&gt;"",Database!$E32=Screener!$D$9),1,0)</f>
        <v/>
      </c>
      <c r="C32">
        <f>IF(AND(Screener!$D$8&lt;&gt;"",Database!$D32=Screener!$D$8),1,0)</f>
        <v/>
      </c>
      <c r="D32">
        <f>IF(OR(Database!$H32="",N(Screener!$D$10)&lt;=0),0,MAX(0,1-ABS(LOG10(Database!$H32/Screener!$D$10))/W_SIZEHW))</f>
        <v/>
      </c>
      <c r="E32">
        <f>IF(OR(Database!$AH32="",Screener!$D$11=""),0,IF(Database!$AH32=Screener!$D$11,1,0))</f>
        <v/>
      </c>
      <c r="F32">
        <f>IF(OR(Database!$AK32="",Screener!$D$12=""),0,IF(Database!$AK32=Screener!$D$12,1,0))</f>
        <v/>
      </c>
      <c r="G32">
        <f>IF(OR(Database!$G32="",N(Screener!$D$13)&lt;=0),0,MAX(0,1-(N(Screener!$D$13)-Database!$G32)/W_RECD))</f>
        <v/>
      </c>
      <c r="H32">
        <f>IF($K$1="",0,N(ISNUMBER(SEARCH($K$1,Database!$T32&amp;""))))+IF($L$1="",0,N(ISNUMBER(SEARCH($L$1,Database!$T32&amp;""))))+IF($M$1="",0,N(ISNUMBER(SEARCH($M$1,Database!$T32&amp;""))))+IF($N$1="",0,N(ISNUMBER(SEARCH($N$1,Database!$T32&amp;""))))+IF($O$1="",0,N(ISNUMBER(SEARCH($O$1,Database!$T32&amp;""))))+IF(Screener!$B$14="",0,N(ISNUMBER(SEARCH(Screener!$B$14,Database!$T32&amp;""))))</f>
        <v/>
      </c>
      <c r="I32">
        <f>IF(OR(Database!$B32=Screener!$B$5,IF(OR(Screener!$B$17="All",AND(Screener!$B$17="With A-share",(Database!$AL32&lt;&gt;"")),AND(Screener!$B$17="Without A-share",NOT((Database!$AL32&lt;&gt;"")))),1,0)=0),-999999,IF(Screener!$B$15="cornerstone overlap first",H32*100000,0)+W_SUB*B32+W_SEC*C32*(1-B32)+W_SIZE*D32+W_PROF*E32+W_AH*F32+W_REC*G32+W_CS*H32)+ROW()/1000000</f>
        <v/>
      </c>
      <c r="K32">
        <f>Database!B24</f>
        <v/>
      </c>
      <c r="L32">
        <f>Database!D24</f>
        <v/>
      </c>
      <c r="M32">
        <f>Database!E24</f>
        <v/>
      </c>
      <c r="N32">
        <f>Database!H24</f>
        <v/>
      </c>
      <c r="O32">
        <f>Database!AH24</f>
        <v/>
      </c>
      <c r="P32">
        <f>Database!AK24</f>
        <v/>
      </c>
      <c r="Q32">
        <f>Database!G24</f>
        <v/>
      </c>
    </row>
    <row r="33">
      <c r="A33">
        <f>Database!B33</f>
        <v/>
      </c>
      <c r="B33">
        <f>IF(AND(Screener!$D$9&lt;&gt;"",Database!$E33=Screener!$D$9),1,0)</f>
        <v/>
      </c>
      <c r="C33">
        <f>IF(AND(Screener!$D$8&lt;&gt;"",Database!$D33=Screener!$D$8),1,0)</f>
        <v/>
      </c>
      <c r="D33">
        <f>IF(OR(Database!$H33="",N(Screener!$D$10)&lt;=0),0,MAX(0,1-ABS(LOG10(Database!$H33/Screener!$D$10))/W_SIZEHW))</f>
        <v/>
      </c>
      <c r="E33">
        <f>IF(OR(Database!$AH33="",Screener!$D$11=""),0,IF(Database!$AH33=Screener!$D$11,1,0))</f>
        <v/>
      </c>
      <c r="F33">
        <f>IF(OR(Database!$AK33="",Screener!$D$12=""),0,IF(Database!$AK33=Screener!$D$12,1,0))</f>
        <v/>
      </c>
      <c r="G33">
        <f>IF(OR(Database!$G33="",N(Screener!$D$13)&lt;=0),0,MAX(0,1-(N(Screener!$D$13)-Database!$G33)/W_RECD))</f>
        <v/>
      </c>
      <c r="H33">
        <f>IF($K$1="",0,N(ISNUMBER(SEARCH($K$1,Database!$T33&amp;""))))+IF($L$1="",0,N(ISNUMBER(SEARCH($L$1,Database!$T33&amp;""))))+IF($M$1="",0,N(ISNUMBER(SEARCH($M$1,Database!$T33&amp;""))))+IF($N$1="",0,N(ISNUMBER(SEARCH($N$1,Database!$T33&amp;""))))+IF($O$1="",0,N(ISNUMBER(SEARCH($O$1,Database!$T33&amp;""))))+IF(Screener!$B$14="",0,N(ISNUMBER(SEARCH(Screener!$B$14,Database!$T33&amp;""))))</f>
        <v/>
      </c>
      <c r="I33">
        <f>IF(OR(Database!$B33=Screener!$B$5,IF(OR(Screener!$B$17="All",AND(Screener!$B$17="With A-share",(Database!$AL33&lt;&gt;"")),AND(Screener!$B$17="Without A-share",NOT((Database!$AL33&lt;&gt;"")))),1,0)=0),-999999,IF(Screener!$B$15="cornerstone overlap first",H33*100000,0)+W_SUB*B33+W_SEC*C33*(1-B33)+W_SIZE*D33+W_PROF*E33+W_AH*F33+W_REC*G33+W_CS*H33)+ROW()/1000000</f>
        <v/>
      </c>
      <c r="K33">
        <f>Database!B25</f>
        <v/>
      </c>
      <c r="L33">
        <f>Database!D25</f>
        <v/>
      </c>
      <c r="M33">
        <f>Database!E25</f>
        <v/>
      </c>
      <c r="N33">
        <f>Database!H25</f>
        <v/>
      </c>
      <c r="O33">
        <f>Database!AH25</f>
        <v/>
      </c>
      <c r="P33">
        <f>Database!AK25</f>
        <v/>
      </c>
      <c r="Q33">
        <f>Database!G25</f>
        <v/>
      </c>
    </row>
    <row r="34">
      <c r="A34">
        <f>Database!B34</f>
        <v/>
      </c>
      <c r="B34">
        <f>IF(AND(Screener!$D$9&lt;&gt;"",Database!$E34=Screener!$D$9),1,0)</f>
        <v/>
      </c>
      <c r="C34">
        <f>IF(AND(Screener!$D$8&lt;&gt;"",Database!$D34=Screener!$D$8),1,0)</f>
        <v/>
      </c>
      <c r="D34">
        <f>IF(OR(Database!$H34="",N(Screener!$D$10)&lt;=0),0,MAX(0,1-ABS(LOG10(Database!$H34/Screener!$D$10))/W_SIZEHW))</f>
        <v/>
      </c>
      <c r="E34">
        <f>IF(OR(Database!$AH34="",Screener!$D$11=""),0,IF(Database!$AH34=Screener!$D$11,1,0))</f>
        <v/>
      </c>
      <c r="F34">
        <f>IF(OR(Database!$AK34="",Screener!$D$12=""),0,IF(Database!$AK34=Screener!$D$12,1,0))</f>
        <v/>
      </c>
      <c r="G34">
        <f>IF(OR(Database!$G34="",N(Screener!$D$13)&lt;=0),0,MAX(0,1-(N(Screener!$D$13)-Database!$G34)/W_RECD))</f>
        <v/>
      </c>
      <c r="H34">
        <f>IF($K$1="",0,N(ISNUMBER(SEARCH($K$1,Database!$T34&amp;""))))+IF($L$1="",0,N(ISNUMBER(SEARCH($L$1,Database!$T34&amp;""))))+IF($M$1="",0,N(ISNUMBER(SEARCH($M$1,Database!$T34&amp;""))))+IF($N$1="",0,N(ISNUMBER(SEARCH($N$1,Database!$T34&amp;""))))+IF($O$1="",0,N(ISNUMBER(SEARCH($O$1,Database!$T34&amp;""))))+IF(Screener!$B$14="",0,N(ISNUMBER(SEARCH(Screener!$B$14,Database!$T34&amp;""))))</f>
        <v/>
      </c>
      <c r="I34">
        <f>IF(OR(Database!$B34=Screener!$B$5,IF(OR(Screener!$B$17="All",AND(Screener!$B$17="With A-share",(Database!$AL34&lt;&gt;"")),AND(Screener!$B$17="Without A-share",NOT((Database!$AL34&lt;&gt;"")))),1,0)=0),-999999,IF(Screener!$B$15="cornerstone overlap first",H34*100000,0)+W_SUB*B34+W_SEC*C34*(1-B34)+W_SIZE*D34+W_PROF*E34+W_AH*F34+W_REC*G34+W_CS*H34)+ROW()/1000000</f>
        <v/>
      </c>
      <c r="K34">
        <f>Database!B26</f>
        <v/>
      </c>
      <c r="L34">
        <f>Database!D26</f>
        <v/>
      </c>
      <c r="M34">
        <f>Database!E26</f>
        <v/>
      </c>
      <c r="N34">
        <f>Database!H26</f>
        <v/>
      </c>
      <c r="O34">
        <f>Database!AH26</f>
        <v/>
      </c>
      <c r="P34">
        <f>Database!AK26</f>
        <v/>
      </c>
      <c r="Q34">
        <f>Database!G26</f>
        <v/>
      </c>
    </row>
    <row r="35">
      <c r="A35">
        <f>Database!B35</f>
        <v/>
      </c>
      <c r="B35">
        <f>IF(AND(Screener!$D$9&lt;&gt;"",Database!$E35=Screener!$D$9),1,0)</f>
        <v/>
      </c>
      <c r="C35">
        <f>IF(AND(Screener!$D$8&lt;&gt;"",Database!$D35=Screener!$D$8),1,0)</f>
        <v/>
      </c>
      <c r="D35">
        <f>IF(OR(Database!$H35="",N(Screener!$D$10)&lt;=0),0,MAX(0,1-ABS(LOG10(Database!$H35/Screener!$D$10))/W_SIZEHW))</f>
        <v/>
      </c>
      <c r="E35">
        <f>IF(OR(Database!$AH35="",Screener!$D$11=""),0,IF(Database!$AH35=Screener!$D$11,1,0))</f>
        <v/>
      </c>
      <c r="F35">
        <f>IF(OR(Database!$AK35="",Screener!$D$12=""),0,IF(Database!$AK35=Screener!$D$12,1,0))</f>
        <v/>
      </c>
      <c r="G35">
        <f>IF(OR(Database!$G35="",N(Screener!$D$13)&lt;=0),0,MAX(0,1-(N(Screener!$D$13)-Database!$G35)/W_RECD))</f>
        <v/>
      </c>
      <c r="H35">
        <f>IF($K$1="",0,N(ISNUMBER(SEARCH($K$1,Database!$T35&amp;""))))+IF($L$1="",0,N(ISNUMBER(SEARCH($L$1,Database!$T35&amp;""))))+IF($M$1="",0,N(ISNUMBER(SEARCH($M$1,Database!$T35&amp;""))))+IF($N$1="",0,N(ISNUMBER(SEARCH($N$1,Database!$T35&amp;""))))+IF($O$1="",0,N(ISNUMBER(SEARCH($O$1,Database!$T35&amp;""))))+IF(Screener!$B$14="",0,N(ISNUMBER(SEARCH(Screener!$B$14,Database!$T35&amp;""))))</f>
        <v/>
      </c>
      <c r="I35">
        <f>IF(OR(Database!$B35=Screener!$B$5,IF(OR(Screener!$B$17="All",AND(Screener!$B$17="With A-share",(Database!$AL35&lt;&gt;"")),AND(Screener!$B$17="Without A-share",NOT((Database!$AL35&lt;&gt;"")))),1,0)=0),-999999,IF(Screener!$B$15="cornerstone overlap first",H35*100000,0)+W_SUB*B35+W_SEC*C35*(1-B35)+W_SIZE*D35+W_PROF*E35+W_AH*F35+W_REC*G35+W_CS*H35)+ROW()/1000000</f>
        <v/>
      </c>
      <c r="K35">
        <f>Database!B27</f>
        <v/>
      </c>
      <c r="L35">
        <f>Database!D27</f>
        <v/>
      </c>
      <c r="M35">
        <f>Database!E27</f>
        <v/>
      </c>
      <c r="N35">
        <f>Database!H27</f>
        <v/>
      </c>
      <c r="O35">
        <f>Database!AH27</f>
        <v/>
      </c>
      <c r="P35">
        <f>Database!AK27</f>
        <v/>
      </c>
      <c r="Q35">
        <f>Database!G27</f>
        <v/>
      </c>
    </row>
    <row r="36">
      <c r="A36">
        <f>Database!B36</f>
        <v/>
      </c>
      <c r="B36">
        <f>IF(AND(Screener!$D$9&lt;&gt;"",Database!$E36=Screener!$D$9),1,0)</f>
        <v/>
      </c>
      <c r="C36">
        <f>IF(AND(Screener!$D$8&lt;&gt;"",Database!$D36=Screener!$D$8),1,0)</f>
        <v/>
      </c>
      <c r="D36">
        <f>IF(OR(Database!$H36="",N(Screener!$D$10)&lt;=0),0,MAX(0,1-ABS(LOG10(Database!$H36/Screener!$D$10))/W_SIZEHW))</f>
        <v/>
      </c>
      <c r="E36">
        <f>IF(OR(Database!$AH36="",Screener!$D$11=""),0,IF(Database!$AH36=Screener!$D$11,1,0))</f>
        <v/>
      </c>
      <c r="F36">
        <f>IF(OR(Database!$AK36="",Screener!$D$12=""),0,IF(Database!$AK36=Screener!$D$12,1,0))</f>
        <v/>
      </c>
      <c r="G36">
        <f>IF(OR(Database!$G36="",N(Screener!$D$13)&lt;=0),0,MAX(0,1-(N(Screener!$D$13)-Database!$G36)/W_RECD))</f>
        <v/>
      </c>
      <c r="H36">
        <f>IF($K$1="",0,N(ISNUMBER(SEARCH($K$1,Database!$T36&amp;""))))+IF($L$1="",0,N(ISNUMBER(SEARCH($L$1,Database!$T36&amp;""))))+IF($M$1="",0,N(ISNUMBER(SEARCH($M$1,Database!$T36&amp;""))))+IF($N$1="",0,N(ISNUMBER(SEARCH($N$1,Database!$T36&amp;""))))+IF($O$1="",0,N(ISNUMBER(SEARCH($O$1,Database!$T36&amp;""))))+IF(Screener!$B$14="",0,N(ISNUMBER(SEARCH(Screener!$B$14,Database!$T36&amp;""))))</f>
        <v/>
      </c>
      <c r="I36">
        <f>IF(OR(Database!$B36=Screener!$B$5,IF(OR(Screener!$B$17="All",AND(Screener!$B$17="With A-share",(Database!$AL36&lt;&gt;"")),AND(Screener!$B$17="Without A-share",NOT((Database!$AL36&lt;&gt;"")))),1,0)=0),-999999,IF(Screener!$B$15="cornerstone overlap first",H36*100000,0)+W_SUB*B36+W_SEC*C36*(1-B36)+W_SIZE*D36+W_PROF*E36+W_AH*F36+W_REC*G36+W_CS*H36)+ROW()/1000000</f>
        <v/>
      </c>
      <c r="K36">
        <f>Database!B28</f>
        <v/>
      </c>
      <c r="L36">
        <f>Database!D28</f>
        <v/>
      </c>
      <c r="M36">
        <f>Database!E28</f>
        <v/>
      </c>
      <c r="N36">
        <f>Database!H28</f>
        <v/>
      </c>
      <c r="O36">
        <f>Database!AH28</f>
        <v/>
      </c>
      <c r="P36">
        <f>Database!AK28</f>
        <v/>
      </c>
      <c r="Q36">
        <f>Database!G28</f>
        <v/>
      </c>
    </row>
    <row r="37">
      <c r="A37">
        <f>Database!B37</f>
        <v/>
      </c>
      <c r="B37">
        <f>IF(AND(Screener!$D$9&lt;&gt;"",Database!$E37=Screener!$D$9),1,0)</f>
        <v/>
      </c>
      <c r="C37">
        <f>IF(AND(Screener!$D$8&lt;&gt;"",Database!$D37=Screener!$D$8),1,0)</f>
        <v/>
      </c>
      <c r="D37">
        <f>IF(OR(Database!$H37="",N(Screener!$D$10)&lt;=0),0,MAX(0,1-ABS(LOG10(Database!$H37/Screener!$D$10))/W_SIZEHW))</f>
        <v/>
      </c>
      <c r="E37">
        <f>IF(OR(Database!$AH37="",Screener!$D$11=""),0,IF(Database!$AH37=Screener!$D$11,1,0))</f>
        <v/>
      </c>
      <c r="F37">
        <f>IF(OR(Database!$AK37="",Screener!$D$12=""),0,IF(Database!$AK37=Screener!$D$12,1,0))</f>
        <v/>
      </c>
      <c r="G37">
        <f>IF(OR(Database!$G37="",N(Screener!$D$13)&lt;=0),0,MAX(0,1-(N(Screener!$D$13)-Database!$G37)/W_RECD))</f>
        <v/>
      </c>
      <c r="H37">
        <f>IF($K$1="",0,N(ISNUMBER(SEARCH($K$1,Database!$T37&amp;""))))+IF($L$1="",0,N(ISNUMBER(SEARCH($L$1,Database!$T37&amp;""))))+IF($M$1="",0,N(ISNUMBER(SEARCH($M$1,Database!$T37&amp;""))))+IF($N$1="",0,N(ISNUMBER(SEARCH($N$1,Database!$T37&amp;""))))+IF($O$1="",0,N(ISNUMBER(SEARCH($O$1,Database!$T37&amp;""))))+IF(Screener!$B$14="",0,N(ISNUMBER(SEARCH(Screener!$B$14,Database!$T37&amp;""))))</f>
        <v/>
      </c>
      <c r="I37">
        <f>IF(OR(Database!$B37=Screener!$B$5,IF(OR(Screener!$B$17="All",AND(Screener!$B$17="With A-share",(Database!$AL37&lt;&gt;"")),AND(Screener!$B$17="Without A-share",NOT((Database!$AL37&lt;&gt;"")))),1,0)=0),-999999,IF(Screener!$B$15="cornerstone overlap first",H37*100000,0)+W_SUB*B37+W_SEC*C37*(1-B37)+W_SIZE*D37+W_PROF*E37+W_AH*F37+W_REC*G37+W_CS*H37)+ROW()/1000000</f>
        <v/>
      </c>
      <c r="K37">
        <f>Database!B29</f>
        <v/>
      </c>
      <c r="L37">
        <f>Database!D29</f>
        <v/>
      </c>
      <c r="M37">
        <f>Database!E29</f>
        <v/>
      </c>
      <c r="N37">
        <f>Database!H29</f>
        <v/>
      </c>
      <c r="O37">
        <f>Database!AH29</f>
        <v/>
      </c>
      <c r="P37">
        <f>Database!AK29</f>
        <v/>
      </c>
      <c r="Q37">
        <f>Database!G29</f>
        <v/>
      </c>
    </row>
    <row r="38">
      <c r="A38">
        <f>Database!B38</f>
        <v/>
      </c>
      <c r="B38">
        <f>IF(AND(Screener!$D$9&lt;&gt;"",Database!$E38=Screener!$D$9),1,0)</f>
        <v/>
      </c>
      <c r="C38">
        <f>IF(AND(Screener!$D$8&lt;&gt;"",Database!$D38=Screener!$D$8),1,0)</f>
        <v/>
      </c>
      <c r="D38">
        <f>IF(OR(Database!$H38="",N(Screener!$D$10)&lt;=0),0,MAX(0,1-ABS(LOG10(Database!$H38/Screener!$D$10))/W_SIZEHW))</f>
        <v/>
      </c>
      <c r="E38">
        <f>IF(OR(Database!$AH38="",Screener!$D$11=""),0,IF(Database!$AH38=Screener!$D$11,1,0))</f>
        <v/>
      </c>
      <c r="F38">
        <f>IF(OR(Database!$AK38="",Screener!$D$12=""),0,IF(Database!$AK38=Screener!$D$12,1,0))</f>
        <v/>
      </c>
      <c r="G38">
        <f>IF(OR(Database!$G38="",N(Screener!$D$13)&lt;=0),0,MAX(0,1-(N(Screener!$D$13)-Database!$G38)/W_RECD))</f>
        <v/>
      </c>
      <c r="H38">
        <f>IF($K$1="",0,N(ISNUMBER(SEARCH($K$1,Database!$T38&amp;""))))+IF($L$1="",0,N(ISNUMBER(SEARCH($L$1,Database!$T38&amp;""))))+IF($M$1="",0,N(ISNUMBER(SEARCH($M$1,Database!$T38&amp;""))))+IF($N$1="",0,N(ISNUMBER(SEARCH($N$1,Database!$T38&amp;""))))+IF($O$1="",0,N(ISNUMBER(SEARCH($O$1,Database!$T38&amp;""))))+IF(Screener!$B$14="",0,N(ISNUMBER(SEARCH(Screener!$B$14,Database!$T38&amp;""))))</f>
        <v/>
      </c>
      <c r="I38">
        <f>IF(OR(Database!$B38=Screener!$B$5,IF(OR(Screener!$B$17="All",AND(Screener!$B$17="With A-share",(Database!$AL38&lt;&gt;"")),AND(Screener!$B$17="Without A-share",NOT((Database!$AL38&lt;&gt;"")))),1,0)=0),-999999,IF(Screener!$B$15="cornerstone overlap first",H38*100000,0)+W_SUB*B38+W_SEC*C38*(1-B38)+W_SIZE*D38+W_PROF*E38+W_AH*F38+W_REC*G38+W_CS*H38)+ROW()/1000000</f>
        <v/>
      </c>
      <c r="K38">
        <f>Database!B30</f>
        <v/>
      </c>
      <c r="L38">
        <f>Database!D30</f>
        <v/>
      </c>
      <c r="M38">
        <f>Database!E30</f>
        <v/>
      </c>
      <c r="N38">
        <f>Database!H30</f>
        <v/>
      </c>
      <c r="O38">
        <f>Database!AH30</f>
        <v/>
      </c>
      <c r="P38">
        <f>Database!AK30</f>
        <v/>
      </c>
      <c r="Q38">
        <f>Database!G30</f>
        <v/>
      </c>
    </row>
    <row r="39">
      <c r="A39">
        <f>Database!B39</f>
        <v/>
      </c>
      <c r="B39">
        <f>IF(AND(Screener!$D$9&lt;&gt;"",Database!$E39=Screener!$D$9),1,0)</f>
        <v/>
      </c>
      <c r="C39">
        <f>IF(AND(Screener!$D$8&lt;&gt;"",Database!$D39=Screener!$D$8),1,0)</f>
        <v/>
      </c>
      <c r="D39">
        <f>IF(OR(Database!$H39="",N(Screener!$D$10)&lt;=0),0,MAX(0,1-ABS(LOG10(Database!$H39/Screener!$D$10))/W_SIZEHW))</f>
        <v/>
      </c>
      <c r="E39">
        <f>IF(OR(Database!$AH39="",Screener!$D$11=""),0,IF(Database!$AH39=Screener!$D$11,1,0))</f>
        <v/>
      </c>
      <c r="F39">
        <f>IF(OR(Database!$AK39="",Screener!$D$12=""),0,IF(Database!$AK39=Screener!$D$12,1,0))</f>
        <v/>
      </c>
      <c r="G39">
        <f>IF(OR(Database!$G39="",N(Screener!$D$13)&lt;=0),0,MAX(0,1-(N(Screener!$D$13)-Database!$G39)/W_RECD))</f>
        <v/>
      </c>
      <c r="H39">
        <f>IF($K$1="",0,N(ISNUMBER(SEARCH($K$1,Database!$T39&amp;""))))+IF($L$1="",0,N(ISNUMBER(SEARCH($L$1,Database!$T39&amp;""))))+IF($M$1="",0,N(ISNUMBER(SEARCH($M$1,Database!$T39&amp;""))))+IF($N$1="",0,N(ISNUMBER(SEARCH($N$1,Database!$T39&amp;""))))+IF($O$1="",0,N(ISNUMBER(SEARCH($O$1,Database!$T39&amp;""))))+IF(Screener!$B$14="",0,N(ISNUMBER(SEARCH(Screener!$B$14,Database!$T39&amp;""))))</f>
        <v/>
      </c>
      <c r="I39">
        <f>IF(OR(Database!$B39=Screener!$B$5,IF(OR(Screener!$B$17="All",AND(Screener!$B$17="With A-share",(Database!$AL39&lt;&gt;"")),AND(Screener!$B$17="Without A-share",NOT((Database!$AL39&lt;&gt;"")))),1,0)=0),-999999,IF(Screener!$B$15="cornerstone overlap first",H39*100000,0)+W_SUB*B39+W_SEC*C39*(1-B39)+W_SIZE*D39+W_PROF*E39+W_AH*F39+W_REC*G39+W_CS*H39)+ROW()/1000000</f>
        <v/>
      </c>
      <c r="K39">
        <f>Database!B31</f>
        <v/>
      </c>
      <c r="L39">
        <f>Database!D31</f>
        <v/>
      </c>
      <c r="M39">
        <f>Database!E31</f>
        <v/>
      </c>
      <c r="N39">
        <f>Database!H31</f>
        <v/>
      </c>
      <c r="O39">
        <f>Database!AH31</f>
        <v/>
      </c>
      <c r="P39">
        <f>Database!AK31</f>
        <v/>
      </c>
      <c r="Q39">
        <f>Database!G31</f>
        <v/>
      </c>
    </row>
    <row r="40">
      <c r="A40">
        <f>Database!B40</f>
        <v/>
      </c>
      <c r="B40">
        <f>IF(AND(Screener!$D$9&lt;&gt;"",Database!$E40=Screener!$D$9),1,0)</f>
        <v/>
      </c>
      <c r="C40">
        <f>IF(AND(Screener!$D$8&lt;&gt;"",Database!$D40=Screener!$D$8),1,0)</f>
        <v/>
      </c>
      <c r="D40">
        <f>IF(OR(Database!$H40="",N(Screener!$D$10)&lt;=0),0,MAX(0,1-ABS(LOG10(Database!$H40/Screener!$D$10))/W_SIZEHW))</f>
        <v/>
      </c>
      <c r="E40">
        <f>IF(OR(Database!$AH40="",Screener!$D$11=""),0,IF(Database!$AH40=Screener!$D$11,1,0))</f>
        <v/>
      </c>
      <c r="F40">
        <f>IF(OR(Database!$AK40="",Screener!$D$12=""),0,IF(Database!$AK40=Screener!$D$12,1,0))</f>
        <v/>
      </c>
      <c r="G40">
        <f>IF(OR(Database!$G40="",N(Screener!$D$13)&lt;=0),0,MAX(0,1-(N(Screener!$D$13)-Database!$G40)/W_RECD))</f>
        <v/>
      </c>
      <c r="H40">
        <f>IF($K$1="",0,N(ISNUMBER(SEARCH($K$1,Database!$T40&amp;""))))+IF($L$1="",0,N(ISNUMBER(SEARCH($L$1,Database!$T40&amp;""))))+IF($M$1="",0,N(ISNUMBER(SEARCH($M$1,Database!$T40&amp;""))))+IF($N$1="",0,N(ISNUMBER(SEARCH($N$1,Database!$T40&amp;""))))+IF($O$1="",0,N(ISNUMBER(SEARCH($O$1,Database!$T40&amp;""))))+IF(Screener!$B$14="",0,N(ISNUMBER(SEARCH(Screener!$B$14,Database!$T40&amp;""))))</f>
        <v/>
      </c>
      <c r="I40">
        <f>IF(OR(Database!$B40=Screener!$B$5,IF(OR(Screener!$B$17="All",AND(Screener!$B$17="With A-share",(Database!$AL40&lt;&gt;"")),AND(Screener!$B$17="Without A-share",NOT((Database!$AL40&lt;&gt;"")))),1,0)=0),-999999,IF(Screener!$B$15="cornerstone overlap first",H40*100000,0)+W_SUB*B40+W_SEC*C40*(1-B40)+W_SIZE*D40+W_PROF*E40+W_AH*F40+W_REC*G40+W_CS*H40)+ROW()/1000000</f>
        <v/>
      </c>
      <c r="K40">
        <f>Database!B32</f>
        <v/>
      </c>
      <c r="L40">
        <f>Database!D32</f>
        <v/>
      </c>
      <c r="M40">
        <f>Database!E32</f>
        <v/>
      </c>
      <c r="N40">
        <f>Database!H32</f>
        <v/>
      </c>
      <c r="O40">
        <f>Database!AH32</f>
        <v/>
      </c>
      <c r="P40">
        <f>Database!AK32</f>
        <v/>
      </c>
      <c r="Q40">
        <f>Database!G32</f>
        <v/>
      </c>
    </row>
    <row r="41">
      <c r="A41">
        <f>Database!B41</f>
        <v/>
      </c>
      <c r="B41">
        <f>IF(AND(Screener!$D$9&lt;&gt;"",Database!$E41=Screener!$D$9),1,0)</f>
        <v/>
      </c>
      <c r="C41">
        <f>IF(AND(Screener!$D$8&lt;&gt;"",Database!$D41=Screener!$D$8),1,0)</f>
        <v/>
      </c>
      <c r="D41">
        <f>IF(OR(Database!$H41="",N(Screener!$D$10)&lt;=0),0,MAX(0,1-ABS(LOG10(Database!$H41/Screener!$D$10))/W_SIZEHW))</f>
        <v/>
      </c>
      <c r="E41">
        <f>IF(OR(Database!$AH41="",Screener!$D$11=""),0,IF(Database!$AH41=Screener!$D$11,1,0))</f>
        <v/>
      </c>
      <c r="F41">
        <f>IF(OR(Database!$AK41="",Screener!$D$12=""),0,IF(Database!$AK41=Screener!$D$12,1,0))</f>
        <v/>
      </c>
      <c r="G41">
        <f>IF(OR(Database!$G41="",N(Screener!$D$13)&lt;=0),0,MAX(0,1-(N(Screener!$D$13)-Database!$G41)/W_RECD))</f>
        <v/>
      </c>
      <c r="H41">
        <f>IF($K$1="",0,N(ISNUMBER(SEARCH($K$1,Database!$T41&amp;""))))+IF($L$1="",0,N(ISNUMBER(SEARCH($L$1,Database!$T41&amp;""))))+IF($M$1="",0,N(ISNUMBER(SEARCH($M$1,Database!$T41&amp;""))))+IF($N$1="",0,N(ISNUMBER(SEARCH($N$1,Database!$T41&amp;""))))+IF($O$1="",0,N(ISNUMBER(SEARCH($O$1,Database!$T41&amp;""))))+IF(Screener!$B$14="",0,N(ISNUMBER(SEARCH(Screener!$B$14,Database!$T41&amp;""))))</f>
        <v/>
      </c>
      <c r="I41">
        <f>IF(OR(Database!$B41=Screener!$B$5,IF(OR(Screener!$B$17="All",AND(Screener!$B$17="With A-share",(Database!$AL41&lt;&gt;"")),AND(Screener!$B$17="Without A-share",NOT((Database!$AL41&lt;&gt;"")))),1,0)=0),-999999,IF(Screener!$B$15="cornerstone overlap first",H41*100000,0)+W_SUB*B41+W_SEC*C41*(1-B41)+W_SIZE*D41+W_PROF*E41+W_AH*F41+W_REC*G41+W_CS*H41)+ROW()/1000000</f>
        <v/>
      </c>
      <c r="K41">
        <f>Database!B33</f>
        <v/>
      </c>
      <c r="L41">
        <f>Database!D33</f>
        <v/>
      </c>
      <c r="M41">
        <f>Database!E33</f>
        <v/>
      </c>
      <c r="N41">
        <f>Database!H33</f>
        <v/>
      </c>
      <c r="O41">
        <f>Database!AH33</f>
        <v/>
      </c>
      <c r="P41">
        <f>Database!AK33</f>
        <v/>
      </c>
      <c r="Q41">
        <f>Database!G33</f>
        <v/>
      </c>
    </row>
    <row r="42">
      <c r="A42">
        <f>Database!B42</f>
        <v/>
      </c>
      <c r="B42">
        <f>IF(AND(Screener!$D$9&lt;&gt;"",Database!$E42=Screener!$D$9),1,0)</f>
        <v/>
      </c>
      <c r="C42">
        <f>IF(AND(Screener!$D$8&lt;&gt;"",Database!$D42=Screener!$D$8),1,0)</f>
        <v/>
      </c>
      <c r="D42">
        <f>IF(OR(Database!$H42="",N(Screener!$D$10)&lt;=0),0,MAX(0,1-ABS(LOG10(Database!$H42/Screener!$D$10))/W_SIZEHW))</f>
        <v/>
      </c>
      <c r="E42">
        <f>IF(OR(Database!$AH42="",Screener!$D$11=""),0,IF(Database!$AH42=Screener!$D$11,1,0))</f>
        <v/>
      </c>
      <c r="F42">
        <f>IF(OR(Database!$AK42="",Screener!$D$12=""),0,IF(Database!$AK42=Screener!$D$12,1,0))</f>
        <v/>
      </c>
      <c r="G42">
        <f>IF(OR(Database!$G42="",N(Screener!$D$13)&lt;=0),0,MAX(0,1-(N(Screener!$D$13)-Database!$G42)/W_RECD))</f>
        <v/>
      </c>
      <c r="H42">
        <f>IF($K$1="",0,N(ISNUMBER(SEARCH($K$1,Database!$T42&amp;""))))+IF($L$1="",0,N(ISNUMBER(SEARCH($L$1,Database!$T42&amp;""))))+IF($M$1="",0,N(ISNUMBER(SEARCH($M$1,Database!$T42&amp;""))))+IF($N$1="",0,N(ISNUMBER(SEARCH($N$1,Database!$T42&amp;""))))+IF($O$1="",0,N(ISNUMBER(SEARCH($O$1,Database!$T42&amp;""))))+IF(Screener!$B$14="",0,N(ISNUMBER(SEARCH(Screener!$B$14,Database!$T42&amp;""))))</f>
        <v/>
      </c>
      <c r="I42">
        <f>IF(OR(Database!$B42=Screener!$B$5,IF(OR(Screener!$B$17="All",AND(Screener!$B$17="With A-share",(Database!$AL42&lt;&gt;"")),AND(Screener!$B$17="Without A-share",NOT((Database!$AL42&lt;&gt;"")))),1,0)=0),-999999,IF(Screener!$B$15="cornerstone overlap first",H42*100000,0)+W_SUB*B42+W_SEC*C42*(1-B42)+W_SIZE*D42+W_PROF*E42+W_AH*F42+W_REC*G42+W_CS*H42)+ROW()/1000000</f>
        <v/>
      </c>
      <c r="K42">
        <f>Database!B34</f>
        <v/>
      </c>
      <c r="L42">
        <f>Database!D34</f>
        <v/>
      </c>
      <c r="M42">
        <f>Database!E34</f>
        <v/>
      </c>
      <c r="N42">
        <f>Database!H34</f>
        <v/>
      </c>
      <c r="O42">
        <f>Database!AH34</f>
        <v/>
      </c>
      <c r="P42">
        <f>Database!AK34</f>
        <v/>
      </c>
      <c r="Q42">
        <f>Database!G34</f>
        <v/>
      </c>
    </row>
    <row r="43">
      <c r="A43">
        <f>Database!B43</f>
        <v/>
      </c>
      <c r="B43">
        <f>IF(AND(Screener!$D$9&lt;&gt;"",Database!$E43=Screener!$D$9),1,0)</f>
        <v/>
      </c>
      <c r="C43">
        <f>IF(AND(Screener!$D$8&lt;&gt;"",Database!$D43=Screener!$D$8),1,0)</f>
        <v/>
      </c>
      <c r="D43">
        <f>IF(OR(Database!$H43="",N(Screener!$D$10)&lt;=0),0,MAX(0,1-ABS(LOG10(Database!$H43/Screener!$D$10))/W_SIZEHW))</f>
        <v/>
      </c>
      <c r="E43">
        <f>IF(OR(Database!$AH43="",Screener!$D$11=""),0,IF(Database!$AH43=Screener!$D$11,1,0))</f>
        <v/>
      </c>
      <c r="F43">
        <f>IF(OR(Database!$AK43="",Screener!$D$12=""),0,IF(Database!$AK43=Screener!$D$12,1,0))</f>
        <v/>
      </c>
      <c r="G43">
        <f>IF(OR(Database!$G43="",N(Screener!$D$13)&lt;=0),0,MAX(0,1-(N(Screener!$D$13)-Database!$G43)/W_RECD))</f>
        <v/>
      </c>
      <c r="H43">
        <f>IF($K$1="",0,N(ISNUMBER(SEARCH($K$1,Database!$T43&amp;""))))+IF($L$1="",0,N(ISNUMBER(SEARCH($L$1,Database!$T43&amp;""))))+IF($M$1="",0,N(ISNUMBER(SEARCH($M$1,Database!$T43&amp;""))))+IF($N$1="",0,N(ISNUMBER(SEARCH($N$1,Database!$T43&amp;""))))+IF($O$1="",0,N(ISNUMBER(SEARCH($O$1,Database!$T43&amp;""))))+IF(Screener!$B$14="",0,N(ISNUMBER(SEARCH(Screener!$B$14,Database!$T43&amp;""))))</f>
        <v/>
      </c>
      <c r="I43">
        <f>IF(OR(Database!$B43=Screener!$B$5,IF(OR(Screener!$B$17="All",AND(Screener!$B$17="With A-share",(Database!$AL43&lt;&gt;"")),AND(Screener!$B$17="Without A-share",NOT((Database!$AL43&lt;&gt;"")))),1,0)=0),-999999,IF(Screener!$B$15="cornerstone overlap first",H43*100000,0)+W_SUB*B43+W_SEC*C43*(1-B43)+W_SIZE*D43+W_PROF*E43+W_AH*F43+W_REC*G43+W_CS*H43)+ROW()/1000000</f>
        <v/>
      </c>
      <c r="K43">
        <f>Database!B35</f>
        <v/>
      </c>
      <c r="L43">
        <f>Database!D35</f>
        <v/>
      </c>
      <c r="M43">
        <f>Database!E35</f>
        <v/>
      </c>
      <c r="N43">
        <f>Database!H35</f>
        <v/>
      </c>
      <c r="O43">
        <f>Database!AH35</f>
        <v/>
      </c>
      <c r="P43">
        <f>Database!AK35</f>
        <v/>
      </c>
      <c r="Q43">
        <f>Database!G35</f>
        <v/>
      </c>
    </row>
    <row r="44">
      <c r="A44">
        <f>Database!B44</f>
        <v/>
      </c>
      <c r="B44">
        <f>IF(AND(Screener!$D$9&lt;&gt;"",Database!$E44=Screener!$D$9),1,0)</f>
        <v/>
      </c>
      <c r="C44">
        <f>IF(AND(Screener!$D$8&lt;&gt;"",Database!$D44=Screener!$D$8),1,0)</f>
        <v/>
      </c>
      <c r="D44">
        <f>IF(OR(Database!$H44="",N(Screener!$D$10)&lt;=0),0,MAX(0,1-ABS(LOG10(Database!$H44/Screener!$D$10))/W_SIZEHW))</f>
        <v/>
      </c>
      <c r="E44">
        <f>IF(OR(Database!$AH44="",Screener!$D$11=""),0,IF(Database!$AH44=Screener!$D$11,1,0))</f>
        <v/>
      </c>
      <c r="F44">
        <f>IF(OR(Database!$AK44="",Screener!$D$12=""),0,IF(Database!$AK44=Screener!$D$12,1,0))</f>
        <v/>
      </c>
      <c r="G44">
        <f>IF(OR(Database!$G44="",N(Screener!$D$13)&lt;=0),0,MAX(0,1-(N(Screener!$D$13)-Database!$G44)/W_RECD))</f>
        <v/>
      </c>
      <c r="H44">
        <f>IF($K$1="",0,N(ISNUMBER(SEARCH($K$1,Database!$T44&amp;""))))+IF($L$1="",0,N(ISNUMBER(SEARCH($L$1,Database!$T44&amp;""))))+IF($M$1="",0,N(ISNUMBER(SEARCH($M$1,Database!$T44&amp;""))))+IF($N$1="",0,N(ISNUMBER(SEARCH($N$1,Database!$T44&amp;""))))+IF($O$1="",0,N(ISNUMBER(SEARCH($O$1,Database!$T44&amp;""))))+IF(Screener!$B$14="",0,N(ISNUMBER(SEARCH(Screener!$B$14,Database!$T44&amp;""))))</f>
        <v/>
      </c>
      <c r="I44">
        <f>IF(OR(Database!$B44=Screener!$B$5,IF(OR(Screener!$B$17="All",AND(Screener!$B$17="With A-share",(Database!$AL44&lt;&gt;"")),AND(Screener!$B$17="Without A-share",NOT((Database!$AL44&lt;&gt;"")))),1,0)=0),-999999,IF(Screener!$B$15="cornerstone overlap first",H44*100000,0)+W_SUB*B44+W_SEC*C44*(1-B44)+W_SIZE*D44+W_PROF*E44+W_AH*F44+W_REC*G44+W_CS*H44)+ROW()/1000000</f>
        <v/>
      </c>
      <c r="K44">
        <f>Database!B36</f>
        <v/>
      </c>
      <c r="L44">
        <f>Database!D36</f>
        <v/>
      </c>
      <c r="M44">
        <f>Database!E36</f>
        <v/>
      </c>
      <c r="N44">
        <f>Database!H36</f>
        <v/>
      </c>
      <c r="O44">
        <f>Database!AH36</f>
        <v/>
      </c>
      <c r="P44">
        <f>Database!AK36</f>
        <v/>
      </c>
      <c r="Q44">
        <f>Database!G36</f>
        <v/>
      </c>
    </row>
    <row r="45">
      <c r="A45">
        <f>Database!B45</f>
        <v/>
      </c>
      <c r="B45">
        <f>IF(AND(Screener!$D$9&lt;&gt;"",Database!$E45=Screener!$D$9),1,0)</f>
        <v/>
      </c>
      <c r="C45">
        <f>IF(AND(Screener!$D$8&lt;&gt;"",Database!$D45=Screener!$D$8),1,0)</f>
        <v/>
      </c>
      <c r="D45">
        <f>IF(OR(Database!$H45="",N(Screener!$D$10)&lt;=0),0,MAX(0,1-ABS(LOG10(Database!$H45/Screener!$D$10))/W_SIZEHW))</f>
        <v/>
      </c>
      <c r="E45">
        <f>IF(OR(Database!$AH45="",Screener!$D$11=""),0,IF(Database!$AH45=Screener!$D$11,1,0))</f>
        <v/>
      </c>
      <c r="F45">
        <f>IF(OR(Database!$AK45="",Screener!$D$12=""),0,IF(Database!$AK45=Screener!$D$12,1,0))</f>
        <v/>
      </c>
      <c r="G45">
        <f>IF(OR(Database!$G45="",N(Screener!$D$13)&lt;=0),0,MAX(0,1-(N(Screener!$D$13)-Database!$G45)/W_RECD))</f>
        <v/>
      </c>
      <c r="H45">
        <f>IF($K$1="",0,N(ISNUMBER(SEARCH($K$1,Database!$T45&amp;""))))+IF($L$1="",0,N(ISNUMBER(SEARCH($L$1,Database!$T45&amp;""))))+IF($M$1="",0,N(ISNUMBER(SEARCH($M$1,Database!$T45&amp;""))))+IF($N$1="",0,N(ISNUMBER(SEARCH($N$1,Database!$T45&amp;""))))+IF($O$1="",0,N(ISNUMBER(SEARCH($O$1,Database!$T45&amp;""))))+IF(Screener!$B$14="",0,N(ISNUMBER(SEARCH(Screener!$B$14,Database!$T45&amp;""))))</f>
        <v/>
      </c>
      <c r="I45">
        <f>IF(OR(Database!$B45=Screener!$B$5,IF(OR(Screener!$B$17="All",AND(Screener!$B$17="With A-share",(Database!$AL45&lt;&gt;"")),AND(Screener!$B$17="Without A-share",NOT((Database!$AL45&lt;&gt;"")))),1,0)=0),-999999,IF(Screener!$B$15="cornerstone overlap first",H45*100000,0)+W_SUB*B45+W_SEC*C45*(1-B45)+W_SIZE*D45+W_PROF*E45+W_AH*F45+W_REC*G45+W_CS*H45)+ROW()/1000000</f>
        <v/>
      </c>
      <c r="K45">
        <f>Database!B37</f>
        <v/>
      </c>
      <c r="L45">
        <f>Database!D37</f>
        <v/>
      </c>
      <c r="M45">
        <f>Database!E37</f>
        <v/>
      </c>
      <c r="N45">
        <f>Database!H37</f>
        <v/>
      </c>
      <c r="O45">
        <f>Database!AH37</f>
        <v/>
      </c>
      <c r="P45">
        <f>Database!AK37</f>
        <v/>
      </c>
      <c r="Q45">
        <f>Database!G37</f>
        <v/>
      </c>
    </row>
    <row r="46">
      <c r="A46">
        <f>Database!B46</f>
        <v/>
      </c>
      <c r="B46">
        <f>IF(AND(Screener!$D$9&lt;&gt;"",Database!$E46=Screener!$D$9),1,0)</f>
        <v/>
      </c>
      <c r="C46">
        <f>IF(AND(Screener!$D$8&lt;&gt;"",Database!$D46=Screener!$D$8),1,0)</f>
        <v/>
      </c>
      <c r="D46">
        <f>IF(OR(Database!$H46="",N(Screener!$D$10)&lt;=0),0,MAX(0,1-ABS(LOG10(Database!$H46/Screener!$D$10))/W_SIZEHW))</f>
        <v/>
      </c>
      <c r="E46">
        <f>IF(OR(Database!$AH46="",Screener!$D$11=""),0,IF(Database!$AH46=Screener!$D$11,1,0))</f>
        <v/>
      </c>
      <c r="F46">
        <f>IF(OR(Database!$AK46="",Screener!$D$12=""),0,IF(Database!$AK46=Screener!$D$12,1,0))</f>
        <v/>
      </c>
      <c r="G46">
        <f>IF(OR(Database!$G46="",N(Screener!$D$13)&lt;=0),0,MAX(0,1-(N(Screener!$D$13)-Database!$G46)/W_RECD))</f>
        <v/>
      </c>
      <c r="H46">
        <f>IF($K$1="",0,N(ISNUMBER(SEARCH($K$1,Database!$T46&amp;""))))+IF($L$1="",0,N(ISNUMBER(SEARCH($L$1,Database!$T46&amp;""))))+IF($M$1="",0,N(ISNUMBER(SEARCH($M$1,Database!$T46&amp;""))))+IF($N$1="",0,N(ISNUMBER(SEARCH($N$1,Database!$T46&amp;""))))+IF($O$1="",0,N(ISNUMBER(SEARCH($O$1,Database!$T46&amp;""))))+IF(Screener!$B$14="",0,N(ISNUMBER(SEARCH(Screener!$B$14,Database!$T46&amp;""))))</f>
        <v/>
      </c>
      <c r="I46">
        <f>IF(OR(Database!$B46=Screener!$B$5,IF(OR(Screener!$B$17="All",AND(Screener!$B$17="With A-share",(Database!$AL46&lt;&gt;"")),AND(Screener!$B$17="Without A-share",NOT((Database!$AL46&lt;&gt;"")))),1,0)=0),-999999,IF(Screener!$B$15="cornerstone overlap first",H46*100000,0)+W_SUB*B46+W_SEC*C46*(1-B46)+W_SIZE*D46+W_PROF*E46+W_AH*F46+W_REC*G46+W_CS*H46)+ROW()/1000000</f>
        <v/>
      </c>
      <c r="K46">
        <f>Database!B38</f>
        <v/>
      </c>
      <c r="L46">
        <f>Database!D38</f>
        <v/>
      </c>
      <c r="M46">
        <f>Database!E38</f>
        <v/>
      </c>
      <c r="N46">
        <f>Database!H38</f>
        <v/>
      </c>
      <c r="O46">
        <f>Database!AH38</f>
        <v/>
      </c>
      <c r="P46">
        <f>Database!AK38</f>
        <v/>
      </c>
      <c r="Q46">
        <f>Database!G38</f>
        <v/>
      </c>
    </row>
    <row r="47">
      <c r="A47">
        <f>Database!B47</f>
        <v/>
      </c>
      <c r="B47">
        <f>IF(AND(Screener!$D$9&lt;&gt;"",Database!$E47=Screener!$D$9),1,0)</f>
        <v/>
      </c>
      <c r="C47">
        <f>IF(AND(Screener!$D$8&lt;&gt;"",Database!$D47=Screener!$D$8),1,0)</f>
        <v/>
      </c>
      <c r="D47">
        <f>IF(OR(Database!$H47="",N(Screener!$D$10)&lt;=0),0,MAX(0,1-ABS(LOG10(Database!$H47/Screener!$D$10))/W_SIZEHW))</f>
        <v/>
      </c>
      <c r="E47">
        <f>IF(OR(Database!$AH47="",Screener!$D$11=""),0,IF(Database!$AH47=Screener!$D$11,1,0))</f>
        <v/>
      </c>
      <c r="F47">
        <f>IF(OR(Database!$AK47="",Screener!$D$12=""),0,IF(Database!$AK47=Screener!$D$12,1,0))</f>
        <v/>
      </c>
      <c r="G47">
        <f>IF(OR(Database!$G47="",N(Screener!$D$13)&lt;=0),0,MAX(0,1-(N(Screener!$D$13)-Database!$G47)/W_RECD))</f>
        <v/>
      </c>
      <c r="H47">
        <f>IF($K$1="",0,N(ISNUMBER(SEARCH($K$1,Database!$T47&amp;""))))+IF($L$1="",0,N(ISNUMBER(SEARCH($L$1,Database!$T47&amp;""))))+IF($M$1="",0,N(ISNUMBER(SEARCH($M$1,Database!$T47&amp;""))))+IF($N$1="",0,N(ISNUMBER(SEARCH($N$1,Database!$T47&amp;""))))+IF($O$1="",0,N(ISNUMBER(SEARCH($O$1,Database!$T47&amp;""))))+IF(Screener!$B$14="",0,N(ISNUMBER(SEARCH(Screener!$B$14,Database!$T47&amp;""))))</f>
        <v/>
      </c>
      <c r="I47">
        <f>IF(OR(Database!$B47=Screener!$B$5,IF(OR(Screener!$B$17="All",AND(Screener!$B$17="With A-share",(Database!$AL47&lt;&gt;"")),AND(Screener!$B$17="Without A-share",NOT((Database!$AL47&lt;&gt;"")))),1,0)=0),-999999,IF(Screener!$B$15="cornerstone overlap first",H47*100000,0)+W_SUB*B47+W_SEC*C47*(1-B47)+W_SIZE*D47+W_PROF*E47+W_AH*F47+W_REC*G47+W_CS*H47)+ROW()/1000000</f>
        <v/>
      </c>
      <c r="K47">
        <f>Database!B39</f>
        <v/>
      </c>
      <c r="L47">
        <f>Database!D39</f>
        <v/>
      </c>
      <c r="M47">
        <f>Database!E39</f>
        <v/>
      </c>
      <c r="N47">
        <f>Database!H39</f>
        <v/>
      </c>
      <c r="O47">
        <f>Database!AH39</f>
        <v/>
      </c>
      <c r="P47">
        <f>Database!AK39</f>
        <v/>
      </c>
      <c r="Q47">
        <f>Database!G39</f>
        <v/>
      </c>
    </row>
    <row r="48">
      <c r="A48">
        <f>Database!B48</f>
        <v/>
      </c>
      <c r="B48">
        <f>IF(AND(Screener!$D$9&lt;&gt;"",Database!$E48=Screener!$D$9),1,0)</f>
        <v/>
      </c>
      <c r="C48">
        <f>IF(AND(Screener!$D$8&lt;&gt;"",Database!$D48=Screener!$D$8),1,0)</f>
        <v/>
      </c>
      <c r="D48">
        <f>IF(OR(Database!$H48="",N(Screener!$D$10)&lt;=0),0,MAX(0,1-ABS(LOG10(Database!$H48/Screener!$D$10))/W_SIZEHW))</f>
        <v/>
      </c>
      <c r="E48">
        <f>IF(OR(Database!$AH48="",Screener!$D$11=""),0,IF(Database!$AH48=Screener!$D$11,1,0))</f>
        <v/>
      </c>
      <c r="F48">
        <f>IF(OR(Database!$AK48="",Screener!$D$12=""),0,IF(Database!$AK48=Screener!$D$12,1,0))</f>
        <v/>
      </c>
      <c r="G48">
        <f>IF(OR(Database!$G48="",N(Screener!$D$13)&lt;=0),0,MAX(0,1-(N(Screener!$D$13)-Database!$G48)/W_RECD))</f>
        <v/>
      </c>
      <c r="H48">
        <f>IF($K$1="",0,N(ISNUMBER(SEARCH($K$1,Database!$T48&amp;""))))+IF($L$1="",0,N(ISNUMBER(SEARCH($L$1,Database!$T48&amp;""))))+IF($M$1="",0,N(ISNUMBER(SEARCH($M$1,Database!$T48&amp;""))))+IF($N$1="",0,N(ISNUMBER(SEARCH($N$1,Database!$T48&amp;""))))+IF($O$1="",0,N(ISNUMBER(SEARCH($O$1,Database!$T48&amp;""))))+IF(Screener!$B$14="",0,N(ISNUMBER(SEARCH(Screener!$B$14,Database!$T48&amp;""))))</f>
        <v/>
      </c>
      <c r="I48">
        <f>IF(OR(Database!$B48=Screener!$B$5,IF(OR(Screener!$B$17="All",AND(Screener!$B$17="With A-share",(Database!$AL48&lt;&gt;"")),AND(Screener!$B$17="Without A-share",NOT((Database!$AL48&lt;&gt;"")))),1,0)=0),-999999,IF(Screener!$B$15="cornerstone overlap first",H48*100000,0)+W_SUB*B48+W_SEC*C48*(1-B48)+W_SIZE*D48+W_PROF*E48+W_AH*F48+W_REC*G48+W_CS*H48)+ROW()/1000000</f>
        <v/>
      </c>
      <c r="K48">
        <f>Database!B40</f>
        <v/>
      </c>
      <c r="L48">
        <f>Database!D40</f>
        <v/>
      </c>
      <c r="M48">
        <f>Database!E40</f>
        <v/>
      </c>
      <c r="N48">
        <f>Database!H40</f>
        <v/>
      </c>
      <c r="O48">
        <f>Database!AH40</f>
        <v/>
      </c>
      <c r="P48">
        <f>Database!AK40</f>
        <v/>
      </c>
      <c r="Q48">
        <f>Database!G40</f>
        <v/>
      </c>
    </row>
    <row r="49">
      <c r="A49">
        <f>Database!B49</f>
        <v/>
      </c>
      <c r="B49">
        <f>IF(AND(Screener!$D$9&lt;&gt;"",Database!$E49=Screener!$D$9),1,0)</f>
        <v/>
      </c>
      <c r="C49">
        <f>IF(AND(Screener!$D$8&lt;&gt;"",Database!$D49=Screener!$D$8),1,0)</f>
        <v/>
      </c>
      <c r="D49">
        <f>IF(OR(Database!$H49="",N(Screener!$D$10)&lt;=0),0,MAX(0,1-ABS(LOG10(Database!$H49/Screener!$D$10))/W_SIZEHW))</f>
        <v/>
      </c>
      <c r="E49">
        <f>IF(OR(Database!$AH49="",Screener!$D$11=""),0,IF(Database!$AH49=Screener!$D$11,1,0))</f>
        <v/>
      </c>
      <c r="F49">
        <f>IF(OR(Database!$AK49="",Screener!$D$12=""),0,IF(Database!$AK49=Screener!$D$12,1,0))</f>
        <v/>
      </c>
      <c r="G49">
        <f>IF(OR(Database!$G49="",N(Screener!$D$13)&lt;=0),0,MAX(0,1-(N(Screener!$D$13)-Database!$G49)/W_RECD))</f>
        <v/>
      </c>
      <c r="H49">
        <f>IF($K$1="",0,N(ISNUMBER(SEARCH($K$1,Database!$T49&amp;""))))+IF($L$1="",0,N(ISNUMBER(SEARCH($L$1,Database!$T49&amp;""))))+IF($M$1="",0,N(ISNUMBER(SEARCH($M$1,Database!$T49&amp;""))))+IF($N$1="",0,N(ISNUMBER(SEARCH($N$1,Database!$T49&amp;""))))+IF($O$1="",0,N(ISNUMBER(SEARCH($O$1,Database!$T49&amp;""))))+IF(Screener!$B$14="",0,N(ISNUMBER(SEARCH(Screener!$B$14,Database!$T49&amp;""))))</f>
        <v/>
      </c>
      <c r="I49">
        <f>IF(OR(Database!$B49=Screener!$B$5,IF(OR(Screener!$B$17="All",AND(Screener!$B$17="With A-share",(Database!$AL49&lt;&gt;"")),AND(Screener!$B$17="Without A-share",NOT((Database!$AL49&lt;&gt;"")))),1,0)=0),-999999,IF(Screener!$B$15="cornerstone overlap first",H49*100000,0)+W_SUB*B49+W_SEC*C49*(1-B49)+W_SIZE*D49+W_PROF*E49+W_AH*F49+W_REC*G49+W_CS*H49)+ROW()/1000000</f>
        <v/>
      </c>
      <c r="K49">
        <f>Database!B41</f>
        <v/>
      </c>
      <c r="L49">
        <f>Database!D41</f>
        <v/>
      </c>
      <c r="M49">
        <f>Database!E41</f>
        <v/>
      </c>
      <c r="N49">
        <f>Database!H41</f>
        <v/>
      </c>
      <c r="O49">
        <f>Database!AH41</f>
        <v/>
      </c>
      <c r="P49">
        <f>Database!AK41</f>
        <v/>
      </c>
      <c r="Q49">
        <f>Database!G41</f>
        <v/>
      </c>
    </row>
    <row r="50">
      <c r="A50">
        <f>Database!B50</f>
        <v/>
      </c>
      <c r="B50">
        <f>IF(AND(Screener!$D$9&lt;&gt;"",Database!$E50=Screener!$D$9),1,0)</f>
        <v/>
      </c>
      <c r="C50">
        <f>IF(AND(Screener!$D$8&lt;&gt;"",Database!$D50=Screener!$D$8),1,0)</f>
        <v/>
      </c>
      <c r="D50">
        <f>IF(OR(Database!$H50="",N(Screener!$D$10)&lt;=0),0,MAX(0,1-ABS(LOG10(Database!$H50/Screener!$D$10))/W_SIZEHW))</f>
        <v/>
      </c>
      <c r="E50">
        <f>IF(OR(Database!$AH50="",Screener!$D$11=""),0,IF(Database!$AH50=Screener!$D$11,1,0))</f>
        <v/>
      </c>
      <c r="F50">
        <f>IF(OR(Database!$AK50="",Screener!$D$12=""),0,IF(Database!$AK50=Screener!$D$12,1,0))</f>
        <v/>
      </c>
      <c r="G50">
        <f>IF(OR(Database!$G50="",N(Screener!$D$13)&lt;=0),0,MAX(0,1-(N(Screener!$D$13)-Database!$G50)/W_RECD))</f>
        <v/>
      </c>
      <c r="H50">
        <f>IF($K$1="",0,N(ISNUMBER(SEARCH($K$1,Database!$T50&amp;""))))+IF($L$1="",0,N(ISNUMBER(SEARCH($L$1,Database!$T50&amp;""))))+IF($M$1="",0,N(ISNUMBER(SEARCH($M$1,Database!$T50&amp;""))))+IF($N$1="",0,N(ISNUMBER(SEARCH($N$1,Database!$T50&amp;""))))+IF($O$1="",0,N(ISNUMBER(SEARCH($O$1,Database!$T50&amp;""))))+IF(Screener!$B$14="",0,N(ISNUMBER(SEARCH(Screener!$B$14,Database!$T50&amp;""))))</f>
        <v/>
      </c>
      <c r="I50">
        <f>IF(OR(Database!$B50=Screener!$B$5,IF(OR(Screener!$B$17="All",AND(Screener!$B$17="With A-share",(Database!$AL50&lt;&gt;"")),AND(Screener!$B$17="Without A-share",NOT((Database!$AL50&lt;&gt;"")))),1,0)=0),-999999,IF(Screener!$B$15="cornerstone overlap first",H50*100000,0)+W_SUB*B50+W_SEC*C50*(1-B50)+W_SIZE*D50+W_PROF*E50+W_AH*F50+W_REC*G50+W_CS*H50)+ROW()/1000000</f>
        <v/>
      </c>
      <c r="K50">
        <f>Database!B42</f>
        <v/>
      </c>
      <c r="L50">
        <f>Database!D42</f>
        <v/>
      </c>
      <c r="M50">
        <f>Database!E42</f>
        <v/>
      </c>
      <c r="N50">
        <f>Database!H42</f>
        <v/>
      </c>
      <c r="O50">
        <f>Database!AH42</f>
        <v/>
      </c>
      <c r="P50">
        <f>Database!AK42</f>
        <v/>
      </c>
      <c r="Q50">
        <f>Database!G42</f>
        <v/>
      </c>
    </row>
    <row r="51">
      <c r="A51">
        <f>Database!B51</f>
        <v/>
      </c>
      <c r="B51">
        <f>IF(AND(Screener!$D$9&lt;&gt;"",Database!$E51=Screener!$D$9),1,0)</f>
        <v/>
      </c>
      <c r="C51">
        <f>IF(AND(Screener!$D$8&lt;&gt;"",Database!$D51=Screener!$D$8),1,0)</f>
        <v/>
      </c>
      <c r="D51">
        <f>IF(OR(Database!$H51="",N(Screener!$D$10)&lt;=0),0,MAX(0,1-ABS(LOG10(Database!$H51/Screener!$D$10))/W_SIZEHW))</f>
        <v/>
      </c>
      <c r="E51">
        <f>IF(OR(Database!$AH51="",Screener!$D$11=""),0,IF(Database!$AH51=Screener!$D$11,1,0))</f>
        <v/>
      </c>
      <c r="F51">
        <f>IF(OR(Database!$AK51="",Screener!$D$12=""),0,IF(Database!$AK51=Screener!$D$12,1,0))</f>
        <v/>
      </c>
      <c r="G51">
        <f>IF(OR(Database!$G51="",N(Screener!$D$13)&lt;=0),0,MAX(0,1-(N(Screener!$D$13)-Database!$G51)/W_RECD))</f>
        <v/>
      </c>
      <c r="H51">
        <f>IF($K$1="",0,N(ISNUMBER(SEARCH($K$1,Database!$T51&amp;""))))+IF($L$1="",0,N(ISNUMBER(SEARCH($L$1,Database!$T51&amp;""))))+IF($M$1="",0,N(ISNUMBER(SEARCH($M$1,Database!$T51&amp;""))))+IF($N$1="",0,N(ISNUMBER(SEARCH($N$1,Database!$T51&amp;""))))+IF($O$1="",0,N(ISNUMBER(SEARCH($O$1,Database!$T51&amp;""))))+IF(Screener!$B$14="",0,N(ISNUMBER(SEARCH(Screener!$B$14,Database!$T51&amp;""))))</f>
        <v/>
      </c>
      <c r="I51">
        <f>IF(OR(Database!$B51=Screener!$B$5,IF(OR(Screener!$B$17="All",AND(Screener!$B$17="With A-share",(Database!$AL51&lt;&gt;"")),AND(Screener!$B$17="Without A-share",NOT((Database!$AL51&lt;&gt;"")))),1,0)=0),-999999,IF(Screener!$B$15="cornerstone overlap first",H51*100000,0)+W_SUB*B51+W_SEC*C51*(1-B51)+W_SIZE*D51+W_PROF*E51+W_AH*F51+W_REC*G51+W_CS*H51)+ROW()/1000000</f>
        <v/>
      </c>
      <c r="K51">
        <f>Database!B43</f>
        <v/>
      </c>
      <c r="L51">
        <f>Database!D43</f>
        <v/>
      </c>
      <c r="M51">
        <f>Database!E43</f>
        <v/>
      </c>
      <c r="N51">
        <f>Database!H43</f>
        <v/>
      </c>
      <c r="O51">
        <f>Database!AH43</f>
        <v/>
      </c>
      <c r="P51">
        <f>Database!AK43</f>
        <v/>
      </c>
      <c r="Q51">
        <f>Database!G43</f>
        <v/>
      </c>
    </row>
    <row r="52">
      <c r="A52">
        <f>Database!B52</f>
        <v/>
      </c>
      <c r="B52">
        <f>IF(AND(Screener!$D$9&lt;&gt;"",Database!$E52=Screener!$D$9),1,0)</f>
        <v/>
      </c>
      <c r="C52">
        <f>IF(AND(Screener!$D$8&lt;&gt;"",Database!$D52=Screener!$D$8),1,0)</f>
        <v/>
      </c>
      <c r="D52">
        <f>IF(OR(Database!$H52="",N(Screener!$D$10)&lt;=0),0,MAX(0,1-ABS(LOG10(Database!$H52/Screener!$D$10))/W_SIZEHW))</f>
        <v/>
      </c>
      <c r="E52">
        <f>IF(OR(Database!$AH52="",Screener!$D$11=""),0,IF(Database!$AH52=Screener!$D$11,1,0))</f>
        <v/>
      </c>
      <c r="F52">
        <f>IF(OR(Database!$AK52="",Screener!$D$12=""),0,IF(Database!$AK52=Screener!$D$12,1,0))</f>
        <v/>
      </c>
      <c r="G52">
        <f>IF(OR(Database!$G52="",N(Screener!$D$13)&lt;=0),0,MAX(0,1-(N(Screener!$D$13)-Database!$G52)/W_RECD))</f>
        <v/>
      </c>
      <c r="H52">
        <f>IF($K$1="",0,N(ISNUMBER(SEARCH($K$1,Database!$T52&amp;""))))+IF($L$1="",0,N(ISNUMBER(SEARCH($L$1,Database!$T52&amp;""))))+IF($M$1="",0,N(ISNUMBER(SEARCH($M$1,Database!$T52&amp;""))))+IF($N$1="",0,N(ISNUMBER(SEARCH($N$1,Database!$T52&amp;""))))+IF($O$1="",0,N(ISNUMBER(SEARCH($O$1,Database!$T52&amp;""))))+IF(Screener!$B$14="",0,N(ISNUMBER(SEARCH(Screener!$B$14,Database!$T52&amp;""))))</f>
        <v/>
      </c>
      <c r="I52">
        <f>IF(OR(Database!$B52=Screener!$B$5,IF(OR(Screener!$B$17="All",AND(Screener!$B$17="With A-share",(Database!$AL52&lt;&gt;"")),AND(Screener!$B$17="Without A-share",NOT((Database!$AL52&lt;&gt;"")))),1,0)=0),-999999,IF(Screener!$B$15="cornerstone overlap first",H52*100000,0)+W_SUB*B52+W_SEC*C52*(1-B52)+W_SIZE*D52+W_PROF*E52+W_AH*F52+W_REC*G52+W_CS*H52)+ROW()/1000000</f>
        <v/>
      </c>
      <c r="K52">
        <f>Database!B44</f>
        <v/>
      </c>
      <c r="L52">
        <f>Database!D44</f>
        <v/>
      </c>
      <c r="M52">
        <f>Database!E44</f>
        <v/>
      </c>
      <c r="N52">
        <f>Database!H44</f>
        <v/>
      </c>
      <c r="O52">
        <f>Database!AH44</f>
        <v/>
      </c>
      <c r="P52">
        <f>Database!AK44</f>
        <v/>
      </c>
      <c r="Q52">
        <f>Database!G44</f>
        <v/>
      </c>
    </row>
    <row r="53">
      <c r="A53">
        <f>Database!B53</f>
        <v/>
      </c>
      <c r="B53">
        <f>IF(AND(Screener!$D$9&lt;&gt;"",Database!$E53=Screener!$D$9),1,0)</f>
        <v/>
      </c>
      <c r="C53">
        <f>IF(AND(Screener!$D$8&lt;&gt;"",Database!$D53=Screener!$D$8),1,0)</f>
        <v/>
      </c>
      <c r="D53">
        <f>IF(OR(Database!$H53="",N(Screener!$D$10)&lt;=0),0,MAX(0,1-ABS(LOG10(Database!$H53/Screener!$D$10))/W_SIZEHW))</f>
        <v/>
      </c>
      <c r="E53">
        <f>IF(OR(Database!$AH53="",Screener!$D$11=""),0,IF(Database!$AH53=Screener!$D$11,1,0))</f>
        <v/>
      </c>
      <c r="F53">
        <f>IF(OR(Database!$AK53="",Screener!$D$12=""),0,IF(Database!$AK53=Screener!$D$12,1,0))</f>
        <v/>
      </c>
      <c r="G53">
        <f>IF(OR(Database!$G53="",N(Screener!$D$13)&lt;=0),0,MAX(0,1-(N(Screener!$D$13)-Database!$G53)/W_RECD))</f>
        <v/>
      </c>
      <c r="H53">
        <f>IF($K$1="",0,N(ISNUMBER(SEARCH($K$1,Database!$T53&amp;""))))+IF($L$1="",0,N(ISNUMBER(SEARCH($L$1,Database!$T53&amp;""))))+IF($M$1="",0,N(ISNUMBER(SEARCH($M$1,Database!$T53&amp;""))))+IF($N$1="",0,N(ISNUMBER(SEARCH($N$1,Database!$T53&amp;""))))+IF($O$1="",0,N(ISNUMBER(SEARCH($O$1,Database!$T53&amp;""))))+IF(Screener!$B$14="",0,N(ISNUMBER(SEARCH(Screener!$B$14,Database!$T53&amp;""))))</f>
        <v/>
      </c>
      <c r="I53">
        <f>IF(OR(Database!$B53=Screener!$B$5,IF(OR(Screener!$B$17="All",AND(Screener!$B$17="With A-share",(Database!$AL53&lt;&gt;"")),AND(Screener!$B$17="Without A-share",NOT((Database!$AL53&lt;&gt;"")))),1,0)=0),-999999,IF(Screener!$B$15="cornerstone overlap first",H53*100000,0)+W_SUB*B53+W_SEC*C53*(1-B53)+W_SIZE*D53+W_PROF*E53+W_AH*F53+W_REC*G53+W_CS*H53)+ROW()/1000000</f>
        <v/>
      </c>
      <c r="K53">
        <f>Database!B45</f>
        <v/>
      </c>
      <c r="L53">
        <f>Database!D45</f>
        <v/>
      </c>
      <c r="M53">
        <f>Database!E45</f>
        <v/>
      </c>
      <c r="N53">
        <f>Database!H45</f>
        <v/>
      </c>
      <c r="O53">
        <f>Database!AH45</f>
        <v/>
      </c>
      <c r="P53">
        <f>Database!AK45</f>
        <v/>
      </c>
      <c r="Q53">
        <f>Database!G45</f>
        <v/>
      </c>
    </row>
    <row r="54">
      <c r="A54">
        <f>Database!B54</f>
        <v/>
      </c>
      <c r="B54">
        <f>IF(AND(Screener!$D$9&lt;&gt;"",Database!$E54=Screener!$D$9),1,0)</f>
        <v/>
      </c>
      <c r="C54">
        <f>IF(AND(Screener!$D$8&lt;&gt;"",Database!$D54=Screener!$D$8),1,0)</f>
        <v/>
      </c>
      <c r="D54">
        <f>IF(OR(Database!$H54="",N(Screener!$D$10)&lt;=0),0,MAX(0,1-ABS(LOG10(Database!$H54/Screener!$D$10))/W_SIZEHW))</f>
        <v/>
      </c>
      <c r="E54">
        <f>IF(OR(Database!$AH54="",Screener!$D$11=""),0,IF(Database!$AH54=Screener!$D$11,1,0))</f>
        <v/>
      </c>
      <c r="F54">
        <f>IF(OR(Database!$AK54="",Screener!$D$12=""),0,IF(Database!$AK54=Screener!$D$12,1,0))</f>
        <v/>
      </c>
      <c r="G54">
        <f>IF(OR(Database!$G54="",N(Screener!$D$13)&lt;=0),0,MAX(0,1-(N(Screener!$D$13)-Database!$G54)/W_RECD))</f>
        <v/>
      </c>
      <c r="H54">
        <f>IF($K$1="",0,N(ISNUMBER(SEARCH($K$1,Database!$T54&amp;""))))+IF($L$1="",0,N(ISNUMBER(SEARCH($L$1,Database!$T54&amp;""))))+IF($M$1="",0,N(ISNUMBER(SEARCH($M$1,Database!$T54&amp;""))))+IF($N$1="",0,N(ISNUMBER(SEARCH($N$1,Database!$T54&amp;""))))+IF($O$1="",0,N(ISNUMBER(SEARCH($O$1,Database!$T54&amp;""))))+IF(Screener!$B$14="",0,N(ISNUMBER(SEARCH(Screener!$B$14,Database!$T54&amp;""))))</f>
        <v/>
      </c>
      <c r="I54">
        <f>IF(OR(Database!$B54=Screener!$B$5,IF(OR(Screener!$B$17="All",AND(Screener!$B$17="With A-share",(Database!$AL54&lt;&gt;"")),AND(Screener!$B$17="Without A-share",NOT((Database!$AL54&lt;&gt;"")))),1,0)=0),-999999,IF(Screener!$B$15="cornerstone overlap first",H54*100000,0)+W_SUB*B54+W_SEC*C54*(1-B54)+W_SIZE*D54+W_PROF*E54+W_AH*F54+W_REC*G54+W_CS*H54)+ROW()/1000000</f>
        <v/>
      </c>
      <c r="K54">
        <f>Database!B46</f>
        <v/>
      </c>
      <c r="L54">
        <f>Database!D46</f>
        <v/>
      </c>
      <c r="M54">
        <f>Database!E46</f>
        <v/>
      </c>
      <c r="N54">
        <f>Database!H46</f>
        <v/>
      </c>
      <c r="O54">
        <f>Database!AH46</f>
        <v/>
      </c>
      <c r="P54">
        <f>Database!AK46</f>
        <v/>
      </c>
      <c r="Q54">
        <f>Database!G46</f>
        <v/>
      </c>
    </row>
    <row r="55">
      <c r="A55">
        <f>Database!B55</f>
        <v/>
      </c>
      <c r="B55">
        <f>IF(AND(Screener!$D$9&lt;&gt;"",Database!$E55=Screener!$D$9),1,0)</f>
        <v/>
      </c>
      <c r="C55">
        <f>IF(AND(Screener!$D$8&lt;&gt;"",Database!$D55=Screener!$D$8),1,0)</f>
        <v/>
      </c>
      <c r="D55">
        <f>IF(OR(Database!$H55="",N(Screener!$D$10)&lt;=0),0,MAX(0,1-ABS(LOG10(Database!$H55/Screener!$D$10))/W_SIZEHW))</f>
        <v/>
      </c>
      <c r="E55">
        <f>IF(OR(Database!$AH55="",Screener!$D$11=""),0,IF(Database!$AH55=Screener!$D$11,1,0))</f>
        <v/>
      </c>
      <c r="F55">
        <f>IF(OR(Database!$AK55="",Screener!$D$12=""),0,IF(Database!$AK55=Screener!$D$12,1,0))</f>
        <v/>
      </c>
      <c r="G55">
        <f>IF(OR(Database!$G55="",N(Screener!$D$13)&lt;=0),0,MAX(0,1-(N(Screener!$D$13)-Database!$G55)/W_RECD))</f>
        <v/>
      </c>
      <c r="H55">
        <f>IF($K$1="",0,N(ISNUMBER(SEARCH($K$1,Database!$T55&amp;""))))+IF($L$1="",0,N(ISNUMBER(SEARCH($L$1,Database!$T55&amp;""))))+IF($M$1="",0,N(ISNUMBER(SEARCH($M$1,Database!$T55&amp;""))))+IF($N$1="",0,N(ISNUMBER(SEARCH($N$1,Database!$T55&amp;""))))+IF($O$1="",0,N(ISNUMBER(SEARCH($O$1,Database!$T55&amp;""))))+IF(Screener!$B$14="",0,N(ISNUMBER(SEARCH(Screener!$B$14,Database!$T55&amp;""))))</f>
        <v/>
      </c>
      <c r="I55">
        <f>IF(OR(Database!$B55=Screener!$B$5,IF(OR(Screener!$B$17="All",AND(Screener!$B$17="With A-share",(Database!$AL55&lt;&gt;"")),AND(Screener!$B$17="Without A-share",NOT((Database!$AL55&lt;&gt;"")))),1,0)=0),-999999,IF(Screener!$B$15="cornerstone overlap first",H55*100000,0)+W_SUB*B55+W_SEC*C55*(1-B55)+W_SIZE*D55+W_PROF*E55+W_AH*F55+W_REC*G55+W_CS*H55)+ROW()/1000000</f>
        <v/>
      </c>
      <c r="K55">
        <f>Database!B47</f>
        <v/>
      </c>
      <c r="L55">
        <f>Database!D47</f>
        <v/>
      </c>
      <c r="M55">
        <f>Database!E47</f>
        <v/>
      </c>
      <c r="N55">
        <f>Database!H47</f>
        <v/>
      </c>
      <c r="O55">
        <f>Database!AH47</f>
        <v/>
      </c>
      <c r="P55">
        <f>Database!AK47</f>
        <v/>
      </c>
      <c r="Q55">
        <f>Database!G47</f>
        <v/>
      </c>
    </row>
    <row r="56">
      <c r="A56">
        <f>Database!B56</f>
        <v/>
      </c>
      <c r="B56">
        <f>IF(AND(Screener!$D$9&lt;&gt;"",Database!$E56=Screener!$D$9),1,0)</f>
        <v/>
      </c>
      <c r="C56">
        <f>IF(AND(Screener!$D$8&lt;&gt;"",Database!$D56=Screener!$D$8),1,0)</f>
        <v/>
      </c>
      <c r="D56">
        <f>IF(OR(Database!$H56="",N(Screener!$D$10)&lt;=0),0,MAX(0,1-ABS(LOG10(Database!$H56/Screener!$D$10))/W_SIZEHW))</f>
        <v/>
      </c>
      <c r="E56">
        <f>IF(OR(Database!$AH56="",Screener!$D$11=""),0,IF(Database!$AH56=Screener!$D$11,1,0))</f>
        <v/>
      </c>
      <c r="F56">
        <f>IF(OR(Database!$AK56="",Screener!$D$12=""),0,IF(Database!$AK56=Screener!$D$12,1,0))</f>
        <v/>
      </c>
      <c r="G56">
        <f>IF(OR(Database!$G56="",N(Screener!$D$13)&lt;=0),0,MAX(0,1-(N(Screener!$D$13)-Database!$G56)/W_RECD))</f>
        <v/>
      </c>
      <c r="H56">
        <f>IF($K$1="",0,N(ISNUMBER(SEARCH($K$1,Database!$T56&amp;""))))+IF($L$1="",0,N(ISNUMBER(SEARCH($L$1,Database!$T56&amp;""))))+IF($M$1="",0,N(ISNUMBER(SEARCH($M$1,Database!$T56&amp;""))))+IF($N$1="",0,N(ISNUMBER(SEARCH($N$1,Database!$T56&amp;""))))+IF($O$1="",0,N(ISNUMBER(SEARCH($O$1,Database!$T56&amp;""))))+IF(Screener!$B$14="",0,N(ISNUMBER(SEARCH(Screener!$B$14,Database!$T56&amp;""))))</f>
        <v/>
      </c>
      <c r="I56">
        <f>IF(OR(Database!$B56=Screener!$B$5,IF(OR(Screener!$B$17="All",AND(Screener!$B$17="With A-share",(Database!$AL56&lt;&gt;"")),AND(Screener!$B$17="Without A-share",NOT((Database!$AL56&lt;&gt;"")))),1,0)=0),-999999,IF(Screener!$B$15="cornerstone overlap first",H56*100000,0)+W_SUB*B56+W_SEC*C56*(1-B56)+W_SIZE*D56+W_PROF*E56+W_AH*F56+W_REC*G56+W_CS*H56)+ROW()/1000000</f>
        <v/>
      </c>
      <c r="K56">
        <f>Database!B48</f>
        <v/>
      </c>
      <c r="L56">
        <f>Database!D48</f>
        <v/>
      </c>
      <c r="M56">
        <f>Database!E48</f>
        <v/>
      </c>
      <c r="N56">
        <f>Database!H48</f>
        <v/>
      </c>
      <c r="O56">
        <f>Database!AH48</f>
        <v/>
      </c>
      <c r="P56">
        <f>Database!AK48</f>
        <v/>
      </c>
      <c r="Q56">
        <f>Database!G48</f>
        <v/>
      </c>
    </row>
    <row r="57">
      <c r="A57">
        <f>Database!B57</f>
        <v/>
      </c>
      <c r="B57">
        <f>IF(AND(Screener!$D$9&lt;&gt;"",Database!$E57=Screener!$D$9),1,0)</f>
        <v/>
      </c>
      <c r="C57">
        <f>IF(AND(Screener!$D$8&lt;&gt;"",Database!$D57=Screener!$D$8),1,0)</f>
        <v/>
      </c>
      <c r="D57">
        <f>IF(OR(Database!$H57="",N(Screener!$D$10)&lt;=0),0,MAX(0,1-ABS(LOG10(Database!$H57/Screener!$D$10))/W_SIZEHW))</f>
        <v/>
      </c>
      <c r="E57">
        <f>IF(OR(Database!$AH57="",Screener!$D$11=""),0,IF(Database!$AH57=Screener!$D$11,1,0))</f>
        <v/>
      </c>
      <c r="F57">
        <f>IF(OR(Database!$AK57="",Screener!$D$12=""),0,IF(Database!$AK57=Screener!$D$12,1,0))</f>
        <v/>
      </c>
      <c r="G57">
        <f>IF(OR(Database!$G57="",N(Screener!$D$13)&lt;=0),0,MAX(0,1-(N(Screener!$D$13)-Database!$G57)/W_RECD))</f>
        <v/>
      </c>
      <c r="H57">
        <f>IF($K$1="",0,N(ISNUMBER(SEARCH($K$1,Database!$T57&amp;""))))+IF($L$1="",0,N(ISNUMBER(SEARCH($L$1,Database!$T57&amp;""))))+IF($M$1="",0,N(ISNUMBER(SEARCH($M$1,Database!$T57&amp;""))))+IF($N$1="",0,N(ISNUMBER(SEARCH($N$1,Database!$T57&amp;""))))+IF($O$1="",0,N(ISNUMBER(SEARCH($O$1,Database!$T57&amp;""))))+IF(Screener!$B$14="",0,N(ISNUMBER(SEARCH(Screener!$B$14,Database!$T57&amp;""))))</f>
        <v/>
      </c>
      <c r="I57">
        <f>IF(OR(Database!$B57=Screener!$B$5,IF(OR(Screener!$B$17="All",AND(Screener!$B$17="With A-share",(Database!$AL57&lt;&gt;"")),AND(Screener!$B$17="Without A-share",NOT((Database!$AL57&lt;&gt;"")))),1,0)=0),-999999,IF(Screener!$B$15="cornerstone overlap first",H57*100000,0)+W_SUB*B57+W_SEC*C57*(1-B57)+W_SIZE*D57+W_PROF*E57+W_AH*F57+W_REC*G57+W_CS*H57)+ROW()/1000000</f>
        <v/>
      </c>
      <c r="K57">
        <f>Database!B49</f>
        <v/>
      </c>
      <c r="L57">
        <f>Database!D49</f>
        <v/>
      </c>
      <c r="M57">
        <f>Database!E49</f>
        <v/>
      </c>
      <c r="N57">
        <f>Database!H49</f>
        <v/>
      </c>
      <c r="O57">
        <f>Database!AH49</f>
        <v/>
      </c>
      <c r="P57">
        <f>Database!AK49</f>
        <v/>
      </c>
      <c r="Q57">
        <f>Database!G49</f>
        <v/>
      </c>
    </row>
    <row r="58">
      <c r="A58">
        <f>Database!B58</f>
        <v/>
      </c>
      <c r="B58">
        <f>IF(AND(Screener!$D$9&lt;&gt;"",Database!$E58=Screener!$D$9),1,0)</f>
        <v/>
      </c>
      <c r="C58">
        <f>IF(AND(Screener!$D$8&lt;&gt;"",Database!$D58=Screener!$D$8),1,0)</f>
        <v/>
      </c>
      <c r="D58">
        <f>IF(OR(Database!$H58="",N(Screener!$D$10)&lt;=0),0,MAX(0,1-ABS(LOG10(Database!$H58/Screener!$D$10))/W_SIZEHW))</f>
        <v/>
      </c>
      <c r="E58">
        <f>IF(OR(Database!$AH58="",Screener!$D$11=""),0,IF(Database!$AH58=Screener!$D$11,1,0))</f>
        <v/>
      </c>
      <c r="F58">
        <f>IF(OR(Database!$AK58="",Screener!$D$12=""),0,IF(Database!$AK58=Screener!$D$12,1,0))</f>
        <v/>
      </c>
      <c r="G58">
        <f>IF(OR(Database!$G58="",N(Screener!$D$13)&lt;=0),0,MAX(0,1-(N(Screener!$D$13)-Database!$G58)/W_RECD))</f>
        <v/>
      </c>
      <c r="H58">
        <f>IF($K$1="",0,N(ISNUMBER(SEARCH($K$1,Database!$T58&amp;""))))+IF($L$1="",0,N(ISNUMBER(SEARCH($L$1,Database!$T58&amp;""))))+IF($M$1="",0,N(ISNUMBER(SEARCH($M$1,Database!$T58&amp;""))))+IF($N$1="",0,N(ISNUMBER(SEARCH($N$1,Database!$T58&amp;""))))+IF($O$1="",0,N(ISNUMBER(SEARCH($O$1,Database!$T58&amp;""))))+IF(Screener!$B$14="",0,N(ISNUMBER(SEARCH(Screener!$B$14,Database!$T58&amp;""))))</f>
        <v/>
      </c>
      <c r="I58">
        <f>IF(OR(Database!$B58=Screener!$B$5,IF(OR(Screener!$B$17="All",AND(Screener!$B$17="With A-share",(Database!$AL58&lt;&gt;"")),AND(Screener!$B$17="Without A-share",NOT((Database!$AL58&lt;&gt;"")))),1,0)=0),-999999,IF(Screener!$B$15="cornerstone overlap first",H58*100000,0)+W_SUB*B58+W_SEC*C58*(1-B58)+W_SIZE*D58+W_PROF*E58+W_AH*F58+W_REC*G58+W_CS*H58)+ROW()/1000000</f>
        <v/>
      </c>
      <c r="K58">
        <f>Database!B50</f>
        <v/>
      </c>
      <c r="L58">
        <f>Database!D50</f>
        <v/>
      </c>
      <c r="M58">
        <f>Database!E50</f>
        <v/>
      </c>
      <c r="N58">
        <f>Database!H50</f>
        <v/>
      </c>
      <c r="O58">
        <f>Database!AH50</f>
        <v/>
      </c>
      <c r="P58">
        <f>Database!AK50</f>
        <v/>
      </c>
      <c r="Q58">
        <f>Database!G50</f>
        <v/>
      </c>
    </row>
    <row r="59">
      <c r="A59">
        <f>Database!B59</f>
        <v/>
      </c>
      <c r="B59">
        <f>IF(AND(Screener!$D$9&lt;&gt;"",Database!$E59=Screener!$D$9),1,0)</f>
        <v/>
      </c>
      <c r="C59">
        <f>IF(AND(Screener!$D$8&lt;&gt;"",Database!$D59=Screener!$D$8),1,0)</f>
        <v/>
      </c>
      <c r="D59">
        <f>IF(OR(Database!$H59="",N(Screener!$D$10)&lt;=0),0,MAX(0,1-ABS(LOG10(Database!$H59/Screener!$D$10))/W_SIZEHW))</f>
        <v/>
      </c>
      <c r="E59">
        <f>IF(OR(Database!$AH59="",Screener!$D$11=""),0,IF(Database!$AH59=Screener!$D$11,1,0))</f>
        <v/>
      </c>
      <c r="F59">
        <f>IF(OR(Database!$AK59="",Screener!$D$12=""),0,IF(Database!$AK59=Screener!$D$12,1,0))</f>
        <v/>
      </c>
      <c r="G59">
        <f>IF(OR(Database!$G59="",N(Screener!$D$13)&lt;=0),0,MAX(0,1-(N(Screener!$D$13)-Database!$G59)/W_RECD))</f>
        <v/>
      </c>
      <c r="H59">
        <f>IF($K$1="",0,N(ISNUMBER(SEARCH($K$1,Database!$T59&amp;""))))+IF($L$1="",0,N(ISNUMBER(SEARCH($L$1,Database!$T59&amp;""))))+IF($M$1="",0,N(ISNUMBER(SEARCH($M$1,Database!$T59&amp;""))))+IF($N$1="",0,N(ISNUMBER(SEARCH($N$1,Database!$T59&amp;""))))+IF($O$1="",0,N(ISNUMBER(SEARCH($O$1,Database!$T59&amp;""))))+IF(Screener!$B$14="",0,N(ISNUMBER(SEARCH(Screener!$B$14,Database!$T59&amp;""))))</f>
        <v/>
      </c>
      <c r="I59">
        <f>IF(OR(Database!$B59=Screener!$B$5,IF(OR(Screener!$B$17="All",AND(Screener!$B$17="With A-share",(Database!$AL59&lt;&gt;"")),AND(Screener!$B$17="Without A-share",NOT((Database!$AL59&lt;&gt;"")))),1,0)=0),-999999,IF(Screener!$B$15="cornerstone overlap first",H59*100000,0)+W_SUB*B59+W_SEC*C59*(1-B59)+W_SIZE*D59+W_PROF*E59+W_AH*F59+W_REC*G59+W_CS*H59)+ROW()/1000000</f>
        <v/>
      </c>
      <c r="K59">
        <f>Database!B51</f>
        <v/>
      </c>
      <c r="L59">
        <f>Database!D51</f>
        <v/>
      </c>
      <c r="M59">
        <f>Database!E51</f>
        <v/>
      </c>
      <c r="N59">
        <f>Database!H51</f>
        <v/>
      </c>
      <c r="O59">
        <f>Database!AH51</f>
        <v/>
      </c>
      <c r="P59">
        <f>Database!AK51</f>
        <v/>
      </c>
      <c r="Q59">
        <f>Database!G51</f>
        <v/>
      </c>
    </row>
    <row r="60">
      <c r="A60">
        <f>Database!B60</f>
        <v/>
      </c>
      <c r="B60">
        <f>IF(AND(Screener!$D$9&lt;&gt;"",Database!$E60=Screener!$D$9),1,0)</f>
        <v/>
      </c>
      <c r="C60">
        <f>IF(AND(Screener!$D$8&lt;&gt;"",Database!$D60=Screener!$D$8),1,0)</f>
        <v/>
      </c>
      <c r="D60">
        <f>IF(OR(Database!$H60="",N(Screener!$D$10)&lt;=0),0,MAX(0,1-ABS(LOG10(Database!$H60/Screener!$D$10))/W_SIZEHW))</f>
        <v/>
      </c>
      <c r="E60">
        <f>IF(OR(Database!$AH60="",Screener!$D$11=""),0,IF(Database!$AH60=Screener!$D$11,1,0))</f>
        <v/>
      </c>
      <c r="F60">
        <f>IF(OR(Database!$AK60="",Screener!$D$12=""),0,IF(Database!$AK60=Screener!$D$12,1,0))</f>
        <v/>
      </c>
      <c r="G60">
        <f>IF(OR(Database!$G60="",N(Screener!$D$13)&lt;=0),0,MAX(0,1-(N(Screener!$D$13)-Database!$G60)/W_RECD))</f>
        <v/>
      </c>
      <c r="H60">
        <f>IF($K$1="",0,N(ISNUMBER(SEARCH($K$1,Database!$T60&amp;""))))+IF($L$1="",0,N(ISNUMBER(SEARCH($L$1,Database!$T60&amp;""))))+IF($M$1="",0,N(ISNUMBER(SEARCH($M$1,Database!$T60&amp;""))))+IF($N$1="",0,N(ISNUMBER(SEARCH($N$1,Database!$T60&amp;""))))+IF($O$1="",0,N(ISNUMBER(SEARCH($O$1,Database!$T60&amp;""))))+IF(Screener!$B$14="",0,N(ISNUMBER(SEARCH(Screener!$B$14,Database!$T60&amp;""))))</f>
        <v/>
      </c>
      <c r="I60">
        <f>IF(OR(Database!$B60=Screener!$B$5,IF(OR(Screener!$B$17="All",AND(Screener!$B$17="With A-share",(Database!$AL60&lt;&gt;"")),AND(Screener!$B$17="Without A-share",NOT((Database!$AL60&lt;&gt;"")))),1,0)=0),-999999,IF(Screener!$B$15="cornerstone overlap first",H60*100000,0)+W_SUB*B60+W_SEC*C60*(1-B60)+W_SIZE*D60+W_PROF*E60+W_AH*F60+W_REC*G60+W_CS*H60)+ROW()/1000000</f>
        <v/>
      </c>
      <c r="K60">
        <f>Database!B52</f>
        <v/>
      </c>
      <c r="L60">
        <f>Database!D52</f>
        <v/>
      </c>
      <c r="M60">
        <f>Database!E52</f>
        <v/>
      </c>
      <c r="N60">
        <f>Database!H52</f>
        <v/>
      </c>
      <c r="O60">
        <f>Database!AH52</f>
        <v/>
      </c>
      <c r="P60">
        <f>Database!AK52</f>
        <v/>
      </c>
      <c r="Q60">
        <f>Database!G52</f>
        <v/>
      </c>
    </row>
    <row r="61">
      <c r="A61">
        <f>Database!B61</f>
        <v/>
      </c>
      <c r="B61">
        <f>IF(AND(Screener!$D$9&lt;&gt;"",Database!$E61=Screener!$D$9),1,0)</f>
        <v/>
      </c>
      <c r="C61">
        <f>IF(AND(Screener!$D$8&lt;&gt;"",Database!$D61=Screener!$D$8),1,0)</f>
        <v/>
      </c>
      <c r="D61">
        <f>IF(OR(Database!$H61="",N(Screener!$D$10)&lt;=0),0,MAX(0,1-ABS(LOG10(Database!$H61/Screener!$D$10))/W_SIZEHW))</f>
        <v/>
      </c>
      <c r="E61">
        <f>IF(OR(Database!$AH61="",Screener!$D$11=""),0,IF(Database!$AH61=Screener!$D$11,1,0))</f>
        <v/>
      </c>
      <c r="F61">
        <f>IF(OR(Database!$AK61="",Screener!$D$12=""),0,IF(Database!$AK61=Screener!$D$12,1,0))</f>
        <v/>
      </c>
      <c r="G61">
        <f>IF(OR(Database!$G61="",N(Screener!$D$13)&lt;=0),0,MAX(0,1-(N(Screener!$D$13)-Database!$G61)/W_RECD))</f>
        <v/>
      </c>
      <c r="H61">
        <f>IF($K$1="",0,N(ISNUMBER(SEARCH($K$1,Database!$T61&amp;""))))+IF($L$1="",0,N(ISNUMBER(SEARCH($L$1,Database!$T61&amp;""))))+IF($M$1="",0,N(ISNUMBER(SEARCH($M$1,Database!$T61&amp;""))))+IF($N$1="",0,N(ISNUMBER(SEARCH($N$1,Database!$T61&amp;""))))+IF($O$1="",0,N(ISNUMBER(SEARCH($O$1,Database!$T61&amp;""))))+IF(Screener!$B$14="",0,N(ISNUMBER(SEARCH(Screener!$B$14,Database!$T61&amp;""))))</f>
        <v/>
      </c>
      <c r="I61">
        <f>IF(OR(Database!$B61=Screener!$B$5,IF(OR(Screener!$B$17="All",AND(Screener!$B$17="With A-share",(Database!$AL61&lt;&gt;"")),AND(Screener!$B$17="Without A-share",NOT((Database!$AL61&lt;&gt;"")))),1,0)=0),-999999,IF(Screener!$B$15="cornerstone overlap first",H61*100000,0)+W_SUB*B61+W_SEC*C61*(1-B61)+W_SIZE*D61+W_PROF*E61+W_AH*F61+W_REC*G61+W_CS*H61)+ROW()/1000000</f>
        <v/>
      </c>
      <c r="K61">
        <f>Database!B53</f>
        <v/>
      </c>
      <c r="L61">
        <f>Database!D53</f>
        <v/>
      </c>
      <c r="M61">
        <f>Database!E53</f>
        <v/>
      </c>
      <c r="N61">
        <f>Database!H53</f>
        <v/>
      </c>
      <c r="O61">
        <f>Database!AH53</f>
        <v/>
      </c>
      <c r="P61">
        <f>Database!AK53</f>
        <v/>
      </c>
      <c r="Q61">
        <f>Database!G53</f>
        <v/>
      </c>
    </row>
    <row r="62">
      <c r="A62">
        <f>Database!B62</f>
        <v/>
      </c>
      <c r="B62">
        <f>IF(AND(Screener!$D$9&lt;&gt;"",Database!$E62=Screener!$D$9),1,0)</f>
        <v/>
      </c>
      <c r="C62">
        <f>IF(AND(Screener!$D$8&lt;&gt;"",Database!$D62=Screener!$D$8),1,0)</f>
        <v/>
      </c>
      <c r="D62">
        <f>IF(OR(Database!$H62="",N(Screener!$D$10)&lt;=0),0,MAX(0,1-ABS(LOG10(Database!$H62/Screener!$D$10))/W_SIZEHW))</f>
        <v/>
      </c>
      <c r="E62">
        <f>IF(OR(Database!$AH62="",Screener!$D$11=""),0,IF(Database!$AH62=Screener!$D$11,1,0))</f>
        <v/>
      </c>
      <c r="F62">
        <f>IF(OR(Database!$AK62="",Screener!$D$12=""),0,IF(Database!$AK62=Screener!$D$12,1,0))</f>
        <v/>
      </c>
      <c r="G62">
        <f>IF(OR(Database!$G62="",N(Screener!$D$13)&lt;=0),0,MAX(0,1-(N(Screener!$D$13)-Database!$G62)/W_RECD))</f>
        <v/>
      </c>
      <c r="H62">
        <f>IF($K$1="",0,N(ISNUMBER(SEARCH($K$1,Database!$T62&amp;""))))+IF($L$1="",0,N(ISNUMBER(SEARCH($L$1,Database!$T62&amp;""))))+IF($M$1="",0,N(ISNUMBER(SEARCH($M$1,Database!$T62&amp;""))))+IF($N$1="",0,N(ISNUMBER(SEARCH($N$1,Database!$T62&amp;""))))+IF($O$1="",0,N(ISNUMBER(SEARCH($O$1,Database!$T62&amp;""))))+IF(Screener!$B$14="",0,N(ISNUMBER(SEARCH(Screener!$B$14,Database!$T62&amp;""))))</f>
        <v/>
      </c>
      <c r="I62">
        <f>IF(OR(Database!$B62=Screener!$B$5,IF(OR(Screener!$B$17="All",AND(Screener!$B$17="With A-share",(Database!$AL62&lt;&gt;"")),AND(Screener!$B$17="Without A-share",NOT((Database!$AL62&lt;&gt;"")))),1,0)=0),-999999,IF(Screener!$B$15="cornerstone overlap first",H62*100000,0)+W_SUB*B62+W_SEC*C62*(1-B62)+W_SIZE*D62+W_PROF*E62+W_AH*F62+W_REC*G62+W_CS*H62)+ROW()/1000000</f>
        <v/>
      </c>
      <c r="K62">
        <f>Database!B54</f>
        <v/>
      </c>
      <c r="L62">
        <f>Database!D54</f>
        <v/>
      </c>
      <c r="M62">
        <f>Database!E54</f>
        <v/>
      </c>
      <c r="N62">
        <f>Database!H54</f>
        <v/>
      </c>
      <c r="O62">
        <f>Database!AH54</f>
        <v/>
      </c>
      <c r="P62">
        <f>Database!AK54</f>
        <v/>
      </c>
      <c r="Q62">
        <f>Database!G54</f>
        <v/>
      </c>
    </row>
    <row r="63">
      <c r="A63">
        <f>Database!B63</f>
        <v/>
      </c>
      <c r="B63">
        <f>IF(AND(Screener!$D$9&lt;&gt;"",Database!$E63=Screener!$D$9),1,0)</f>
        <v/>
      </c>
      <c r="C63">
        <f>IF(AND(Screener!$D$8&lt;&gt;"",Database!$D63=Screener!$D$8),1,0)</f>
        <v/>
      </c>
      <c r="D63">
        <f>IF(OR(Database!$H63="",N(Screener!$D$10)&lt;=0),0,MAX(0,1-ABS(LOG10(Database!$H63/Screener!$D$10))/W_SIZEHW))</f>
        <v/>
      </c>
      <c r="E63">
        <f>IF(OR(Database!$AH63="",Screener!$D$11=""),0,IF(Database!$AH63=Screener!$D$11,1,0))</f>
        <v/>
      </c>
      <c r="F63">
        <f>IF(OR(Database!$AK63="",Screener!$D$12=""),0,IF(Database!$AK63=Screener!$D$12,1,0))</f>
        <v/>
      </c>
      <c r="G63">
        <f>IF(OR(Database!$G63="",N(Screener!$D$13)&lt;=0),0,MAX(0,1-(N(Screener!$D$13)-Database!$G63)/W_RECD))</f>
        <v/>
      </c>
      <c r="H63">
        <f>IF($K$1="",0,N(ISNUMBER(SEARCH($K$1,Database!$T63&amp;""))))+IF($L$1="",0,N(ISNUMBER(SEARCH($L$1,Database!$T63&amp;""))))+IF($M$1="",0,N(ISNUMBER(SEARCH($M$1,Database!$T63&amp;""))))+IF($N$1="",0,N(ISNUMBER(SEARCH($N$1,Database!$T63&amp;""))))+IF($O$1="",0,N(ISNUMBER(SEARCH($O$1,Database!$T63&amp;""))))+IF(Screener!$B$14="",0,N(ISNUMBER(SEARCH(Screener!$B$14,Database!$T63&amp;""))))</f>
        <v/>
      </c>
      <c r="I63">
        <f>IF(OR(Database!$B63=Screener!$B$5,IF(OR(Screener!$B$17="All",AND(Screener!$B$17="With A-share",(Database!$AL63&lt;&gt;"")),AND(Screener!$B$17="Without A-share",NOT((Database!$AL63&lt;&gt;"")))),1,0)=0),-999999,IF(Screener!$B$15="cornerstone overlap first",H63*100000,0)+W_SUB*B63+W_SEC*C63*(1-B63)+W_SIZE*D63+W_PROF*E63+W_AH*F63+W_REC*G63+W_CS*H63)+ROW()/1000000</f>
        <v/>
      </c>
      <c r="K63">
        <f>Database!B55</f>
        <v/>
      </c>
      <c r="L63">
        <f>Database!D55</f>
        <v/>
      </c>
      <c r="M63">
        <f>Database!E55</f>
        <v/>
      </c>
      <c r="N63">
        <f>Database!H55</f>
        <v/>
      </c>
      <c r="O63">
        <f>Database!AH55</f>
        <v/>
      </c>
      <c r="P63">
        <f>Database!AK55</f>
        <v/>
      </c>
      <c r="Q63">
        <f>Database!G55</f>
        <v/>
      </c>
    </row>
    <row r="64">
      <c r="A64">
        <f>Database!B64</f>
        <v/>
      </c>
      <c r="B64">
        <f>IF(AND(Screener!$D$9&lt;&gt;"",Database!$E64=Screener!$D$9),1,0)</f>
        <v/>
      </c>
      <c r="C64">
        <f>IF(AND(Screener!$D$8&lt;&gt;"",Database!$D64=Screener!$D$8),1,0)</f>
        <v/>
      </c>
      <c r="D64">
        <f>IF(OR(Database!$H64="",N(Screener!$D$10)&lt;=0),0,MAX(0,1-ABS(LOG10(Database!$H64/Screener!$D$10))/W_SIZEHW))</f>
        <v/>
      </c>
      <c r="E64">
        <f>IF(OR(Database!$AH64="",Screener!$D$11=""),0,IF(Database!$AH64=Screener!$D$11,1,0))</f>
        <v/>
      </c>
      <c r="F64">
        <f>IF(OR(Database!$AK64="",Screener!$D$12=""),0,IF(Database!$AK64=Screener!$D$12,1,0))</f>
        <v/>
      </c>
      <c r="G64">
        <f>IF(OR(Database!$G64="",N(Screener!$D$13)&lt;=0),0,MAX(0,1-(N(Screener!$D$13)-Database!$G64)/W_RECD))</f>
        <v/>
      </c>
      <c r="H64">
        <f>IF($K$1="",0,N(ISNUMBER(SEARCH($K$1,Database!$T64&amp;""))))+IF($L$1="",0,N(ISNUMBER(SEARCH($L$1,Database!$T64&amp;""))))+IF($M$1="",0,N(ISNUMBER(SEARCH($M$1,Database!$T64&amp;""))))+IF($N$1="",0,N(ISNUMBER(SEARCH($N$1,Database!$T64&amp;""))))+IF($O$1="",0,N(ISNUMBER(SEARCH($O$1,Database!$T64&amp;""))))+IF(Screener!$B$14="",0,N(ISNUMBER(SEARCH(Screener!$B$14,Database!$T64&amp;""))))</f>
        <v/>
      </c>
      <c r="I64">
        <f>IF(OR(Database!$B64=Screener!$B$5,IF(OR(Screener!$B$17="All",AND(Screener!$B$17="With A-share",(Database!$AL64&lt;&gt;"")),AND(Screener!$B$17="Without A-share",NOT((Database!$AL64&lt;&gt;"")))),1,0)=0),-999999,IF(Screener!$B$15="cornerstone overlap first",H64*100000,0)+W_SUB*B64+W_SEC*C64*(1-B64)+W_SIZE*D64+W_PROF*E64+W_AH*F64+W_REC*G64+W_CS*H64)+ROW()/1000000</f>
        <v/>
      </c>
      <c r="K64">
        <f>Database!B56</f>
        <v/>
      </c>
      <c r="L64">
        <f>Database!D56</f>
        <v/>
      </c>
      <c r="M64">
        <f>Database!E56</f>
        <v/>
      </c>
      <c r="N64">
        <f>Database!H56</f>
        <v/>
      </c>
      <c r="O64">
        <f>Database!AH56</f>
        <v/>
      </c>
      <c r="P64">
        <f>Database!AK56</f>
        <v/>
      </c>
      <c r="Q64">
        <f>Database!G56</f>
        <v/>
      </c>
    </row>
    <row r="65">
      <c r="A65">
        <f>Database!B65</f>
        <v/>
      </c>
      <c r="B65">
        <f>IF(AND(Screener!$D$9&lt;&gt;"",Database!$E65=Screener!$D$9),1,0)</f>
        <v/>
      </c>
      <c r="C65">
        <f>IF(AND(Screener!$D$8&lt;&gt;"",Database!$D65=Screener!$D$8),1,0)</f>
        <v/>
      </c>
      <c r="D65">
        <f>IF(OR(Database!$H65="",N(Screener!$D$10)&lt;=0),0,MAX(0,1-ABS(LOG10(Database!$H65/Screener!$D$10))/W_SIZEHW))</f>
        <v/>
      </c>
      <c r="E65">
        <f>IF(OR(Database!$AH65="",Screener!$D$11=""),0,IF(Database!$AH65=Screener!$D$11,1,0))</f>
        <v/>
      </c>
      <c r="F65">
        <f>IF(OR(Database!$AK65="",Screener!$D$12=""),0,IF(Database!$AK65=Screener!$D$12,1,0))</f>
        <v/>
      </c>
      <c r="G65">
        <f>IF(OR(Database!$G65="",N(Screener!$D$13)&lt;=0),0,MAX(0,1-(N(Screener!$D$13)-Database!$G65)/W_RECD))</f>
        <v/>
      </c>
      <c r="H65">
        <f>IF($K$1="",0,N(ISNUMBER(SEARCH($K$1,Database!$T65&amp;""))))+IF($L$1="",0,N(ISNUMBER(SEARCH($L$1,Database!$T65&amp;""))))+IF($M$1="",0,N(ISNUMBER(SEARCH($M$1,Database!$T65&amp;""))))+IF($N$1="",0,N(ISNUMBER(SEARCH($N$1,Database!$T65&amp;""))))+IF($O$1="",0,N(ISNUMBER(SEARCH($O$1,Database!$T65&amp;""))))+IF(Screener!$B$14="",0,N(ISNUMBER(SEARCH(Screener!$B$14,Database!$T65&amp;""))))</f>
        <v/>
      </c>
      <c r="I65">
        <f>IF(OR(Database!$B65=Screener!$B$5,IF(OR(Screener!$B$17="All",AND(Screener!$B$17="With A-share",(Database!$AL65&lt;&gt;"")),AND(Screener!$B$17="Without A-share",NOT((Database!$AL65&lt;&gt;"")))),1,0)=0),-999999,IF(Screener!$B$15="cornerstone overlap first",H65*100000,0)+W_SUB*B65+W_SEC*C65*(1-B65)+W_SIZE*D65+W_PROF*E65+W_AH*F65+W_REC*G65+W_CS*H65)+ROW()/1000000</f>
        <v/>
      </c>
      <c r="K65">
        <f>Database!B57</f>
        <v/>
      </c>
      <c r="L65">
        <f>Database!D57</f>
        <v/>
      </c>
      <c r="M65">
        <f>Database!E57</f>
        <v/>
      </c>
      <c r="N65">
        <f>Database!H57</f>
        <v/>
      </c>
      <c r="O65">
        <f>Database!AH57</f>
        <v/>
      </c>
      <c r="P65">
        <f>Database!AK57</f>
        <v/>
      </c>
      <c r="Q65">
        <f>Database!G57</f>
        <v/>
      </c>
    </row>
    <row r="66">
      <c r="A66">
        <f>Database!B66</f>
        <v/>
      </c>
      <c r="B66">
        <f>IF(AND(Screener!$D$9&lt;&gt;"",Database!$E66=Screener!$D$9),1,0)</f>
        <v/>
      </c>
      <c r="C66">
        <f>IF(AND(Screener!$D$8&lt;&gt;"",Database!$D66=Screener!$D$8),1,0)</f>
        <v/>
      </c>
      <c r="D66">
        <f>IF(OR(Database!$H66="",N(Screener!$D$10)&lt;=0),0,MAX(0,1-ABS(LOG10(Database!$H66/Screener!$D$10))/W_SIZEHW))</f>
        <v/>
      </c>
      <c r="E66">
        <f>IF(OR(Database!$AH66="",Screener!$D$11=""),0,IF(Database!$AH66=Screener!$D$11,1,0))</f>
        <v/>
      </c>
      <c r="F66">
        <f>IF(OR(Database!$AK66="",Screener!$D$12=""),0,IF(Database!$AK66=Screener!$D$12,1,0))</f>
        <v/>
      </c>
      <c r="G66">
        <f>IF(OR(Database!$G66="",N(Screener!$D$13)&lt;=0),0,MAX(0,1-(N(Screener!$D$13)-Database!$G66)/W_RECD))</f>
        <v/>
      </c>
      <c r="H66">
        <f>IF($K$1="",0,N(ISNUMBER(SEARCH($K$1,Database!$T66&amp;""))))+IF($L$1="",0,N(ISNUMBER(SEARCH($L$1,Database!$T66&amp;""))))+IF($M$1="",0,N(ISNUMBER(SEARCH($M$1,Database!$T66&amp;""))))+IF($N$1="",0,N(ISNUMBER(SEARCH($N$1,Database!$T66&amp;""))))+IF($O$1="",0,N(ISNUMBER(SEARCH($O$1,Database!$T66&amp;""))))+IF(Screener!$B$14="",0,N(ISNUMBER(SEARCH(Screener!$B$14,Database!$T66&amp;""))))</f>
        <v/>
      </c>
      <c r="I66">
        <f>IF(OR(Database!$B66=Screener!$B$5,IF(OR(Screener!$B$17="All",AND(Screener!$B$17="With A-share",(Database!$AL66&lt;&gt;"")),AND(Screener!$B$17="Without A-share",NOT((Database!$AL66&lt;&gt;"")))),1,0)=0),-999999,IF(Screener!$B$15="cornerstone overlap first",H66*100000,0)+W_SUB*B66+W_SEC*C66*(1-B66)+W_SIZE*D66+W_PROF*E66+W_AH*F66+W_REC*G66+W_CS*H66)+ROW()/1000000</f>
        <v/>
      </c>
      <c r="K66">
        <f>Database!B58</f>
        <v/>
      </c>
      <c r="L66">
        <f>Database!D58</f>
        <v/>
      </c>
      <c r="M66">
        <f>Database!E58</f>
        <v/>
      </c>
      <c r="N66">
        <f>Database!H58</f>
        <v/>
      </c>
      <c r="O66">
        <f>Database!AH58</f>
        <v/>
      </c>
      <c r="P66">
        <f>Database!AK58</f>
        <v/>
      </c>
      <c r="Q66">
        <f>Database!G58</f>
        <v/>
      </c>
    </row>
    <row r="67">
      <c r="A67">
        <f>Database!B67</f>
        <v/>
      </c>
      <c r="B67">
        <f>IF(AND(Screener!$D$9&lt;&gt;"",Database!$E67=Screener!$D$9),1,0)</f>
        <v/>
      </c>
      <c r="C67">
        <f>IF(AND(Screener!$D$8&lt;&gt;"",Database!$D67=Screener!$D$8),1,0)</f>
        <v/>
      </c>
      <c r="D67">
        <f>IF(OR(Database!$H67="",N(Screener!$D$10)&lt;=0),0,MAX(0,1-ABS(LOG10(Database!$H67/Screener!$D$10))/W_SIZEHW))</f>
        <v/>
      </c>
      <c r="E67">
        <f>IF(OR(Database!$AH67="",Screener!$D$11=""),0,IF(Database!$AH67=Screener!$D$11,1,0))</f>
        <v/>
      </c>
      <c r="F67">
        <f>IF(OR(Database!$AK67="",Screener!$D$12=""),0,IF(Database!$AK67=Screener!$D$12,1,0))</f>
        <v/>
      </c>
      <c r="G67">
        <f>IF(OR(Database!$G67="",N(Screener!$D$13)&lt;=0),0,MAX(0,1-(N(Screener!$D$13)-Database!$G67)/W_RECD))</f>
        <v/>
      </c>
      <c r="H67">
        <f>IF($K$1="",0,N(ISNUMBER(SEARCH($K$1,Database!$T67&amp;""))))+IF($L$1="",0,N(ISNUMBER(SEARCH($L$1,Database!$T67&amp;""))))+IF($M$1="",0,N(ISNUMBER(SEARCH($M$1,Database!$T67&amp;""))))+IF($N$1="",0,N(ISNUMBER(SEARCH($N$1,Database!$T67&amp;""))))+IF($O$1="",0,N(ISNUMBER(SEARCH($O$1,Database!$T67&amp;""))))+IF(Screener!$B$14="",0,N(ISNUMBER(SEARCH(Screener!$B$14,Database!$T67&amp;""))))</f>
        <v/>
      </c>
      <c r="I67">
        <f>IF(OR(Database!$B67=Screener!$B$5,IF(OR(Screener!$B$17="All",AND(Screener!$B$17="With A-share",(Database!$AL67&lt;&gt;"")),AND(Screener!$B$17="Without A-share",NOT((Database!$AL67&lt;&gt;"")))),1,0)=0),-999999,IF(Screener!$B$15="cornerstone overlap first",H67*100000,0)+W_SUB*B67+W_SEC*C67*(1-B67)+W_SIZE*D67+W_PROF*E67+W_AH*F67+W_REC*G67+W_CS*H67)+ROW()/1000000</f>
        <v/>
      </c>
      <c r="K67">
        <f>Database!B59</f>
        <v/>
      </c>
      <c r="L67">
        <f>Database!D59</f>
        <v/>
      </c>
      <c r="M67">
        <f>Database!E59</f>
        <v/>
      </c>
      <c r="N67">
        <f>Database!H59</f>
        <v/>
      </c>
      <c r="O67">
        <f>Database!AH59</f>
        <v/>
      </c>
      <c r="P67">
        <f>Database!AK59</f>
        <v/>
      </c>
      <c r="Q67">
        <f>Database!G59</f>
        <v/>
      </c>
    </row>
    <row r="68">
      <c r="A68">
        <f>Database!B68</f>
        <v/>
      </c>
      <c r="B68">
        <f>IF(AND(Screener!$D$9&lt;&gt;"",Database!$E68=Screener!$D$9),1,0)</f>
        <v/>
      </c>
      <c r="C68">
        <f>IF(AND(Screener!$D$8&lt;&gt;"",Database!$D68=Screener!$D$8),1,0)</f>
        <v/>
      </c>
      <c r="D68">
        <f>IF(OR(Database!$H68="",N(Screener!$D$10)&lt;=0),0,MAX(0,1-ABS(LOG10(Database!$H68/Screener!$D$10))/W_SIZEHW))</f>
        <v/>
      </c>
      <c r="E68">
        <f>IF(OR(Database!$AH68="",Screener!$D$11=""),0,IF(Database!$AH68=Screener!$D$11,1,0))</f>
        <v/>
      </c>
      <c r="F68">
        <f>IF(OR(Database!$AK68="",Screener!$D$12=""),0,IF(Database!$AK68=Screener!$D$12,1,0))</f>
        <v/>
      </c>
      <c r="G68">
        <f>IF(OR(Database!$G68="",N(Screener!$D$13)&lt;=0),0,MAX(0,1-(N(Screener!$D$13)-Database!$G68)/W_RECD))</f>
        <v/>
      </c>
      <c r="H68">
        <f>IF($K$1="",0,N(ISNUMBER(SEARCH($K$1,Database!$T68&amp;""))))+IF($L$1="",0,N(ISNUMBER(SEARCH($L$1,Database!$T68&amp;""))))+IF($M$1="",0,N(ISNUMBER(SEARCH($M$1,Database!$T68&amp;""))))+IF($N$1="",0,N(ISNUMBER(SEARCH($N$1,Database!$T68&amp;""))))+IF($O$1="",0,N(ISNUMBER(SEARCH($O$1,Database!$T68&amp;""))))+IF(Screener!$B$14="",0,N(ISNUMBER(SEARCH(Screener!$B$14,Database!$T68&amp;""))))</f>
        <v/>
      </c>
      <c r="I68">
        <f>IF(OR(Database!$B68=Screener!$B$5,IF(OR(Screener!$B$17="All",AND(Screener!$B$17="With A-share",(Database!$AL68&lt;&gt;"")),AND(Screener!$B$17="Without A-share",NOT((Database!$AL68&lt;&gt;"")))),1,0)=0),-999999,IF(Screener!$B$15="cornerstone overlap first",H68*100000,0)+W_SUB*B68+W_SEC*C68*(1-B68)+W_SIZE*D68+W_PROF*E68+W_AH*F68+W_REC*G68+W_CS*H68)+ROW()/1000000</f>
        <v/>
      </c>
      <c r="K68">
        <f>Database!B60</f>
        <v/>
      </c>
      <c r="L68">
        <f>Database!D60</f>
        <v/>
      </c>
      <c r="M68">
        <f>Database!E60</f>
        <v/>
      </c>
      <c r="N68">
        <f>Database!H60</f>
        <v/>
      </c>
      <c r="O68">
        <f>Database!AH60</f>
        <v/>
      </c>
      <c r="P68">
        <f>Database!AK60</f>
        <v/>
      </c>
      <c r="Q68">
        <f>Database!G60</f>
        <v/>
      </c>
    </row>
    <row r="69">
      <c r="A69">
        <f>Database!B69</f>
        <v/>
      </c>
      <c r="B69">
        <f>IF(AND(Screener!$D$9&lt;&gt;"",Database!$E69=Screener!$D$9),1,0)</f>
        <v/>
      </c>
      <c r="C69">
        <f>IF(AND(Screener!$D$8&lt;&gt;"",Database!$D69=Screener!$D$8),1,0)</f>
        <v/>
      </c>
      <c r="D69">
        <f>IF(OR(Database!$H69="",N(Screener!$D$10)&lt;=0),0,MAX(0,1-ABS(LOG10(Database!$H69/Screener!$D$10))/W_SIZEHW))</f>
        <v/>
      </c>
      <c r="E69">
        <f>IF(OR(Database!$AH69="",Screener!$D$11=""),0,IF(Database!$AH69=Screener!$D$11,1,0))</f>
        <v/>
      </c>
      <c r="F69">
        <f>IF(OR(Database!$AK69="",Screener!$D$12=""),0,IF(Database!$AK69=Screener!$D$12,1,0))</f>
        <v/>
      </c>
      <c r="G69">
        <f>IF(OR(Database!$G69="",N(Screener!$D$13)&lt;=0),0,MAX(0,1-(N(Screener!$D$13)-Database!$G69)/W_RECD))</f>
        <v/>
      </c>
      <c r="H69">
        <f>IF($K$1="",0,N(ISNUMBER(SEARCH($K$1,Database!$T69&amp;""))))+IF($L$1="",0,N(ISNUMBER(SEARCH($L$1,Database!$T69&amp;""))))+IF($M$1="",0,N(ISNUMBER(SEARCH($M$1,Database!$T69&amp;""))))+IF($N$1="",0,N(ISNUMBER(SEARCH($N$1,Database!$T69&amp;""))))+IF($O$1="",0,N(ISNUMBER(SEARCH($O$1,Database!$T69&amp;""))))+IF(Screener!$B$14="",0,N(ISNUMBER(SEARCH(Screener!$B$14,Database!$T69&amp;""))))</f>
        <v/>
      </c>
      <c r="I69">
        <f>IF(OR(Database!$B69=Screener!$B$5,IF(OR(Screener!$B$17="All",AND(Screener!$B$17="With A-share",(Database!$AL69&lt;&gt;"")),AND(Screener!$B$17="Without A-share",NOT((Database!$AL69&lt;&gt;"")))),1,0)=0),-999999,IF(Screener!$B$15="cornerstone overlap first",H69*100000,0)+W_SUB*B69+W_SEC*C69*(1-B69)+W_SIZE*D69+W_PROF*E69+W_AH*F69+W_REC*G69+W_CS*H69)+ROW()/1000000</f>
        <v/>
      </c>
      <c r="K69">
        <f>Database!B61</f>
        <v/>
      </c>
      <c r="L69">
        <f>Database!D61</f>
        <v/>
      </c>
      <c r="M69">
        <f>Database!E61</f>
        <v/>
      </c>
      <c r="N69">
        <f>Database!H61</f>
        <v/>
      </c>
      <c r="O69">
        <f>Database!AH61</f>
        <v/>
      </c>
      <c r="P69">
        <f>Database!AK61</f>
        <v/>
      </c>
      <c r="Q69">
        <f>Database!G61</f>
        <v/>
      </c>
    </row>
    <row r="70">
      <c r="A70">
        <f>Database!B70</f>
        <v/>
      </c>
      <c r="B70">
        <f>IF(AND(Screener!$D$9&lt;&gt;"",Database!$E70=Screener!$D$9),1,0)</f>
        <v/>
      </c>
      <c r="C70">
        <f>IF(AND(Screener!$D$8&lt;&gt;"",Database!$D70=Screener!$D$8),1,0)</f>
        <v/>
      </c>
      <c r="D70">
        <f>IF(OR(Database!$H70="",N(Screener!$D$10)&lt;=0),0,MAX(0,1-ABS(LOG10(Database!$H70/Screener!$D$10))/W_SIZEHW))</f>
        <v/>
      </c>
      <c r="E70">
        <f>IF(OR(Database!$AH70="",Screener!$D$11=""),0,IF(Database!$AH70=Screener!$D$11,1,0))</f>
        <v/>
      </c>
      <c r="F70">
        <f>IF(OR(Database!$AK70="",Screener!$D$12=""),0,IF(Database!$AK70=Screener!$D$12,1,0))</f>
        <v/>
      </c>
      <c r="G70">
        <f>IF(OR(Database!$G70="",N(Screener!$D$13)&lt;=0),0,MAX(0,1-(N(Screener!$D$13)-Database!$G70)/W_RECD))</f>
        <v/>
      </c>
      <c r="H70">
        <f>IF($K$1="",0,N(ISNUMBER(SEARCH($K$1,Database!$T70&amp;""))))+IF($L$1="",0,N(ISNUMBER(SEARCH($L$1,Database!$T70&amp;""))))+IF($M$1="",0,N(ISNUMBER(SEARCH($M$1,Database!$T70&amp;""))))+IF($N$1="",0,N(ISNUMBER(SEARCH($N$1,Database!$T70&amp;""))))+IF($O$1="",0,N(ISNUMBER(SEARCH($O$1,Database!$T70&amp;""))))+IF(Screener!$B$14="",0,N(ISNUMBER(SEARCH(Screener!$B$14,Database!$T70&amp;""))))</f>
        <v/>
      </c>
      <c r="I70">
        <f>IF(OR(Database!$B70=Screener!$B$5,IF(OR(Screener!$B$17="All",AND(Screener!$B$17="With A-share",(Database!$AL70&lt;&gt;"")),AND(Screener!$B$17="Without A-share",NOT((Database!$AL70&lt;&gt;"")))),1,0)=0),-999999,IF(Screener!$B$15="cornerstone overlap first",H70*100000,0)+W_SUB*B70+W_SEC*C70*(1-B70)+W_SIZE*D70+W_PROF*E70+W_AH*F70+W_REC*G70+W_CS*H70)+ROW()/1000000</f>
        <v/>
      </c>
      <c r="K70">
        <f>Database!B62</f>
        <v/>
      </c>
      <c r="L70">
        <f>Database!D62</f>
        <v/>
      </c>
      <c r="M70">
        <f>Database!E62</f>
        <v/>
      </c>
      <c r="N70">
        <f>Database!H62</f>
        <v/>
      </c>
      <c r="O70">
        <f>Database!AH62</f>
        <v/>
      </c>
      <c r="P70">
        <f>Database!AK62</f>
        <v/>
      </c>
      <c r="Q70">
        <f>Database!G62</f>
        <v/>
      </c>
    </row>
    <row r="71">
      <c r="A71">
        <f>Database!B71</f>
        <v/>
      </c>
      <c r="B71">
        <f>IF(AND(Screener!$D$9&lt;&gt;"",Database!$E71=Screener!$D$9),1,0)</f>
        <v/>
      </c>
      <c r="C71">
        <f>IF(AND(Screener!$D$8&lt;&gt;"",Database!$D71=Screener!$D$8),1,0)</f>
        <v/>
      </c>
      <c r="D71">
        <f>IF(OR(Database!$H71="",N(Screener!$D$10)&lt;=0),0,MAX(0,1-ABS(LOG10(Database!$H71/Screener!$D$10))/W_SIZEHW))</f>
        <v/>
      </c>
      <c r="E71">
        <f>IF(OR(Database!$AH71="",Screener!$D$11=""),0,IF(Database!$AH71=Screener!$D$11,1,0))</f>
        <v/>
      </c>
      <c r="F71">
        <f>IF(OR(Database!$AK71="",Screener!$D$12=""),0,IF(Database!$AK71=Screener!$D$12,1,0))</f>
        <v/>
      </c>
      <c r="G71">
        <f>IF(OR(Database!$G71="",N(Screener!$D$13)&lt;=0),0,MAX(0,1-(N(Screener!$D$13)-Database!$G71)/W_RECD))</f>
        <v/>
      </c>
      <c r="H71">
        <f>IF($K$1="",0,N(ISNUMBER(SEARCH($K$1,Database!$T71&amp;""))))+IF($L$1="",0,N(ISNUMBER(SEARCH($L$1,Database!$T71&amp;""))))+IF($M$1="",0,N(ISNUMBER(SEARCH($M$1,Database!$T71&amp;""))))+IF($N$1="",0,N(ISNUMBER(SEARCH($N$1,Database!$T71&amp;""))))+IF($O$1="",0,N(ISNUMBER(SEARCH($O$1,Database!$T71&amp;""))))+IF(Screener!$B$14="",0,N(ISNUMBER(SEARCH(Screener!$B$14,Database!$T71&amp;""))))</f>
        <v/>
      </c>
      <c r="I71">
        <f>IF(OR(Database!$B71=Screener!$B$5,IF(OR(Screener!$B$17="All",AND(Screener!$B$17="With A-share",(Database!$AL71&lt;&gt;"")),AND(Screener!$B$17="Without A-share",NOT((Database!$AL71&lt;&gt;"")))),1,0)=0),-999999,IF(Screener!$B$15="cornerstone overlap first",H71*100000,0)+W_SUB*B71+W_SEC*C71*(1-B71)+W_SIZE*D71+W_PROF*E71+W_AH*F71+W_REC*G71+W_CS*H71)+ROW()/1000000</f>
        <v/>
      </c>
      <c r="K71">
        <f>Database!B63</f>
        <v/>
      </c>
      <c r="L71">
        <f>Database!D63</f>
        <v/>
      </c>
      <c r="M71">
        <f>Database!E63</f>
        <v/>
      </c>
      <c r="N71">
        <f>Database!H63</f>
        <v/>
      </c>
      <c r="O71">
        <f>Database!AH63</f>
        <v/>
      </c>
      <c r="P71">
        <f>Database!AK63</f>
        <v/>
      </c>
      <c r="Q71">
        <f>Database!G63</f>
        <v/>
      </c>
    </row>
    <row r="72">
      <c r="A72">
        <f>Database!B72</f>
        <v/>
      </c>
      <c r="B72">
        <f>IF(AND(Screener!$D$9&lt;&gt;"",Database!$E72=Screener!$D$9),1,0)</f>
        <v/>
      </c>
      <c r="C72">
        <f>IF(AND(Screener!$D$8&lt;&gt;"",Database!$D72=Screener!$D$8),1,0)</f>
        <v/>
      </c>
      <c r="D72">
        <f>IF(OR(Database!$H72="",N(Screener!$D$10)&lt;=0),0,MAX(0,1-ABS(LOG10(Database!$H72/Screener!$D$10))/W_SIZEHW))</f>
        <v/>
      </c>
      <c r="E72">
        <f>IF(OR(Database!$AH72="",Screener!$D$11=""),0,IF(Database!$AH72=Screener!$D$11,1,0))</f>
        <v/>
      </c>
      <c r="F72">
        <f>IF(OR(Database!$AK72="",Screener!$D$12=""),0,IF(Database!$AK72=Screener!$D$12,1,0))</f>
        <v/>
      </c>
      <c r="G72">
        <f>IF(OR(Database!$G72="",N(Screener!$D$13)&lt;=0),0,MAX(0,1-(N(Screener!$D$13)-Database!$G72)/W_RECD))</f>
        <v/>
      </c>
      <c r="H72">
        <f>IF($K$1="",0,N(ISNUMBER(SEARCH($K$1,Database!$T72&amp;""))))+IF($L$1="",0,N(ISNUMBER(SEARCH($L$1,Database!$T72&amp;""))))+IF($M$1="",0,N(ISNUMBER(SEARCH($M$1,Database!$T72&amp;""))))+IF($N$1="",0,N(ISNUMBER(SEARCH($N$1,Database!$T72&amp;""))))+IF($O$1="",0,N(ISNUMBER(SEARCH($O$1,Database!$T72&amp;""))))+IF(Screener!$B$14="",0,N(ISNUMBER(SEARCH(Screener!$B$14,Database!$T72&amp;""))))</f>
        <v/>
      </c>
      <c r="I72">
        <f>IF(OR(Database!$B72=Screener!$B$5,IF(OR(Screener!$B$17="All",AND(Screener!$B$17="With A-share",(Database!$AL72&lt;&gt;"")),AND(Screener!$B$17="Without A-share",NOT((Database!$AL72&lt;&gt;"")))),1,0)=0),-999999,IF(Screener!$B$15="cornerstone overlap first",H72*100000,0)+W_SUB*B72+W_SEC*C72*(1-B72)+W_SIZE*D72+W_PROF*E72+W_AH*F72+W_REC*G72+W_CS*H72)+ROW()/1000000</f>
        <v/>
      </c>
      <c r="K72">
        <f>Database!B64</f>
        <v/>
      </c>
      <c r="L72">
        <f>Database!D64</f>
        <v/>
      </c>
      <c r="M72">
        <f>Database!E64</f>
        <v/>
      </c>
      <c r="N72">
        <f>Database!H64</f>
        <v/>
      </c>
      <c r="O72">
        <f>Database!AH64</f>
        <v/>
      </c>
      <c r="P72">
        <f>Database!AK64</f>
        <v/>
      </c>
      <c r="Q72">
        <f>Database!G64</f>
        <v/>
      </c>
    </row>
    <row r="73">
      <c r="A73">
        <f>Database!B73</f>
        <v/>
      </c>
      <c r="B73">
        <f>IF(AND(Screener!$D$9&lt;&gt;"",Database!$E73=Screener!$D$9),1,0)</f>
        <v/>
      </c>
      <c r="C73">
        <f>IF(AND(Screener!$D$8&lt;&gt;"",Database!$D73=Screener!$D$8),1,0)</f>
        <v/>
      </c>
      <c r="D73">
        <f>IF(OR(Database!$H73="",N(Screener!$D$10)&lt;=0),0,MAX(0,1-ABS(LOG10(Database!$H73/Screener!$D$10))/W_SIZEHW))</f>
        <v/>
      </c>
      <c r="E73">
        <f>IF(OR(Database!$AH73="",Screener!$D$11=""),0,IF(Database!$AH73=Screener!$D$11,1,0))</f>
        <v/>
      </c>
      <c r="F73">
        <f>IF(OR(Database!$AK73="",Screener!$D$12=""),0,IF(Database!$AK73=Screener!$D$12,1,0))</f>
        <v/>
      </c>
      <c r="G73">
        <f>IF(OR(Database!$G73="",N(Screener!$D$13)&lt;=0),0,MAX(0,1-(N(Screener!$D$13)-Database!$G73)/W_RECD))</f>
        <v/>
      </c>
      <c r="H73">
        <f>IF($K$1="",0,N(ISNUMBER(SEARCH($K$1,Database!$T73&amp;""))))+IF($L$1="",0,N(ISNUMBER(SEARCH($L$1,Database!$T73&amp;""))))+IF($M$1="",0,N(ISNUMBER(SEARCH($M$1,Database!$T73&amp;""))))+IF($N$1="",0,N(ISNUMBER(SEARCH($N$1,Database!$T73&amp;""))))+IF($O$1="",0,N(ISNUMBER(SEARCH($O$1,Database!$T73&amp;""))))+IF(Screener!$B$14="",0,N(ISNUMBER(SEARCH(Screener!$B$14,Database!$T73&amp;""))))</f>
        <v/>
      </c>
      <c r="I73">
        <f>IF(OR(Database!$B73=Screener!$B$5,IF(OR(Screener!$B$17="All",AND(Screener!$B$17="With A-share",(Database!$AL73&lt;&gt;"")),AND(Screener!$B$17="Without A-share",NOT((Database!$AL73&lt;&gt;"")))),1,0)=0),-999999,IF(Screener!$B$15="cornerstone overlap first",H73*100000,0)+W_SUB*B73+W_SEC*C73*(1-B73)+W_SIZE*D73+W_PROF*E73+W_AH*F73+W_REC*G73+W_CS*H73)+ROW()/1000000</f>
        <v/>
      </c>
      <c r="K73">
        <f>Database!B65</f>
        <v/>
      </c>
      <c r="L73">
        <f>Database!D65</f>
        <v/>
      </c>
      <c r="M73">
        <f>Database!E65</f>
        <v/>
      </c>
      <c r="N73">
        <f>Database!H65</f>
        <v/>
      </c>
      <c r="O73">
        <f>Database!AH65</f>
        <v/>
      </c>
      <c r="P73">
        <f>Database!AK65</f>
        <v/>
      </c>
      <c r="Q73">
        <f>Database!G65</f>
        <v/>
      </c>
    </row>
    <row r="74">
      <c r="A74">
        <f>Database!B74</f>
        <v/>
      </c>
      <c r="B74">
        <f>IF(AND(Screener!$D$9&lt;&gt;"",Database!$E74=Screener!$D$9),1,0)</f>
        <v/>
      </c>
      <c r="C74">
        <f>IF(AND(Screener!$D$8&lt;&gt;"",Database!$D74=Screener!$D$8),1,0)</f>
        <v/>
      </c>
      <c r="D74">
        <f>IF(OR(Database!$H74="",N(Screener!$D$10)&lt;=0),0,MAX(0,1-ABS(LOG10(Database!$H74/Screener!$D$10))/W_SIZEHW))</f>
        <v/>
      </c>
      <c r="E74">
        <f>IF(OR(Database!$AH74="",Screener!$D$11=""),0,IF(Database!$AH74=Screener!$D$11,1,0))</f>
        <v/>
      </c>
      <c r="F74">
        <f>IF(OR(Database!$AK74="",Screener!$D$12=""),0,IF(Database!$AK74=Screener!$D$12,1,0))</f>
        <v/>
      </c>
      <c r="G74">
        <f>IF(OR(Database!$G74="",N(Screener!$D$13)&lt;=0),0,MAX(0,1-(N(Screener!$D$13)-Database!$G74)/W_RECD))</f>
        <v/>
      </c>
      <c r="H74">
        <f>IF($K$1="",0,N(ISNUMBER(SEARCH($K$1,Database!$T74&amp;""))))+IF($L$1="",0,N(ISNUMBER(SEARCH($L$1,Database!$T74&amp;""))))+IF($M$1="",0,N(ISNUMBER(SEARCH($M$1,Database!$T74&amp;""))))+IF($N$1="",0,N(ISNUMBER(SEARCH($N$1,Database!$T74&amp;""))))+IF($O$1="",0,N(ISNUMBER(SEARCH($O$1,Database!$T74&amp;""))))+IF(Screener!$B$14="",0,N(ISNUMBER(SEARCH(Screener!$B$14,Database!$T74&amp;""))))</f>
        <v/>
      </c>
      <c r="I74">
        <f>IF(OR(Database!$B74=Screener!$B$5,IF(OR(Screener!$B$17="All",AND(Screener!$B$17="With A-share",(Database!$AL74&lt;&gt;"")),AND(Screener!$B$17="Without A-share",NOT((Database!$AL74&lt;&gt;"")))),1,0)=0),-999999,IF(Screener!$B$15="cornerstone overlap first",H74*100000,0)+W_SUB*B74+W_SEC*C74*(1-B74)+W_SIZE*D74+W_PROF*E74+W_AH*F74+W_REC*G74+W_CS*H74)+ROW()/1000000</f>
        <v/>
      </c>
      <c r="K74">
        <f>Database!B66</f>
        <v/>
      </c>
      <c r="L74">
        <f>Database!D66</f>
        <v/>
      </c>
      <c r="M74">
        <f>Database!E66</f>
        <v/>
      </c>
      <c r="N74">
        <f>Database!H66</f>
        <v/>
      </c>
      <c r="O74">
        <f>Database!AH66</f>
        <v/>
      </c>
      <c r="P74">
        <f>Database!AK66</f>
        <v/>
      </c>
      <c r="Q74">
        <f>Database!G66</f>
        <v/>
      </c>
    </row>
    <row r="75">
      <c r="A75">
        <f>Database!B75</f>
        <v/>
      </c>
      <c r="B75">
        <f>IF(AND(Screener!$D$9&lt;&gt;"",Database!$E75=Screener!$D$9),1,0)</f>
        <v/>
      </c>
      <c r="C75">
        <f>IF(AND(Screener!$D$8&lt;&gt;"",Database!$D75=Screener!$D$8),1,0)</f>
        <v/>
      </c>
      <c r="D75">
        <f>IF(OR(Database!$H75="",N(Screener!$D$10)&lt;=0),0,MAX(0,1-ABS(LOG10(Database!$H75/Screener!$D$10))/W_SIZEHW))</f>
        <v/>
      </c>
      <c r="E75">
        <f>IF(OR(Database!$AH75="",Screener!$D$11=""),0,IF(Database!$AH75=Screener!$D$11,1,0))</f>
        <v/>
      </c>
      <c r="F75">
        <f>IF(OR(Database!$AK75="",Screener!$D$12=""),0,IF(Database!$AK75=Screener!$D$12,1,0))</f>
        <v/>
      </c>
      <c r="G75">
        <f>IF(OR(Database!$G75="",N(Screener!$D$13)&lt;=0),0,MAX(0,1-(N(Screener!$D$13)-Database!$G75)/W_RECD))</f>
        <v/>
      </c>
      <c r="H75">
        <f>IF($K$1="",0,N(ISNUMBER(SEARCH($K$1,Database!$T75&amp;""))))+IF($L$1="",0,N(ISNUMBER(SEARCH($L$1,Database!$T75&amp;""))))+IF($M$1="",0,N(ISNUMBER(SEARCH($M$1,Database!$T75&amp;""))))+IF($N$1="",0,N(ISNUMBER(SEARCH($N$1,Database!$T75&amp;""))))+IF($O$1="",0,N(ISNUMBER(SEARCH($O$1,Database!$T75&amp;""))))+IF(Screener!$B$14="",0,N(ISNUMBER(SEARCH(Screener!$B$14,Database!$T75&amp;""))))</f>
        <v/>
      </c>
      <c r="I75">
        <f>IF(OR(Database!$B75=Screener!$B$5,IF(OR(Screener!$B$17="All",AND(Screener!$B$17="With A-share",(Database!$AL75&lt;&gt;"")),AND(Screener!$B$17="Without A-share",NOT((Database!$AL75&lt;&gt;"")))),1,0)=0),-999999,IF(Screener!$B$15="cornerstone overlap first",H75*100000,0)+W_SUB*B75+W_SEC*C75*(1-B75)+W_SIZE*D75+W_PROF*E75+W_AH*F75+W_REC*G75+W_CS*H75)+ROW()/1000000</f>
        <v/>
      </c>
      <c r="K75">
        <f>Database!B67</f>
        <v/>
      </c>
      <c r="L75">
        <f>Database!D67</f>
        <v/>
      </c>
      <c r="M75">
        <f>Database!E67</f>
        <v/>
      </c>
      <c r="N75">
        <f>Database!H67</f>
        <v/>
      </c>
      <c r="O75">
        <f>Database!AH67</f>
        <v/>
      </c>
      <c r="P75">
        <f>Database!AK67</f>
        <v/>
      </c>
      <c r="Q75">
        <f>Database!G67</f>
        <v/>
      </c>
    </row>
    <row r="76">
      <c r="A76">
        <f>Database!B76</f>
        <v/>
      </c>
      <c r="B76">
        <f>IF(AND(Screener!$D$9&lt;&gt;"",Database!$E76=Screener!$D$9),1,0)</f>
        <v/>
      </c>
      <c r="C76">
        <f>IF(AND(Screener!$D$8&lt;&gt;"",Database!$D76=Screener!$D$8),1,0)</f>
        <v/>
      </c>
      <c r="D76">
        <f>IF(OR(Database!$H76="",N(Screener!$D$10)&lt;=0),0,MAX(0,1-ABS(LOG10(Database!$H76/Screener!$D$10))/W_SIZEHW))</f>
        <v/>
      </c>
      <c r="E76">
        <f>IF(OR(Database!$AH76="",Screener!$D$11=""),0,IF(Database!$AH76=Screener!$D$11,1,0))</f>
        <v/>
      </c>
      <c r="F76">
        <f>IF(OR(Database!$AK76="",Screener!$D$12=""),0,IF(Database!$AK76=Screener!$D$12,1,0))</f>
        <v/>
      </c>
      <c r="G76">
        <f>IF(OR(Database!$G76="",N(Screener!$D$13)&lt;=0),0,MAX(0,1-(N(Screener!$D$13)-Database!$G76)/W_RECD))</f>
        <v/>
      </c>
      <c r="H76">
        <f>IF($K$1="",0,N(ISNUMBER(SEARCH($K$1,Database!$T76&amp;""))))+IF($L$1="",0,N(ISNUMBER(SEARCH($L$1,Database!$T76&amp;""))))+IF($M$1="",0,N(ISNUMBER(SEARCH($M$1,Database!$T76&amp;""))))+IF($N$1="",0,N(ISNUMBER(SEARCH($N$1,Database!$T76&amp;""))))+IF($O$1="",0,N(ISNUMBER(SEARCH($O$1,Database!$T76&amp;""))))+IF(Screener!$B$14="",0,N(ISNUMBER(SEARCH(Screener!$B$14,Database!$T76&amp;""))))</f>
        <v/>
      </c>
      <c r="I76">
        <f>IF(OR(Database!$B76=Screener!$B$5,IF(OR(Screener!$B$17="All",AND(Screener!$B$17="With A-share",(Database!$AL76&lt;&gt;"")),AND(Screener!$B$17="Without A-share",NOT((Database!$AL76&lt;&gt;"")))),1,0)=0),-999999,IF(Screener!$B$15="cornerstone overlap first",H76*100000,0)+W_SUB*B76+W_SEC*C76*(1-B76)+W_SIZE*D76+W_PROF*E76+W_AH*F76+W_REC*G76+W_CS*H76)+ROW()/1000000</f>
        <v/>
      </c>
      <c r="K76">
        <f>Database!B68</f>
        <v/>
      </c>
      <c r="L76">
        <f>Database!D68</f>
        <v/>
      </c>
      <c r="M76">
        <f>Database!E68</f>
        <v/>
      </c>
      <c r="N76">
        <f>Database!H68</f>
        <v/>
      </c>
      <c r="O76">
        <f>Database!AH68</f>
        <v/>
      </c>
      <c r="P76">
        <f>Database!AK68</f>
        <v/>
      </c>
      <c r="Q76">
        <f>Database!G68</f>
        <v/>
      </c>
    </row>
    <row r="77">
      <c r="A77">
        <f>Database!B77</f>
        <v/>
      </c>
      <c r="B77">
        <f>IF(AND(Screener!$D$9&lt;&gt;"",Database!$E77=Screener!$D$9),1,0)</f>
        <v/>
      </c>
      <c r="C77">
        <f>IF(AND(Screener!$D$8&lt;&gt;"",Database!$D77=Screener!$D$8),1,0)</f>
        <v/>
      </c>
      <c r="D77">
        <f>IF(OR(Database!$H77="",N(Screener!$D$10)&lt;=0),0,MAX(0,1-ABS(LOG10(Database!$H77/Screener!$D$10))/W_SIZEHW))</f>
        <v/>
      </c>
      <c r="E77">
        <f>IF(OR(Database!$AH77="",Screener!$D$11=""),0,IF(Database!$AH77=Screener!$D$11,1,0))</f>
        <v/>
      </c>
      <c r="F77">
        <f>IF(OR(Database!$AK77="",Screener!$D$12=""),0,IF(Database!$AK77=Screener!$D$12,1,0))</f>
        <v/>
      </c>
      <c r="G77">
        <f>IF(OR(Database!$G77="",N(Screener!$D$13)&lt;=0),0,MAX(0,1-(N(Screener!$D$13)-Database!$G77)/W_RECD))</f>
        <v/>
      </c>
      <c r="H77">
        <f>IF($K$1="",0,N(ISNUMBER(SEARCH($K$1,Database!$T77&amp;""))))+IF($L$1="",0,N(ISNUMBER(SEARCH($L$1,Database!$T77&amp;""))))+IF($M$1="",0,N(ISNUMBER(SEARCH($M$1,Database!$T77&amp;""))))+IF($N$1="",0,N(ISNUMBER(SEARCH($N$1,Database!$T77&amp;""))))+IF($O$1="",0,N(ISNUMBER(SEARCH($O$1,Database!$T77&amp;""))))+IF(Screener!$B$14="",0,N(ISNUMBER(SEARCH(Screener!$B$14,Database!$T77&amp;""))))</f>
        <v/>
      </c>
      <c r="I77">
        <f>IF(OR(Database!$B77=Screener!$B$5,IF(OR(Screener!$B$17="All",AND(Screener!$B$17="With A-share",(Database!$AL77&lt;&gt;"")),AND(Screener!$B$17="Without A-share",NOT((Database!$AL77&lt;&gt;"")))),1,0)=0),-999999,IF(Screener!$B$15="cornerstone overlap first",H77*100000,0)+W_SUB*B77+W_SEC*C77*(1-B77)+W_SIZE*D77+W_PROF*E77+W_AH*F77+W_REC*G77+W_CS*H77)+ROW()/1000000</f>
        <v/>
      </c>
      <c r="K77">
        <f>Database!B69</f>
        <v/>
      </c>
      <c r="L77">
        <f>Database!D69</f>
        <v/>
      </c>
      <c r="M77">
        <f>Database!E69</f>
        <v/>
      </c>
      <c r="N77">
        <f>Database!H69</f>
        <v/>
      </c>
      <c r="O77">
        <f>Database!AH69</f>
        <v/>
      </c>
      <c r="P77">
        <f>Database!AK69</f>
        <v/>
      </c>
      <c r="Q77">
        <f>Database!G69</f>
        <v/>
      </c>
    </row>
    <row r="78">
      <c r="A78">
        <f>Database!B78</f>
        <v/>
      </c>
      <c r="B78">
        <f>IF(AND(Screener!$D$9&lt;&gt;"",Database!$E78=Screener!$D$9),1,0)</f>
        <v/>
      </c>
      <c r="C78">
        <f>IF(AND(Screener!$D$8&lt;&gt;"",Database!$D78=Screener!$D$8),1,0)</f>
        <v/>
      </c>
      <c r="D78">
        <f>IF(OR(Database!$H78="",N(Screener!$D$10)&lt;=0),0,MAX(0,1-ABS(LOG10(Database!$H78/Screener!$D$10))/W_SIZEHW))</f>
        <v/>
      </c>
      <c r="E78">
        <f>IF(OR(Database!$AH78="",Screener!$D$11=""),0,IF(Database!$AH78=Screener!$D$11,1,0))</f>
        <v/>
      </c>
      <c r="F78">
        <f>IF(OR(Database!$AK78="",Screener!$D$12=""),0,IF(Database!$AK78=Screener!$D$12,1,0))</f>
        <v/>
      </c>
      <c r="G78">
        <f>IF(OR(Database!$G78="",N(Screener!$D$13)&lt;=0),0,MAX(0,1-(N(Screener!$D$13)-Database!$G78)/W_RECD))</f>
        <v/>
      </c>
      <c r="H78">
        <f>IF($K$1="",0,N(ISNUMBER(SEARCH($K$1,Database!$T78&amp;""))))+IF($L$1="",0,N(ISNUMBER(SEARCH($L$1,Database!$T78&amp;""))))+IF($M$1="",0,N(ISNUMBER(SEARCH($M$1,Database!$T78&amp;""))))+IF($N$1="",0,N(ISNUMBER(SEARCH($N$1,Database!$T78&amp;""))))+IF($O$1="",0,N(ISNUMBER(SEARCH($O$1,Database!$T78&amp;""))))+IF(Screener!$B$14="",0,N(ISNUMBER(SEARCH(Screener!$B$14,Database!$T78&amp;""))))</f>
        <v/>
      </c>
      <c r="I78">
        <f>IF(OR(Database!$B78=Screener!$B$5,IF(OR(Screener!$B$17="All",AND(Screener!$B$17="With A-share",(Database!$AL78&lt;&gt;"")),AND(Screener!$B$17="Without A-share",NOT((Database!$AL78&lt;&gt;"")))),1,0)=0),-999999,IF(Screener!$B$15="cornerstone overlap first",H78*100000,0)+W_SUB*B78+W_SEC*C78*(1-B78)+W_SIZE*D78+W_PROF*E78+W_AH*F78+W_REC*G78+W_CS*H78)+ROW()/1000000</f>
        <v/>
      </c>
      <c r="K78">
        <f>Database!B70</f>
        <v/>
      </c>
      <c r="L78">
        <f>Database!D70</f>
        <v/>
      </c>
      <c r="M78">
        <f>Database!E70</f>
        <v/>
      </c>
      <c r="N78">
        <f>Database!H70</f>
        <v/>
      </c>
      <c r="O78">
        <f>Database!AH70</f>
        <v/>
      </c>
      <c r="P78">
        <f>Database!AK70</f>
        <v/>
      </c>
      <c r="Q78">
        <f>Database!G70</f>
        <v/>
      </c>
    </row>
    <row r="79">
      <c r="A79">
        <f>Database!B79</f>
        <v/>
      </c>
      <c r="B79">
        <f>IF(AND(Screener!$D$9&lt;&gt;"",Database!$E79=Screener!$D$9),1,0)</f>
        <v/>
      </c>
      <c r="C79">
        <f>IF(AND(Screener!$D$8&lt;&gt;"",Database!$D79=Screener!$D$8),1,0)</f>
        <v/>
      </c>
      <c r="D79">
        <f>IF(OR(Database!$H79="",N(Screener!$D$10)&lt;=0),0,MAX(0,1-ABS(LOG10(Database!$H79/Screener!$D$10))/W_SIZEHW))</f>
        <v/>
      </c>
      <c r="E79">
        <f>IF(OR(Database!$AH79="",Screener!$D$11=""),0,IF(Database!$AH79=Screener!$D$11,1,0))</f>
        <v/>
      </c>
      <c r="F79">
        <f>IF(OR(Database!$AK79="",Screener!$D$12=""),0,IF(Database!$AK79=Screener!$D$12,1,0))</f>
        <v/>
      </c>
      <c r="G79">
        <f>IF(OR(Database!$G79="",N(Screener!$D$13)&lt;=0),0,MAX(0,1-(N(Screener!$D$13)-Database!$G79)/W_RECD))</f>
        <v/>
      </c>
      <c r="H79">
        <f>IF($K$1="",0,N(ISNUMBER(SEARCH($K$1,Database!$T79&amp;""))))+IF($L$1="",0,N(ISNUMBER(SEARCH($L$1,Database!$T79&amp;""))))+IF($M$1="",0,N(ISNUMBER(SEARCH($M$1,Database!$T79&amp;""))))+IF($N$1="",0,N(ISNUMBER(SEARCH($N$1,Database!$T79&amp;""))))+IF($O$1="",0,N(ISNUMBER(SEARCH($O$1,Database!$T79&amp;""))))+IF(Screener!$B$14="",0,N(ISNUMBER(SEARCH(Screener!$B$14,Database!$T79&amp;""))))</f>
        <v/>
      </c>
      <c r="I79">
        <f>IF(OR(Database!$B79=Screener!$B$5,IF(OR(Screener!$B$17="All",AND(Screener!$B$17="With A-share",(Database!$AL79&lt;&gt;"")),AND(Screener!$B$17="Without A-share",NOT((Database!$AL79&lt;&gt;"")))),1,0)=0),-999999,IF(Screener!$B$15="cornerstone overlap first",H79*100000,0)+W_SUB*B79+W_SEC*C79*(1-B79)+W_SIZE*D79+W_PROF*E79+W_AH*F79+W_REC*G79+W_CS*H79)+ROW()/1000000</f>
        <v/>
      </c>
      <c r="K79">
        <f>Database!B71</f>
        <v/>
      </c>
      <c r="L79">
        <f>Database!D71</f>
        <v/>
      </c>
      <c r="M79">
        <f>Database!E71</f>
        <v/>
      </c>
      <c r="N79">
        <f>Database!H71</f>
        <v/>
      </c>
      <c r="O79">
        <f>Database!AH71</f>
        <v/>
      </c>
      <c r="P79">
        <f>Database!AK71</f>
        <v/>
      </c>
      <c r="Q79">
        <f>Database!G71</f>
        <v/>
      </c>
    </row>
    <row r="80">
      <c r="A80">
        <f>Database!B80</f>
        <v/>
      </c>
      <c r="B80">
        <f>IF(AND(Screener!$D$9&lt;&gt;"",Database!$E80=Screener!$D$9),1,0)</f>
        <v/>
      </c>
      <c r="C80">
        <f>IF(AND(Screener!$D$8&lt;&gt;"",Database!$D80=Screener!$D$8),1,0)</f>
        <v/>
      </c>
      <c r="D80">
        <f>IF(OR(Database!$H80="",N(Screener!$D$10)&lt;=0),0,MAX(0,1-ABS(LOG10(Database!$H80/Screener!$D$10))/W_SIZEHW))</f>
        <v/>
      </c>
      <c r="E80">
        <f>IF(OR(Database!$AH80="",Screener!$D$11=""),0,IF(Database!$AH80=Screener!$D$11,1,0))</f>
        <v/>
      </c>
      <c r="F80">
        <f>IF(OR(Database!$AK80="",Screener!$D$12=""),0,IF(Database!$AK80=Screener!$D$12,1,0))</f>
        <v/>
      </c>
      <c r="G80">
        <f>IF(OR(Database!$G80="",N(Screener!$D$13)&lt;=0),0,MAX(0,1-(N(Screener!$D$13)-Database!$G80)/W_RECD))</f>
        <v/>
      </c>
      <c r="H80">
        <f>IF($K$1="",0,N(ISNUMBER(SEARCH($K$1,Database!$T80&amp;""))))+IF($L$1="",0,N(ISNUMBER(SEARCH($L$1,Database!$T80&amp;""))))+IF($M$1="",0,N(ISNUMBER(SEARCH($M$1,Database!$T80&amp;""))))+IF($N$1="",0,N(ISNUMBER(SEARCH($N$1,Database!$T80&amp;""))))+IF($O$1="",0,N(ISNUMBER(SEARCH($O$1,Database!$T80&amp;""))))+IF(Screener!$B$14="",0,N(ISNUMBER(SEARCH(Screener!$B$14,Database!$T80&amp;""))))</f>
        <v/>
      </c>
      <c r="I80">
        <f>IF(OR(Database!$B80=Screener!$B$5,IF(OR(Screener!$B$17="All",AND(Screener!$B$17="With A-share",(Database!$AL80&lt;&gt;"")),AND(Screener!$B$17="Without A-share",NOT((Database!$AL80&lt;&gt;"")))),1,0)=0),-999999,IF(Screener!$B$15="cornerstone overlap first",H80*100000,0)+W_SUB*B80+W_SEC*C80*(1-B80)+W_SIZE*D80+W_PROF*E80+W_AH*F80+W_REC*G80+W_CS*H80)+ROW()/1000000</f>
        <v/>
      </c>
      <c r="K80">
        <f>Database!B72</f>
        <v/>
      </c>
      <c r="L80">
        <f>Database!D72</f>
        <v/>
      </c>
      <c r="M80">
        <f>Database!E72</f>
        <v/>
      </c>
      <c r="N80">
        <f>Database!H72</f>
        <v/>
      </c>
      <c r="O80">
        <f>Database!AH72</f>
        <v/>
      </c>
      <c r="P80">
        <f>Database!AK72</f>
        <v/>
      </c>
      <c r="Q80">
        <f>Database!G72</f>
        <v/>
      </c>
    </row>
    <row r="81">
      <c r="A81">
        <f>Database!B81</f>
        <v/>
      </c>
      <c r="B81">
        <f>IF(AND(Screener!$D$9&lt;&gt;"",Database!$E81=Screener!$D$9),1,0)</f>
        <v/>
      </c>
      <c r="C81">
        <f>IF(AND(Screener!$D$8&lt;&gt;"",Database!$D81=Screener!$D$8),1,0)</f>
        <v/>
      </c>
      <c r="D81">
        <f>IF(OR(Database!$H81="",N(Screener!$D$10)&lt;=0),0,MAX(0,1-ABS(LOG10(Database!$H81/Screener!$D$10))/W_SIZEHW))</f>
        <v/>
      </c>
      <c r="E81">
        <f>IF(OR(Database!$AH81="",Screener!$D$11=""),0,IF(Database!$AH81=Screener!$D$11,1,0))</f>
        <v/>
      </c>
      <c r="F81">
        <f>IF(OR(Database!$AK81="",Screener!$D$12=""),0,IF(Database!$AK81=Screener!$D$12,1,0))</f>
        <v/>
      </c>
      <c r="G81">
        <f>IF(OR(Database!$G81="",N(Screener!$D$13)&lt;=0),0,MAX(0,1-(N(Screener!$D$13)-Database!$G81)/W_RECD))</f>
        <v/>
      </c>
      <c r="H81">
        <f>IF($K$1="",0,N(ISNUMBER(SEARCH($K$1,Database!$T81&amp;""))))+IF($L$1="",0,N(ISNUMBER(SEARCH($L$1,Database!$T81&amp;""))))+IF($M$1="",0,N(ISNUMBER(SEARCH($M$1,Database!$T81&amp;""))))+IF($N$1="",0,N(ISNUMBER(SEARCH($N$1,Database!$T81&amp;""))))+IF($O$1="",0,N(ISNUMBER(SEARCH($O$1,Database!$T81&amp;""))))+IF(Screener!$B$14="",0,N(ISNUMBER(SEARCH(Screener!$B$14,Database!$T81&amp;""))))</f>
        <v/>
      </c>
      <c r="I81">
        <f>IF(OR(Database!$B81=Screener!$B$5,IF(OR(Screener!$B$17="All",AND(Screener!$B$17="With A-share",(Database!$AL81&lt;&gt;"")),AND(Screener!$B$17="Without A-share",NOT((Database!$AL81&lt;&gt;"")))),1,0)=0),-999999,IF(Screener!$B$15="cornerstone overlap first",H81*100000,0)+W_SUB*B81+W_SEC*C81*(1-B81)+W_SIZE*D81+W_PROF*E81+W_AH*F81+W_REC*G81+W_CS*H81)+ROW()/1000000</f>
        <v/>
      </c>
      <c r="K81">
        <f>Database!B73</f>
        <v/>
      </c>
      <c r="L81">
        <f>Database!D73</f>
        <v/>
      </c>
      <c r="M81">
        <f>Database!E73</f>
        <v/>
      </c>
      <c r="N81">
        <f>Database!H73</f>
        <v/>
      </c>
      <c r="O81">
        <f>Database!AH73</f>
        <v/>
      </c>
      <c r="P81">
        <f>Database!AK73</f>
        <v/>
      </c>
      <c r="Q81">
        <f>Database!G73</f>
        <v/>
      </c>
    </row>
    <row r="82">
      <c r="A82">
        <f>Database!B82</f>
        <v/>
      </c>
      <c r="B82">
        <f>IF(AND(Screener!$D$9&lt;&gt;"",Database!$E82=Screener!$D$9),1,0)</f>
        <v/>
      </c>
      <c r="C82">
        <f>IF(AND(Screener!$D$8&lt;&gt;"",Database!$D82=Screener!$D$8),1,0)</f>
        <v/>
      </c>
      <c r="D82">
        <f>IF(OR(Database!$H82="",N(Screener!$D$10)&lt;=0),0,MAX(0,1-ABS(LOG10(Database!$H82/Screener!$D$10))/W_SIZEHW))</f>
        <v/>
      </c>
      <c r="E82">
        <f>IF(OR(Database!$AH82="",Screener!$D$11=""),0,IF(Database!$AH82=Screener!$D$11,1,0))</f>
        <v/>
      </c>
      <c r="F82">
        <f>IF(OR(Database!$AK82="",Screener!$D$12=""),0,IF(Database!$AK82=Screener!$D$12,1,0))</f>
        <v/>
      </c>
      <c r="G82">
        <f>IF(OR(Database!$G82="",N(Screener!$D$13)&lt;=0),0,MAX(0,1-(N(Screener!$D$13)-Database!$G82)/W_RECD))</f>
        <v/>
      </c>
      <c r="H82">
        <f>IF($K$1="",0,N(ISNUMBER(SEARCH($K$1,Database!$T82&amp;""))))+IF($L$1="",0,N(ISNUMBER(SEARCH($L$1,Database!$T82&amp;""))))+IF($M$1="",0,N(ISNUMBER(SEARCH($M$1,Database!$T82&amp;""))))+IF($N$1="",0,N(ISNUMBER(SEARCH($N$1,Database!$T82&amp;""))))+IF($O$1="",0,N(ISNUMBER(SEARCH($O$1,Database!$T82&amp;""))))+IF(Screener!$B$14="",0,N(ISNUMBER(SEARCH(Screener!$B$14,Database!$T82&amp;""))))</f>
        <v/>
      </c>
      <c r="I82">
        <f>IF(OR(Database!$B82=Screener!$B$5,IF(OR(Screener!$B$17="All",AND(Screener!$B$17="With A-share",(Database!$AL82&lt;&gt;"")),AND(Screener!$B$17="Without A-share",NOT((Database!$AL82&lt;&gt;"")))),1,0)=0),-999999,IF(Screener!$B$15="cornerstone overlap first",H82*100000,0)+W_SUB*B82+W_SEC*C82*(1-B82)+W_SIZE*D82+W_PROF*E82+W_AH*F82+W_REC*G82+W_CS*H82)+ROW()/1000000</f>
        <v/>
      </c>
      <c r="K82">
        <f>Database!B74</f>
        <v/>
      </c>
      <c r="L82">
        <f>Database!D74</f>
        <v/>
      </c>
      <c r="M82">
        <f>Database!E74</f>
        <v/>
      </c>
      <c r="N82">
        <f>Database!H74</f>
        <v/>
      </c>
      <c r="O82">
        <f>Database!AH74</f>
        <v/>
      </c>
      <c r="P82">
        <f>Database!AK74</f>
        <v/>
      </c>
      <c r="Q82">
        <f>Database!G74</f>
        <v/>
      </c>
    </row>
    <row r="83">
      <c r="A83">
        <f>Database!B83</f>
        <v/>
      </c>
      <c r="B83">
        <f>IF(AND(Screener!$D$9&lt;&gt;"",Database!$E83=Screener!$D$9),1,0)</f>
        <v/>
      </c>
      <c r="C83">
        <f>IF(AND(Screener!$D$8&lt;&gt;"",Database!$D83=Screener!$D$8),1,0)</f>
        <v/>
      </c>
      <c r="D83">
        <f>IF(OR(Database!$H83="",N(Screener!$D$10)&lt;=0),0,MAX(0,1-ABS(LOG10(Database!$H83/Screener!$D$10))/W_SIZEHW))</f>
        <v/>
      </c>
      <c r="E83">
        <f>IF(OR(Database!$AH83="",Screener!$D$11=""),0,IF(Database!$AH83=Screener!$D$11,1,0))</f>
        <v/>
      </c>
      <c r="F83">
        <f>IF(OR(Database!$AK83="",Screener!$D$12=""),0,IF(Database!$AK83=Screener!$D$12,1,0))</f>
        <v/>
      </c>
      <c r="G83">
        <f>IF(OR(Database!$G83="",N(Screener!$D$13)&lt;=0),0,MAX(0,1-(N(Screener!$D$13)-Database!$G83)/W_RECD))</f>
        <v/>
      </c>
      <c r="H83">
        <f>IF($K$1="",0,N(ISNUMBER(SEARCH($K$1,Database!$T83&amp;""))))+IF($L$1="",0,N(ISNUMBER(SEARCH($L$1,Database!$T83&amp;""))))+IF($M$1="",0,N(ISNUMBER(SEARCH($M$1,Database!$T83&amp;""))))+IF($N$1="",0,N(ISNUMBER(SEARCH($N$1,Database!$T83&amp;""))))+IF($O$1="",0,N(ISNUMBER(SEARCH($O$1,Database!$T83&amp;""))))+IF(Screener!$B$14="",0,N(ISNUMBER(SEARCH(Screener!$B$14,Database!$T83&amp;""))))</f>
        <v/>
      </c>
      <c r="I83">
        <f>IF(OR(Database!$B83=Screener!$B$5,IF(OR(Screener!$B$17="All",AND(Screener!$B$17="With A-share",(Database!$AL83&lt;&gt;"")),AND(Screener!$B$17="Without A-share",NOT((Database!$AL83&lt;&gt;"")))),1,0)=0),-999999,IF(Screener!$B$15="cornerstone overlap first",H83*100000,0)+W_SUB*B83+W_SEC*C83*(1-B83)+W_SIZE*D83+W_PROF*E83+W_AH*F83+W_REC*G83+W_CS*H83)+ROW()/1000000</f>
        <v/>
      </c>
      <c r="K83">
        <f>Database!B75</f>
        <v/>
      </c>
      <c r="L83">
        <f>Database!D75</f>
        <v/>
      </c>
      <c r="M83">
        <f>Database!E75</f>
        <v/>
      </c>
      <c r="N83">
        <f>Database!H75</f>
        <v/>
      </c>
      <c r="O83">
        <f>Database!AH75</f>
        <v/>
      </c>
      <c r="P83">
        <f>Database!AK75</f>
        <v/>
      </c>
      <c r="Q83">
        <f>Database!G75</f>
        <v/>
      </c>
    </row>
    <row r="84">
      <c r="A84">
        <f>Database!B84</f>
        <v/>
      </c>
      <c r="B84">
        <f>IF(AND(Screener!$D$9&lt;&gt;"",Database!$E84=Screener!$D$9),1,0)</f>
        <v/>
      </c>
      <c r="C84">
        <f>IF(AND(Screener!$D$8&lt;&gt;"",Database!$D84=Screener!$D$8),1,0)</f>
        <v/>
      </c>
      <c r="D84">
        <f>IF(OR(Database!$H84="",N(Screener!$D$10)&lt;=0),0,MAX(0,1-ABS(LOG10(Database!$H84/Screener!$D$10))/W_SIZEHW))</f>
        <v/>
      </c>
      <c r="E84">
        <f>IF(OR(Database!$AH84="",Screener!$D$11=""),0,IF(Database!$AH84=Screener!$D$11,1,0))</f>
        <v/>
      </c>
      <c r="F84">
        <f>IF(OR(Database!$AK84="",Screener!$D$12=""),0,IF(Database!$AK84=Screener!$D$12,1,0))</f>
        <v/>
      </c>
      <c r="G84">
        <f>IF(OR(Database!$G84="",N(Screener!$D$13)&lt;=0),0,MAX(0,1-(N(Screener!$D$13)-Database!$G84)/W_RECD))</f>
        <v/>
      </c>
      <c r="H84">
        <f>IF($K$1="",0,N(ISNUMBER(SEARCH($K$1,Database!$T84&amp;""))))+IF($L$1="",0,N(ISNUMBER(SEARCH($L$1,Database!$T84&amp;""))))+IF($M$1="",0,N(ISNUMBER(SEARCH($M$1,Database!$T84&amp;""))))+IF($N$1="",0,N(ISNUMBER(SEARCH($N$1,Database!$T84&amp;""))))+IF($O$1="",0,N(ISNUMBER(SEARCH($O$1,Database!$T84&amp;""))))+IF(Screener!$B$14="",0,N(ISNUMBER(SEARCH(Screener!$B$14,Database!$T84&amp;""))))</f>
        <v/>
      </c>
      <c r="I84">
        <f>IF(OR(Database!$B84=Screener!$B$5,IF(OR(Screener!$B$17="All",AND(Screener!$B$17="With A-share",(Database!$AL84&lt;&gt;"")),AND(Screener!$B$17="Without A-share",NOT((Database!$AL84&lt;&gt;"")))),1,0)=0),-999999,IF(Screener!$B$15="cornerstone overlap first",H84*100000,0)+W_SUB*B84+W_SEC*C84*(1-B84)+W_SIZE*D84+W_PROF*E84+W_AH*F84+W_REC*G84+W_CS*H84)+ROW()/1000000</f>
        <v/>
      </c>
      <c r="K84">
        <f>Database!B76</f>
        <v/>
      </c>
      <c r="L84">
        <f>Database!D76</f>
        <v/>
      </c>
      <c r="M84">
        <f>Database!E76</f>
        <v/>
      </c>
      <c r="N84">
        <f>Database!H76</f>
        <v/>
      </c>
      <c r="O84">
        <f>Database!AH76</f>
        <v/>
      </c>
      <c r="P84">
        <f>Database!AK76</f>
        <v/>
      </c>
      <c r="Q84">
        <f>Database!G76</f>
        <v/>
      </c>
    </row>
    <row r="85">
      <c r="A85">
        <f>Database!B85</f>
        <v/>
      </c>
      <c r="B85">
        <f>IF(AND(Screener!$D$9&lt;&gt;"",Database!$E85=Screener!$D$9),1,0)</f>
        <v/>
      </c>
      <c r="C85">
        <f>IF(AND(Screener!$D$8&lt;&gt;"",Database!$D85=Screener!$D$8),1,0)</f>
        <v/>
      </c>
      <c r="D85">
        <f>IF(OR(Database!$H85="",N(Screener!$D$10)&lt;=0),0,MAX(0,1-ABS(LOG10(Database!$H85/Screener!$D$10))/W_SIZEHW))</f>
        <v/>
      </c>
      <c r="E85">
        <f>IF(OR(Database!$AH85="",Screener!$D$11=""),0,IF(Database!$AH85=Screener!$D$11,1,0))</f>
        <v/>
      </c>
      <c r="F85">
        <f>IF(OR(Database!$AK85="",Screener!$D$12=""),0,IF(Database!$AK85=Screener!$D$12,1,0))</f>
        <v/>
      </c>
      <c r="G85">
        <f>IF(OR(Database!$G85="",N(Screener!$D$13)&lt;=0),0,MAX(0,1-(N(Screener!$D$13)-Database!$G85)/W_RECD))</f>
        <v/>
      </c>
      <c r="H85">
        <f>IF($K$1="",0,N(ISNUMBER(SEARCH($K$1,Database!$T85&amp;""))))+IF($L$1="",0,N(ISNUMBER(SEARCH($L$1,Database!$T85&amp;""))))+IF($M$1="",0,N(ISNUMBER(SEARCH($M$1,Database!$T85&amp;""))))+IF($N$1="",0,N(ISNUMBER(SEARCH($N$1,Database!$T85&amp;""))))+IF($O$1="",0,N(ISNUMBER(SEARCH($O$1,Database!$T85&amp;""))))+IF(Screener!$B$14="",0,N(ISNUMBER(SEARCH(Screener!$B$14,Database!$T85&amp;""))))</f>
        <v/>
      </c>
      <c r="I85">
        <f>IF(OR(Database!$B85=Screener!$B$5,IF(OR(Screener!$B$17="All",AND(Screener!$B$17="With A-share",(Database!$AL85&lt;&gt;"")),AND(Screener!$B$17="Without A-share",NOT((Database!$AL85&lt;&gt;"")))),1,0)=0),-999999,IF(Screener!$B$15="cornerstone overlap first",H85*100000,0)+W_SUB*B85+W_SEC*C85*(1-B85)+W_SIZE*D85+W_PROF*E85+W_AH*F85+W_REC*G85+W_CS*H85)+ROW()/1000000</f>
        <v/>
      </c>
      <c r="K85">
        <f>Database!B77</f>
        <v/>
      </c>
      <c r="L85">
        <f>Database!D77</f>
        <v/>
      </c>
      <c r="M85">
        <f>Database!E77</f>
        <v/>
      </c>
      <c r="N85">
        <f>Database!H77</f>
        <v/>
      </c>
      <c r="O85">
        <f>Database!AH77</f>
        <v/>
      </c>
      <c r="P85">
        <f>Database!AK77</f>
        <v/>
      </c>
      <c r="Q85">
        <f>Database!G77</f>
        <v/>
      </c>
    </row>
    <row r="86">
      <c r="A86">
        <f>Database!B86</f>
        <v/>
      </c>
      <c r="B86">
        <f>IF(AND(Screener!$D$9&lt;&gt;"",Database!$E86=Screener!$D$9),1,0)</f>
        <v/>
      </c>
      <c r="C86">
        <f>IF(AND(Screener!$D$8&lt;&gt;"",Database!$D86=Screener!$D$8),1,0)</f>
        <v/>
      </c>
      <c r="D86">
        <f>IF(OR(Database!$H86="",N(Screener!$D$10)&lt;=0),0,MAX(0,1-ABS(LOG10(Database!$H86/Screener!$D$10))/W_SIZEHW))</f>
        <v/>
      </c>
      <c r="E86">
        <f>IF(OR(Database!$AH86="",Screener!$D$11=""),0,IF(Database!$AH86=Screener!$D$11,1,0))</f>
        <v/>
      </c>
      <c r="F86">
        <f>IF(OR(Database!$AK86="",Screener!$D$12=""),0,IF(Database!$AK86=Screener!$D$12,1,0))</f>
        <v/>
      </c>
      <c r="G86">
        <f>IF(OR(Database!$G86="",N(Screener!$D$13)&lt;=0),0,MAX(0,1-(N(Screener!$D$13)-Database!$G86)/W_RECD))</f>
        <v/>
      </c>
      <c r="H86">
        <f>IF($K$1="",0,N(ISNUMBER(SEARCH($K$1,Database!$T86&amp;""))))+IF($L$1="",0,N(ISNUMBER(SEARCH($L$1,Database!$T86&amp;""))))+IF($M$1="",0,N(ISNUMBER(SEARCH($M$1,Database!$T86&amp;""))))+IF($N$1="",0,N(ISNUMBER(SEARCH($N$1,Database!$T86&amp;""))))+IF($O$1="",0,N(ISNUMBER(SEARCH($O$1,Database!$T86&amp;""))))+IF(Screener!$B$14="",0,N(ISNUMBER(SEARCH(Screener!$B$14,Database!$T86&amp;""))))</f>
        <v/>
      </c>
      <c r="I86">
        <f>IF(OR(Database!$B86=Screener!$B$5,IF(OR(Screener!$B$17="All",AND(Screener!$B$17="With A-share",(Database!$AL86&lt;&gt;"")),AND(Screener!$B$17="Without A-share",NOT((Database!$AL86&lt;&gt;"")))),1,0)=0),-999999,IF(Screener!$B$15="cornerstone overlap first",H86*100000,0)+W_SUB*B86+W_SEC*C86*(1-B86)+W_SIZE*D86+W_PROF*E86+W_AH*F86+W_REC*G86+W_CS*H86)+ROW()/1000000</f>
        <v/>
      </c>
      <c r="K86">
        <f>Database!B78</f>
        <v/>
      </c>
      <c r="L86">
        <f>Database!D78</f>
        <v/>
      </c>
      <c r="M86">
        <f>Database!E78</f>
        <v/>
      </c>
      <c r="N86">
        <f>Database!H78</f>
        <v/>
      </c>
      <c r="O86">
        <f>Database!AH78</f>
        <v/>
      </c>
      <c r="P86">
        <f>Database!AK78</f>
        <v/>
      </c>
      <c r="Q86">
        <f>Database!G78</f>
        <v/>
      </c>
    </row>
    <row r="87">
      <c r="A87">
        <f>Database!B87</f>
        <v/>
      </c>
      <c r="B87">
        <f>IF(AND(Screener!$D$9&lt;&gt;"",Database!$E87=Screener!$D$9),1,0)</f>
        <v/>
      </c>
      <c r="C87">
        <f>IF(AND(Screener!$D$8&lt;&gt;"",Database!$D87=Screener!$D$8),1,0)</f>
        <v/>
      </c>
      <c r="D87">
        <f>IF(OR(Database!$H87="",N(Screener!$D$10)&lt;=0),0,MAX(0,1-ABS(LOG10(Database!$H87/Screener!$D$10))/W_SIZEHW))</f>
        <v/>
      </c>
      <c r="E87">
        <f>IF(OR(Database!$AH87="",Screener!$D$11=""),0,IF(Database!$AH87=Screener!$D$11,1,0))</f>
        <v/>
      </c>
      <c r="F87">
        <f>IF(OR(Database!$AK87="",Screener!$D$12=""),0,IF(Database!$AK87=Screener!$D$12,1,0))</f>
        <v/>
      </c>
      <c r="G87">
        <f>IF(OR(Database!$G87="",N(Screener!$D$13)&lt;=0),0,MAX(0,1-(N(Screener!$D$13)-Database!$G87)/W_RECD))</f>
        <v/>
      </c>
      <c r="H87">
        <f>IF($K$1="",0,N(ISNUMBER(SEARCH($K$1,Database!$T87&amp;""))))+IF($L$1="",0,N(ISNUMBER(SEARCH($L$1,Database!$T87&amp;""))))+IF($M$1="",0,N(ISNUMBER(SEARCH($M$1,Database!$T87&amp;""))))+IF($N$1="",0,N(ISNUMBER(SEARCH($N$1,Database!$T87&amp;""))))+IF($O$1="",0,N(ISNUMBER(SEARCH($O$1,Database!$T87&amp;""))))+IF(Screener!$B$14="",0,N(ISNUMBER(SEARCH(Screener!$B$14,Database!$T87&amp;""))))</f>
        <v/>
      </c>
      <c r="I87">
        <f>IF(OR(Database!$B87=Screener!$B$5,IF(OR(Screener!$B$17="All",AND(Screener!$B$17="With A-share",(Database!$AL87&lt;&gt;"")),AND(Screener!$B$17="Without A-share",NOT((Database!$AL87&lt;&gt;"")))),1,0)=0),-999999,IF(Screener!$B$15="cornerstone overlap first",H87*100000,0)+W_SUB*B87+W_SEC*C87*(1-B87)+W_SIZE*D87+W_PROF*E87+W_AH*F87+W_REC*G87+W_CS*H87)+ROW()/1000000</f>
        <v/>
      </c>
      <c r="K87">
        <f>Database!B79</f>
        <v/>
      </c>
      <c r="L87">
        <f>Database!D79</f>
        <v/>
      </c>
      <c r="M87">
        <f>Database!E79</f>
        <v/>
      </c>
      <c r="N87">
        <f>Database!H79</f>
        <v/>
      </c>
      <c r="O87">
        <f>Database!AH79</f>
        <v/>
      </c>
      <c r="P87">
        <f>Database!AK79</f>
        <v/>
      </c>
      <c r="Q87">
        <f>Database!G79</f>
        <v/>
      </c>
    </row>
    <row r="88">
      <c r="A88">
        <f>Database!B88</f>
        <v/>
      </c>
      <c r="B88">
        <f>IF(AND(Screener!$D$9&lt;&gt;"",Database!$E88=Screener!$D$9),1,0)</f>
        <v/>
      </c>
      <c r="C88">
        <f>IF(AND(Screener!$D$8&lt;&gt;"",Database!$D88=Screener!$D$8),1,0)</f>
        <v/>
      </c>
      <c r="D88">
        <f>IF(OR(Database!$H88="",N(Screener!$D$10)&lt;=0),0,MAX(0,1-ABS(LOG10(Database!$H88/Screener!$D$10))/W_SIZEHW))</f>
        <v/>
      </c>
      <c r="E88">
        <f>IF(OR(Database!$AH88="",Screener!$D$11=""),0,IF(Database!$AH88=Screener!$D$11,1,0))</f>
        <v/>
      </c>
      <c r="F88">
        <f>IF(OR(Database!$AK88="",Screener!$D$12=""),0,IF(Database!$AK88=Screener!$D$12,1,0))</f>
        <v/>
      </c>
      <c r="G88">
        <f>IF(OR(Database!$G88="",N(Screener!$D$13)&lt;=0),0,MAX(0,1-(N(Screener!$D$13)-Database!$G88)/W_RECD))</f>
        <v/>
      </c>
      <c r="H88">
        <f>IF($K$1="",0,N(ISNUMBER(SEARCH($K$1,Database!$T88&amp;""))))+IF($L$1="",0,N(ISNUMBER(SEARCH($L$1,Database!$T88&amp;""))))+IF($M$1="",0,N(ISNUMBER(SEARCH($M$1,Database!$T88&amp;""))))+IF($N$1="",0,N(ISNUMBER(SEARCH($N$1,Database!$T88&amp;""))))+IF($O$1="",0,N(ISNUMBER(SEARCH($O$1,Database!$T88&amp;""))))+IF(Screener!$B$14="",0,N(ISNUMBER(SEARCH(Screener!$B$14,Database!$T88&amp;""))))</f>
        <v/>
      </c>
      <c r="I88">
        <f>IF(OR(Database!$B88=Screener!$B$5,IF(OR(Screener!$B$17="All",AND(Screener!$B$17="With A-share",(Database!$AL88&lt;&gt;"")),AND(Screener!$B$17="Without A-share",NOT((Database!$AL88&lt;&gt;"")))),1,0)=0),-999999,IF(Screener!$B$15="cornerstone overlap first",H88*100000,0)+W_SUB*B88+W_SEC*C88*(1-B88)+W_SIZE*D88+W_PROF*E88+W_AH*F88+W_REC*G88+W_CS*H88)+ROW()/1000000</f>
        <v/>
      </c>
      <c r="K88">
        <f>Database!B80</f>
        <v/>
      </c>
      <c r="L88">
        <f>Database!D80</f>
        <v/>
      </c>
      <c r="M88">
        <f>Database!E80</f>
        <v/>
      </c>
      <c r="N88">
        <f>Database!H80</f>
        <v/>
      </c>
      <c r="O88">
        <f>Database!AH80</f>
        <v/>
      </c>
      <c r="P88">
        <f>Database!AK80</f>
        <v/>
      </c>
      <c r="Q88">
        <f>Database!G80</f>
        <v/>
      </c>
    </row>
    <row r="89">
      <c r="A89">
        <f>Database!B89</f>
        <v/>
      </c>
      <c r="B89">
        <f>IF(AND(Screener!$D$9&lt;&gt;"",Database!$E89=Screener!$D$9),1,0)</f>
        <v/>
      </c>
      <c r="C89">
        <f>IF(AND(Screener!$D$8&lt;&gt;"",Database!$D89=Screener!$D$8),1,0)</f>
        <v/>
      </c>
      <c r="D89">
        <f>IF(OR(Database!$H89="",N(Screener!$D$10)&lt;=0),0,MAX(0,1-ABS(LOG10(Database!$H89/Screener!$D$10))/W_SIZEHW))</f>
        <v/>
      </c>
      <c r="E89">
        <f>IF(OR(Database!$AH89="",Screener!$D$11=""),0,IF(Database!$AH89=Screener!$D$11,1,0))</f>
        <v/>
      </c>
      <c r="F89">
        <f>IF(OR(Database!$AK89="",Screener!$D$12=""),0,IF(Database!$AK89=Screener!$D$12,1,0))</f>
        <v/>
      </c>
      <c r="G89">
        <f>IF(OR(Database!$G89="",N(Screener!$D$13)&lt;=0),0,MAX(0,1-(N(Screener!$D$13)-Database!$G89)/W_RECD))</f>
        <v/>
      </c>
      <c r="H89">
        <f>IF($K$1="",0,N(ISNUMBER(SEARCH($K$1,Database!$T89&amp;""))))+IF($L$1="",0,N(ISNUMBER(SEARCH($L$1,Database!$T89&amp;""))))+IF($M$1="",0,N(ISNUMBER(SEARCH($M$1,Database!$T89&amp;""))))+IF($N$1="",0,N(ISNUMBER(SEARCH($N$1,Database!$T89&amp;""))))+IF($O$1="",0,N(ISNUMBER(SEARCH($O$1,Database!$T89&amp;""))))+IF(Screener!$B$14="",0,N(ISNUMBER(SEARCH(Screener!$B$14,Database!$T89&amp;""))))</f>
        <v/>
      </c>
      <c r="I89">
        <f>IF(OR(Database!$B89=Screener!$B$5,IF(OR(Screener!$B$17="All",AND(Screener!$B$17="With A-share",(Database!$AL89&lt;&gt;"")),AND(Screener!$B$17="Without A-share",NOT((Database!$AL89&lt;&gt;"")))),1,0)=0),-999999,IF(Screener!$B$15="cornerstone overlap first",H89*100000,0)+W_SUB*B89+W_SEC*C89*(1-B89)+W_SIZE*D89+W_PROF*E89+W_AH*F89+W_REC*G89+W_CS*H89)+ROW()/1000000</f>
        <v/>
      </c>
      <c r="K89">
        <f>Database!B81</f>
        <v/>
      </c>
      <c r="L89">
        <f>Database!D81</f>
        <v/>
      </c>
      <c r="M89">
        <f>Database!E81</f>
        <v/>
      </c>
      <c r="N89">
        <f>Database!H81</f>
        <v/>
      </c>
      <c r="O89">
        <f>Database!AH81</f>
        <v/>
      </c>
      <c r="P89">
        <f>Database!AK81</f>
        <v/>
      </c>
      <c r="Q89">
        <f>Database!G81</f>
        <v/>
      </c>
    </row>
    <row r="90">
      <c r="A90">
        <f>Database!B90</f>
        <v/>
      </c>
      <c r="B90">
        <f>IF(AND(Screener!$D$9&lt;&gt;"",Database!$E90=Screener!$D$9),1,0)</f>
        <v/>
      </c>
      <c r="C90">
        <f>IF(AND(Screener!$D$8&lt;&gt;"",Database!$D90=Screener!$D$8),1,0)</f>
        <v/>
      </c>
      <c r="D90">
        <f>IF(OR(Database!$H90="",N(Screener!$D$10)&lt;=0),0,MAX(0,1-ABS(LOG10(Database!$H90/Screener!$D$10))/W_SIZEHW))</f>
        <v/>
      </c>
      <c r="E90">
        <f>IF(OR(Database!$AH90="",Screener!$D$11=""),0,IF(Database!$AH90=Screener!$D$11,1,0))</f>
        <v/>
      </c>
      <c r="F90">
        <f>IF(OR(Database!$AK90="",Screener!$D$12=""),0,IF(Database!$AK90=Screener!$D$12,1,0))</f>
        <v/>
      </c>
      <c r="G90">
        <f>IF(OR(Database!$G90="",N(Screener!$D$13)&lt;=0),0,MAX(0,1-(N(Screener!$D$13)-Database!$G90)/W_RECD))</f>
        <v/>
      </c>
      <c r="H90">
        <f>IF($K$1="",0,N(ISNUMBER(SEARCH($K$1,Database!$T90&amp;""))))+IF($L$1="",0,N(ISNUMBER(SEARCH($L$1,Database!$T90&amp;""))))+IF($M$1="",0,N(ISNUMBER(SEARCH($M$1,Database!$T90&amp;""))))+IF($N$1="",0,N(ISNUMBER(SEARCH($N$1,Database!$T90&amp;""))))+IF($O$1="",0,N(ISNUMBER(SEARCH($O$1,Database!$T90&amp;""))))+IF(Screener!$B$14="",0,N(ISNUMBER(SEARCH(Screener!$B$14,Database!$T90&amp;""))))</f>
        <v/>
      </c>
      <c r="I90">
        <f>IF(OR(Database!$B90=Screener!$B$5,IF(OR(Screener!$B$17="All",AND(Screener!$B$17="With A-share",(Database!$AL90&lt;&gt;"")),AND(Screener!$B$17="Without A-share",NOT((Database!$AL90&lt;&gt;"")))),1,0)=0),-999999,IF(Screener!$B$15="cornerstone overlap first",H90*100000,0)+W_SUB*B90+W_SEC*C90*(1-B90)+W_SIZE*D90+W_PROF*E90+W_AH*F90+W_REC*G90+W_CS*H90)+ROW()/1000000</f>
        <v/>
      </c>
      <c r="K90">
        <f>Database!B82</f>
        <v/>
      </c>
      <c r="L90">
        <f>Database!D82</f>
        <v/>
      </c>
      <c r="M90">
        <f>Database!E82</f>
        <v/>
      </c>
      <c r="N90">
        <f>Database!H82</f>
        <v/>
      </c>
      <c r="O90">
        <f>Database!AH82</f>
        <v/>
      </c>
      <c r="P90">
        <f>Database!AK82</f>
        <v/>
      </c>
      <c r="Q90">
        <f>Database!G82</f>
        <v/>
      </c>
    </row>
    <row r="91">
      <c r="A91">
        <f>Database!B91</f>
        <v/>
      </c>
      <c r="B91">
        <f>IF(AND(Screener!$D$9&lt;&gt;"",Database!$E91=Screener!$D$9),1,0)</f>
        <v/>
      </c>
      <c r="C91">
        <f>IF(AND(Screener!$D$8&lt;&gt;"",Database!$D91=Screener!$D$8),1,0)</f>
        <v/>
      </c>
      <c r="D91">
        <f>IF(OR(Database!$H91="",N(Screener!$D$10)&lt;=0),0,MAX(0,1-ABS(LOG10(Database!$H91/Screener!$D$10))/W_SIZEHW))</f>
        <v/>
      </c>
      <c r="E91">
        <f>IF(OR(Database!$AH91="",Screener!$D$11=""),0,IF(Database!$AH91=Screener!$D$11,1,0))</f>
        <v/>
      </c>
      <c r="F91">
        <f>IF(OR(Database!$AK91="",Screener!$D$12=""),0,IF(Database!$AK91=Screener!$D$12,1,0))</f>
        <v/>
      </c>
      <c r="G91">
        <f>IF(OR(Database!$G91="",N(Screener!$D$13)&lt;=0),0,MAX(0,1-(N(Screener!$D$13)-Database!$G91)/W_RECD))</f>
        <v/>
      </c>
      <c r="H91">
        <f>IF($K$1="",0,N(ISNUMBER(SEARCH($K$1,Database!$T91&amp;""))))+IF($L$1="",0,N(ISNUMBER(SEARCH($L$1,Database!$T91&amp;""))))+IF($M$1="",0,N(ISNUMBER(SEARCH($M$1,Database!$T91&amp;""))))+IF($N$1="",0,N(ISNUMBER(SEARCH($N$1,Database!$T91&amp;""))))+IF($O$1="",0,N(ISNUMBER(SEARCH($O$1,Database!$T91&amp;""))))+IF(Screener!$B$14="",0,N(ISNUMBER(SEARCH(Screener!$B$14,Database!$T91&amp;""))))</f>
        <v/>
      </c>
      <c r="I91">
        <f>IF(OR(Database!$B91=Screener!$B$5,IF(OR(Screener!$B$17="All",AND(Screener!$B$17="With A-share",(Database!$AL91&lt;&gt;"")),AND(Screener!$B$17="Without A-share",NOT((Database!$AL91&lt;&gt;"")))),1,0)=0),-999999,IF(Screener!$B$15="cornerstone overlap first",H91*100000,0)+W_SUB*B91+W_SEC*C91*(1-B91)+W_SIZE*D91+W_PROF*E91+W_AH*F91+W_REC*G91+W_CS*H91)+ROW()/1000000</f>
        <v/>
      </c>
      <c r="K91">
        <f>Database!B83</f>
        <v/>
      </c>
      <c r="L91">
        <f>Database!D83</f>
        <v/>
      </c>
      <c r="M91">
        <f>Database!E83</f>
        <v/>
      </c>
      <c r="N91">
        <f>Database!H83</f>
        <v/>
      </c>
      <c r="O91">
        <f>Database!AH83</f>
        <v/>
      </c>
      <c r="P91">
        <f>Database!AK83</f>
        <v/>
      </c>
      <c r="Q91">
        <f>Database!G83</f>
        <v/>
      </c>
    </row>
    <row r="92">
      <c r="A92">
        <f>Database!B92</f>
        <v/>
      </c>
      <c r="B92">
        <f>IF(AND(Screener!$D$9&lt;&gt;"",Database!$E92=Screener!$D$9),1,0)</f>
        <v/>
      </c>
      <c r="C92">
        <f>IF(AND(Screener!$D$8&lt;&gt;"",Database!$D92=Screener!$D$8),1,0)</f>
        <v/>
      </c>
      <c r="D92">
        <f>IF(OR(Database!$H92="",N(Screener!$D$10)&lt;=0),0,MAX(0,1-ABS(LOG10(Database!$H92/Screener!$D$10))/W_SIZEHW))</f>
        <v/>
      </c>
      <c r="E92">
        <f>IF(OR(Database!$AH92="",Screener!$D$11=""),0,IF(Database!$AH92=Screener!$D$11,1,0))</f>
        <v/>
      </c>
      <c r="F92">
        <f>IF(OR(Database!$AK92="",Screener!$D$12=""),0,IF(Database!$AK92=Screener!$D$12,1,0))</f>
        <v/>
      </c>
      <c r="G92">
        <f>IF(OR(Database!$G92="",N(Screener!$D$13)&lt;=0),0,MAX(0,1-(N(Screener!$D$13)-Database!$G92)/W_RECD))</f>
        <v/>
      </c>
      <c r="H92">
        <f>IF($K$1="",0,N(ISNUMBER(SEARCH($K$1,Database!$T92&amp;""))))+IF($L$1="",0,N(ISNUMBER(SEARCH($L$1,Database!$T92&amp;""))))+IF($M$1="",0,N(ISNUMBER(SEARCH($M$1,Database!$T92&amp;""))))+IF($N$1="",0,N(ISNUMBER(SEARCH($N$1,Database!$T92&amp;""))))+IF($O$1="",0,N(ISNUMBER(SEARCH($O$1,Database!$T92&amp;""))))+IF(Screener!$B$14="",0,N(ISNUMBER(SEARCH(Screener!$B$14,Database!$T92&amp;""))))</f>
        <v/>
      </c>
      <c r="I92">
        <f>IF(OR(Database!$B92=Screener!$B$5,IF(OR(Screener!$B$17="All",AND(Screener!$B$17="With A-share",(Database!$AL92&lt;&gt;"")),AND(Screener!$B$17="Without A-share",NOT((Database!$AL92&lt;&gt;"")))),1,0)=0),-999999,IF(Screener!$B$15="cornerstone overlap first",H92*100000,0)+W_SUB*B92+W_SEC*C92*(1-B92)+W_SIZE*D92+W_PROF*E92+W_AH*F92+W_REC*G92+W_CS*H92)+ROW()/1000000</f>
        <v/>
      </c>
      <c r="K92">
        <f>Database!B84</f>
        <v/>
      </c>
      <c r="L92">
        <f>Database!D84</f>
        <v/>
      </c>
      <c r="M92">
        <f>Database!E84</f>
        <v/>
      </c>
      <c r="N92">
        <f>Database!H84</f>
        <v/>
      </c>
      <c r="O92">
        <f>Database!AH84</f>
        <v/>
      </c>
      <c r="P92">
        <f>Database!AK84</f>
        <v/>
      </c>
      <c r="Q92">
        <f>Database!G84</f>
        <v/>
      </c>
    </row>
    <row r="93">
      <c r="A93">
        <f>Database!B93</f>
        <v/>
      </c>
      <c r="B93">
        <f>IF(AND(Screener!$D$9&lt;&gt;"",Database!$E93=Screener!$D$9),1,0)</f>
        <v/>
      </c>
      <c r="C93">
        <f>IF(AND(Screener!$D$8&lt;&gt;"",Database!$D93=Screener!$D$8),1,0)</f>
        <v/>
      </c>
      <c r="D93">
        <f>IF(OR(Database!$H93="",N(Screener!$D$10)&lt;=0),0,MAX(0,1-ABS(LOG10(Database!$H93/Screener!$D$10))/W_SIZEHW))</f>
        <v/>
      </c>
      <c r="E93">
        <f>IF(OR(Database!$AH93="",Screener!$D$11=""),0,IF(Database!$AH93=Screener!$D$11,1,0))</f>
        <v/>
      </c>
      <c r="F93">
        <f>IF(OR(Database!$AK93="",Screener!$D$12=""),0,IF(Database!$AK93=Screener!$D$12,1,0))</f>
        <v/>
      </c>
      <c r="G93">
        <f>IF(OR(Database!$G93="",N(Screener!$D$13)&lt;=0),0,MAX(0,1-(N(Screener!$D$13)-Database!$G93)/W_RECD))</f>
        <v/>
      </c>
      <c r="H93">
        <f>IF($K$1="",0,N(ISNUMBER(SEARCH($K$1,Database!$T93&amp;""))))+IF($L$1="",0,N(ISNUMBER(SEARCH($L$1,Database!$T93&amp;""))))+IF($M$1="",0,N(ISNUMBER(SEARCH($M$1,Database!$T93&amp;""))))+IF($N$1="",0,N(ISNUMBER(SEARCH($N$1,Database!$T93&amp;""))))+IF($O$1="",0,N(ISNUMBER(SEARCH($O$1,Database!$T93&amp;""))))+IF(Screener!$B$14="",0,N(ISNUMBER(SEARCH(Screener!$B$14,Database!$T93&amp;""))))</f>
        <v/>
      </c>
      <c r="I93">
        <f>IF(OR(Database!$B93=Screener!$B$5,IF(OR(Screener!$B$17="All",AND(Screener!$B$17="With A-share",(Database!$AL93&lt;&gt;"")),AND(Screener!$B$17="Without A-share",NOT((Database!$AL93&lt;&gt;"")))),1,0)=0),-999999,IF(Screener!$B$15="cornerstone overlap first",H93*100000,0)+W_SUB*B93+W_SEC*C93*(1-B93)+W_SIZE*D93+W_PROF*E93+W_AH*F93+W_REC*G93+W_CS*H93)+ROW()/1000000</f>
        <v/>
      </c>
      <c r="K93">
        <f>Database!B85</f>
        <v/>
      </c>
      <c r="L93">
        <f>Database!D85</f>
        <v/>
      </c>
      <c r="M93">
        <f>Database!E85</f>
        <v/>
      </c>
      <c r="N93">
        <f>Database!H85</f>
        <v/>
      </c>
      <c r="O93">
        <f>Database!AH85</f>
        <v/>
      </c>
      <c r="P93">
        <f>Database!AK85</f>
        <v/>
      </c>
      <c r="Q93">
        <f>Database!G85</f>
        <v/>
      </c>
    </row>
    <row r="94">
      <c r="A94">
        <f>Database!B94</f>
        <v/>
      </c>
      <c r="B94">
        <f>IF(AND(Screener!$D$9&lt;&gt;"",Database!$E94=Screener!$D$9),1,0)</f>
        <v/>
      </c>
      <c r="C94">
        <f>IF(AND(Screener!$D$8&lt;&gt;"",Database!$D94=Screener!$D$8),1,0)</f>
        <v/>
      </c>
      <c r="D94">
        <f>IF(OR(Database!$H94="",N(Screener!$D$10)&lt;=0),0,MAX(0,1-ABS(LOG10(Database!$H94/Screener!$D$10))/W_SIZEHW))</f>
        <v/>
      </c>
      <c r="E94">
        <f>IF(OR(Database!$AH94="",Screener!$D$11=""),0,IF(Database!$AH94=Screener!$D$11,1,0))</f>
        <v/>
      </c>
      <c r="F94">
        <f>IF(OR(Database!$AK94="",Screener!$D$12=""),0,IF(Database!$AK94=Screener!$D$12,1,0))</f>
        <v/>
      </c>
      <c r="G94">
        <f>IF(OR(Database!$G94="",N(Screener!$D$13)&lt;=0),0,MAX(0,1-(N(Screener!$D$13)-Database!$G94)/W_RECD))</f>
        <v/>
      </c>
      <c r="H94">
        <f>IF($K$1="",0,N(ISNUMBER(SEARCH($K$1,Database!$T94&amp;""))))+IF($L$1="",0,N(ISNUMBER(SEARCH($L$1,Database!$T94&amp;""))))+IF($M$1="",0,N(ISNUMBER(SEARCH($M$1,Database!$T94&amp;""))))+IF($N$1="",0,N(ISNUMBER(SEARCH($N$1,Database!$T94&amp;""))))+IF($O$1="",0,N(ISNUMBER(SEARCH($O$1,Database!$T94&amp;""))))+IF(Screener!$B$14="",0,N(ISNUMBER(SEARCH(Screener!$B$14,Database!$T94&amp;""))))</f>
        <v/>
      </c>
      <c r="I94">
        <f>IF(OR(Database!$B94=Screener!$B$5,IF(OR(Screener!$B$17="All",AND(Screener!$B$17="With A-share",(Database!$AL94&lt;&gt;"")),AND(Screener!$B$17="Without A-share",NOT((Database!$AL94&lt;&gt;"")))),1,0)=0),-999999,IF(Screener!$B$15="cornerstone overlap first",H94*100000,0)+W_SUB*B94+W_SEC*C94*(1-B94)+W_SIZE*D94+W_PROF*E94+W_AH*F94+W_REC*G94+W_CS*H94)+ROW()/1000000</f>
        <v/>
      </c>
      <c r="K94">
        <f>Database!B86</f>
        <v/>
      </c>
      <c r="L94">
        <f>Database!D86</f>
        <v/>
      </c>
      <c r="M94">
        <f>Database!E86</f>
        <v/>
      </c>
      <c r="N94">
        <f>Database!H86</f>
        <v/>
      </c>
      <c r="O94">
        <f>Database!AH86</f>
        <v/>
      </c>
      <c r="P94">
        <f>Database!AK86</f>
        <v/>
      </c>
      <c r="Q94">
        <f>Database!G86</f>
        <v/>
      </c>
    </row>
    <row r="95">
      <c r="A95">
        <f>Database!B95</f>
        <v/>
      </c>
      <c r="B95">
        <f>IF(AND(Screener!$D$9&lt;&gt;"",Database!$E95=Screener!$D$9),1,0)</f>
        <v/>
      </c>
      <c r="C95">
        <f>IF(AND(Screener!$D$8&lt;&gt;"",Database!$D95=Screener!$D$8),1,0)</f>
        <v/>
      </c>
      <c r="D95">
        <f>IF(OR(Database!$H95="",N(Screener!$D$10)&lt;=0),0,MAX(0,1-ABS(LOG10(Database!$H95/Screener!$D$10))/W_SIZEHW))</f>
        <v/>
      </c>
      <c r="E95">
        <f>IF(OR(Database!$AH95="",Screener!$D$11=""),0,IF(Database!$AH95=Screener!$D$11,1,0))</f>
        <v/>
      </c>
      <c r="F95">
        <f>IF(OR(Database!$AK95="",Screener!$D$12=""),0,IF(Database!$AK95=Screener!$D$12,1,0))</f>
        <v/>
      </c>
      <c r="G95">
        <f>IF(OR(Database!$G95="",N(Screener!$D$13)&lt;=0),0,MAX(0,1-(N(Screener!$D$13)-Database!$G95)/W_RECD))</f>
        <v/>
      </c>
      <c r="H95">
        <f>IF($K$1="",0,N(ISNUMBER(SEARCH($K$1,Database!$T95&amp;""))))+IF($L$1="",0,N(ISNUMBER(SEARCH($L$1,Database!$T95&amp;""))))+IF($M$1="",0,N(ISNUMBER(SEARCH($M$1,Database!$T95&amp;""))))+IF($N$1="",0,N(ISNUMBER(SEARCH($N$1,Database!$T95&amp;""))))+IF($O$1="",0,N(ISNUMBER(SEARCH($O$1,Database!$T95&amp;""))))+IF(Screener!$B$14="",0,N(ISNUMBER(SEARCH(Screener!$B$14,Database!$T95&amp;""))))</f>
        <v/>
      </c>
      <c r="I95">
        <f>IF(OR(Database!$B95=Screener!$B$5,IF(OR(Screener!$B$17="All",AND(Screener!$B$17="With A-share",(Database!$AL95&lt;&gt;"")),AND(Screener!$B$17="Without A-share",NOT((Database!$AL95&lt;&gt;"")))),1,0)=0),-999999,IF(Screener!$B$15="cornerstone overlap first",H95*100000,0)+W_SUB*B95+W_SEC*C95*(1-B95)+W_SIZE*D95+W_PROF*E95+W_AH*F95+W_REC*G95+W_CS*H95)+ROW()/1000000</f>
        <v/>
      </c>
      <c r="K95">
        <f>Database!B87</f>
        <v/>
      </c>
      <c r="L95">
        <f>Database!D87</f>
        <v/>
      </c>
      <c r="M95">
        <f>Database!E87</f>
        <v/>
      </c>
      <c r="N95">
        <f>Database!H87</f>
        <v/>
      </c>
      <c r="O95">
        <f>Database!AH87</f>
        <v/>
      </c>
      <c r="P95">
        <f>Database!AK87</f>
        <v/>
      </c>
      <c r="Q95">
        <f>Database!G87</f>
        <v/>
      </c>
    </row>
    <row r="96">
      <c r="A96">
        <f>Database!B96</f>
        <v/>
      </c>
      <c r="B96">
        <f>IF(AND(Screener!$D$9&lt;&gt;"",Database!$E96=Screener!$D$9),1,0)</f>
        <v/>
      </c>
      <c r="C96">
        <f>IF(AND(Screener!$D$8&lt;&gt;"",Database!$D96=Screener!$D$8),1,0)</f>
        <v/>
      </c>
      <c r="D96">
        <f>IF(OR(Database!$H96="",N(Screener!$D$10)&lt;=0),0,MAX(0,1-ABS(LOG10(Database!$H96/Screener!$D$10))/W_SIZEHW))</f>
        <v/>
      </c>
      <c r="E96">
        <f>IF(OR(Database!$AH96="",Screener!$D$11=""),0,IF(Database!$AH96=Screener!$D$11,1,0))</f>
        <v/>
      </c>
      <c r="F96">
        <f>IF(OR(Database!$AK96="",Screener!$D$12=""),0,IF(Database!$AK96=Screener!$D$12,1,0))</f>
        <v/>
      </c>
      <c r="G96">
        <f>IF(OR(Database!$G96="",N(Screener!$D$13)&lt;=0),0,MAX(0,1-(N(Screener!$D$13)-Database!$G96)/W_RECD))</f>
        <v/>
      </c>
      <c r="H96">
        <f>IF($K$1="",0,N(ISNUMBER(SEARCH($K$1,Database!$T96&amp;""))))+IF($L$1="",0,N(ISNUMBER(SEARCH($L$1,Database!$T96&amp;""))))+IF($M$1="",0,N(ISNUMBER(SEARCH($M$1,Database!$T96&amp;""))))+IF($N$1="",0,N(ISNUMBER(SEARCH($N$1,Database!$T96&amp;""))))+IF($O$1="",0,N(ISNUMBER(SEARCH($O$1,Database!$T96&amp;""))))+IF(Screener!$B$14="",0,N(ISNUMBER(SEARCH(Screener!$B$14,Database!$T96&amp;""))))</f>
        <v/>
      </c>
      <c r="I96">
        <f>IF(OR(Database!$B96=Screener!$B$5,IF(OR(Screener!$B$17="All",AND(Screener!$B$17="With A-share",(Database!$AL96&lt;&gt;"")),AND(Screener!$B$17="Without A-share",NOT((Database!$AL96&lt;&gt;"")))),1,0)=0),-999999,IF(Screener!$B$15="cornerstone overlap first",H96*100000,0)+W_SUB*B96+W_SEC*C96*(1-B96)+W_SIZE*D96+W_PROF*E96+W_AH*F96+W_REC*G96+W_CS*H96)+ROW()/1000000</f>
        <v/>
      </c>
      <c r="K96">
        <f>Database!B88</f>
        <v/>
      </c>
      <c r="L96">
        <f>Database!D88</f>
        <v/>
      </c>
      <c r="M96">
        <f>Database!E88</f>
        <v/>
      </c>
      <c r="N96">
        <f>Database!H88</f>
        <v/>
      </c>
      <c r="O96">
        <f>Database!AH88</f>
        <v/>
      </c>
      <c r="P96">
        <f>Database!AK88</f>
        <v/>
      </c>
      <c r="Q96">
        <f>Database!G88</f>
        <v/>
      </c>
    </row>
    <row r="97">
      <c r="A97">
        <f>Database!B97</f>
        <v/>
      </c>
      <c r="B97">
        <f>IF(AND(Screener!$D$9&lt;&gt;"",Database!$E97=Screener!$D$9),1,0)</f>
        <v/>
      </c>
      <c r="C97">
        <f>IF(AND(Screener!$D$8&lt;&gt;"",Database!$D97=Screener!$D$8),1,0)</f>
        <v/>
      </c>
      <c r="D97">
        <f>IF(OR(Database!$H97="",N(Screener!$D$10)&lt;=0),0,MAX(0,1-ABS(LOG10(Database!$H97/Screener!$D$10))/W_SIZEHW))</f>
        <v/>
      </c>
      <c r="E97">
        <f>IF(OR(Database!$AH97="",Screener!$D$11=""),0,IF(Database!$AH97=Screener!$D$11,1,0))</f>
        <v/>
      </c>
      <c r="F97">
        <f>IF(OR(Database!$AK97="",Screener!$D$12=""),0,IF(Database!$AK97=Screener!$D$12,1,0))</f>
        <v/>
      </c>
      <c r="G97">
        <f>IF(OR(Database!$G97="",N(Screener!$D$13)&lt;=0),0,MAX(0,1-(N(Screener!$D$13)-Database!$G97)/W_RECD))</f>
        <v/>
      </c>
      <c r="H97">
        <f>IF($K$1="",0,N(ISNUMBER(SEARCH($K$1,Database!$T97&amp;""))))+IF($L$1="",0,N(ISNUMBER(SEARCH($L$1,Database!$T97&amp;""))))+IF($M$1="",0,N(ISNUMBER(SEARCH($M$1,Database!$T97&amp;""))))+IF($N$1="",0,N(ISNUMBER(SEARCH($N$1,Database!$T97&amp;""))))+IF($O$1="",0,N(ISNUMBER(SEARCH($O$1,Database!$T97&amp;""))))+IF(Screener!$B$14="",0,N(ISNUMBER(SEARCH(Screener!$B$14,Database!$T97&amp;""))))</f>
        <v/>
      </c>
      <c r="I97">
        <f>IF(OR(Database!$B97=Screener!$B$5,IF(OR(Screener!$B$17="All",AND(Screener!$B$17="With A-share",(Database!$AL97&lt;&gt;"")),AND(Screener!$B$17="Without A-share",NOT((Database!$AL97&lt;&gt;"")))),1,0)=0),-999999,IF(Screener!$B$15="cornerstone overlap first",H97*100000,0)+W_SUB*B97+W_SEC*C97*(1-B97)+W_SIZE*D97+W_PROF*E97+W_AH*F97+W_REC*G97+W_CS*H97)+ROW()/1000000</f>
        <v/>
      </c>
      <c r="K97">
        <f>Database!B89</f>
        <v/>
      </c>
      <c r="L97">
        <f>Database!D89</f>
        <v/>
      </c>
      <c r="M97">
        <f>Database!E89</f>
        <v/>
      </c>
      <c r="N97">
        <f>Database!H89</f>
        <v/>
      </c>
      <c r="O97">
        <f>Database!AH89</f>
        <v/>
      </c>
      <c r="P97">
        <f>Database!AK89</f>
        <v/>
      </c>
      <c r="Q97">
        <f>Database!G89</f>
        <v/>
      </c>
    </row>
    <row r="98">
      <c r="A98">
        <f>Database!B98</f>
        <v/>
      </c>
      <c r="B98">
        <f>IF(AND(Screener!$D$9&lt;&gt;"",Database!$E98=Screener!$D$9),1,0)</f>
        <v/>
      </c>
      <c r="C98">
        <f>IF(AND(Screener!$D$8&lt;&gt;"",Database!$D98=Screener!$D$8),1,0)</f>
        <v/>
      </c>
      <c r="D98">
        <f>IF(OR(Database!$H98="",N(Screener!$D$10)&lt;=0),0,MAX(0,1-ABS(LOG10(Database!$H98/Screener!$D$10))/W_SIZEHW))</f>
        <v/>
      </c>
      <c r="E98">
        <f>IF(OR(Database!$AH98="",Screener!$D$11=""),0,IF(Database!$AH98=Screener!$D$11,1,0))</f>
        <v/>
      </c>
      <c r="F98">
        <f>IF(OR(Database!$AK98="",Screener!$D$12=""),0,IF(Database!$AK98=Screener!$D$12,1,0))</f>
        <v/>
      </c>
      <c r="G98">
        <f>IF(OR(Database!$G98="",N(Screener!$D$13)&lt;=0),0,MAX(0,1-(N(Screener!$D$13)-Database!$G98)/W_RECD))</f>
        <v/>
      </c>
      <c r="H98">
        <f>IF($K$1="",0,N(ISNUMBER(SEARCH($K$1,Database!$T98&amp;""))))+IF($L$1="",0,N(ISNUMBER(SEARCH($L$1,Database!$T98&amp;""))))+IF($M$1="",0,N(ISNUMBER(SEARCH($M$1,Database!$T98&amp;""))))+IF($N$1="",0,N(ISNUMBER(SEARCH($N$1,Database!$T98&amp;""))))+IF($O$1="",0,N(ISNUMBER(SEARCH($O$1,Database!$T98&amp;""))))+IF(Screener!$B$14="",0,N(ISNUMBER(SEARCH(Screener!$B$14,Database!$T98&amp;""))))</f>
        <v/>
      </c>
      <c r="I98">
        <f>IF(OR(Database!$B98=Screener!$B$5,IF(OR(Screener!$B$17="All",AND(Screener!$B$17="With A-share",(Database!$AL98&lt;&gt;"")),AND(Screener!$B$17="Without A-share",NOT((Database!$AL98&lt;&gt;"")))),1,0)=0),-999999,IF(Screener!$B$15="cornerstone overlap first",H98*100000,0)+W_SUB*B98+W_SEC*C98*(1-B98)+W_SIZE*D98+W_PROF*E98+W_AH*F98+W_REC*G98+W_CS*H98)+ROW()/1000000</f>
        <v/>
      </c>
      <c r="K98">
        <f>Database!B90</f>
        <v/>
      </c>
      <c r="L98">
        <f>Database!D90</f>
        <v/>
      </c>
      <c r="M98">
        <f>Database!E90</f>
        <v/>
      </c>
      <c r="N98">
        <f>Database!H90</f>
        <v/>
      </c>
      <c r="O98">
        <f>Database!AH90</f>
        <v/>
      </c>
      <c r="P98">
        <f>Database!AK90</f>
        <v/>
      </c>
      <c r="Q98">
        <f>Database!G90</f>
        <v/>
      </c>
    </row>
    <row r="99">
      <c r="A99">
        <f>Database!B99</f>
        <v/>
      </c>
      <c r="B99">
        <f>IF(AND(Screener!$D$9&lt;&gt;"",Database!$E99=Screener!$D$9),1,0)</f>
        <v/>
      </c>
      <c r="C99">
        <f>IF(AND(Screener!$D$8&lt;&gt;"",Database!$D99=Screener!$D$8),1,0)</f>
        <v/>
      </c>
      <c r="D99">
        <f>IF(OR(Database!$H99="",N(Screener!$D$10)&lt;=0),0,MAX(0,1-ABS(LOG10(Database!$H99/Screener!$D$10))/W_SIZEHW))</f>
        <v/>
      </c>
      <c r="E99">
        <f>IF(OR(Database!$AH99="",Screener!$D$11=""),0,IF(Database!$AH99=Screener!$D$11,1,0))</f>
        <v/>
      </c>
      <c r="F99">
        <f>IF(OR(Database!$AK99="",Screener!$D$12=""),0,IF(Database!$AK99=Screener!$D$12,1,0))</f>
        <v/>
      </c>
      <c r="G99">
        <f>IF(OR(Database!$G99="",N(Screener!$D$13)&lt;=0),0,MAX(0,1-(N(Screener!$D$13)-Database!$G99)/W_RECD))</f>
        <v/>
      </c>
      <c r="H99">
        <f>IF($K$1="",0,N(ISNUMBER(SEARCH($K$1,Database!$T99&amp;""))))+IF($L$1="",0,N(ISNUMBER(SEARCH($L$1,Database!$T99&amp;""))))+IF($M$1="",0,N(ISNUMBER(SEARCH($M$1,Database!$T99&amp;""))))+IF($N$1="",0,N(ISNUMBER(SEARCH($N$1,Database!$T99&amp;""))))+IF($O$1="",0,N(ISNUMBER(SEARCH($O$1,Database!$T99&amp;""))))+IF(Screener!$B$14="",0,N(ISNUMBER(SEARCH(Screener!$B$14,Database!$T99&amp;""))))</f>
        <v/>
      </c>
      <c r="I99">
        <f>IF(OR(Database!$B99=Screener!$B$5,IF(OR(Screener!$B$17="All",AND(Screener!$B$17="With A-share",(Database!$AL99&lt;&gt;"")),AND(Screener!$B$17="Without A-share",NOT((Database!$AL99&lt;&gt;"")))),1,0)=0),-999999,IF(Screener!$B$15="cornerstone overlap first",H99*100000,0)+W_SUB*B99+W_SEC*C99*(1-B99)+W_SIZE*D99+W_PROF*E99+W_AH*F99+W_REC*G99+W_CS*H99)+ROW()/1000000</f>
        <v/>
      </c>
      <c r="K99">
        <f>Database!B91</f>
        <v/>
      </c>
      <c r="L99">
        <f>Database!D91</f>
        <v/>
      </c>
      <c r="M99">
        <f>Database!E91</f>
        <v/>
      </c>
      <c r="N99">
        <f>Database!H91</f>
        <v/>
      </c>
      <c r="O99">
        <f>Database!AH91</f>
        <v/>
      </c>
      <c r="P99">
        <f>Database!AK91</f>
        <v/>
      </c>
      <c r="Q99">
        <f>Database!G91</f>
        <v/>
      </c>
    </row>
    <row r="100">
      <c r="A100">
        <f>Database!B100</f>
        <v/>
      </c>
      <c r="B100">
        <f>IF(AND(Screener!$D$9&lt;&gt;"",Database!$E100=Screener!$D$9),1,0)</f>
        <v/>
      </c>
      <c r="C100">
        <f>IF(AND(Screener!$D$8&lt;&gt;"",Database!$D100=Screener!$D$8),1,0)</f>
        <v/>
      </c>
      <c r="D100">
        <f>IF(OR(Database!$H100="",N(Screener!$D$10)&lt;=0),0,MAX(0,1-ABS(LOG10(Database!$H100/Screener!$D$10))/W_SIZEHW))</f>
        <v/>
      </c>
      <c r="E100">
        <f>IF(OR(Database!$AH100="",Screener!$D$11=""),0,IF(Database!$AH100=Screener!$D$11,1,0))</f>
        <v/>
      </c>
      <c r="F100">
        <f>IF(OR(Database!$AK100="",Screener!$D$12=""),0,IF(Database!$AK100=Screener!$D$12,1,0))</f>
        <v/>
      </c>
      <c r="G100">
        <f>IF(OR(Database!$G100="",N(Screener!$D$13)&lt;=0),0,MAX(0,1-(N(Screener!$D$13)-Database!$G100)/W_RECD))</f>
        <v/>
      </c>
      <c r="H100">
        <f>IF($K$1="",0,N(ISNUMBER(SEARCH($K$1,Database!$T100&amp;""))))+IF($L$1="",0,N(ISNUMBER(SEARCH($L$1,Database!$T100&amp;""))))+IF($M$1="",0,N(ISNUMBER(SEARCH($M$1,Database!$T100&amp;""))))+IF($N$1="",0,N(ISNUMBER(SEARCH($N$1,Database!$T100&amp;""))))+IF($O$1="",0,N(ISNUMBER(SEARCH($O$1,Database!$T100&amp;""))))+IF(Screener!$B$14="",0,N(ISNUMBER(SEARCH(Screener!$B$14,Database!$T100&amp;""))))</f>
        <v/>
      </c>
      <c r="I100">
        <f>IF(OR(Database!$B100=Screener!$B$5,IF(OR(Screener!$B$17="All",AND(Screener!$B$17="With A-share",(Database!$AL100&lt;&gt;"")),AND(Screener!$B$17="Without A-share",NOT((Database!$AL100&lt;&gt;"")))),1,0)=0),-999999,IF(Screener!$B$15="cornerstone overlap first",H100*100000,0)+W_SUB*B100+W_SEC*C100*(1-B100)+W_SIZE*D100+W_PROF*E100+W_AH*F100+W_REC*G100+W_CS*H100)+ROW()/1000000</f>
        <v/>
      </c>
      <c r="K100">
        <f>Database!B92</f>
        <v/>
      </c>
      <c r="L100">
        <f>Database!D92</f>
        <v/>
      </c>
      <c r="M100">
        <f>Database!E92</f>
        <v/>
      </c>
      <c r="N100">
        <f>Database!H92</f>
        <v/>
      </c>
      <c r="O100">
        <f>Database!AH92</f>
        <v/>
      </c>
      <c r="P100">
        <f>Database!AK92</f>
        <v/>
      </c>
      <c r="Q100">
        <f>Database!G92</f>
        <v/>
      </c>
    </row>
    <row r="101">
      <c r="A101">
        <f>Database!B101</f>
        <v/>
      </c>
      <c r="B101">
        <f>IF(AND(Screener!$D$9&lt;&gt;"",Database!$E101=Screener!$D$9),1,0)</f>
        <v/>
      </c>
      <c r="C101">
        <f>IF(AND(Screener!$D$8&lt;&gt;"",Database!$D101=Screener!$D$8),1,0)</f>
        <v/>
      </c>
      <c r="D101">
        <f>IF(OR(Database!$H101="",N(Screener!$D$10)&lt;=0),0,MAX(0,1-ABS(LOG10(Database!$H101/Screener!$D$10))/W_SIZEHW))</f>
        <v/>
      </c>
      <c r="E101">
        <f>IF(OR(Database!$AH101="",Screener!$D$11=""),0,IF(Database!$AH101=Screener!$D$11,1,0))</f>
        <v/>
      </c>
      <c r="F101">
        <f>IF(OR(Database!$AK101="",Screener!$D$12=""),0,IF(Database!$AK101=Screener!$D$12,1,0))</f>
        <v/>
      </c>
      <c r="G101">
        <f>IF(OR(Database!$G101="",N(Screener!$D$13)&lt;=0),0,MAX(0,1-(N(Screener!$D$13)-Database!$G101)/W_RECD))</f>
        <v/>
      </c>
      <c r="H101">
        <f>IF($K$1="",0,N(ISNUMBER(SEARCH($K$1,Database!$T101&amp;""))))+IF($L$1="",0,N(ISNUMBER(SEARCH($L$1,Database!$T101&amp;""))))+IF($M$1="",0,N(ISNUMBER(SEARCH($M$1,Database!$T101&amp;""))))+IF($N$1="",0,N(ISNUMBER(SEARCH($N$1,Database!$T101&amp;""))))+IF($O$1="",0,N(ISNUMBER(SEARCH($O$1,Database!$T101&amp;""))))+IF(Screener!$B$14="",0,N(ISNUMBER(SEARCH(Screener!$B$14,Database!$T101&amp;""))))</f>
        <v/>
      </c>
      <c r="I101">
        <f>IF(OR(Database!$B101=Screener!$B$5,IF(OR(Screener!$B$17="All",AND(Screener!$B$17="With A-share",(Database!$AL101&lt;&gt;"")),AND(Screener!$B$17="Without A-share",NOT((Database!$AL101&lt;&gt;"")))),1,0)=0),-999999,IF(Screener!$B$15="cornerstone overlap first",H101*100000,0)+W_SUB*B101+W_SEC*C101*(1-B101)+W_SIZE*D101+W_PROF*E101+W_AH*F101+W_REC*G101+W_CS*H101)+ROW()/1000000</f>
        <v/>
      </c>
      <c r="K101">
        <f>Database!B93</f>
        <v/>
      </c>
      <c r="L101">
        <f>Database!D93</f>
        <v/>
      </c>
      <c r="M101">
        <f>Database!E93</f>
        <v/>
      </c>
      <c r="N101">
        <f>Database!H93</f>
        <v/>
      </c>
      <c r="O101">
        <f>Database!AH93</f>
        <v/>
      </c>
      <c r="P101">
        <f>Database!AK93</f>
        <v/>
      </c>
      <c r="Q101">
        <f>Database!G93</f>
        <v/>
      </c>
    </row>
    <row r="102">
      <c r="A102">
        <f>Database!B102</f>
        <v/>
      </c>
      <c r="B102">
        <f>IF(AND(Screener!$D$9&lt;&gt;"",Database!$E102=Screener!$D$9),1,0)</f>
        <v/>
      </c>
      <c r="C102">
        <f>IF(AND(Screener!$D$8&lt;&gt;"",Database!$D102=Screener!$D$8),1,0)</f>
        <v/>
      </c>
      <c r="D102">
        <f>IF(OR(Database!$H102="",N(Screener!$D$10)&lt;=0),0,MAX(0,1-ABS(LOG10(Database!$H102/Screener!$D$10))/W_SIZEHW))</f>
        <v/>
      </c>
      <c r="E102">
        <f>IF(OR(Database!$AH102="",Screener!$D$11=""),0,IF(Database!$AH102=Screener!$D$11,1,0))</f>
        <v/>
      </c>
      <c r="F102">
        <f>IF(OR(Database!$AK102="",Screener!$D$12=""),0,IF(Database!$AK102=Screener!$D$12,1,0))</f>
        <v/>
      </c>
      <c r="G102">
        <f>IF(OR(Database!$G102="",N(Screener!$D$13)&lt;=0),0,MAX(0,1-(N(Screener!$D$13)-Database!$G102)/W_RECD))</f>
        <v/>
      </c>
      <c r="H102">
        <f>IF($K$1="",0,N(ISNUMBER(SEARCH($K$1,Database!$T102&amp;""))))+IF($L$1="",0,N(ISNUMBER(SEARCH($L$1,Database!$T102&amp;""))))+IF($M$1="",0,N(ISNUMBER(SEARCH($M$1,Database!$T102&amp;""))))+IF($N$1="",0,N(ISNUMBER(SEARCH($N$1,Database!$T102&amp;""))))+IF($O$1="",0,N(ISNUMBER(SEARCH($O$1,Database!$T102&amp;""))))+IF(Screener!$B$14="",0,N(ISNUMBER(SEARCH(Screener!$B$14,Database!$T102&amp;""))))</f>
        <v/>
      </c>
      <c r="I102">
        <f>IF(OR(Database!$B102=Screener!$B$5,IF(OR(Screener!$B$17="All",AND(Screener!$B$17="With A-share",(Database!$AL102&lt;&gt;"")),AND(Screener!$B$17="Without A-share",NOT((Database!$AL102&lt;&gt;"")))),1,0)=0),-999999,IF(Screener!$B$15="cornerstone overlap first",H102*100000,0)+W_SUB*B102+W_SEC*C102*(1-B102)+W_SIZE*D102+W_PROF*E102+W_AH*F102+W_REC*G102+W_CS*H102)+ROW()/1000000</f>
        <v/>
      </c>
      <c r="K102">
        <f>Database!B94</f>
        <v/>
      </c>
      <c r="L102">
        <f>Database!D94</f>
        <v/>
      </c>
      <c r="M102">
        <f>Database!E94</f>
        <v/>
      </c>
      <c r="N102">
        <f>Database!H94</f>
        <v/>
      </c>
      <c r="O102">
        <f>Database!AH94</f>
        <v/>
      </c>
      <c r="P102">
        <f>Database!AK94</f>
        <v/>
      </c>
      <c r="Q102">
        <f>Database!G94</f>
        <v/>
      </c>
    </row>
    <row r="103">
      <c r="A103">
        <f>Database!B103</f>
        <v/>
      </c>
      <c r="B103">
        <f>IF(AND(Screener!$D$9&lt;&gt;"",Database!$E103=Screener!$D$9),1,0)</f>
        <v/>
      </c>
      <c r="C103">
        <f>IF(AND(Screener!$D$8&lt;&gt;"",Database!$D103=Screener!$D$8),1,0)</f>
        <v/>
      </c>
      <c r="D103">
        <f>IF(OR(Database!$H103="",N(Screener!$D$10)&lt;=0),0,MAX(0,1-ABS(LOG10(Database!$H103/Screener!$D$10))/W_SIZEHW))</f>
        <v/>
      </c>
      <c r="E103">
        <f>IF(OR(Database!$AH103="",Screener!$D$11=""),0,IF(Database!$AH103=Screener!$D$11,1,0))</f>
        <v/>
      </c>
      <c r="F103">
        <f>IF(OR(Database!$AK103="",Screener!$D$12=""),0,IF(Database!$AK103=Screener!$D$12,1,0))</f>
        <v/>
      </c>
      <c r="G103">
        <f>IF(OR(Database!$G103="",N(Screener!$D$13)&lt;=0),0,MAX(0,1-(N(Screener!$D$13)-Database!$G103)/W_RECD))</f>
        <v/>
      </c>
      <c r="H103">
        <f>IF($K$1="",0,N(ISNUMBER(SEARCH($K$1,Database!$T103&amp;""))))+IF($L$1="",0,N(ISNUMBER(SEARCH($L$1,Database!$T103&amp;""))))+IF($M$1="",0,N(ISNUMBER(SEARCH($M$1,Database!$T103&amp;""))))+IF($N$1="",0,N(ISNUMBER(SEARCH($N$1,Database!$T103&amp;""))))+IF($O$1="",0,N(ISNUMBER(SEARCH($O$1,Database!$T103&amp;""))))+IF(Screener!$B$14="",0,N(ISNUMBER(SEARCH(Screener!$B$14,Database!$T103&amp;""))))</f>
        <v/>
      </c>
      <c r="I103">
        <f>IF(OR(Database!$B103=Screener!$B$5,IF(OR(Screener!$B$17="All",AND(Screener!$B$17="With A-share",(Database!$AL103&lt;&gt;"")),AND(Screener!$B$17="Without A-share",NOT((Database!$AL103&lt;&gt;"")))),1,0)=0),-999999,IF(Screener!$B$15="cornerstone overlap first",H103*100000,0)+W_SUB*B103+W_SEC*C103*(1-B103)+W_SIZE*D103+W_PROF*E103+W_AH*F103+W_REC*G103+W_CS*H103)+ROW()/1000000</f>
        <v/>
      </c>
      <c r="K103">
        <f>Database!B95</f>
        <v/>
      </c>
      <c r="L103">
        <f>Database!D95</f>
        <v/>
      </c>
      <c r="M103">
        <f>Database!E95</f>
        <v/>
      </c>
      <c r="N103">
        <f>Database!H95</f>
        <v/>
      </c>
      <c r="O103">
        <f>Database!AH95</f>
        <v/>
      </c>
      <c r="P103">
        <f>Database!AK95</f>
        <v/>
      </c>
      <c r="Q103">
        <f>Database!G95</f>
        <v/>
      </c>
    </row>
    <row r="104">
      <c r="A104">
        <f>Database!B104</f>
        <v/>
      </c>
      <c r="B104">
        <f>IF(AND(Screener!$D$9&lt;&gt;"",Database!$E104=Screener!$D$9),1,0)</f>
        <v/>
      </c>
      <c r="C104">
        <f>IF(AND(Screener!$D$8&lt;&gt;"",Database!$D104=Screener!$D$8),1,0)</f>
        <v/>
      </c>
      <c r="D104">
        <f>IF(OR(Database!$H104="",N(Screener!$D$10)&lt;=0),0,MAX(0,1-ABS(LOG10(Database!$H104/Screener!$D$10))/W_SIZEHW))</f>
        <v/>
      </c>
      <c r="E104">
        <f>IF(OR(Database!$AH104="",Screener!$D$11=""),0,IF(Database!$AH104=Screener!$D$11,1,0))</f>
        <v/>
      </c>
      <c r="F104">
        <f>IF(OR(Database!$AK104="",Screener!$D$12=""),0,IF(Database!$AK104=Screener!$D$12,1,0))</f>
        <v/>
      </c>
      <c r="G104">
        <f>IF(OR(Database!$G104="",N(Screener!$D$13)&lt;=0),0,MAX(0,1-(N(Screener!$D$13)-Database!$G104)/W_RECD))</f>
        <v/>
      </c>
      <c r="H104">
        <f>IF($K$1="",0,N(ISNUMBER(SEARCH($K$1,Database!$T104&amp;""))))+IF($L$1="",0,N(ISNUMBER(SEARCH($L$1,Database!$T104&amp;""))))+IF($M$1="",0,N(ISNUMBER(SEARCH($M$1,Database!$T104&amp;""))))+IF($N$1="",0,N(ISNUMBER(SEARCH($N$1,Database!$T104&amp;""))))+IF($O$1="",0,N(ISNUMBER(SEARCH($O$1,Database!$T104&amp;""))))+IF(Screener!$B$14="",0,N(ISNUMBER(SEARCH(Screener!$B$14,Database!$T104&amp;""))))</f>
        <v/>
      </c>
      <c r="I104">
        <f>IF(OR(Database!$B104=Screener!$B$5,IF(OR(Screener!$B$17="All",AND(Screener!$B$17="With A-share",(Database!$AL104&lt;&gt;"")),AND(Screener!$B$17="Without A-share",NOT((Database!$AL104&lt;&gt;"")))),1,0)=0),-999999,IF(Screener!$B$15="cornerstone overlap first",H104*100000,0)+W_SUB*B104+W_SEC*C104*(1-B104)+W_SIZE*D104+W_PROF*E104+W_AH*F104+W_REC*G104+W_CS*H104)+ROW()/1000000</f>
        <v/>
      </c>
      <c r="K104">
        <f>Database!B96</f>
        <v/>
      </c>
      <c r="L104">
        <f>Database!D96</f>
        <v/>
      </c>
      <c r="M104">
        <f>Database!E96</f>
        <v/>
      </c>
      <c r="N104">
        <f>Database!H96</f>
        <v/>
      </c>
      <c r="O104">
        <f>Database!AH96</f>
        <v/>
      </c>
      <c r="P104">
        <f>Database!AK96</f>
        <v/>
      </c>
      <c r="Q104">
        <f>Database!G96</f>
        <v/>
      </c>
    </row>
    <row r="105">
      <c r="A105">
        <f>Database!B105</f>
        <v/>
      </c>
      <c r="B105">
        <f>IF(AND(Screener!$D$9&lt;&gt;"",Database!$E105=Screener!$D$9),1,0)</f>
        <v/>
      </c>
      <c r="C105">
        <f>IF(AND(Screener!$D$8&lt;&gt;"",Database!$D105=Screener!$D$8),1,0)</f>
        <v/>
      </c>
      <c r="D105">
        <f>IF(OR(Database!$H105="",N(Screener!$D$10)&lt;=0),0,MAX(0,1-ABS(LOG10(Database!$H105/Screener!$D$10))/W_SIZEHW))</f>
        <v/>
      </c>
      <c r="E105">
        <f>IF(OR(Database!$AH105="",Screener!$D$11=""),0,IF(Database!$AH105=Screener!$D$11,1,0))</f>
        <v/>
      </c>
      <c r="F105">
        <f>IF(OR(Database!$AK105="",Screener!$D$12=""),0,IF(Database!$AK105=Screener!$D$12,1,0))</f>
        <v/>
      </c>
      <c r="G105">
        <f>IF(OR(Database!$G105="",N(Screener!$D$13)&lt;=0),0,MAX(0,1-(N(Screener!$D$13)-Database!$G105)/W_RECD))</f>
        <v/>
      </c>
      <c r="H105">
        <f>IF($K$1="",0,N(ISNUMBER(SEARCH($K$1,Database!$T105&amp;""))))+IF($L$1="",0,N(ISNUMBER(SEARCH($L$1,Database!$T105&amp;""))))+IF($M$1="",0,N(ISNUMBER(SEARCH($M$1,Database!$T105&amp;""))))+IF($N$1="",0,N(ISNUMBER(SEARCH($N$1,Database!$T105&amp;""))))+IF($O$1="",0,N(ISNUMBER(SEARCH($O$1,Database!$T105&amp;""))))+IF(Screener!$B$14="",0,N(ISNUMBER(SEARCH(Screener!$B$14,Database!$T105&amp;""))))</f>
        <v/>
      </c>
      <c r="I105">
        <f>IF(OR(Database!$B105=Screener!$B$5,IF(OR(Screener!$B$17="All",AND(Screener!$B$17="With A-share",(Database!$AL105&lt;&gt;"")),AND(Screener!$B$17="Without A-share",NOT((Database!$AL105&lt;&gt;"")))),1,0)=0),-999999,IF(Screener!$B$15="cornerstone overlap first",H105*100000,0)+W_SUB*B105+W_SEC*C105*(1-B105)+W_SIZE*D105+W_PROF*E105+W_AH*F105+W_REC*G105+W_CS*H105)+ROW()/1000000</f>
        <v/>
      </c>
      <c r="K105">
        <f>Database!B97</f>
        <v/>
      </c>
      <c r="L105">
        <f>Database!D97</f>
        <v/>
      </c>
      <c r="M105">
        <f>Database!E97</f>
        <v/>
      </c>
      <c r="N105">
        <f>Database!H97</f>
        <v/>
      </c>
      <c r="O105">
        <f>Database!AH97</f>
        <v/>
      </c>
      <c r="P105">
        <f>Database!AK97</f>
        <v/>
      </c>
      <c r="Q105">
        <f>Database!G97</f>
        <v/>
      </c>
    </row>
    <row r="106">
      <c r="A106">
        <f>Database!B106</f>
        <v/>
      </c>
      <c r="B106">
        <f>IF(AND(Screener!$D$9&lt;&gt;"",Database!$E106=Screener!$D$9),1,0)</f>
        <v/>
      </c>
      <c r="C106">
        <f>IF(AND(Screener!$D$8&lt;&gt;"",Database!$D106=Screener!$D$8),1,0)</f>
        <v/>
      </c>
      <c r="D106">
        <f>IF(OR(Database!$H106="",N(Screener!$D$10)&lt;=0),0,MAX(0,1-ABS(LOG10(Database!$H106/Screener!$D$10))/W_SIZEHW))</f>
        <v/>
      </c>
      <c r="E106">
        <f>IF(OR(Database!$AH106="",Screener!$D$11=""),0,IF(Database!$AH106=Screener!$D$11,1,0))</f>
        <v/>
      </c>
      <c r="F106">
        <f>IF(OR(Database!$AK106="",Screener!$D$12=""),0,IF(Database!$AK106=Screener!$D$12,1,0))</f>
        <v/>
      </c>
      <c r="G106">
        <f>IF(OR(Database!$G106="",N(Screener!$D$13)&lt;=0),0,MAX(0,1-(N(Screener!$D$13)-Database!$G106)/W_RECD))</f>
        <v/>
      </c>
      <c r="H106">
        <f>IF($K$1="",0,N(ISNUMBER(SEARCH($K$1,Database!$T106&amp;""))))+IF($L$1="",0,N(ISNUMBER(SEARCH($L$1,Database!$T106&amp;""))))+IF($M$1="",0,N(ISNUMBER(SEARCH($M$1,Database!$T106&amp;""))))+IF($N$1="",0,N(ISNUMBER(SEARCH($N$1,Database!$T106&amp;""))))+IF($O$1="",0,N(ISNUMBER(SEARCH($O$1,Database!$T106&amp;""))))+IF(Screener!$B$14="",0,N(ISNUMBER(SEARCH(Screener!$B$14,Database!$T106&amp;""))))</f>
        <v/>
      </c>
      <c r="I106">
        <f>IF(OR(Database!$B106=Screener!$B$5,IF(OR(Screener!$B$17="All",AND(Screener!$B$17="With A-share",(Database!$AL106&lt;&gt;"")),AND(Screener!$B$17="Without A-share",NOT((Database!$AL106&lt;&gt;"")))),1,0)=0),-999999,IF(Screener!$B$15="cornerstone overlap first",H106*100000,0)+W_SUB*B106+W_SEC*C106*(1-B106)+W_SIZE*D106+W_PROF*E106+W_AH*F106+W_REC*G106+W_CS*H106)+ROW()/1000000</f>
        <v/>
      </c>
      <c r="K106">
        <f>Database!B98</f>
        <v/>
      </c>
      <c r="L106">
        <f>Database!D98</f>
        <v/>
      </c>
      <c r="M106">
        <f>Database!E98</f>
        <v/>
      </c>
      <c r="N106">
        <f>Database!H98</f>
        <v/>
      </c>
      <c r="O106">
        <f>Database!AH98</f>
        <v/>
      </c>
      <c r="P106">
        <f>Database!AK98</f>
        <v/>
      </c>
      <c r="Q106">
        <f>Database!G98</f>
        <v/>
      </c>
    </row>
    <row r="107">
      <c r="A107">
        <f>Database!B107</f>
        <v/>
      </c>
      <c r="B107">
        <f>IF(AND(Screener!$D$9&lt;&gt;"",Database!$E107=Screener!$D$9),1,0)</f>
        <v/>
      </c>
      <c r="C107">
        <f>IF(AND(Screener!$D$8&lt;&gt;"",Database!$D107=Screener!$D$8),1,0)</f>
        <v/>
      </c>
      <c r="D107">
        <f>IF(OR(Database!$H107="",N(Screener!$D$10)&lt;=0),0,MAX(0,1-ABS(LOG10(Database!$H107/Screener!$D$10))/W_SIZEHW))</f>
        <v/>
      </c>
      <c r="E107">
        <f>IF(OR(Database!$AH107="",Screener!$D$11=""),0,IF(Database!$AH107=Screener!$D$11,1,0))</f>
        <v/>
      </c>
      <c r="F107">
        <f>IF(OR(Database!$AK107="",Screener!$D$12=""),0,IF(Database!$AK107=Screener!$D$12,1,0))</f>
        <v/>
      </c>
      <c r="G107">
        <f>IF(OR(Database!$G107="",N(Screener!$D$13)&lt;=0),0,MAX(0,1-(N(Screener!$D$13)-Database!$G107)/W_RECD))</f>
        <v/>
      </c>
      <c r="H107">
        <f>IF($K$1="",0,N(ISNUMBER(SEARCH($K$1,Database!$T107&amp;""))))+IF($L$1="",0,N(ISNUMBER(SEARCH($L$1,Database!$T107&amp;""))))+IF($M$1="",0,N(ISNUMBER(SEARCH($M$1,Database!$T107&amp;""))))+IF($N$1="",0,N(ISNUMBER(SEARCH($N$1,Database!$T107&amp;""))))+IF($O$1="",0,N(ISNUMBER(SEARCH($O$1,Database!$T107&amp;""))))+IF(Screener!$B$14="",0,N(ISNUMBER(SEARCH(Screener!$B$14,Database!$T107&amp;""))))</f>
        <v/>
      </c>
      <c r="I107">
        <f>IF(OR(Database!$B107=Screener!$B$5,IF(OR(Screener!$B$17="All",AND(Screener!$B$17="With A-share",(Database!$AL107&lt;&gt;"")),AND(Screener!$B$17="Without A-share",NOT((Database!$AL107&lt;&gt;"")))),1,0)=0),-999999,IF(Screener!$B$15="cornerstone overlap first",H107*100000,0)+W_SUB*B107+W_SEC*C107*(1-B107)+W_SIZE*D107+W_PROF*E107+W_AH*F107+W_REC*G107+W_CS*H107)+ROW()/1000000</f>
        <v/>
      </c>
      <c r="K107">
        <f>Database!B99</f>
        <v/>
      </c>
      <c r="L107">
        <f>Database!D99</f>
        <v/>
      </c>
      <c r="M107">
        <f>Database!E99</f>
        <v/>
      </c>
      <c r="N107">
        <f>Database!H99</f>
        <v/>
      </c>
      <c r="O107">
        <f>Database!AH99</f>
        <v/>
      </c>
      <c r="P107">
        <f>Database!AK99</f>
        <v/>
      </c>
      <c r="Q107">
        <f>Database!G99</f>
        <v/>
      </c>
    </row>
    <row r="108">
      <c r="A108">
        <f>Database!B108</f>
        <v/>
      </c>
      <c r="B108">
        <f>IF(AND(Screener!$D$9&lt;&gt;"",Database!$E108=Screener!$D$9),1,0)</f>
        <v/>
      </c>
      <c r="C108">
        <f>IF(AND(Screener!$D$8&lt;&gt;"",Database!$D108=Screener!$D$8),1,0)</f>
        <v/>
      </c>
      <c r="D108">
        <f>IF(OR(Database!$H108="",N(Screener!$D$10)&lt;=0),0,MAX(0,1-ABS(LOG10(Database!$H108/Screener!$D$10))/W_SIZEHW))</f>
        <v/>
      </c>
      <c r="E108">
        <f>IF(OR(Database!$AH108="",Screener!$D$11=""),0,IF(Database!$AH108=Screener!$D$11,1,0))</f>
        <v/>
      </c>
      <c r="F108">
        <f>IF(OR(Database!$AK108="",Screener!$D$12=""),0,IF(Database!$AK108=Screener!$D$12,1,0))</f>
        <v/>
      </c>
      <c r="G108">
        <f>IF(OR(Database!$G108="",N(Screener!$D$13)&lt;=0),0,MAX(0,1-(N(Screener!$D$13)-Database!$G108)/W_RECD))</f>
        <v/>
      </c>
      <c r="H108">
        <f>IF($K$1="",0,N(ISNUMBER(SEARCH($K$1,Database!$T108&amp;""))))+IF($L$1="",0,N(ISNUMBER(SEARCH($L$1,Database!$T108&amp;""))))+IF($M$1="",0,N(ISNUMBER(SEARCH($M$1,Database!$T108&amp;""))))+IF($N$1="",0,N(ISNUMBER(SEARCH($N$1,Database!$T108&amp;""))))+IF($O$1="",0,N(ISNUMBER(SEARCH($O$1,Database!$T108&amp;""))))+IF(Screener!$B$14="",0,N(ISNUMBER(SEARCH(Screener!$B$14,Database!$T108&amp;""))))</f>
        <v/>
      </c>
      <c r="I108">
        <f>IF(OR(Database!$B108=Screener!$B$5,IF(OR(Screener!$B$17="All",AND(Screener!$B$17="With A-share",(Database!$AL108&lt;&gt;"")),AND(Screener!$B$17="Without A-share",NOT((Database!$AL108&lt;&gt;"")))),1,0)=0),-999999,IF(Screener!$B$15="cornerstone overlap first",H108*100000,0)+W_SUB*B108+W_SEC*C108*(1-B108)+W_SIZE*D108+W_PROF*E108+W_AH*F108+W_REC*G108+W_CS*H108)+ROW()/1000000</f>
        <v/>
      </c>
      <c r="K108">
        <f>Database!B100</f>
        <v/>
      </c>
      <c r="L108">
        <f>Database!D100</f>
        <v/>
      </c>
      <c r="M108">
        <f>Database!E100</f>
        <v/>
      </c>
      <c r="N108">
        <f>Database!H100</f>
        <v/>
      </c>
      <c r="O108">
        <f>Database!AH100</f>
        <v/>
      </c>
      <c r="P108">
        <f>Database!AK100</f>
        <v/>
      </c>
      <c r="Q108">
        <f>Database!G100</f>
        <v/>
      </c>
    </row>
    <row r="109">
      <c r="A109">
        <f>Database!B109</f>
        <v/>
      </c>
      <c r="B109">
        <f>IF(AND(Screener!$D$9&lt;&gt;"",Database!$E109=Screener!$D$9),1,0)</f>
        <v/>
      </c>
      <c r="C109">
        <f>IF(AND(Screener!$D$8&lt;&gt;"",Database!$D109=Screener!$D$8),1,0)</f>
        <v/>
      </c>
      <c r="D109">
        <f>IF(OR(Database!$H109="",N(Screener!$D$10)&lt;=0),0,MAX(0,1-ABS(LOG10(Database!$H109/Screener!$D$10))/W_SIZEHW))</f>
        <v/>
      </c>
      <c r="E109">
        <f>IF(OR(Database!$AH109="",Screener!$D$11=""),0,IF(Database!$AH109=Screener!$D$11,1,0))</f>
        <v/>
      </c>
      <c r="F109">
        <f>IF(OR(Database!$AK109="",Screener!$D$12=""),0,IF(Database!$AK109=Screener!$D$12,1,0))</f>
        <v/>
      </c>
      <c r="G109">
        <f>IF(OR(Database!$G109="",N(Screener!$D$13)&lt;=0),0,MAX(0,1-(N(Screener!$D$13)-Database!$G109)/W_RECD))</f>
        <v/>
      </c>
      <c r="H109">
        <f>IF($K$1="",0,N(ISNUMBER(SEARCH($K$1,Database!$T109&amp;""))))+IF($L$1="",0,N(ISNUMBER(SEARCH($L$1,Database!$T109&amp;""))))+IF($M$1="",0,N(ISNUMBER(SEARCH($M$1,Database!$T109&amp;""))))+IF($N$1="",0,N(ISNUMBER(SEARCH($N$1,Database!$T109&amp;""))))+IF($O$1="",0,N(ISNUMBER(SEARCH($O$1,Database!$T109&amp;""))))+IF(Screener!$B$14="",0,N(ISNUMBER(SEARCH(Screener!$B$14,Database!$T109&amp;""))))</f>
        <v/>
      </c>
      <c r="I109">
        <f>IF(OR(Database!$B109=Screener!$B$5,IF(OR(Screener!$B$17="All",AND(Screener!$B$17="With A-share",(Database!$AL109&lt;&gt;"")),AND(Screener!$B$17="Without A-share",NOT((Database!$AL109&lt;&gt;"")))),1,0)=0),-999999,IF(Screener!$B$15="cornerstone overlap first",H109*100000,0)+W_SUB*B109+W_SEC*C109*(1-B109)+W_SIZE*D109+W_PROF*E109+W_AH*F109+W_REC*G109+W_CS*H109)+ROW()/1000000</f>
        <v/>
      </c>
      <c r="K109">
        <f>Database!B101</f>
        <v/>
      </c>
      <c r="L109">
        <f>Database!D101</f>
        <v/>
      </c>
      <c r="M109">
        <f>Database!E101</f>
        <v/>
      </c>
      <c r="N109">
        <f>Database!H101</f>
        <v/>
      </c>
      <c r="O109">
        <f>Database!AH101</f>
        <v/>
      </c>
      <c r="P109">
        <f>Database!AK101</f>
        <v/>
      </c>
      <c r="Q109">
        <f>Database!G101</f>
        <v/>
      </c>
    </row>
    <row r="110">
      <c r="A110">
        <f>Database!B110</f>
        <v/>
      </c>
      <c r="B110">
        <f>IF(AND(Screener!$D$9&lt;&gt;"",Database!$E110=Screener!$D$9),1,0)</f>
        <v/>
      </c>
      <c r="C110">
        <f>IF(AND(Screener!$D$8&lt;&gt;"",Database!$D110=Screener!$D$8),1,0)</f>
        <v/>
      </c>
      <c r="D110">
        <f>IF(OR(Database!$H110="",N(Screener!$D$10)&lt;=0),0,MAX(0,1-ABS(LOG10(Database!$H110/Screener!$D$10))/W_SIZEHW))</f>
        <v/>
      </c>
      <c r="E110">
        <f>IF(OR(Database!$AH110="",Screener!$D$11=""),0,IF(Database!$AH110=Screener!$D$11,1,0))</f>
        <v/>
      </c>
      <c r="F110">
        <f>IF(OR(Database!$AK110="",Screener!$D$12=""),0,IF(Database!$AK110=Screener!$D$12,1,0))</f>
        <v/>
      </c>
      <c r="G110">
        <f>IF(OR(Database!$G110="",N(Screener!$D$13)&lt;=0),0,MAX(0,1-(N(Screener!$D$13)-Database!$G110)/W_RECD))</f>
        <v/>
      </c>
      <c r="H110">
        <f>IF($K$1="",0,N(ISNUMBER(SEARCH($K$1,Database!$T110&amp;""))))+IF($L$1="",0,N(ISNUMBER(SEARCH($L$1,Database!$T110&amp;""))))+IF($M$1="",0,N(ISNUMBER(SEARCH($M$1,Database!$T110&amp;""))))+IF($N$1="",0,N(ISNUMBER(SEARCH($N$1,Database!$T110&amp;""))))+IF($O$1="",0,N(ISNUMBER(SEARCH($O$1,Database!$T110&amp;""))))+IF(Screener!$B$14="",0,N(ISNUMBER(SEARCH(Screener!$B$14,Database!$T110&amp;""))))</f>
        <v/>
      </c>
      <c r="I110">
        <f>IF(OR(Database!$B110=Screener!$B$5,IF(OR(Screener!$B$17="All",AND(Screener!$B$17="With A-share",(Database!$AL110&lt;&gt;"")),AND(Screener!$B$17="Without A-share",NOT((Database!$AL110&lt;&gt;"")))),1,0)=0),-999999,IF(Screener!$B$15="cornerstone overlap first",H110*100000,0)+W_SUB*B110+W_SEC*C110*(1-B110)+W_SIZE*D110+W_PROF*E110+W_AH*F110+W_REC*G110+W_CS*H110)+ROW()/1000000</f>
        <v/>
      </c>
      <c r="K110">
        <f>Database!B102</f>
        <v/>
      </c>
      <c r="L110">
        <f>Database!D102</f>
        <v/>
      </c>
      <c r="M110">
        <f>Database!E102</f>
        <v/>
      </c>
      <c r="N110">
        <f>Database!H102</f>
        <v/>
      </c>
      <c r="O110">
        <f>Database!AH102</f>
        <v/>
      </c>
      <c r="P110">
        <f>Database!AK102</f>
        <v/>
      </c>
      <c r="Q110">
        <f>Database!G102</f>
        <v/>
      </c>
    </row>
    <row r="111">
      <c r="A111">
        <f>Database!B111</f>
        <v/>
      </c>
      <c r="B111">
        <f>IF(AND(Screener!$D$9&lt;&gt;"",Database!$E111=Screener!$D$9),1,0)</f>
        <v/>
      </c>
      <c r="C111">
        <f>IF(AND(Screener!$D$8&lt;&gt;"",Database!$D111=Screener!$D$8),1,0)</f>
        <v/>
      </c>
      <c r="D111">
        <f>IF(OR(Database!$H111="",N(Screener!$D$10)&lt;=0),0,MAX(0,1-ABS(LOG10(Database!$H111/Screener!$D$10))/W_SIZEHW))</f>
        <v/>
      </c>
      <c r="E111">
        <f>IF(OR(Database!$AH111="",Screener!$D$11=""),0,IF(Database!$AH111=Screener!$D$11,1,0))</f>
        <v/>
      </c>
      <c r="F111">
        <f>IF(OR(Database!$AK111="",Screener!$D$12=""),0,IF(Database!$AK111=Screener!$D$12,1,0))</f>
        <v/>
      </c>
      <c r="G111">
        <f>IF(OR(Database!$G111="",N(Screener!$D$13)&lt;=0),0,MAX(0,1-(N(Screener!$D$13)-Database!$G111)/W_RECD))</f>
        <v/>
      </c>
      <c r="H111">
        <f>IF($K$1="",0,N(ISNUMBER(SEARCH($K$1,Database!$T111&amp;""))))+IF($L$1="",0,N(ISNUMBER(SEARCH($L$1,Database!$T111&amp;""))))+IF($M$1="",0,N(ISNUMBER(SEARCH($M$1,Database!$T111&amp;""))))+IF($N$1="",0,N(ISNUMBER(SEARCH($N$1,Database!$T111&amp;""))))+IF($O$1="",0,N(ISNUMBER(SEARCH($O$1,Database!$T111&amp;""))))+IF(Screener!$B$14="",0,N(ISNUMBER(SEARCH(Screener!$B$14,Database!$T111&amp;""))))</f>
        <v/>
      </c>
      <c r="I111">
        <f>IF(OR(Database!$B111=Screener!$B$5,IF(OR(Screener!$B$17="All",AND(Screener!$B$17="With A-share",(Database!$AL111&lt;&gt;"")),AND(Screener!$B$17="Without A-share",NOT((Database!$AL111&lt;&gt;"")))),1,0)=0),-999999,IF(Screener!$B$15="cornerstone overlap first",H111*100000,0)+W_SUB*B111+W_SEC*C111*(1-B111)+W_SIZE*D111+W_PROF*E111+W_AH*F111+W_REC*G111+W_CS*H111)+ROW()/1000000</f>
        <v/>
      </c>
      <c r="K111">
        <f>Database!B103</f>
        <v/>
      </c>
      <c r="L111">
        <f>Database!D103</f>
        <v/>
      </c>
      <c r="M111">
        <f>Database!E103</f>
        <v/>
      </c>
      <c r="N111">
        <f>Database!H103</f>
        <v/>
      </c>
      <c r="O111">
        <f>Database!AH103</f>
        <v/>
      </c>
      <c r="P111">
        <f>Database!AK103</f>
        <v/>
      </c>
      <c r="Q111">
        <f>Database!G103</f>
        <v/>
      </c>
    </row>
    <row r="112">
      <c r="A112">
        <f>Database!B112</f>
        <v/>
      </c>
      <c r="B112">
        <f>IF(AND(Screener!$D$9&lt;&gt;"",Database!$E112=Screener!$D$9),1,0)</f>
        <v/>
      </c>
      <c r="C112">
        <f>IF(AND(Screener!$D$8&lt;&gt;"",Database!$D112=Screener!$D$8),1,0)</f>
        <v/>
      </c>
      <c r="D112">
        <f>IF(OR(Database!$H112="",N(Screener!$D$10)&lt;=0),0,MAX(0,1-ABS(LOG10(Database!$H112/Screener!$D$10))/W_SIZEHW))</f>
        <v/>
      </c>
      <c r="E112">
        <f>IF(OR(Database!$AH112="",Screener!$D$11=""),0,IF(Database!$AH112=Screener!$D$11,1,0))</f>
        <v/>
      </c>
      <c r="F112">
        <f>IF(OR(Database!$AK112="",Screener!$D$12=""),0,IF(Database!$AK112=Screener!$D$12,1,0))</f>
        <v/>
      </c>
      <c r="G112">
        <f>IF(OR(Database!$G112="",N(Screener!$D$13)&lt;=0),0,MAX(0,1-(N(Screener!$D$13)-Database!$G112)/W_RECD))</f>
        <v/>
      </c>
      <c r="H112">
        <f>IF($K$1="",0,N(ISNUMBER(SEARCH($K$1,Database!$T112&amp;""))))+IF($L$1="",0,N(ISNUMBER(SEARCH($L$1,Database!$T112&amp;""))))+IF($M$1="",0,N(ISNUMBER(SEARCH($M$1,Database!$T112&amp;""))))+IF($N$1="",0,N(ISNUMBER(SEARCH($N$1,Database!$T112&amp;""))))+IF($O$1="",0,N(ISNUMBER(SEARCH($O$1,Database!$T112&amp;""))))+IF(Screener!$B$14="",0,N(ISNUMBER(SEARCH(Screener!$B$14,Database!$T112&amp;""))))</f>
        <v/>
      </c>
      <c r="I112">
        <f>IF(OR(Database!$B112=Screener!$B$5,IF(OR(Screener!$B$17="All",AND(Screener!$B$17="With A-share",(Database!$AL112&lt;&gt;"")),AND(Screener!$B$17="Without A-share",NOT((Database!$AL112&lt;&gt;"")))),1,0)=0),-999999,IF(Screener!$B$15="cornerstone overlap first",H112*100000,0)+W_SUB*B112+W_SEC*C112*(1-B112)+W_SIZE*D112+W_PROF*E112+W_AH*F112+W_REC*G112+W_CS*H112)+ROW()/1000000</f>
        <v/>
      </c>
      <c r="K112">
        <f>Database!B104</f>
        <v/>
      </c>
      <c r="L112">
        <f>Database!D104</f>
        <v/>
      </c>
      <c r="M112">
        <f>Database!E104</f>
        <v/>
      </c>
      <c r="N112">
        <f>Database!H104</f>
        <v/>
      </c>
      <c r="O112">
        <f>Database!AH104</f>
        <v/>
      </c>
      <c r="P112">
        <f>Database!AK104</f>
        <v/>
      </c>
      <c r="Q112">
        <f>Database!G104</f>
        <v/>
      </c>
    </row>
    <row r="113">
      <c r="A113">
        <f>Database!B113</f>
        <v/>
      </c>
      <c r="B113">
        <f>IF(AND(Screener!$D$9&lt;&gt;"",Database!$E113=Screener!$D$9),1,0)</f>
        <v/>
      </c>
      <c r="C113">
        <f>IF(AND(Screener!$D$8&lt;&gt;"",Database!$D113=Screener!$D$8),1,0)</f>
        <v/>
      </c>
      <c r="D113">
        <f>IF(OR(Database!$H113="",N(Screener!$D$10)&lt;=0),0,MAX(0,1-ABS(LOG10(Database!$H113/Screener!$D$10))/W_SIZEHW))</f>
        <v/>
      </c>
      <c r="E113">
        <f>IF(OR(Database!$AH113="",Screener!$D$11=""),0,IF(Database!$AH113=Screener!$D$11,1,0))</f>
        <v/>
      </c>
      <c r="F113">
        <f>IF(OR(Database!$AK113="",Screener!$D$12=""),0,IF(Database!$AK113=Screener!$D$12,1,0))</f>
        <v/>
      </c>
      <c r="G113">
        <f>IF(OR(Database!$G113="",N(Screener!$D$13)&lt;=0),0,MAX(0,1-(N(Screener!$D$13)-Database!$G113)/W_RECD))</f>
        <v/>
      </c>
      <c r="H113">
        <f>IF($K$1="",0,N(ISNUMBER(SEARCH($K$1,Database!$T113&amp;""))))+IF($L$1="",0,N(ISNUMBER(SEARCH($L$1,Database!$T113&amp;""))))+IF($M$1="",0,N(ISNUMBER(SEARCH($M$1,Database!$T113&amp;""))))+IF($N$1="",0,N(ISNUMBER(SEARCH($N$1,Database!$T113&amp;""))))+IF($O$1="",0,N(ISNUMBER(SEARCH($O$1,Database!$T113&amp;""))))+IF(Screener!$B$14="",0,N(ISNUMBER(SEARCH(Screener!$B$14,Database!$T113&amp;""))))</f>
        <v/>
      </c>
      <c r="I113">
        <f>IF(OR(Database!$B113=Screener!$B$5,IF(OR(Screener!$B$17="All",AND(Screener!$B$17="With A-share",(Database!$AL113&lt;&gt;"")),AND(Screener!$B$17="Without A-share",NOT((Database!$AL113&lt;&gt;"")))),1,0)=0),-999999,IF(Screener!$B$15="cornerstone overlap first",H113*100000,0)+W_SUB*B113+W_SEC*C113*(1-B113)+W_SIZE*D113+W_PROF*E113+W_AH*F113+W_REC*G113+W_CS*H113)+ROW()/1000000</f>
        <v/>
      </c>
      <c r="K113">
        <f>Database!B105</f>
        <v/>
      </c>
      <c r="L113">
        <f>Database!D105</f>
        <v/>
      </c>
      <c r="M113">
        <f>Database!E105</f>
        <v/>
      </c>
      <c r="N113">
        <f>Database!H105</f>
        <v/>
      </c>
      <c r="O113">
        <f>Database!AH105</f>
        <v/>
      </c>
      <c r="P113">
        <f>Database!AK105</f>
        <v/>
      </c>
      <c r="Q113">
        <f>Database!G105</f>
        <v/>
      </c>
    </row>
    <row r="114">
      <c r="A114">
        <f>Database!B114</f>
        <v/>
      </c>
      <c r="B114">
        <f>IF(AND(Screener!$D$9&lt;&gt;"",Database!$E114=Screener!$D$9),1,0)</f>
        <v/>
      </c>
      <c r="C114">
        <f>IF(AND(Screener!$D$8&lt;&gt;"",Database!$D114=Screener!$D$8),1,0)</f>
        <v/>
      </c>
      <c r="D114">
        <f>IF(OR(Database!$H114="",N(Screener!$D$10)&lt;=0),0,MAX(0,1-ABS(LOG10(Database!$H114/Screener!$D$10))/W_SIZEHW))</f>
        <v/>
      </c>
      <c r="E114">
        <f>IF(OR(Database!$AH114="",Screener!$D$11=""),0,IF(Database!$AH114=Screener!$D$11,1,0))</f>
        <v/>
      </c>
      <c r="F114">
        <f>IF(OR(Database!$AK114="",Screener!$D$12=""),0,IF(Database!$AK114=Screener!$D$12,1,0))</f>
        <v/>
      </c>
      <c r="G114">
        <f>IF(OR(Database!$G114="",N(Screener!$D$13)&lt;=0),0,MAX(0,1-(N(Screener!$D$13)-Database!$G114)/W_RECD))</f>
        <v/>
      </c>
      <c r="H114">
        <f>IF($K$1="",0,N(ISNUMBER(SEARCH($K$1,Database!$T114&amp;""))))+IF($L$1="",0,N(ISNUMBER(SEARCH($L$1,Database!$T114&amp;""))))+IF($M$1="",0,N(ISNUMBER(SEARCH($M$1,Database!$T114&amp;""))))+IF($N$1="",0,N(ISNUMBER(SEARCH($N$1,Database!$T114&amp;""))))+IF($O$1="",0,N(ISNUMBER(SEARCH($O$1,Database!$T114&amp;""))))+IF(Screener!$B$14="",0,N(ISNUMBER(SEARCH(Screener!$B$14,Database!$T114&amp;""))))</f>
        <v/>
      </c>
      <c r="I114">
        <f>IF(OR(Database!$B114=Screener!$B$5,IF(OR(Screener!$B$17="All",AND(Screener!$B$17="With A-share",(Database!$AL114&lt;&gt;"")),AND(Screener!$B$17="Without A-share",NOT((Database!$AL114&lt;&gt;"")))),1,0)=0),-999999,IF(Screener!$B$15="cornerstone overlap first",H114*100000,0)+W_SUB*B114+W_SEC*C114*(1-B114)+W_SIZE*D114+W_PROF*E114+W_AH*F114+W_REC*G114+W_CS*H114)+ROW()/1000000</f>
        <v/>
      </c>
      <c r="K114">
        <f>Database!B106</f>
        <v/>
      </c>
      <c r="L114">
        <f>Database!D106</f>
        <v/>
      </c>
      <c r="M114">
        <f>Database!E106</f>
        <v/>
      </c>
      <c r="N114">
        <f>Database!H106</f>
        <v/>
      </c>
      <c r="O114">
        <f>Database!AH106</f>
        <v/>
      </c>
      <c r="P114">
        <f>Database!AK106</f>
        <v/>
      </c>
      <c r="Q114">
        <f>Database!G106</f>
        <v/>
      </c>
    </row>
    <row r="115">
      <c r="A115">
        <f>Database!B115</f>
        <v/>
      </c>
      <c r="B115">
        <f>IF(AND(Screener!$D$9&lt;&gt;"",Database!$E115=Screener!$D$9),1,0)</f>
        <v/>
      </c>
      <c r="C115">
        <f>IF(AND(Screener!$D$8&lt;&gt;"",Database!$D115=Screener!$D$8),1,0)</f>
        <v/>
      </c>
      <c r="D115">
        <f>IF(OR(Database!$H115="",N(Screener!$D$10)&lt;=0),0,MAX(0,1-ABS(LOG10(Database!$H115/Screener!$D$10))/W_SIZEHW))</f>
        <v/>
      </c>
      <c r="E115">
        <f>IF(OR(Database!$AH115="",Screener!$D$11=""),0,IF(Database!$AH115=Screener!$D$11,1,0))</f>
        <v/>
      </c>
      <c r="F115">
        <f>IF(OR(Database!$AK115="",Screener!$D$12=""),0,IF(Database!$AK115=Screener!$D$12,1,0))</f>
        <v/>
      </c>
      <c r="G115">
        <f>IF(OR(Database!$G115="",N(Screener!$D$13)&lt;=0),0,MAX(0,1-(N(Screener!$D$13)-Database!$G115)/W_RECD))</f>
        <v/>
      </c>
      <c r="H115">
        <f>IF($K$1="",0,N(ISNUMBER(SEARCH($K$1,Database!$T115&amp;""))))+IF($L$1="",0,N(ISNUMBER(SEARCH($L$1,Database!$T115&amp;""))))+IF($M$1="",0,N(ISNUMBER(SEARCH($M$1,Database!$T115&amp;""))))+IF($N$1="",0,N(ISNUMBER(SEARCH($N$1,Database!$T115&amp;""))))+IF($O$1="",0,N(ISNUMBER(SEARCH($O$1,Database!$T115&amp;""))))+IF(Screener!$B$14="",0,N(ISNUMBER(SEARCH(Screener!$B$14,Database!$T115&amp;""))))</f>
        <v/>
      </c>
      <c r="I115">
        <f>IF(OR(Database!$B115=Screener!$B$5,IF(OR(Screener!$B$17="All",AND(Screener!$B$17="With A-share",(Database!$AL115&lt;&gt;"")),AND(Screener!$B$17="Without A-share",NOT((Database!$AL115&lt;&gt;"")))),1,0)=0),-999999,IF(Screener!$B$15="cornerstone overlap first",H115*100000,0)+W_SUB*B115+W_SEC*C115*(1-B115)+W_SIZE*D115+W_PROF*E115+W_AH*F115+W_REC*G115+W_CS*H115)+ROW()/1000000</f>
        <v/>
      </c>
      <c r="K115">
        <f>Database!B107</f>
        <v/>
      </c>
      <c r="L115">
        <f>Database!D107</f>
        <v/>
      </c>
      <c r="M115">
        <f>Database!E107</f>
        <v/>
      </c>
      <c r="N115">
        <f>Database!H107</f>
        <v/>
      </c>
      <c r="O115">
        <f>Database!AH107</f>
        <v/>
      </c>
      <c r="P115">
        <f>Database!AK107</f>
        <v/>
      </c>
      <c r="Q115">
        <f>Database!G107</f>
        <v/>
      </c>
    </row>
    <row r="116">
      <c r="A116">
        <f>Database!B116</f>
        <v/>
      </c>
      <c r="B116">
        <f>IF(AND(Screener!$D$9&lt;&gt;"",Database!$E116=Screener!$D$9),1,0)</f>
        <v/>
      </c>
      <c r="C116">
        <f>IF(AND(Screener!$D$8&lt;&gt;"",Database!$D116=Screener!$D$8),1,0)</f>
        <v/>
      </c>
      <c r="D116">
        <f>IF(OR(Database!$H116="",N(Screener!$D$10)&lt;=0),0,MAX(0,1-ABS(LOG10(Database!$H116/Screener!$D$10))/W_SIZEHW))</f>
        <v/>
      </c>
      <c r="E116">
        <f>IF(OR(Database!$AH116="",Screener!$D$11=""),0,IF(Database!$AH116=Screener!$D$11,1,0))</f>
        <v/>
      </c>
      <c r="F116">
        <f>IF(OR(Database!$AK116="",Screener!$D$12=""),0,IF(Database!$AK116=Screener!$D$12,1,0))</f>
        <v/>
      </c>
      <c r="G116">
        <f>IF(OR(Database!$G116="",N(Screener!$D$13)&lt;=0),0,MAX(0,1-(N(Screener!$D$13)-Database!$G116)/W_RECD))</f>
        <v/>
      </c>
      <c r="H116">
        <f>IF($K$1="",0,N(ISNUMBER(SEARCH($K$1,Database!$T116&amp;""))))+IF($L$1="",0,N(ISNUMBER(SEARCH($L$1,Database!$T116&amp;""))))+IF($M$1="",0,N(ISNUMBER(SEARCH($M$1,Database!$T116&amp;""))))+IF($N$1="",0,N(ISNUMBER(SEARCH($N$1,Database!$T116&amp;""))))+IF($O$1="",0,N(ISNUMBER(SEARCH($O$1,Database!$T116&amp;""))))+IF(Screener!$B$14="",0,N(ISNUMBER(SEARCH(Screener!$B$14,Database!$T116&amp;""))))</f>
        <v/>
      </c>
      <c r="I116">
        <f>IF(OR(Database!$B116=Screener!$B$5,IF(OR(Screener!$B$17="All",AND(Screener!$B$17="With A-share",(Database!$AL116&lt;&gt;"")),AND(Screener!$B$17="Without A-share",NOT((Database!$AL116&lt;&gt;"")))),1,0)=0),-999999,IF(Screener!$B$15="cornerstone overlap first",H116*100000,0)+W_SUB*B116+W_SEC*C116*(1-B116)+W_SIZE*D116+W_PROF*E116+W_AH*F116+W_REC*G116+W_CS*H116)+ROW()/1000000</f>
        <v/>
      </c>
      <c r="K116">
        <f>Database!B108</f>
        <v/>
      </c>
      <c r="L116">
        <f>Database!D108</f>
        <v/>
      </c>
      <c r="M116">
        <f>Database!E108</f>
        <v/>
      </c>
      <c r="N116">
        <f>Database!H108</f>
        <v/>
      </c>
      <c r="O116">
        <f>Database!AH108</f>
        <v/>
      </c>
      <c r="P116">
        <f>Database!AK108</f>
        <v/>
      </c>
      <c r="Q116">
        <f>Database!G108</f>
        <v/>
      </c>
    </row>
    <row r="117">
      <c r="A117">
        <f>Database!B117</f>
        <v/>
      </c>
      <c r="B117">
        <f>IF(AND(Screener!$D$9&lt;&gt;"",Database!$E117=Screener!$D$9),1,0)</f>
        <v/>
      </c>
      <c r="C117">
        <f>IF(AND(Screener!$D$8&lt;&gt;"",Database!$D117=Screener!$D$8),1,0)</f>
        <v/>
      </c>
      <c r="D117">
        <f>IF(OR(Database!$H117="",N(Screener!$D$10)&lt;=0),0,MAX(0,1-ABS(LOG10(Database!$H117/Screener!$D$10))/W_SIZEHW))</f>
        <v/>
      </c>
      <c r="E117">
        <f>IF(OR(Database!$AH117="",Screener!$D$11=""),0,IF(Database!$AH117=Screener!$D$11,1,0))</f>
        <v/>
      </c>
      <c r="F117">
        <f>IF(OR(Database!$AK117="",Screener!$D$12=""),0,IF(Database!$AK117=Screener!$D$12,1,0))</f>
        <v/>
      </c>
      <c r="G117">
        <f>IF(OR(Database!$G117="",N(Screener!$D$13)&lt;=0),0,MAX(0,1-(N(Screener!$D$13)-Database!$G117)/W_RECD))</f>
        <v/>
      </c>
      <c r="H117">
        <f>IF($K$1="",0,N(ISNUMBER(SEARCH($K$1,Database!$T117&amp;""))))+IF($L$1="",0,N(ISNUMBER(SEARCH($L$1,Database!$T117&amp;""))))+IF($M$1="",0,N(ISNUMBER(SEARCH($M$1,Database!$T117&amp;""))))+IF($N$1="",0,N(ISNUMBER(SEARCH($N$1,Database!$T117&amp;""))))+IF($O$1="",0,N(ISNUMBER(SEARCH($O$1,Database!$T117&amp;""))))+IF(Screener!$B$14="",0,N(ISNUMBER(SEARCH(Screener!$B$14,Database!$T117&amp;""))))</f>
        <v/>
      </c>
      <c r="I117">
        <f>IF(OR(Database!$B117=Screener!$B$5,IF(OR(Screener!$B$17="All",AND(Screener!$B$17="With A-share",(Database!$AL117&lt;&gt;"")),AND(Screener!$B$17="Without A-share",NOT((Database!$AL117&lt;&gt;"")))),1,0)=0),-999999,IF(Screener!$B$15="cornerstone overlap first",H117*100000,0)+W_SUB*B117+W_SEC*C117*(1-B117)+W_SIZE*D117+W_PROF*E117+W_AH*F117+W_REC*G117+W_CS*H117)+ROW()/1000000</f>
        <v/>
      </c>
      <c r="K117">
        <f>Database!B109</f>
        <v/>
      </c>
      <c r="L117">
        <f>Database!D109</f>
        <v/>
      </c>
      <c r="M117">
        <f>Database!E109</f>
        <v/>
      </c>
      <c r="N117">
        <f>Database!H109</f>
        <v/>
      </c>
      <c r="O117">
        <f>Database!AH109</f>
        <v/>
      </c>
      <c r="P117">
        <f>Database!AK109</f>
        <v/>
      </c>
      <c r="Q117">
        <f>Database!G109</f>
        <v/>
      </c>
    </row>
    <row r="118">
      <c r="A118">
        <f>Database!B118</f>
        <v/>
      </c>
      <c r="B118">
        <f>IF(AND(Screener!$D$9&lt;&gt;"",Database!$E118=Screener!$D$9),1,0)</f>
        <v/>
      </c>
      <c r="C118">
        <f>IF(AND(Screener!$D$8&lt;&gt;"",Database!$D118=Screener!$D$8),1,0)</f>
        <v/>
      </c>
      <c r="D118">
        <f>IF(OR(Database!$H118="",N(Screener!$D$10)&lt;=0),0,MAX(0,1-ABS(LOG10(Database!$H118/Screener!$D$10))/W_SIZEHW))</f>
        <v/>
      </c>
      <c r="E118">
        <f>IF(OR(Database!$AH118="",Screener!$D$11=""),0,IF(Database!$AH118=Screener!$D$11,1,0))</f>
        <v/>
      </c>
      <c r="F118">
        <f>IF(OR(Database!$AK118="",Screener!$D$12=""),0,IF(Database!$AK118=Screener!$D$12,1,0))</f>
        <v/>
      </c>
      <c r="G118">
        <f>IF(OR(Database!$G118="",N(Screener!$D$13)&lt;=0),0,MAX(0,1-(N(Screener!$D$13)-Database!$G118)/W_RECD))</f>
        <v/>
      </c>
      <c r="H118">
        <f>IF($K$1="",0,N(ISNUMBER(SEARCH($K$1,Database!$T118&amp;""))))+IF($L$1="",0,N(ISNUMBER(SEARCH($L$1,Database!$T118&amp;""))))+IF($M$1="",0,N(ISNUMBER(SEARCH($M$1,Database!$T118&amp;""))))+IF($N$1="",0,N(ISNUMBER(SEARCH($N$1,Database!$T118&amp;""))))+IF($O$1="",0,N(ISNUMBER(SEARCH($O$1,Database!$T118&amp;""))))+IF(Screener!$B$14="",0,N(ISNUMBER(SEARCH(Screener!$B$14,Database!$T118&amp;""))))</f>
        <v/>
      </c>
      <c r="I118">
        <f>IF(OR(Database!$B118=Screener!$B$5,IF(OR(Screener!$B$17="All",AND(Screener!$B$17="With A-share",(Database!$AL118&lt;&gt;"")),AND(Screener!$B$17="Without A-share",NOT((Database!$AL118&lt;&gt;"")))),1,0)=0),-999999,IF(Screener!$B$15="cornerstone overlap first",H118*100000,0)+W_SUB*B118+W_SEC*C118*(1-B118)+W_SIZE*D118+W_PROF*E118+W_AH*F118+W_REC*G118+W_CS*H118)+ROW()/1000000</f>
        <v/>
      </c>
      <c r="K118">
        <f>Database!B110</f>
        <v/>
      </c>
      <c r="L118">
        <f>Database!D110</f>
        <v/>
      </c>
      <c r="M118">
        <f>Database!E110</f>
        <v/>
      </c>
      <c r="N118">
        <f>Database!H110</f>
        <v/>
      </c>
      <c r="O118">
        <f>Database!AH110</f>
        <v/>
      </c>
      <c r="P118">
        <f>Database!AK110</f>
        <v/>
      </c>
      <c r="Q118">
        <f>Database!G110</f>
        <v/>
      </c>
    </row>
    <row r="119">
      <c r="A119">
        <f>Database!B119</f>
        <v/>
      </c>
      <c r="B119">
        <f>IF(AND(Screener!$D$9&lt;&gt;"",Database!$E119=Screener!$D$9),1,0)</f>
        <v/>
      </c>
      <c r="C119">
        <f>IF(AND(Screener!$D$8&lt;&gt;"",Database!$D119=Screener!$D$8),1,0)</f>
        <v/>
      </c>
      <c r="D119">
        <f>IF(OR(Database!$H119="",N(Screener!$D$10)&lt;=0),0,MAX(0,1-ABS(LOG10(Database!$H119/Screener!$D$10))/W_SIZEHW))</f>
        <v/>
      </c>
      <c r="E119">
        <f>IF(OR(Database!$AH119="",Screener!$D$11=""),0,IF(Database!$AH119=Screener!$D$11,1,0))</f>
        <v/>
      </c>
      <c r="F119">
        <f>IF(OR(Database!$AK119="",Screener!$D$12=""),0,IF(Database!$AK119=Screener!$D$12,1,0))</f>
        <v/>
      </c>
      <c r="G119">
        <f>IF(OR(Database!$G119="",N(Screener!$D$13)&lt;=0),0,MAX(0,1-(N(Screener!$D$13)-Database!$G119)/W_RECD))</f>
        <v/>
      </c>
      <c r="H119">
        <f>IF($K$1="",0,N(ISNUMBER(SEARCH($K$1,Database!$T119&amp;""))))+IF($L$1="",0,N(ISNUMBER(SEARCH($L$1,Database!$T119&amp;""))))+IF($M$1="",0,N(ISNUMBER(SEARCH($M$1,Database!$T119&amp;""))))+IF($N$1="",0,N(ISNUMBER(SEARCH($N$1,Database!$T119&amp;""))))+IF($O$1="",0,N(ISNUMBER(SEARCH($O$1,Database!$T119&amp;""))))+IF(Screener!$B$14="",0,N(ISNUMBER(SEARCH(Screener!$B$14,Database!$T119&amp;""))))</f>
        <v/>
      </c>
      <c r="I119">
        <f>IF(OR(Database!$B119=Screener!$B$5,IF(OR(Screener!$B$17="All",AND(Screener!$B$17="With A-share",(Database!$AL119&lt;&gt;"")),AND(Screener!$B$17="Without A-share",NOT((Database!$AL119&lt;&gt;"")))),1,0)=0),-999999,IF(Screener!$B$15="cornerstone overlap first",H119*100000,0)+W_SUB*B119+W_SEC*C119*(1-B119)+W_SIZE*D119+W_PROF*E119+W_AH*F119+W_REC*G119+W_CS*H119)+ROW()/1000000</f>
        <v/>
      </c>
      <c r="K119">
        <f>Database!B111</f>
        <v/>
      </c>
      <c r="L119">
        <f>Database!D111</f>
        <v/>
      </c>
      <c r="M119">
        <f>Database!E111</f>
        <v/>
      </c>
      <c r="N119">
        <f>Database!H111</f>
        <v/>
      </c>
      <c r="O119">
        <f>Database!AH111</f>
        <v/>
      </c>
      <c r="P119">
        <f>Database!AK111</f>
        <v/>
      </c>
      <c r="Q119">
        <f>Database!G111</f>
        <v/>
      </c>
    </row>
    <row r="120">
      <c r="A120">
        <f>Database!B120</f>
        <v/>
      </c>
      <c r="B120">
        <f>IF(AND(Screener!$D$9&lt;&gt;"",Database!$E120=Screener!$D$9),1,0)</f>
        <v/>
      </c>
      <c r="C120">
        <f>IF(AND(Screener!$D$8&lt;&gt;"",Database!$D120=Screener!$D$8),1,0)</f>
        <v/>
      </c>
      <c r="D120">
        <f>IF(OR(Database!$H120="",N(Screener!$D$10)&lt;=0),0,MAX(0,1-ABS(LOG10(Database!$H120/Screener!$D$10))/W_SIZEHW))</f>
        <v/>
      </c>
      <c r="E120">
        <f>IF(OR(Database!$AH120="",Screener!$D$11=""),0,IF(Database!$AH120=Screener!$D$11,1,0))</f>
        <v/>
      </c>
      <c r="F120">
        <f>IF(OR(Database!$AK120="",Screener!$D$12=""),0,IF(Database!$AK120=Screener!$D$12,1,0))</f>
        <v/>
      </c>
      <c r="G120">
        <f>IF(OR(Database!$G120="",N(Screener!$D$13)&lt;=0),0,MAX(0,1-(N(Screener!$D$13)-Database!$G120)/W_RECD))</f>
        <v/>
      </c>
      <c r="H120">
        <f>IF($K$1="",0,N(ISNUMBER(SEARCH($K$1,Database!$T120&amp;""))))+IF($L$1="",0,N(ISNUMBER(SEARCH($L$1,Database!$T120&amp;""))))+IF($M$1="",0,N(ISNUMBER(SEARCH($M$1,Database!$T120&amp;""))))+IF($N$1="",0,N(ISNUMBER(SEARCH($N$1,Database!$T120&amp;""))))+IF($O$1="",0,N(ISNUMBER(SEARCH($O$1,Database!$T120&amp;""))))+IF(Screener!$B$14="",0,N(ISNUMBER(SEARCH(Screener!$B$14,Database!$T120&amp;""))))</f>
        <v/>
      </c>
      <c r="I120">
        <f>IF(OR(Database!$B120=Screener!$B$5,IF(OR(Screener!$B$17="All",AND(Screener!$B$17="With A-share",(Database!$AL120&lt;&gt;"")),AND(Screener!$B$17="Without A-share",NOT((Database!$AL120&lt;&gt;"")))),1,0)=0),-999999,IF(Screener!$B$15="cornerstone overlap first",H120*100000,0)+W_SUB*B120+W_SEC*C120*(1-B120)+W_SIZE*D120+W_PROF*E120+W_AH*F120+W_REC*G120+W_CS*H120)+ROW()/1000000</f>
        <v/>
      </c>
      <c r="K120">
        <f>Database!B112</f>
        <v/>
      </c>
      <c r="L120">
        <f>Database!D112</f>
        <v/>
      </c>
      <c r="M120">
        <f>Database!E112</f>
        <v/>
      </c>
      <c r="N120">
        <f>Database!H112</f>
        <v/>
      </c>
      <c r="O120">
        <f>Database!AH112</f>
        <v/>
      </c>
      <c r="P120">
        <f>Database!AK112</f>
        <v/>
      </c>
      <c r="Q120">
        <f>Database!G112</f>
        <v/>
      </c>
    </row>
    <row r="121">
      <c r="A121">
        <f>Database!B121</f>
        <v/>
      </c>
      <c r="B121">
        <f>IF(AND(Screener!$D$9&lt;&gt;"",Database!$E121=Screener!$D$9),1,0)</f>
        <v/>
      </c>
      <c r="C121">
        <f>IF(AND(Screener!$D$8&lt;&gt;"",Database!$D121=Screener!$D$8),1,0)</f>
        <v/>
      </c>
      <c r="D121">
        <f>IF(OR(Database!$H121="",N(Screener!$D$10)&lt;=0),0,MAX(0,1-ABS(LOG10(Database!$H121/Screener!$D$10))/W_SIZEHW))</f>
        <v/>
      </c>
      <c r="E121">
        <f>IF(OR(Database!$AH121="",Screener!$D$11=""),0,IF(Database!$AH121=Screener!$D$11,1,0))</f>
        <v/>
      </c>
      <c r="F121">
        <f>IF(OR(Database!$AK121="",Screener!$D$12=""),0,IF(Database!$AK121=Screener!$D$12,1,0))</f>
        <v/>
      </c>
      <c r="G121">
        <f>IF(OR(Database!$G121="",N(Screener!$D$13)&lt;=0),0,MAX(0,1-(N(Screener!$D$13)-Database!$G121)/W_RECD))</f>
        <v/>
      </c>
      <c r="H121">
        <f>IF($K$1="",0,N(ISNUMBER(SEARCH($K$1,Database!$T121&amp;""))))+IF($L$1="",0,N(ISNUMBER(SEARCH($L$1,Database!$T121&amp;""))))+IF($M$1="",0,N(ISNUMBER(SEARCH($M$1,Database!$T121&amp;""))))+IF($N$1="",0,N(ISNUMBER(SEARCH($N$1,Database!$T121&amp;""))))+IF($O$1="",0,N(ISNUMBER(SEARCH($O$1,Database!$T121&amp;""))))+IF(Screener!$B$14="",0,N(ISNUMBER(SEARCH(Screener!$B$14,Database!$T121&amp;""))))</f>
        <v/>
      </c>
      <c r="I121">
        <f>IF(OR(Database!$B121=Screener!$B$5,IF(OR(Screener!$B$17="All",AND(Screener!$B$17="With A-share",(Database!$AL121&lt;&gt;"")),AND(Screener!$B$17="Without A-share",NOT((Database!$AL121&lt;&gt;"")))),1,0)=0),-999999,IF(Screener!$B$15="cornerstone overlap first",H121*100000,0)+W_SUB*B121+W_SEC*C121*(1-B121)+W_SIZE*D121+W_PROF*E121+W_AH*F121+W_REC*G121+W_CS*H121)+ROW()/1000000</f>
        <v/>
      </c>
      <c r="K121">
        <f>Database!B113</f>
        <v/>
      </c>
      <c r="L121">
        <f>Database!D113</f>
        <v/>
      </c>
      <c r="M121">
        <f>Database!E113</f>
        <v/>
      </c>
      <c r="N121">
        <f>Database!H113</f>
        <v/>
      </c>
      <c r="O121">
        <f>Database!AH113</f>
        <v/>
      </c>
      <c r="P121">
        <f>Database!AK113</f>
        <v/>
      </c>
      <c r="Q121">
        <f>Database!G113</f>
        <v/>
      </c>
    </row>
    <row r="122">
      <c r="A122">
        <f>Database!B122</f>
        <v/>
      </c>
      <c r="B122">
        <f>IF(AND(Screener!$D$9&lt;&gt;"",Database!$E122=Screener!$D$9),1,0)</f>
        <v/>
      </c>
      <c r="C122">
        <f>IF(AND(Screener!$D$8&lt;&gt;"",Database!$D122=Screener!$D$8),1,0)</f>
        <v/>
      </c>
      <c r="D122">
        <f>IF(OR(Database!$H122="",N(Screener!$D$10)&lt;=0),0,MAX(0,1-ABS(LOG10(Database!$H122/Screener!$D$10))/W_SIZEHW))</f>
        <v/>
      </c>
      <c r="E122">
        <f>IF(OR(Database!$AH122="",Screener!$D$11=""),0,IF(Database!$AH122=Screener!$D$11,1,0))</f>
        <v/>
      </c>
      <c r="F122">
        <f>IF(OR(Database!$AK122="",Screener!$D$12=""),0,IF(Database!$AK122=Screener!$D$12,1,0))</f>
        <v/>
      </c>
      <c r="G122">
        <f>IF(OR(Database!$G122="",N(Screener!$D$13)&lt;=0),0,MAX(0,1-(N(Screener!$D$13)-Database!$G122)/W_RECD))</f>
        <v/>
      </c>
      <c r="H122">
        <f>IF($K$1="",0,N(ISNUMBER(SEARCH($K$1,Database!$T122&amp;""))))+IF($L$1="",0,N(ISNUMBER(SEARCH($L$1,Database!$T122&amp;""))))+IF($M$1="",0,N(ISNUMBER(SEARCH($M$1,Database!$T122&amp;""))))+IF($N$1="",0,N(ISNUMBER(SEARCH($N$1,Database!$T122&amp;""))))+IF($O$1="",0,N(ISNUMBER(SEARCH($O$1,Database!$T122&amp;""))))+IF(Screener!$B$14="",0,N(ISNUMBER(SEARCH(Screener!$B$14,Database!$T122&amp;""))))</f>
        <v/>
      </c>
      <c r="I122">
        <f>IF(OR(Database!$B122=Screener!$B$5,IF(OR(Screener!$B$17="All",AND(Screener!$B$17="With A-share",(Database!$AL122&lt;&gt;"")),AND(Screener!$B$17="Without A-share",NOT((Database!$AL122&lt;&gt;"")))),1,0)=0),-999999,IF(Screener!$B$15="cornerstone overlap first",H122*100000,0)+W_SUB*B122+W_SEC*C122*(1-B122)+W_SIZE*D122+W_PROF*E122+W_AH*F122+W_REC*G122+W_CS*H122)+ROW()/1000000</f>
        <v/>
      </c>
      <c r="K122">
        <f>Database!B114</f>
        <v/>
      </c>
      <c r="L122">
        <f>Database!D114</f>
        <v/>
      </c>
      <c r="M122">
        <f>Database!E114</f>
        <v/>
      </c>
      <c r="N122">
        <f>Database!H114</f>
        <v/>
      </c>
      <c r="O122">
        <f>Database!AH114</f>
        <v/>
      </c>
      <c r="P122">
        <f>Database!AK114</f>
        <v/>
      </c>
      <c r="Q122">
        <f>Database!G114</f>
        <v/>
      </c>
    </row>
    <row r="123">
      <c r="A123">
        <f>Database!B123</f>
        <v/>
      </c>
      <c r="B123">
        <f>IF(AND(Screener!$D$9&lt;&gt;"",Database!$E123=Screener!$D$9),1,0)</f>
        <v/>
      </c>
      <c r="C123">
        <f>IF(AND(Screener!$D$8&lt;&gt;"",Database!$D123=Screener!$D$8),1,0)</f>
        <v/>
      </c>
      <c r="D123">
        <f>IF(OR(Database!$H123="",N(Screener!$D$10)&lt;=0),0,MAX(0,1-ABS(LOG10(Database!$H123/Screener!$D$10))/W_SIZEHW))</f>
        <v/>
      </c>
      <c r="E123">
        <f>IF(OR(Database!$AH123="",Screener!$D$11=""),0,IF(Database!$AH123=Screener!$D$11,1,0))</f>
        <v/>
      </c>
      <c r="F123">
        <f>IF(OR(Database!$AK123="",Screener!$D$12=""),0,IF(Database!$AK123=Screener!$D$12,1,0))</f>
        <v/>
      </c>
      <c r="G123">
        <f>IF(OR(Database!$G123="",N(Screener!$D$13)&lt;=0),0,MAX(0,1-(N(Screener!$D$13)-Database!$G123)/W_RECD))</f>
        <v/>
      </c>
      <c r="H123">
        <f>IF($K$1="",0,N(ISNUMBER(SEARCH($K$1,Database!$T123&amp;""))))+IF($L$1="",0,N(ISNUMBER(SEARCH($L$1,Database!$T123&amp;""))))+IF($M$1="",0,N(ISNUMBER(SEARCH($M$1,Database!$T123&amp;""))))+IF($N$1="",0,N(ISNUMBER(SEARCH($N$1,Database!$T123&amp;""))))+IF($O$1="",0,N(ISNUMBER(SEARCH($O$1,Database!$T123&amp;""))))+IF(Screener!$B$14="",0,N(ISNUMBER(SEARCH(Screener!$B$14,Database!$T123&amp;""))))</f>
        <v/>
      </c>
      <c r="I123">
        <f>IF(OR(Database!$B123=Screener!$B$5,IF(OR(Screener!$B$17="All",AND(Screener!$B$17="With A-share",(Database!$AL123&lt;&gt;"")),AND(Screener!$B$17="Without A-share",NOT((Database!$AL123&lt;&gt;"")))),1,0)=0),-999999,IF(Screener!$B$15="cornerstone overlap first",H123*100000,0)+W_SUB*B123+W_SEC*C123*(1-B123)+W_SIZE*D123+W_PROF*E123+W_AH*F123+W_REC*G123+W_CS*H123)+ROW()/1000000</f>
        <v/>
      </c>
      <c r="K123">
        <f>Database!B115</f>
        <v/>
      </c>
      <c r="L123">
        <f>Database!D115</f>
        <v/>
      </c>
      <c r="M123">
        <f>Database!E115</f>
        <v/>
      </c>
      <c r="N123">
        <f>Database!H115</f>
        <v/>
      </c>
      <c r="O123">
        <f>Database!AH115</f>
        <v/>
      </c>
      <c r="P123">
        <f>Database!AK115</f>
        <v/>
      </c>
      <c r="Q123">
        <f>Database!G115</f>
        <v/>
      </c>
    </row>
    <row r="124">
      <c r="A124">
        <f>Database!B124</f>
        <v/>
      </c>
      <c r="B124">
        <f>IF(AND(Screener!$D$9&lt;&gt;"",Database!$E124=Screener!$D$9),1,0)</f>
        <v/>
      </c>
      <c r="C124">
        <f>IF(AND(Screener!$D$8&lt;&gt;"",Database!$D124=Screener!$D$8),1,0)</f>
        <v/>
      </c>
      <c r="D124">
        <f>IF(OR(Database!$H124="",N(Screener!$D$10)&lt;=0),0,MAX(0,1-ABS(LOG10(Database!$H124/Screener!$D$10))/W_SIZEHW))</f>
        <v/>
      </c>
      <c r="E124">
        <f>IF(OR(Database!$AH124="",Screener!$D$11=""),0,IF(Database!$AH124=Screener!$D$11,1,0))</f>
        <v/>
      </c>
      <c r="F124">
        <f>IF(OR(Database!$AK124="",Screener!$D$12=""),0,IF(Database!$AK124=Screener!$D$12,1,0))</f>
        <v/>
      </c>
      <c r="G124">
        <f>IF(OR(Database!$G124="",N(Screener!$D$13)&lt;=0),0,MAX(0,1-(N(Screener!$D$13)-Database!$G124)/W_RECD))</f>
        <v/>
      </c>
      <c r="H124">
        <f>IF($K$1="",0,N(ISNUMBER(SEARCH($K$1,Database!$T124&amp;""))))+IF($L$1="",0,N(ISNUMBER(SEARCH($L$1,Database!$T124&amp;""))))+IF($M$1="",0,N(ISNUMBER(SEARCH($M$1,Database!$T124&amp;""))))+IF($N$1="",0,N(ISNUMBER(SEARCH($N$1,Database!$T124&amp;""))))+IF($O$1="",0,N(ISNUMBER(SEARCH($O$1,Database!$T124&amp;""))))+IF(Screener!$B$14="",0,N(ISNUMBER(SEARCH(Screener!$B$14,Database!$T124&amp;""))))</f>
        <v/>
      </c>
      <c r="I124">
        <f>IF(OR(Database!$B124=Screener!$B$5,IF(OR(Screener!$B$17="All",AND(Screener!$B$17="With A-share",(Database!$AL124&lt;&gt;"")),AND(Screener!$B$17="Without A-share",NOT((Database!$AL124&lt;&gt;"")))),1,0)=0),-999999,IF(Screener!$B$15="cornerstone overlap first",H124*100000,0)+W_SUB*B124+W_SEC*C124*(1-B124)+W_SIZE*D124+W_PROF*E124+W_AH*F124+W_REC*G124+W_CS*H124)+ROW()/1000000</f>
        <v/>
      </c>
      <c r="K124">
        <f>Database!B116</f>
        <v/>
      </c>
      <c r="L124">
        <f>Database!D116</f>
        <v/>
      </c>
      <c r="M124">
        <f>Database!E116</f>
        <v/>
      </c>
      <c r="N124">
        <f>Database!H116</f>
        <v/>
      </c>
      <c r="O124">
        <f>Database!AH116</f>
        <v/>
      </c>
      <c r="P124">
        <f>Database!AK116</f>
        <v/>
      </c>
      <c r="Q124">
        <f>Database!G116</f>
        <v/>
      </c>
    </row>
    <row r="125">
      <c r="A125">
        <f>Database!B125</f>
        <v/>
      </c>
      <c r="B125">
        <f>IF(AND(Screener!$D$9&lt;&gt;"",Database!$E125=Screener!$D$9),1,0)</f>
        <v/>
      </c>
      <c r="C125">
        <f>IF(AND(Screener!$D$8&lt;&gt;"",Database!$D125=Screener!$D$8),1,0)</f>
        <v/>
      </c>
      <c r="D125">
        <f>IF(OR(Database!$H125="",N(Screener!$D$10)&lt;=0),0,MAX(0,1-ABS(LOG10(Database!$H125/Screener!$D$10))/W_SIZEHW))</f>
        <v/>
      </c>
      <c r="E125">
        <f>IF(OR(Database!$AH125="",Screener!$D$11=""),0,IF(Database!$AH125=Screener!$D$11,1,0))</f>
        <v/>
      </c>
      <c r="F125">
        <f>IF(OR(Database!$AK125="",Screener!$D$12=""),0,IF(Database!$AK125=Screener!$D$12,1,0))</f>
        <v/>
      </c>
      <c r="G125">
        <f>IF(OR(Database!$G125="",N(Screener!$D$13)&lt;=0),0,MAX(0,1-(N(Screener!$D$13)-Database!$G125)/W_RECD))</f>
        <v/>
      </c>
      <c r="H125">
        <f>IF($K$1="",0,N(ISNUMBER(SEARCH($K$1,Database!$T125&amp;""))))+IF($L$1="",0,N(ISNUMBER(SEARCH($L$1,Database!$T125&amp;""))))+IF($M$1="",0,N(ISNUMBER(SEARCH($M$1,Database!$T125&amp;""))))+IF($N$1="",0,N(ISNUMBER(SEARCH($N$1,Database!$T125&amp;""))))+IF($O$1="",0,N(ISNUMBER(SEARCH($O$1,Database!$T125&amp;""))))+IF(Screener!$B$14="",0,N(ISNUMBER(SEARCH(Screener!$B$14,Database!$T125&amp;""))))</f>
        <v/>
      </c>
      <c r="I125">
        <f>IF(OR(Database!$B125=Screener!$B$5,IF(OR(Screener!$B$17="All",AND(Screener!$B$17="With A-share",(Database!$AL125&lt;&gt;"")),AND(Screener!$B$17="Without A-share",NOT((Database!$AL125&lt;&gt;"")))),1,0)=0),-999999,IF(Screener!$B$15="cornerstone overlap first",H125*100000,0)+W_SUB*B125+W_SEC*C125*(1-B125)+W_SIZE*D125+W_PROF*E125+W_AH*F125+W_REC*G125+W_CS*H125)+ROW()/1000000</f>
        <v/>
      </c>
      <c r="K125">
        <f>Database!B117</f>
        <v/>
      </c>
      <c r="L125">
        <f>Database!D117</f>
        <v/>
      </c>
      <c r="M125">
        <f>Database!E117</f>
        <v/>
      </c>
      <c r="N125">
        <f>Database!H117</f>
        <v/>
      </c>
      <c r="O125">
        <f>Database!AH117</f>
        <v/>
      </c>
      <c r="P125">
        <f>Database!AK117</f>
        <v/>
      </c>
      <c r="Q125">
        <f>Database!G117</f>
        <v/>
      </c>
    </row>
    <row r="126">
      <c r="A126">
        <f>Database!B126</f>
        <v/>
      </c>
      <c r="B126">
        <f>IF(AND(Screener!$D$9&lt;&gt;"",Database!$E126=Screener!$D$9),1,0)</f>
        <v/>
      </c>
      <c r="C126">
        <f>IF(AND(Screener!$D$8&lt;&gt;"",Database!$D126=Screener!$D$8),1,0)</f>
        <v/>
      </c>
      <c r="D126">
        <f>IF(OR(Database!$H126="",N(Screener!$D$10)&lt;=0),0,MAX(0,1-ABS(LOG10(Database!$H126/Screener!$D$10))/W_SIZEHW))</f>
        <v/>
      </c>
      <c r="E126">
        <f>IF(OR(Database!$AH126="",Screener!$D$11=""),0,IF(Database!$AH126=Screener!$D$11,1,0))</f>
        <v/>
      </c>
      <c r="F126">
        <f>IF(OR(Database!$AK126="",Screener!$D$12=""),0,IF(Database!$AK126=Screener!$D$12,1,0))</f>
        <v/>
      </c>
      <c r="G126">
        <f>IF(OR(Database!$G126="",N(Screener!$D$13)&lt;=0),0,MAX(0,1-(N(Screener!$D$13)-Database!$G126)/W_RECD))</f>
        <v/>
      </c>
      <c r="H126">
        <f>IF($K$1="",0,N(ISNUMBER(SEARCH($K$1,Database!$T126&amp;""))))+IF($L$1="",0,N(ISNUMBER(SEARCH($L$1,Database!$T126&amp;""))))+IF($M$1="",0,N(ISNUMBER(SEARCH($M$1,Database!$T126&amp;""))))+IF($N$1="",0,N(ISNUMBER(SEARCH($N$1,Database!$T126&amp;""))))+IF($O$1="",0,N(ISNUMBER(SEARCH($O$1,Database!$T126&amp;""))))+IF(Screener!$B$14="",0,N(ISNUMBER(SEARCH(Screener!$B$14,Database!$T126&amp;""))))</f>
        <v/>
      </c>
      <c r="I126">
        <f>IF(OR(Database!$B126=Screener!$B$5,IF(OR(Screener!$B$17="All",AND(Screener!$B$17="With A-share",(Database!$AL126&lt;&gt;"")),AND(Screener!$B$17="Without A-share",NOT((Database!$AL126&lt;&gt;"")))),1,0)=0),-999999,IF(Screener!$B$15="cornerstone overlap first",H126*100000,0)+W_SUB*B126+W_SEC*C126*(1-B126)+W_SIZE*D126+W_PROF*E126+W_AH*F126+W_REC*G126+W_CS*H126)+ROW()/1000000</f>
        <v/>
      </c>
      <c r="K126">
        <f>Database!B118</f>
        <v/>
      </c>
      <c r="L126">
        <f>Database!D118</f>
        <v/>
      </c>
      <c r="M126">
        <f>Database!E118</f>
        <v/>
      </c>
      <c r="N126">
        <f>Database!H118</f>
        <v/>
      </c>
      <c r="O126">
        <f>Database!AH118</f>
        <v/>
      </c>
      <c r="P126">
        <f>Database!AK118</f>
        <v/>
      </c>
      <c r="Q126">
        <f>Database!G118</f>
        <v/>
      </c>
    </row>
    <row r="127">
      <c r="A127">
        <f>Database!B127</f>
        <v/>
      </c>
      <c r="B127">
        <f>IF(AND(Screener!$D$9&lt;&gt;"",Database!$E127=Screener!$D$9),1,0)</f>
        <v/>
      </c>
      <c r="C127">
        <f>IF(AND(Screener!$D$8&lt;&gt;"",Database!$D127=Screener!$D$8),1,0)</f>
        <v/>
      </c>
      <c r="D127">
        <f>IF(OR(Database!$H127="",N(Screener!$D$10)&lt;=0),0,MAX(0,1-ABS(LOG10(Database!$H127/Screener!$D$10))/W_SIZEHW))</f>
        <v/>
      </c>
      <c r="E127">
        <f>IF(OR(Database!$AH127="",Screener!$D$11=""),0,IF(Database!$AH127=Screener!$D$11,1,0))</f>
        <v/>
      </c>
      <c r="F127">
        <f>IF(OR(Database!$AK127="",Screener!$D$12=""),0,IF(Database!$AK127=Screener!$D$12,1,0))</f>
        <v/>
      </c>
      <c r="G127">
        <f>IF(OR(Database!$G127="",N(Screener!$D$13)&lt;=0),0,MAX(0,1-(N(Screener!$D$13)-Database!$G127)/W_RECD))</f>
        <v/>
      </c>
      <c r="H127">
        <f>IF($K$1="",0,N(ISNUMBER(SEARCH($K$1,Database!$T127&amp;""))))+IF($L$1="",0,N(ISNUMBER(SEARCH($L$1,Database!$T127&amp;""))))+IF($M$1="",0,N(ISNUMBER(SEARCH($M$1,Database!$T127&amp;""))))+IF($N$1="",0,N(ISNUMBER(SEARCH($N$1,Database!$T127&amp;""))))+IF($O$1="",0,N(ISNUMBER(SEARCH($O$1,Database!$T127&amp;""))))+IF(Screener!$B$14="",0,N(ISNUMBER(SEARCH(Screener!$B$14,Database!$T127&amp;""))))</f>
        <v/>
      </c>
      <c r="I127">
        <f>IF(OR(Database!$B127=Screener!$B$5,IF(OR(Screener!$B$17="All",AND(Screener!$B$17="With A-share",(Database!$AL127&lt;&gt;"")),AND(Screener!$B$17="Without A-share",NOT((Database!$AL127&lt;&gt;"")))),1,0)=0),-999999,IF(Screener!$B$15="cornerstone overlap first",H127*100000,0)+W_SUB*B127+W_SEC*C127*(1-B127)+W_SIZE*D127+W_PROF*E127+W_AH*F127+W_REC*G127+W_CS*H127)+ROW()/1000000</f>
        <v/>
      </c>
      <c r="K127">
        <f>Database!B119</f>
        <v/>
      </c>
      <c r="L127">
        <f>Database!D119</f>
        <v/>
      </c>
      <c r="M127">
        <f>Database!E119</f>
        <v/>
      </c>
      <c r="N127">
        <f>Database!H119</f>
        <v/>
      </c>
      <c r="O127">
        <f>Database!AH119</f>
        <v/>
      </c>
      <c r="P127">
        <f>Database!AK119</f>
        <v/>
      </c>
      <c r="Q127">
        <f>Database!G119</f>
        <v/>
      </c>
    </row>
    <row r="128">
      <c r="A128">
        <f>Database!B128</f>
        <v/>
      </c>
      <c r="B128">
        <f>IF(AND(Screener!$D$9&lt;&gt;"",Database!$E128=Screener!$D$9),1,0)</f>
        <v/>
      </c>
      <c r="C128">
        <f>IF(AND(Screener!$D$8&lt;&gt;"",Database!$D128=Screener!$D$8),1,0)</f>
        <v/>
      </c>
      <c r="D128">
        <f>IF(OR(Database!$H128="",N(Screener!$D$10)&lt;=0),0,MAX(0,1-ABS(LOG10(Database!$H128/Screener!$D$10))/W_SIZEHW))</f>
        <v/>
      </c>
      <c r="E128">
        <f>IF(OR(Database!$AH128="",Screener!$D$11=""),0,IF(Database!$AH128=Screener!$D$11,1,0))</f>
        <v/>
      </c>
      <c r="F128">
        <f>IF(OR(Database!$AK128="",Screener!$D$12=""),0,IF(Database!$AK128=Screener!$D$12,1,0))</f>
        <v/>
      </c>
      <c r="G128">
        <f>IF(OR(Database!$G128="",N(Screener!$D$13)&lt;=0),0,MAX(0,1-(N(Screener!$D$13)-Database!$G128)/W_RECD))</f>
        <v/>
      </c>
      <c r="H128">
        <f>IF($K$1="",0,N(ISNUMBER(SEARCH($K$1,Database!$T128&amp;""))))+IF($L$1="",0,N(ISNUMBER(SEARCH($L$1,Database!$T128&amp;""))))+IF($M$1="",0,N(ISNUMBER(SEARCH($M$1,Database!$T128&amp;""))))+IF($N$1="",0,N(ISNUMBER(SEARCH($N$1,Database!$T128&amp;""))))+IF($O$1="",0,N(ISNUMBER(SEARCH($O$1,Database!$T128&amp;""))))+IF(Screener!$B$14="",0,N(ISNUMBER(SEARCH(Screener!$B$14,Database!$T128&amp;""))))</f>
        <v/>
      </c>
      <c r="I128">
        <f>IF(OR(Database!$B128=Screener!$B$5,IF(OR(Screener!$B$17="All",AND(Screener!$B$17="With A-share",(Database!$AL128&lt;&gt;"")),AND(Screener!$B$17="Without A-share",NOT((Database!$AL128&lt;&gt;"")))),1,0)=0),-999999,IF(Screener!$B$15="cornerstone overlap first",H128*100000,0)+W_SUB*B128+W_SEC*C128*(1-B128)+W_SIZE*D128+W_PROF*E128+W_AH*F128+W_REC*G128+W_CS*H128)+ROW()/1000000</f>
        <v/>
      </c>
      <c r="K128">
        <f>Database!B120</f>
        <v/>
      </c>
      <c r="L128">
        <f>Database!D120</f>
        <v/>
      </c>
      <c r="M128">
        <f>Database!E120</f>
        <v/>
      </c>
      <c r="N128">
        <f>Database!H120</f>
        <v/>
      </c>
      <c r="O128">
        <f>Database!AH120</f>
        <v/>
      </c>
      <c r="P128">
        <f>Database!AK120</f>
        <v/>
      </c>
      <c r="Q128">
        <f>Database!G120</f>
        <v/>
      </c>
    </row>
    <row r="129">
      <c r="A129">
        <f>Database!B129</f>
        <v/>
      </c>
      <c r="B129">
        <f>IF(AND(Screener!$D$9&lt;&gt;"",Database!$E129=Screener!$D$9),1,0)</f>
        <v/>
      </c>
      <c r="C129">
        <f>IF(AND(Screener!$D$8&lt;&gt;"",Database!$D129=Screener!$D$8),1,0)</f>
        <v/>
      </c>
      <c r="D129">
        <f>IF(OR(Database!$H129="",N(Screener!$D$10)&lt;=0),0,MAX(0,1-ABS(LOG10(Database!$H129/Screener!$D$10))/W_SIZEHW))</f>
        <v/>
      </c>
      <c r="E129">
        <f>IF(OR(Database!$AH129="",Screener!$D$11=""),0,IF(Database!$AH129=Screener!$D$11,1,0))</f>
        <v/>
      </c>
      <c r="F129">
        <f>IF(OR(Database!$AK129="",Screener!$D$12=""),0,IF(Database!$AK129=Screener!$D$12,1,0))</f>
        <v/>
      </c>
      <c r="G129">
        <f>IF(OR(Database!$G129="",N(Screener!$D$13)&lt;=0),0,MAX(0,1-(N(Screener!$D$13)-Database!$G129)/W_RECD))</f>
        <v/>
      </c>
      <c r="H129">
        <f>IF($K$1="",0,N(ISNUMBER(SEARCH($K$1,Database!$T129&amp;""))))+IF($L$1="",0,N(ISNUMBER(SEARCH($L$1,Database!$T129&amp;""))))+IF($M$1="",0,N(ISNUMBER(SEARCH($M$1,Database!$T129&amp;""))))+IF($N$1="",0,N(ISNUMBER(SEARCH($N$1,Database!$T129&amp;""))))+IF($O$1="",0,N(ISNUMBER(SEARCH($O$1,Database!$T129&amp;""))))+IF(Screener!$B$14="",0,N(ISNUMBER(SEARCH(Screener!$B$14,Database!$T129&amp;""))))</f>
        <v/>
      </c>
      <c r="I129">
        <f>IF(OR(Database!$B129=Screener!$B$5,IF(OR(Screener!$B$17="All",AND(Screener!$B$17="With A-share",(Database!$AL129&lt;&gt;"")),AND(Screener!$B$17="Without A-share",NOT((Database!$AL129&lt;&gt;"")))),1,0)=0),-999999,IF(Screener!$B$15="cornerstone overlap first",H129*100000,0)+W_SUB*B129+W_SEC*C129*(1-B129)+W_SIZE*D129+W_PROF*E129+W_AH*F129+W_REC*G129+W_CS*H129)+ROW()/1000000</f>
        <v/>
      </c>
      <c r="K129">
        <f>Database!B121</f>
        <v/>
      </c>
      <c r="L129">
        <f>Database!D121</f>
        <v/>
      </c>
      <c r="M129">
        <f>Database!E121</f>
        <v/>
      </c>
      <c r="N129">
        <f>Database!H121</f>
        <v/>
      </c>
      <c r="O129">
        <f>Database!AH121</f>
        <v/>
      </c>
      <c r="P129">
        <f>Database!AK121</f>
        <v/>
      </c>
      <c r="Q129">
        <f>Database!G121</f>
        <v/>
      </c>
    </row>
    <row r="130">
      <c r="A130">
        <f>Database!B130</f>
        <v/>
      </c>
      <c r="B130">
        <f>IF(AND(Screener!$D$9&lt;&gt;"",Database!$E130=Screener!$D$9),1,0)</f>
        <v/>
      </c>
      <c r="C130">
        <f>IF(AND(Screener!$D$8&lt;&gt;"",Database!$D130=Screener!$D$8),1,0)</f>
        <v/>
      </c>
      <c r="D130">
        <f>IF(OR(Database!$H130="",N(Screener!$D$10)&lt;=0),0,MAX(0,1-ABS(LOG10(Database!$H130/Screener!$D$10))/W_SIZEHW))</f>
        <v/>
      </c>
      <c r="E130">
        <f>IF(OR(Database!$AH130="",Screener!$D$11=""),0,IF(Database!$AH130=Screener!$D$11,1,0))</f>
        <v/>
      </c>
      <c r="F130">
        <f>IF(OR(Database!$AK130="",Screener!$D$12=""),0,IF(Database!$AK130=Screener!$D$12,1,0))</f>
        <v/>
      </c>
      <c r="G130">
        <f>IF(OR(Database!$G130="",N(Screener!$D$13)&lt;=0),0,MAX(0,1-(N(Screener!$D$13)-Database!$G130)/W_RECD))</f>
        <v/>
      </c>
      <c r="H130">
        <f>IF($K$1="",0,N(ISNUMBER(SEARCH($K$1,Database!$T130&amp;""))))+IF($L$1="",0,N(ISNUMBER(SEARCH($L$1,Database!$T130&amp;""))))+IF($M$1="",0,N(ISNUMBER(SEARCH($M$1,Database!$T130&amp;""))))+IF($N$1="",0,N(ISNUMBER(SEARCH($N$1,Database!$T130&amp;""))))+IF($O$1="",0,N(ISNUMBER(SEARCH($O$1,Database!$T130&amp;""))))+IF(Screener!$B$14="",0,N(ISNUMBER(SEARCH(Screener!$B$14,Database!$T130&amp;""))))</f>
        <v/>
      </c>
      <c r="I130">
        <f>IF(OR(Database!$B130=Screener!$B$5,IF(OR(Screener!$B$17="All",AND(Screener!$B$17="With A-share",(Database!$AL130&lt;&gt;"")),AND(Screener!$B$17="Without A-share",NOT((Database!$AL130&lt;&gt;"")))),1,0)=0),-999999,IF(Screener!$B$15="cornerstone overlap first",H130*100000,0)+W_SUB*B130+W_SEC*C130*(1-B130)+W_SIZE*D130+W_PROF*E130+W_AH*F130+W_REC*G130+W_CS*H130)+ROW()/1000000</f>
        <v/>
      </c>
      <c r="K130">
        <f>Database!B122</f>
        <v/>
      </c>
      <c r="L130">
        <f>Database!D122</f>
        <v/>
      </c>
      <c r="M130">
        <f>Database!E122</f>
        <v/>
      </c>
      <c r="N130">
        <f>Database!H122</f>
        <v/>
      </c>
      <c r="O130">
        <f>Database!AH122</f>
        <v/>
      </c>
      <c r="P130">
        <f>Database!AK122</f>
        <v/>
      </c>
      <c r="Q130">
        <f>Database!G122</f>
        <v/>
      </c>
    </row>
    <row r="131">
      <c r="A131">
        <f>Database!B131</f>
        <v/>
      </c>
      <c r="B131">
        <f>IF(AND(Screener!$D$9&lt;&gt;"",Database!$E131=Screener!$D$9),1,0)</f>
        <v/>
      </c>
      <c r="C131">
        <f>IF(AND(Screener!$D$8&lt;&gt;"",Database!$D131=Screener!$D$8),1,0)</f>
        <v/>
      </c>
      <c r="D131">
        <f>IF(OR(Database!$H131="",N(Screener!$D$10)&lt;=0),0,MAX(0,1-ABS(LOG10(Database!$H131/Screener!$D$10))/W_SIZEHW))</f>
        <v/>
      </c>
      <c r="E131">
        <f>IF(OR(Database!$AH131="",Screener!$D$11=""),0,IF(Database!$AH131=Screener!$D$11,1,0))</f>
        <v/>
      </c>
      <c r="F131">
        <f>IF(OR(Database!$AK131="",Screener!$D$12=""),0,IF(Database!$AK131=Screener!$D$12,1,0))</f>
        <v/>
      </c>
      <c r="G131">
        <f>IF(OR(Database!$G131="",N(Screener!$D$13)&lt;=0),0,MAX(0,1-(N(Screener!$D$13)-Database!$G131)/W_RECD))</f>
        <v/>
      </c>
      <c r="H131">
        <f>IF($K$1="",0,N(ISNUMBER(SEARCH($K$1,Database!$T131&amp;""))))+IF($L$1="",0,N(ISNUMBER(SEARCH($L$1,Database!$T131&amp;""))))+IF($M$1="",0,N(ISNUMBER(SEARCH($M$1,Database!$T131&amp;""))))+IF($N$1="",0,N(ISNUMBER(SEARCH($N$1,Database!$T131&amp;""))))+IF($O$1="",0,N(ISNUMBER(SEARCH($O$1,Database!$T131&amp;""))))+IF(Screener!$B$14="",0,N(ISNUMBER(SEARCH(Screener!$B$14,Database!$T131&amp;""))))</f>
        <v/>
      </c>
      <c r="I131">
        <f>IF(OR(Database!$B131=Screener!$B$5,IF(OR(Screener!$B$17="All",AND(Screener!$B$17="With A-share",(Database!$AL131&lt;&gt;"")),AND(Screener!$B$17="Without A-share",NOT((Database!$AL131&lt;&gt;"")))),1,0)=0),-999999,IF(Screener!$B$15="cornerstone overlap first",H131*100000,0)+W_SUB*B131+W_SEC*C131*(1-B131)+W_SIZE*D131+W_PROF*E131+W_AH*F131+W_REC*G131+W_CS*H131)+ROW()/1000000</f>
        <v/>
      </c>
      <c r="K131">
        <f>Database!B123</f>
        <v/>
      </c>
      <c r="L131">
        <f>Database!D123</f>
        <v/>
      </c>
      <c r="M131">
        <f>Database!E123</f>
        <v/>
      </c>
      <c r="N131">
        <f>Database!H123</f>
        <v/>
      </c>
      <c r="O131">
        <f>Database!AH123</f>
        <v/>
      </c>
      <c r="P131">
        <f>Database!AK123</f>
        <v/>
      </c>
      <c r="Q131">
        <f>Database!G123</f>
        <v/>
      </c>
    </row>
    <row r="132">
      <c r="A132">
        <f>Database!B132</f>
        <v/>
      </c>
      <c r="B132">
        <f>IF(AND(Screener!$D$9&lt;&gt;"",Database!$E132=Screener!$D$9),1,0)</f>
        <v/>
      </c>
      <c r="C132">
        <f>IF(AND(Screener!$D$8&lt;&gt;"",Database!$D132=Screener!$D$8),1,0)</f>
        <v/>
      </c>
      <c r="D132">
        <f>IF(OR(Database!$H132="",N(Screener!$D$10)&lt;=0),0,MAX(0,1-ABS(LOG10(Database!$H132/Screener!$D$10))/W_SIZEHW))</f>
        <v/>
      </c>
      <c r="E132">
        <f>IF(OR(Database!$AH132="",Screener!$D$11=""),0,IF(Database!$AH132=Screener!$D$11,1,0))</f>
        <v/>
      </c>
      <c r="F132">
        <f>IF(OR(Database!$AK132="",Screener!$D$12=""),0,IF(Database!$AK132=Screener!$D$12,1,0))</f>
        <v/>
      </c>
      <c r="G132">
        <f>IF(OR(Database!$G132="",N(Screener!$D$13)&lt;=0),0,MAX(0,1-(N(Screener!$D$13)-Database!$G132)/W_RECD))</f>
        <v/>
      </c>
      <c r="H132">
        <f>IF($K$1="",0,N(ISNUMBER(SEARCH($K$1,Database!$T132&amp;""))))+IF($L$1="",0,N(ISNUMBER(SEARCH($L$1,Database!$T132&amp;""))))+IF($M$1="",0,N(ISNUMBER(SEARCH($M$1,Database!$T132&amp;""))))+IF($N$1="",0,N(ISNUMBER(SEARCH($N$1,Database!$T132&amp;""))))+IF($O$1="",0,N(ISNUMBER(SEARCH($O$1,Database!$T132&amp;""))))+IF(Screener!$B$14="",0,N(ISNUMBER(SEARCH(Screener!$B$14,Database!$T132&amp;""))))</f>
        <v/>
      </c>
      <c r="I132">
        <f>IF(OR(Database!$B132=Screener!$B$5,IF(OR(Screener!$B$17="All",AND(Screener!$B$17="With A-share",(Database!$AL132&lt;&gt;"")),AND(Screener!$B$17="Without A-share",NOT((Database!$AL132&lt;&gt;"")))),1,0)=0),-999999,IF(Screener!$B$15="cornerstone overlap first",H132*100000,0)+W_SUB*B132+W_SEC*C132*(1-B132)+W_SIZE*D132+W_PROF*E132+W_AH*F132+W_REC*G132+W_CS*H132)+ROW()/1000000</f>
        <v/>
      </c>
      <c r="K132">
        <f>Database!B124</f>
        <v/>
      </c>
      <c r="L132">
        <f>Database!D124</f>
        <v/>
      </c>
      <c r="M132">
        <f>Database!E124</f>
        <v/>
      </c>
      <c r="N132">
        <f>Database!H124</f>
        <v/>
      </c>
      <c r="O132">
        <f>Database!AH124</f>
        <v/>
      </c>
      <c r="P132">
        <f>Database!AK124</f>
        <v/>
      </c>
      <c r="Q132">
        <f>Database!G124</f>
        <v/>
      </c>
    </row>
    <row r="133">
      <c r="A133">
        <f>Database!B133</f>
        <v/>
      </c>
      <c r="B133">
        <f>IF(AND(Screener!$D$9&lt;&gt;"",Database!$E133=Screener!$D$9),1,0)</f>
        <v/>
      </c>
      <c r="C133">
        <f>IF(AND(Screener!$D$8&lt;&gt;"",Database!$D133=Screener!$D$8),1,0)</f>
        <v/>
      </c>
      <c r="D133">
        <f>IF(OR(Database!$H133="",N(Screener!$D$10)&lt;=0),0,MAX(0,1-ABS(LOG10(Database!$H133/Screener!$D$10))/W_SIZEHW))</f>
        <v/>
      </c>
      <c r="E133">
        <f>IF(OR(Database!$AH133="",Screener!$D$11=""),0,IF(Database!$AH133=Screener!$D$11,1,0))</f>
        <v/>
      </c>
      <c r="F133">
        <f>IF(OR(Database!$AK133="",Screener!$D$12=""),0,IF(Database!$AK133=Screener!$D$12,1,0))</f>
        <v/>
      </c>
      <c r="G133">
        <f>IF(OR(Database!$G133="",N(Screener!$D$13)&lt;=0),0,MAX(0,1-(N(Screener!$D$13)-Database!$G133)/W_RECD))</f>
        <v/>
      </c>
      <c r="H133">
        <f>IF($K$1="",0,N(ISNUMBER(SEARCH($K$1,Database!$T133&amp;""))))+IF($L$1="",0,N(ISNUMBER(SEARCH($L$1,Database!$T133&amp;""))))+IF($M$1="",0,N(ISNUMBER(SEARCH($M$1,Database!$T133&amp;""))))+IF($N$1="",0,N(ISNUMBER(SEARCH($N$1,Database!$T133&amp;""))))+IF($O$1="",0,N(ISNUMBER(SEARCH($O$1,Database!$T133&amp;""))))+IF(Screener!$B$14="",0,N(ISNUMBER(SEARCH(Screener!$B$14,Database!$T133&amp;""))))</f>
        <v/>
      </c>
      <c r="I133">
        <f>IF(OR(Database!$B133=Screener!$B$5,IF(OR(Screener!$B$17="All",AND(Screener!$B$17="With A-share",(Database!$AL133&lt;&gt;"")),AND(Screener!$B$17="Without A-share",NOT((Database!$AL133&lt;&gt;"")))),1,0)=0),-999999,IF(Screener!$B$15="cornerstone overlap first",H133*100000,0)+W_SUB*B133+W_SEC*C133*(1-B133)+W_SIZE*D133+W_PROF*E133+W_AH*F133+W_REC*G133+W_CS*H133)+ROW()/1000000</f>
        <v/>
      </c>
      <c r="K133">
        <f>Database!B125</f>
        <v/>
      </c>
      <c r="L133">
        <f>Database!D125</f>
        <v/>
      </c>
      <c r="M133">
        <f>Database!E125</f>
        <v/>
      </c>
      <c r="N133">
        <f>Database!H125</f>
        <v/>
      </c>
      <c r="O133">
        <f>Database!AH125</f>
        <v/>
      </c>
      <c r="P133">
        <f>Database!AK125</f>
        <v/>
      </c>
      <c r="Q133">
        <f>Database!G125</f>
        <v/>
      </c>
    </row>
    <row r="134">
      <c r="A134">
        <f>Database!B134</f>
        <v/>
      </c>
      <c r="B134">
        <f>IF(AND(Screener!$D$9&lt;&gt;"",Database!$E134=Screener!$D$9),1,0)</f>
        <v/>
      </c>
      <c r="C134">
        <f>IF(AND(Screener!$D$8&lt;&gt;"",Database!$D134=Screener!$D$8),1,0)</f>
        <v/>
      </c>
      <c r="D134">
        <f>IF(OR(Database!$H134="",N(Screener!$D$10)&lt;=0),0,MAX(0,1-ABS(LOG10(Database!$H134/Screener!$D$10))/W_SIZEHW))</f>
        <v/>
      </c>
      <c r="E134">
        <f>IF(OR(Database!$AH134="",Screener!$D$11=""),0,IF(Database!$AH134=Screener!$D$11,1,0))</f>
        <v/>
      </c>
      <c r="F134">
        <f>IF(OR(Database!$AK134="",Screener!$D$12=""),0,IF(Database!$AK134=Screener!$D$12,1,0))</f>
        <v/>
      </c>
      <c r="G134">
        <f>IF(OR(Database!$G134="",N(Screener!$D$13)&lt;=0),0,MAX(0,1-(N(Screener!$D$13)-Database!$G134)/W_RECD))</f>
        <v/>
      </c>
      <c r="H134">
        <f>IF($K$1="",0,N(ISNUMBER(SEARCH($K$1,Database!$T134&amp;""))))+IF($L$1="",0,N(ISNUMBER(SEARCH($L$1,Database!$T134&amp;""))))+IF($M$1="",0,N(ISNUMBER(SEARCH($M$1,Database!$T134&amp;""))))+IF($N$1="",0,N(ISNUMBER(SEARCH($N$1,Database!$T134&amp;""))))+IF($O$1="",0,N(ISNUMBER(SEARCH($O$1,Database!$T134&amp;""))))+IF(Screener!$B$14="",0,N(ISNUMBER(SEARCH(Screener!$B$14,Database!$T134&amp;""))))</f>
        <v/>
      </c>
      <c r="I134">
        <f>IF(OR(Database!$B134=Screener!$B$5,IF(OR(Screener!$B$17="All",AND(Screener!$B$17="With A-share",(Database!$AL134&lt;&gt;"")),AND(Screener!$B$17="Without A-share",NOT((Database!$AL134&lt;&gt;"")))),1,0)=0),-999999,IF(Screener!$B$15="cornerstone overlap first",H134*100000,0)+W_SUB*B134+W_SEC*C134*(1-B134)+W_SIZE*D134+W_PROF*E134+W_AH*F134+W_REC*G134+W_CS*H134)+ROW()/1000000</f>
        <v/>
      </c>
      <c r="K134">
        <f>Database!B126</f>
        <v/>
      </c>
      <c r="L134">
        <f>Database!D126</f>
        <v/>
      </c>
      <c r="M134">
        <f>Database!E126</f>
        <v/>
      </c>
      <c r="N134">
        <f>Database!H126</f>
        <v/>
      </c>
      <c r="O134">
        <f>Database!AH126</f>
        <v/>
      </c>
      <c r="P134">
        <f>Database!AK126</f>
        <v/>
      </c>
      <c r="Q134">
        <f>Database!G126</f>
        <v/>
      </c>
    </row>
    <row r="135">
      <c r="A135">
        <f>Database!B135</f>
        <v/>
      </c>
      <c r="B135">
        <f>IF(AND(Screener!$D$9&lt;&gt;"",Database!$E135=Screener!$D$9),1,0)</f>
        <v/>
      </c>
      <c r="C135">
        <f>IF(AND(Screener!$D$8&lt;&gt;"",Database!$D135=Screener!$D$8),1,0)</f>
        <v/>
      </c>
      <c r="D135">
        <f>IF(OR(Database!$H135="",N(Screener!$D$10)&lt;=0),0,MAX(0,1-ABS(LOG10(Database!$H135/Screener!$D$10))/W_SIZEHW))</f>
        <v/>
      </c>
      <c r="E135">
        <f>IF(OR(Database!$AH135="",Screener!$D$11=""),0,IF(Database!$AH135=Screener!$D$11,1,0))</f>
        <v/>
      </c>
      <c r="F135">
        <f>IF(OR(Database!$AK135="",Screener!$D$12=""),0,IF(Database!$AK135=Screener!$D$12,1,0))</f>
        <v/>
      </c>
      <c r="G135">
        <f>IF(OR(Database!$G135="",N(Screener!$D$13)&lt;=0),0,MAX(0,1-(N(Screener!$D$13)-Database!$G135)/W_RECD))</f>
        <v/>
      </c>
      <c r="H135">
        <f>IF($K$1="",0,N(ISNUMBER(SEARCH($K$1,Database!$T135&amp;""))))+IF($L$1="",0,N(ISNUMBER(SEARCH($L$1,Database!$T135&amp;""))))+IF($M$1="",0,N(ISNUMBER(SEARCH($M$1,Database!$T135&amp;""))))+IF($N$1="",0,N(ISNUMBER(SEARCH($N$1,Database!$T135&amp;""))))+IF($O$1="",0,N(ISNUMBER(SEARCH($O$1,Database!$T135&amp;""))))+IF(Screener!$B$14="",0,N(ISNUMBER(SEARCH(Screener!$B$14,Database!$T135&amp;""))))</f>
        <v/>
      </c>
      <c r="I135">
        <f>IF(OR(Database!$B135=Screener!$B$5,IF(OR(Screener!$B$17="All",AND(Screener!$B$17="With A-share",(Database!$AL135&lt;&gt;"")),AND(Screener!$B$17="Without A-share",NOT((Database!$AL135&lt;&gt;"")))),1,0)=0),-999999,IF(Screener!$B$15="cornerstone overlap first",H135*100000,0)+W_SUB*B135+W_SEC*C135*(1-B135)+W_SIZE*D135+W_PROF*E135+W_AH*F135+W_REC*G135+W_CS*H135)+ROW()/1000000</f>
        <v/>
      </c>
      <c r="K135">
        <f>Database!B127</f>
        <v/>
      </c>
      <c r="L135">
        <f>Database!D127</f>
        <v/>
      </c>
      <c r="M135">
        <f>Database!E127</f>
        <v/>
      </c>
      <c r="N135">
        <f>Database!H127</f>
        <v/>
      </c>
      <c r="O135">
        <f>Database!AH127</f>
        <v/>
      </c>
      <c r="P135">
        <f>Database!AK127</f>
        <v/>
      </c>
      <c r="Q135">
        <f>Database!G127</f>
        <v/>
      </c>
    </row>
    <row r="136">
      <c r="A136">
        <f>Database!B136</f>
        <v/>
      </c>
      <c r="B136">
        <f>IF(AND(Screener!$D$9&lt;&gt;"",Database!$E136=Screener!$D$9),1,0)</f>
        <v/>
      </c>
      <c r="C136">
        <f>IF(AND(Screener!$D$8&lt;&gt;"",Database!$D136=Screener!$D$8),1,0)</f>
        <v/>
      </c>
      <c r="D136">
        <f>IF(OR(Database!$H136="",N(Screener!$D$10)&lt;=0),0,MAX(0,1-ABS(LOG10(Database!$H136/Screener!$D$10))/W_SIZEHW))</f>
        <v/>
      </c>
      <c r="E136">
        <f>IF(OR(Database!$AH136="",Screener!$D$11=""),0,IF(Database!$AH136=Screener!$D$11,1,0))</f>
        <v/>
      </c>
      <c r="F136">
        <f>IF(OR(Database!$AK136="",Screener!$D$12=""),0,IF(Database!$AK136=Screener!$D$12,1,0))</f>
        <v/>
      </c>
      <c r="G136">
        <f>IF(OR(Database!$G136="",N(Screener!$D$13)&lt;=0),0,MAX(0,1-(N(Screener!$D$13)-Database!$G136)/W_RECD))</f>
        <v/>
      </c>
      <c r="H136">
        <f>IF($K$1="",0,N(ISNUMBER(SEARCH($K$1,Database!$T136&amp;""))))+IF($L$1="",0,N(ISNUMBER(SEARCH($L$1,Database!$T136&amp;""))))+IF($M$1="",0,N(ISNUMBER(SEARCH($M$1,Database!$T136&amp;""))))+IF($N$1="",0,N(ISNUMBER(SEARCH($N$1,Database!$T136&amp;""))))+IF($O$1="",0,N(ISNUMBER(SEARCH($O$1,Database!$T136&amp;""))))+IF(Screener!$B$14="",0,N(ISNUMBER(SEARCH(Screener!$B$14,Database!$T136&amp;""))))</f>
        <v/>
      </c>
      <c r="I136">
        <f>IF(OR(Database!$B136=Screener!$B$5,IF(OR(Screener!$B$17="All",AND(Screener!$B$17="With A-share",(Database!$AL136&lt;&gt;"")),AND(Screener!$B$17="Without A-share",NOT((Database!$AL136&lt;&gt;"")))),1,0)=0),-999999,IF(Screener!$B$15="cornerstone overlap first",H136*100000,0)+W_SUB*B136+W_SEC*C136*(1-B136)+W_SIZE*D136+W_PROF*E136+W_AH*F136+W_REC*G136+W_CS*H136)+ROW()/1000000</f>
        <v/>
      </c>
      <c r="K136">
        <f>Database!B128</f>
        <v/>
      </c>
      <c r="L136">
        <f>Database!D128</f>
        <v/>
      </c>
      <c r="M136">
        <f>Database!E128</f>
        <v/>
      </c>
      <c r="N136">
        <f>Database!H128</f>
        <v/>
      </c>
      <c r="O136">
        <f>Database!AH128</f>
        <v/>
      </c>
      <c r="P136">
        <f>Database!AK128</f>
        <v/>
      </c>
      <c r="Q136">
        <f>Database!G128</f>
        <v/>
      </c>
    </row>
    <row r="137">
      <c r="A137">
        <f>Database!B137</f>
        <v/>
      </c>
      <c r="B137">
        <f>IF(AND(Screener!$D$9&lt;&gt;"",Database!$E137=Screener!$D$9),1,0)</f>
        <v/>
      </c>
      <c r="C137">
        <f>IF(AND(Screener!$D$8&lt;&gt;"",Database!$D137=Screener!$D$8),1,0)</f>
        <v/>
      </c>
      <c r="D137">
        <f>IF(OR(Database!$H137="",N(Screener!$D$10)&lt;=0),0,MAX(0,1-ABS(LOG10(Database!$H137/Screener!$D$10))/W_SIZEHW))</f>
        <v/>
      </c>
      <c r="E137">
        <f>IF(OR(Database!$AH137="",Screener!$D$11=""),0,IF(Database!$AH137=Screener!$D$11,1,0))</f>
        <v/>
      </c>
      <c r="F137">
        <f>IF(OR(Database!$AK137="",Screener!$D$12=""),0,IF(Database!$AK137=Screener!$D$12,1,0))</f>
        <v/>
      </c>
      <c r="G137">
        <f>IF(OR(Database!$G137="",N(Screener!$D$13)&lt;=0),0,MAX(0,1-(N(Screener!$D$13)-Database!$G137)/W_RECD))</f>
        <v/>
      </c>
      <c r="H137">
        <f>IF($K$1="",0,N(ISNUMBER(SEARCH($K$1,Database!$T137&amp;""))))+IF($L$1="",0,N(ISNUMBER(SEARCH($L$1,Database!$T137&amp;""))))+IF($M$1="",0,N(ISNUMBER(SEARCH($M$1,Database!$T137&amp;""))))+IF($N$1="",0,N(ISNUMBER(SEARCH($N$1,Database!$T137&amp;""))))+IF($O$1="",0,N(ISNUMBER(SEARCH($O$1,Database!$T137&amp;""))))+IF(Screener!$B$14="",0,N(ISNUMBER(SEARCH(Screener!$B$14,Database!$T137&amp;""))))</f>
        <v/>
      </c>
      <c r="I137">
        <f>IF(OR(Database!$B137=Screener!$B$5,IF(OR(Screener!$B$17="All",AND(Screener!$B$17="With A-share",(Database!$AL137&lt;&gt;"")),AND(Screener!$B$17="Without A-share",NOT((Database!$AL137&lt;&gt;"")))),1,0)=0),-999999,IF(Screener!$B$15="cornerstone overlap first",H137*100000,0)+W_SUB*B137+W_SEC*C137*(1-B137)+W_SIZE*D137+W_PROF*E137+W_AH*F137+W_REC*G137+W_CS*H137)+ROW()/1000000</f>
        <v/>
      </c>
      <c r="K137">
        <f>Database!B129</f>
        <v/>
      </c>
      <c r="L137">
        <f>Database!D129</f>
        <v/>
      </c>
      <c r="M137">
        <f>Database!E129</f>
        <v/>
      </c>
      <c r="N137">
        <f>Database!H129</f>
        <v/>
      </c>
      <c r="O137">
        <f>Database!AH129</f>
        <v/>
      </c>
      <c r="P137">
        <f>Database!AK129</f>
        <v/>
      </c>
      <c r="Q137">
        <f>Database!G129</f>
        <v/>
      </c>
    </row>
    <row r="138">
      <c r="A138">
        <f>Database!B138</f>
        <v/>
      </c>
      <c r="B138">
        <f>IF(AND(Screener!$D$9&lt;&gt;"",Database!$E138=Screener!$D$9),1,0)</f>
        <v/>
      </c>
      <c r="C138">
        <f>IF(AND(Screener!$D$8&lt;&gt;"",Database!$D138=Screener!$D$8),1,0)</f>
        <v/>
      </c>
      <c r="D138">
        <f>IF(OR(Database!$H138="",N(Screener!$D$10)&lt;=0),0,MAX(0,1-ABS(LOG10(Database!$H138/Screener!$D$10))/W_SIZEHW))</f>
        <v/>
      </c>
      <c r="E138">
        <f>IF(OR(Database!$AH138="",Screener!$D$11=""),0,IF(Database!$AH138=Screener!$D$11,1,0))</f>
        <v/>
      </c>
      <c r="F138">
        <f>IF(OR(Database!$AK138="",Screener!$D$12=""),0,IF(Database!$AK138=Screener!$D$12,1,0))</f>
        <v/>
      </c>
      <c r="G138">
        <f>IF(OR(Database!$G138="",N(Screener!$D$13)&lt;=0),0,MAX(0,1-(N(Screener!$D$13)-Database!$G138)/W_RECD))</f>
        <v/>
      </c>
      <c r="H138">
        <f>IF($K$1="",0,N(ISNUMBER(SEARCH($K$1,Database!$T138&amp;""))))+IF($L$1="",0,N(ISNUMBER(SEARCH($L$1,Database!$T138&amp;""))))+IF($M$1="",0,N(ISNUMBER(SEARCH($M$1,Database!$T138&amp;""))))+IF($N$1="",0,N(ISNUMBER(SEARCH($N$1,Database!$T138&amp;""))))+IF($O$1="",0,N(ISNUMBER(SEARCH($O$1,Database!$T138&amp;""))))+IF(Screener!$B$14="",0,N(ISNUMBER(SEARCH(Screener!$B$14,Database!$T138&amp;""))))</f>
        <v/>
      </c>
      <c r="I138">
        <f>IF(OR(Database!$B138=Screener!$B$5,IF(OR(Screener!$B$17="All",AND(Screener!$B$17="With A-share",(Database!$AL138&lt;&gt;"")),AND(Screener!$B$17="Without A-share",NOT((Database!$AL138&lt;&gt;"")))),1,0)=0),-999999,IF(Screener!$B$15="cornerstone overlap first",H138*100000,0)+W_SUB*B138+W_SEC*C138*(1-B138)+W_SIZE*D138+W_PROF*E138+W_AH*F138+W_REC*G138+W_CS*H138)+ROW()/1000000</f>
        <v/>
      </c>
      <c r="K138">
        <f>Database!B130</f>
        <v/>
      </c>
      <c r="L138">
        <f>Database!D130</f>
        <v/>
      </c>
      <c r="M138">
        <f>Database!E130</f>
        <v/>
      </c>
      <c r="N138">
        <f>Database!H130</f>
        <v/>
      </c>
      <c r="O138">
        <f>Database!AH130</f>
        <v/>
      </c>
      <c r="P138">
        <f>Database!AK130</f>
        <v/>
      </c>
      <c r="Q138">
        <f>Database!G130</f>
        <v/>
      </c>
    </row>
    <row r="139">
      <c r="A139">
        <f>Database!B139</f>
        <v/>
      </c>
      <c r="B139">
        <f>IF(AND(Screener!$D$9&lt;&gt;"",Database!$E139=Screener!$D$9),1,0)</f>
        <v/>
      </c>
      <c r="C139">
        <f>IF(AND(Screener!$D$8&lt;&gt;"",Database!$D139=Screener!$D$8),1,0)</f>
        <v/>
      </c>
      <c r="D139">
        <f>IF(OR(Database!$H139="",N(Screener!$D$10)&lt;=0),0,MAX(0,1-ABS(LOG10(Database!$H139/Screener!$D$10))/W_SIZEHW))</f>
        <v/>
      </c>
      <c r="E139">
        <f>IF(OR(Database!$AH139="",Screener!$D$11=""),0,IF(Database!$AH139=Screener!$D$11,1,0))</f>
        <v/>
      </c>
      <c r="F139">
        <f>IF(OR(Database!$AK139="",Screener!$D$12=""),0,IF(Database!$AK139=Screener!$D$12,1,0))</f>
        <v/>
      </c>
      <c r="G139">
        <f>IF(OR(Database!$G139="",N(Screener!$D$13)&lt;=0),0,MAX(0,1-(N(Screener!$D$13)-Database!$G139)/W_RECD))</f>
        <v/>
      </c>
      <c r="H139">
        <f>IF($K$1="",0,N(ISNUMBER(SEARCH($K$1,Database!$T139&amp;""))))+IF($L$1="",0,N(ISNUMBER(SEARCH($L$1,Database!$T139&amp;""))))+IF($M$1="",0,N(ISNUMBER(SEARCH($M$1,Database!$T139&amp;""))))+IF($N$1="",0,N(ISNUMBER(SEARCH($N$1,Database!$T139&amp;""))))+IF($O$1="",0,N(ISNUMBER(SEARCH($O$1,Database!$T139&amp;""))))+IF(Screener!$B$14="",0,N(ISNUMBER(SEARCH(Screener!$B$14,Database!$T139&amp;""))))</f>
        <v/>
      </c>
      <c r="I139">
        <f>IF(OR(Database!$B139=Screener!$B$5,IF(OR(Screener!$B$17="All",AND(Screener!$B$17="With A-share",(Database!$AL139&lt;&gt;"")),AND(Screener!$B$17="Without A-share",NOT((Database!$AL139&lt;&gt;"")))),1,0)=0),-999999,IF(Screener!$B$15="cornerstone overlap first",H139*100000,0)+W_SUB*B139+W_SEC*C139*(1-B139)+W_SIZE*D139+W_PROF*E139+W_AH*F139+W_REC*G139+W_CS*H139)+ROW()/1000000</f>
        <v/>
      </c>
      <c r="K139">
        <f>Database!B131</f>
        <v/>
      </c>
      <c r="L139">
        <f>Database!D131</f>
        <v/>
      </c>
      <c r="M139">
        <f>Database!E131</f>
        <v/>
      </c>
      <c r="N139">
        <f>Database!H131</f>
        <v/>
      </c>
      <c r="O139">
        <f>Database!AH131</f>
        <v/>
      </c>
      <c r="P139">
        <f>Database!AK131</f>
        <v/>
      </c>
      <c r="Q139">
        <f>Database!G131</f>
        <v/>
      </c>
    </row>
    <row r="140">
      <c r="A140">
        <f>Database!B140</f>
        <v/>
      </c>
      <c r="B140">
        <f>IF(AND(Screener!$D$9&lt;&gt;"",Database!$E140=Screener!$D$9),1,0)</f>
        <v/>
      </c>
      <c r="C140">
        <f>IF(AND(Screener!$D$8&lt;&gt;"",Database!$D140=Screener!$D$8),1,0)</f>
        <v/>
      </c>
      <c r="D140">
        <f>IF(OR(Database!$H140="",N(Screener!$D$10)&lt;=0),0,MAX(0,1-ABS(LOG10(Database!$H140/Screener!$D$10))/W_SIZEHW))</f>
        <v/>
      </c>
      <c r="E140">
        <f>IF(OR(Database!$AH140="",Screener!$D$11=""),0,IF(Database!$AH140=Screener!$D$11,1,0))</f>
        <v/>
      </c>
      <c r="F140">
        <f>IF(OR(Database!$AK140="",Screener!$D$12=""),0,IF(Database!$AK140=Screener!$D$12,1,0))</f>
        <v/>
      </c>
      <c r="G140">
        <f>IF(OR(Database!$G140="",N(Screener!$D$13)&lt;=0),0,MAX(0,1-(N(Screener!$D$13)-Database!$G140)/W_RECD))</f>
        <v/>
      </c>
      <c r="H140">
        <f>IF($K$1="",0,N(ISNUMBER(SEARCH($K$1,Database!$T140&amp;""))))+IF($L$1="",0,N(ISNUMBER(SEARCH($L$1,Database!$T140&amp;""))))+IF($M$1="",0,N(ISNUMBER(SEARCH($M$1,Database!$T140&amp;""))))+IF($N$1="",0,N(ISNUMBER(SEARCH($N$1,Database!$T140&amp;""))))+IF($O$1="",0,N(ISNUMBER(SEARCH($O$1,Database!$T140&amp;""))))+IF(Screener!$B$14="",0,N(ISNUMBER(SEARCH(Screener!$B$14,Database!$T140&amp;""))))</f>
        <v/>
      </c>
      <c r="I140">
        <f>IF(OR(Database!$B140=Screener!$B$5,IF(OR(Screener!$B$17="All",AND(Screener!$B$17="With A-share",(Database!$AL140&lt;&gt;"")),AND(Screener!$B$17="Without A-share",NOT((Database!$AL140&lt;&gt;"")))),1,0)=0),-999999,IF(Screener!$B$15="cornerstone overlap first",H140*100000,0)+W_SUB*B140+W_SEC*C140*(1-B140)+W_SIZE*D140+W_PROF*E140+W_AH*F140+W_REC*G140+W_CS*H140)+ROW()/1000000</f>
        <v/>
      </c>
      <c r="K140">
        <f>Database!B132</f>
        <v/>
      </c>
      <c r="L140">
        <f>Database!D132</f>
        <v/>
      </c>
      <c r="M140">
        <f>Database!E132</f>
        <v/>
      </c>
      <c r="N140">
        <f>Database!H132</f>
        <v/>
      </c>
      <c r="O140">
        <f>Database!AH132</f>
        <v/>
      </c>
      <c r="P140">
        <f>Database!AK132</f>
        <v/>
      </c>
      <c r="Q140">
        <f>Database!G132</f>
        <v/>
      </c>
    </row>
    <row r="141">
      <c r="A141">
        <f>Database!B141</f>
        <v/>
      </c>
      <c r="B141">
        <f>IF(AND(Screener!$D$9&lt;&gt;"",Database!$E141=Screener!$D$9),1,0)</f>
        <v/>
      </c>
      <c r="C141">
        <f>IF(AND(Screener!$D$8&lt;&gt;"",Database!$D141=Screener!$D$8),1,0)</f>
        <v/>
      </c>
      <c r="D141">
        <f>IF(OR(Database!$H141="",N(Screener!$D$10)&lt;=0),0,MAX(0,1-ABS(LOG10(Database!$H141/Screener!$D$10))/W_SIZEHW))</f>
        <v/>
      </c>
      <c r="E141">
        <f>IF(OR(Database!$AH141="",Screener!$D$11=""),0,IF(Database!$AH141=Screener!$D$11,1,0))</f>
        <v/>
      </c>
      <c r="F141">
        <f>IF(OR(Database!$AK141="",Screener!$D$12=""),0,IF(Database!$AK141=Screener!$D$12,1,0))</f>
        <v/>
      </c>
      <c r="G141">
        <f>IF(OR(Database!$G141="",N(Screener!$D$13)&lt;=0),0,MAX(0,1-(N(Screener!$D$13)-Database!$G141)/W_RECD))</f>
        <v/>
      </c>
      <c r="H141">
        <f>IF($K$1="",0,N(ISNUMBER(SEARCH($K$1,Database!$T141&amp;""))))+IF($L$1="",0,N(ISNUMBER(SEARCH($L$1,Database!$T141&amp;""))))+IF($M$1="",0,N(ISNUMBER(SEARCH($M$1,Database!$T141&amp;""))))+IF($N$1="",0,N(ISNUMBER(SEARCH($N$1,Database!$T141&amp;""))))+IF($O$1="",0,N(ISNUMBER(SEARCH($O$1,Database!$T141&amp;""))))+IF(Screener!$B$14="",0,N(ISNUMBER(SEARCH(Screener!$B$14,Database!$T141&amp;""))))</f>
        <v/>
      </c>
      <c r="I141">
        <f>IF(OR(Database!$B141=Screener!$B$5,IF(OR(Screener!$B$17="All",AND(Screener!$B$17="With A-share",(Database!$AL141&lt;&gt;"")),AND(Screener!$B$17="Without A-share",NOT((Database!$AL141&lt;&gt;"")))),1,0)=0),-999999,IF(Screener!$B$15="cornerstone overlap first",H141*100000,0)+W_SUB*B141+W_SEC*C141*(1-B141)+W_SIZE*D141+W_PROF*E141+W_AH*F141+W_REC*G141+W_CS*H141)+ROW()/1000000</f>
        <v/>
      </c>
      <c r="K141">
        <f>Database!B133</f>
        <v/>
      </c>
      <c r="L141">
        <f>Database!D133</f>
        <v/>
      </c>
      <c r="M141">
        <f>Database!E133</f>
        <v/>
      </c>
      <c r="N141">
        <f>Database!H133</f>
        <v/>
      </c>
      <c r="O141">
        <f>Database!AH133</f>
        <v/>
      </c>
      <c r="P141">
        <f>Database!AK133</f>
        <v/>
      </c>
      <c r="Q141">
        <f>Database!G133</f>
        <v/>
      </c>
    </row>
    <row r="142">
      <c r="A142">
        <f>Database!B142</f>
        <v/>
      </c>
      <c r="B142">
        <f>IF(AND(Screener!$D$9&lt;&gt;"",Database!$E142=Screener!$D$9),1,0)</f>
        <v/>
      </c>
      <c r="C142">
        <f>IF(AND(Screener!$D$8&lt;&gt;"",Database!$D142=Screener!$D$8),1,0)</f>
        <v/>
      </c>
      <c r="D142">
        <f>IF(OR(Database!$H142="",N(Screener!$D$10)&lt;=0),0,MAX(0,1-ABS(LOG10(Database!$H142/Screener!$D$10))/W_SIZEHW))</f>
        <v/>
      </c>
      <c r="E142">
        <f>IF(OR(Database!$AH142="",Screener!$D$11=""),0,IF(Database!$AH142=Screener!$D$11,1,0))</f>
        <v/>
      </c>
      <c r="F142">
        <f>IF(OR(Database!$AK142="",Screener!$D$12=""),0,IF(Database!$AK142=Screener!$D$12,1,0))</f>
        <v/>
      </c>
      <c r="G142">
        <f>IF(OR(Database!$G142="",N(Screener!$D$13)&lt;=0),0,MAX(0,1-(N(Screener!$D$13)-Database!$G142)/W_RECD))</f>
        <v/>
      </c>
      <c r="H142">
        <f>IF($K$1="",0,N(ISNUMBER(SEARCH($K$1,Database!$T142&amp;""))))+IF($L$1="",0,N(ISNUMBER(SEARCH($L$1,Database!$T142&amp;""))))+IF($M$1="",0,N(ISNUMBER(SEARCH($M$1,Database!$T142&amp;""))))+IF($N$1="",0,N(ISNUMBER(SEARCH($N$1,Database!$T142&amp;""))))+IF($O$1="",0,N(ISNUMBER(SEARCH($O$1,Database!$T142&amp;""))))+IF(Screener!$B$14="",0,N(ISNUMBER(SEARCH(Screener!$B$14,Database!$T142&amp;""))))</f>
        <v/>
      </c>
      <c r="I142">
        <f>IF(OR(Database!$B142=Screener!$B$5,IF(OR(Screener!$B$17="All",AND(Screener!$B$17="With A-share",(Database!$AL142&lt;&gt;"")),AND(Screener!$B$17="Without A-share",NOT((Database!$AL142&lt;&gt;"")))),1,0)=0),-999999,IF(Screener!$B$15="cornerstone overlap first",H142*100000,0)+W_SUB*B142+W_SEC*C142*(1-B142)+W_SIZE*D142+W_PROF*E142+W_AH*F142+W_REC*G142+W_CS*H142)+ROW()/1000000</f>
        <v/>
      </c>
      <c r="K142">
        <f>Database!B134</f>
        <v/>
      </c>
      <c r="L142">
        <f>Database!D134</f>
        <v/>
      </c>
      <c r="M142">
        <f>Database!E134</f>
        <v/>
      </c>
      <c r="N142">
        <f>Database!H134</f>
        <v/>
      </c>
      <c r="O142">
        <f>Database!AH134</f>
        <v/>
      </c>
      <c r="P142">
        <f>Database!AK134</f>
        <v/>
      </c>
      <c r="Q142">
        <f>Database!G134</f>
        <v/>
      </c>
    </row>
    <row r="143">
      <c r="A143">
        <f>Database!B143</f>
        <v/>
      </c>
      <c r="B143">
        <f>IF(AND(Screener!$D$9&lt;&gt;"",Database!$E143=Screener!$D$9),1,0)</f>
        <v/>
      </c>
      <c r="C143">
        <f>IF(AND(Screener!$D$8&lt;&gt;"",Database!$D143=Screener!$D$8),1,0)</f>
        <v/>
      </c>
      <c r="D143">
        <f>IF(OR(Database!$H143="",N(Screener!$D$10)&lt;=0),0,MAX(0,1-ABS(LOG10(Database!$H143/Screener!$D$10))/W_SIZEHW))</f>
        <v/>
      </c>
      <c r="E143">
        <f>IF(OR(Database!$AH143="",Screener!$D$11=""),0,IF(Database!$AH143=Screener!$D$11,1,0))</f>
        <v/>
      </c>
      <c r="F143">
        <f>IF(OR(Database!$AK143="",Screener!$D$12=""),0,IF(Database!$AK143=Screener!$D$12,1,0))</f>
        <v/>
      </c>
      <c r="G143">
        <f>IF(OR(Database!$G143="",N(Screener!$D$13)&lt;=0),0,MAX(0,1-(N(Screener!$D$13)-Database!$G143)/W_RECD))</f>
        <v/>
      </c>
      <c r="H143">
        <f>IF($K$1="",0,N(ISNUMBER(SEARCH($K$1,Database!$T143&amp;""))))+IF($L$1="",0,N(ISNUMBER(SEARCH($L$1,Database!$T143&amp;""))))+IF($M$1="",0,N(ISNUMBER(SEARCH($M$1,Database!$T143&amp;""))))+IF($N$1="",0,N(ISNUMBER(SEARCH($N$1,Database!$T143&amp;""))))+IF($O$1="",0,N(ISNUMBER(SEARCH($O$1,Database!$T143&amp;""))))+IF(Screener!$B$14="",0,N(ISNUMBER(SEARCH(Screener!$B$14,Database!$T143&amp;""))))</f>
        <v/>
      </c>
      <c r="I143">
        <f>IF(OR(Database!$B143=Screener!$B$5,IF(OR(Screener!$B$17="All",AND(Screener!$B$17="With A-share",(Database!$AL143&lt;&gt;"")),AND(Screener!$B$17="Without A-share",NOT((Database!$AL143&lt;&gt;"")))),1,0)=0),-999999,IF(Screener!$B$15="cornerstone overlap first",H143*100000,0)+W_SUB*B143+W_SEC*C143*(1-B143)+W_SIZE*D143+W_PROF*E143+W_AH*F143+W_REC*G143+W_CS*H143)+ROW()/1000000</f>
        <v/>
      </c>
      <c r="K143">
        <f>Database!B135</f>
        <v/>
      </c>
      <c r="L143">
        <f>Database!D135</f>
        <v/>
      </c>
      <c r="M143">
        <f>Database!E135</f>
        <v/>
      </c>
      <c r="N143">
        <f>Database!H135</f>
        <v/>
      </c>
      <c r="O143">
        <f>Database!AH135</f>
        <v/>
      </c>
      <c r="P143">
        <f>Database!AK135</f>
        <v/>
      </c>
      <c r="Q143">
        <f>Database!G135</f>
        <v/>
      </c>
    </row>
    <row r="144">
      <c r="A144">
        <f>Database!B144</f>
        <v/>
      </c>
      <c r="B144">
        <f>IF(AND(Screener!$D$9&lt;&gt;"",Database!$E144=Screener!$D$9),1,0)</f>
        <v/>
      </c>
      <c r="C144">
        <f>IF(AND(Screener!$D$8&lt;&gt;"",Database!$D144=Screener!$D$8),1,0)</f>
        <v/>
      </c>
      <c r="D144">
        <f>IF(OR(Database!$H144="",N(Screener!$D$10)&lt;=0),0,MAX(0,1-ABS(LOG10(Database!$H144/Screener!$D$10))/W_SIZEHW))</f>
        <v/>
      </c>
      <c r="E144">
        <f>IF(OR(Database!$AH144="",Screener!$D$11=""),0,IF(Database!$AH144=Screener!$D$11,1,0))</f>
        <v/>
      </c>
      <c r="F144">
        <f>IF(OR(Database!$AK144="",Screener!$D$12=""),0,IF(Database!$AK144=Screener!$D$12,1,0))</f>
        <v/>
      </c>
      <c r="G144">
        <f>IF(OR(Database!$G144="",N(Screener!$D$13)&lt;=0),0,MAX(0,1-(N(Screener!$D$13)-Database!$G144)/W_RECD))</f>
        <v/>
      </c>
      <c r="H144">
        <f>IF($K$1="",0,N(ISNUMBER(SEARCH($K$1,Database!$T144&amp;""))))+IF($L$1="",0,N(ISNUMBER(SEARCH($L$1,Database!$T144&amp;""))))+IF($M$1="",0,N(ISNUMBER(SEARCH($M$1,Database!$T144&amp;""))))+IF($N$1="",0,N(ISNUMBER(SEARCH($N$1,Database!$T144&amp;""))))+IF($O$1="",0,N(ISNUMBER(SEARCH($O$1,Database!$T144&amp;""))))+IF(Screener!$B$14="",0,N(ISNUMBER(SEARCH(Screener!$B$14,Database!$T144&amp;""))))</f>
        <v/>
      </c>
      <c r="I144">
        <f>IF(OR(Database!$B144=Screener!$B$5,IF(OR(Screener!$B$17="All",AND(Screener!$B$17="With A-share",(Database!$AL144&lt;&gt;"")),AND(Screener!$B$17="Without A-share",NOT((Database!$AL144&lt;&gt;"")))),1,0)=0),-999999,IF(Screener!$B$15="cornerstone overlap first",H144*100000,0)+W_SUB*B144+W_SEC*C144*(1-B144)+W_SIZE*D144+W_PROF*E144+W_AH*F144+W_REC*G144+W_CS*H144)+ROW()/1000000</f>
        <v/>
      </c>
      <c r="K144">
        <f>Database!B136</f>
        <v/>
      </c>
      <c r="L144">
        <f>Database!D136</f>
        <v/>
      </c>
      <c r="M144">
        <f>Database!E136</f>
        <v/>
      </c>
      <c r="N144">
        <f>Database!H136</f>
        <v/>
      </c>
      <c r="O144">
        <f>Database!AH136</f>
        <v/>
      </c>
      <c r="P144">
        <f>Database!AK136</f>
        <v/>
      </c>
      <c r="Q144">
        <f>Database!G136</f>
        <v/>
      </c>
    </row>
    <row r="145">
      <c r="A145">
        <f>Database!B145</f>
        <v/>
      </c>
      <c r="B145">
        <f>IF(AND(Screener!$D$9&lt;&gt;"",Database!$E145=Screener!$D$9),1,0)</f>
        <v/>
      </c>
      <c r="C145">
        <f>IF(AND(Screener!$D$8&lt;&gt;"",Database!$D145=Screener!$D$8),1,0)</f>
        <v/>
      </c>
      <c r="D145">
        <f>IF(OR(Database!$H145="",N(Screener!$D$10)&lt;=0),0,MAX(0,1-ABS(LOG10(Database!$H145/Screener!$D$10))/W_SIZEHW))</f>
        <v/>
      </c>
      <c r="E145">
        <f>IF(OR(Database!$AH145="",Screener!$D$11=""),0,IF(Database!$AH145=Screener!$D$11,1,0))</f>
        <v/>
      </c>
      <c r="F145">
        <f>IF(OR(Database!$AK145="",Screener!$D$12=""),0,IF(Database!$AK145=Screener!$D$12,1,0))</f>
        <v/>
      </c>
      <c r="G145">
        <f>IF(OR(Database!$G145="",N(Screener!$D$13)&lt;=0),0,MAX(0,1-(N(Screener!$D$13)-Database!$G145)/W_RECD))</f>
        <v/>
      </c>
      <c r="H145">
        <f>IF($K$1="",0,N(ISNUMBER(SEARCH($K$1,Database!$T145&amp;""))))+IF($L$1="",0,N(ISNUMBER(SEARCH($L$1,Database!$T145&amp;""))))+IF($M$1="",0,N(ISNUMBER(SEARCH($M$1,Database!$T145&amp;""))))+IF($N$1="",0,N(ISNUMBER(SEARCH($N$1,Database!$T145&amp;""))))+IF($O$1="",0,N(ISNUMBER(SEARCH($O$1,Database!$T145&amp;""))))+IF(Screener!$B$14="",0,N(ISNUMBER(SEARCH(Screener!$B$14,Database!$T145&amp;""))))</f>
        <v/>
      </c>
      <c r="I145">
        <f>IF(OR(Database!$B145=Screener!$B$5,IF(OR(Screener!$B$17="All",AND(Screener!$B$17="With A-share",(Database!$AL145&lt;&gt;"")),AND(Screener!$B$17="Without A-share",NOT((Database!$AL145&lt;&gt;"")))),1,0)=0),-999999,IF(Screener!$B$15="cornerstone overlap first",H145*100000,0)+W_SUB*B145+W_SEC*C145*(1-B145)+W_SIZE*D145+W_PROF*E145+W_AH*F145+W_REC*G145+W_CS*H145)+ROW()/1000000</f>
        <v/>
      </c>
      <c r="K145">
        <f>Database!B137</f>
        <v/>
      </c>
      <c r="L145">
        <f>Database!D137</f>
        <v/>
      </c>
      <c r="M145">
        <f>Database!E137</f>
        <v/>
      </c>
      <c r="N145">
        <f>Database!H137</f>
        <v/>
      </c>
      <c r="O145">
        <f>Database!AH137</f>
        <v/>
      </c>
      <c r="P145">
        <f>Database!AK137</f>
        <v/>
      </c>
      <c r="Q145">
        <f>Database!G137</f>
        <v/>
      </c>
    </row>
    <row r="146">
      <c r="A146">
        <f>Database!B146</f>
        <v/>
      </c>
      <c r="B146">
        <f>IF(AND(Screener!$D$9&lt;&gt;"",Database!$E146=Screener!$D$9),1,0)</f>
        <v/>
      </c>
      <c r="C146">
        <f>IF(AND(Screener!$D$8&lt;&gt;"",Database!$D146=Screener!$D$8),1,0)</f>
        <v/>
      </c>
      <c r="D146">
        <f>IF(OR(Database!$H146="",N(Screener!$D$10)&lt;=0),0,MAX(0,1-ABS(LOG10(Database!$H146/Screener!$D$10))/W_SIZEHW))</f>
        <v/>
      </c>
      <c r="E146">
        <f>IF(OR(Database!$AH146="",Screener!$D$11=""),0,IF(Database!$AH146=Screener!$D$11,1,0))</f>
        <v/>
      </c>
      <c r="F146">
        <f>IF(OR(Database!$AK146="",Screener!$D$12=""),0,IF(Database!$AK146=Screener!$D$12,1,0))</f>
        <v/>
      </c>
      <c r="G146">
        <f>IF(OR(Database!$G146="",N(Screener!$D$13)&lt;=0),0,MAX(0,1-(N(Screener!$D$13)-Database!$G146)/W_RECD))</f>
        <v/>
      </c>
      <c r="H146">
        <f>IF($K$1="",0,N(ISNUMBER(SEARCH($K$1,Database!$T146&amp;""))))+IF($L$1="",0,N(ISNUMBER(SEARCH($L$1,Database!$T146&amp;""))))+IF($M$1="",0,N(ISNUMBER(SEARCH($M$1,Database!$T146&amp;""))))+IF($N$1="",0,N(ISNUMBER(SEARCH($N$1,Database!$T146&amp;""))))+IF($O$1="",0,N(ISNUMBER(SEARCH($O$1,Database!$T146&amp;""))))+IF(Screener!$B$14="",0,N(ISNUMBER(SEARCH(Screener!$B$14,Database!$T146&amp;""))))</f>
        <v/>
      </c>
      <c r="I146">
        <f>IF(OR(Database!$B146=Screener!$B$5,IF(OR(Screener!$B$17="All",AND(Screener!$B$17="With A-share",(Database!$AL146&lt;&gt;"")),AND(Screener!$B$17="Without A-share",NOT((Database!$AL146&lt;&gt;"")))),1,0)=0),-999999,IF(Screener!$B$15="cornerstone overlap first",H146*100000,0)+W_SUB*B146+W_SEC*C146*(1-B146)+W_SIZE*D146+W_PROF*E146+W_AH*F146+W_REC*G146+W_CS*H146)+ROW()/1000000</f>
        <v/>
      </c>
      <c r="K146">
        <f>Database!B138</f>
        <v/>
      </c>
      <c r="L146">
        <f>Database!D138</f>
        <v/>
      </c>
      <c r="M146">
        <f>Database!E138</f>
        <v/>
      </c>
      <c r="N146">
        <f>Database!H138</f>
        <v/>
      </c>
      <c r="O146">
        <f>Database!AH138</f>
        <v/>
      </c>
      <c r="P146">
        <f>Database!AK138</f>
        <v/>
      </c>
      <c r="Q146">
        <f>Database!G138</f>
        <v/>
      </c>
    </row>
    <row r="147">
      <c r="A147">
        <f>Database!B147</f>
        <v/>
      </c>
      <c r="B147">
        <f>IF(AND(Screener!$D$9&lt;&gt;"",Database!$E147=Screener!$D$9),1,0)</f>
        <v/>
      </c>
      <c r="C147">
        <f>IF(AND(Screener!$D$8&lt;&gt;"",Database!$D147=Screener!$D$8),1,0)</f>
        <v/>
      </c>
      <c r="D147">
        <f>IF(OR(Database!$H147="",N(Screener!$D$10)&lt;=0),0,MAX(0,1-ABS(LOG10(Database!$H147/Screener!$D$10))/W_SIZEHW))</f>
        <v/>
      </c>
      <c r="E147">
        <f>IF(OR(Database!$AH147="",Screener!$D$11=""),0,IF(Database!$AH147=Screener!$D$11,1,0))</f>
        <v/>
      </c>
      <c r="F147">
        <f>IF(OR(Database!$AK147="",Screener!$D$12=""),0,IF(Database!$AK147=Screener!$D$12,1,0))</f>
        <v/>
      </c>
      <c r="G147">
        <f>IF(OR(Database!$G147="",N(Screener!$D$13)&lt;=0),0,MAX(0,1-(N(Screener!$D$13)-Database!$G147)/W_RECD))</f>
        <v/>
      </c>
      <c r="H147">
        <f>IF($K$1="",0,N(ISNUMBER(SEARCH($K$1,Database!$T147&amp;""))))+IF($L$1="",0,N(ISNUMBER(SEARCH($L$1,Database!$T147&amp;""))))+IF($M$1="",0,N(ISNUMBER(SEARCH($M$1,Database!$T147&amp;""))))+IF($N$1="",0,N(ISNUMBER(SEARCH($N$1,Database!$T147&amp;""))))+IF($O$1="",0,N(ISNUMBER(SEARCH($O$1,Database!$T147&amp;""))))+IF(Screener!$B$14="",0,N(ISNUMBER(SEARCH(Screener!$B$14,Database!$T147&amp;""))))</f>
        <v/>
      </c>
      <c r="I147">
        <f>IF(OR(Database!$B147=Screener!$B$5,IF(OR(Screener!$B$17="All",AND(Screener!$B$17="With A-share",(Database!$AL147&lt;&gt;"")),AND(Screener!$B$17="Without A-share",NOT((Database!$AL147&lt;&gt;"")))),1,0)=0),-999999,IF(Screener!$B$15="cornerstone overlap first",H147*100000,0)+W_SUB*B147+W_SEC*C147*(1-B147)+W_SIZE*D147+W_PROF*E147+W_AH*F147+W_REC*G147+W_CS*H147)+ROW()/1000000</f>
        <v/>
      </c>
      <c r="K147">
        <f>Database!B139</f>
        <v/>
      </c>
      <c r="L147">
        <f>Database!D139</f>
        <v/>
      </c>
      <c r="M147">
        <f>Database!E139</f>
        <v/>
      </c>
      <c r="N147">
        <f>Database!H139</f>
        <v/>
      </c>
      <c r="O147">
        <f>Database!AH139</f>
        <v/>
      </c>
      <c r="P147">
        <f>Database!AK139</f>
        <v/>
      </c>
      <c r="Q147">
        <f>Database!G139</f>
        <v/>
      </c>
    </row>
    <row r="148">
      <c r="A148">
        <f>Database!B148</f>
        <v/>
      </c>
      <c r="B148">
        <f>IF(AND(Screener!$D$9&lt;&gt;"",Database!$E148=Screener!$D$9),1,0)</f>
        <v/>
      </c>
      <c r="C148">
        <f>IF(AND(Screener!$D$8&lt;&gt;"",Database!$D148=Screener!$D$8),1,0)</f>
        <v/>
      </c>
      <c r="D148">
        <f>IF(OR(Database!$H148="",N(Screener!$D$10)&lt;=0),0,MAX(0,1-ABS(LOG10(Database!$H148/Screener!$D$10))/W_SIZEHW))</f>
        <v/>
      </c>
      <c r="E148">
        <f>IF(OR(Database!$AH148="",Screener!$D$11=""),0,IF(Database!$AH148=Screener!$D$11,1,0))</f>
        <v/>
      </c>
      <c r="F148">
        <f>IF(OR(Database!$AK148="",Screener!$D$12=""),0,IF(Database!$AK148=Screener!$D$12,1,0))</f>
        <v/>
      </c>
      <c r="G148">
        <f>IF(OR(Database!$G148="",N(Screener!$D$13)&lt;=0),0,MAX(0,1-(N(Screener!$D$13)-Database!$G148)/W_RECD))</f>
        <v/>
      </c>
      <c r="H148">
        <f>IF($K$1="",0,N(ISNUMBER(SEARCH($K$1,Database!$T148&amp;""))))+IF($L$1="",0,N(ISNUMBER(SEARCH($L$1,Database!$T148&amp;""))))+IF($M$1="",0,N(ISNUMBER(SEARCH($M$1,Database!$T148&amp;""))))+IF($N$1="",0,N(ISNUMBER(SEARCH($N$1,Database!$T148&amp;""))))+IF($O$1="",0,N(ISNUMBER(SEARCH($O$1,Database!$T148&amp;""))))+IF(Screener!$B$14="",0,N(ISNUMBER(SEARCH(Screener!$B$14,Database!$T148&amp;""))))</f>
        <v/>
      </c>
      <c r="I148">
        <f>IF(OR(Database!$B148=Screener!$B$5,IF(OR(Screener!$B$17="All",AND(Screener!$B$17="With A-share",(Database!$AL148&lt;&gt;"")),AND(Screener!$B$17="Without A-share",NOT((Database!$AL148&lt;&gt;"")))),1,0)=0),-999999,IF(Screener!$B$15="cornerstone overlap first",H148*100000,0)+W_SUB*B148+W_SEC*C148*(1-B148)+W_SIZE*D148+W_PROF*E148+W_AH*F148+W_REC*G148+W_CS*H148)+ROW()/1000000</f>
        <v/>
      </c>
      <c r="K148">
        <f>Database!B140</f>
        <v/>
      </c>
      <c r="L148">
        <f>Database!D140</f>
        <v/>
      </c>
      <c r="M148">
        <f>Database!E140</f>
        <v/>
      </c>
      <c r="N148">
        <f>Database!H140</f>
        <v/>
      </c>
      <c r="O148">
        <f>Database!AH140</f>
        <v/>
      </c>
      <c r="P148">
        <f>Database!AK140</f>
        <v/>
      </c>
      <c r="Q148">
        <f>Database!G140</f>
        <v/>
      </c>
    </row>
    <row r="149">
      <c r="A149">
        <f>Database!B149</f>
        <v/>
      </c>
      <c r="B149">
        <f>IF(AND(Screener!$D$9&lt;&gt;"",Database!$E149=Screener!$D$9),1,0)</f>
        <v/>
      </c>
      <c r="C149">
        <f>IF(AND(Screener!$D$8&lt;&gt;"",Database!$D149=Screener!$D$8),1,0)</f>
        <v/>
      </c>
      <c r="D149">
        <f>IF(OR(Database!$H149="",N(Screener!$D$10)&lt;=0),0,MAX(0,1-ABS(LOG10(Database!$H149/Screener!$D$10))/W_SIZEHW))</f>
        <v/>
      </c>
      <c r="E149">
        <f>IF(OR(Database!$AH149="",Screener!$D$11=""),0,IF(Database!$AH149=Screener!$D$11,1,0))</f>
        <v/>
      </c>
      <c r="F149">
        <f>IF(OR(Database!$AK149="",Screener!$D$12=""),0,IF(Database!$AK149=Screener!$D$12,1,0))</f>
        <v/>
      </c>
      <c r="G149">
        <f>IF(OR(Database!$G149="",N(Screener!$D$13)&lt;=0),0,MAX(0,1-(N(Screener!$D$13)-Database!$G149)/W_RECD))</f>
        <v/>
      </c>
      <c r="H149">
        <f>IF($K$1="",0,N(ISNUMBER(SEARCH($K$1,Database!$T149&amp;""))))+IF($L$1="",0,N(ISNUMBER(SEARCH($L$1,Database!$T149&amp;""))))+IF($M$1="",0,N(ISNUMBER(SEARCH($M$1,Database!$T149&amp;""))))+IF($N$1="",0,N(ISNUMBER(SEARCH($N$1,Database!$T149&amp;""))))+IF($O$1="",0,N(ISNUMBER(SEARCH($O$1,Database!$T149&amp;""))))+IF(Screener!$B$14="",0,N(ISNUMBER(SEARCH(Screener!$B$14,Database!$T149&amp;""))))</f>
        <v/>
      </c>
      <c r="I149">
        <f>IF(OR(Database!$B149=Screener!$B$5,IF(OR(Screener!$B$17="All",AND(Screener!$B$17="With A-share",(Database!$AL149&lt;&gt;"")),AND(Screener!$B$17="Without A-share",NOT((Database!$AL149&lt;&gt;"")))),1,0)=0),-999999,IF(Screener!$B$15="cornerstone overlap first",H149*100000,0)+W_SUB*B149+W_SEC*C149*(1-B149)+W_SIZE*D149+W_PROF*E149+W_AH*F149+W_REC*G149+W_CS*H149)+ROW()/1000000</f>
        <v/>
      </c>
      <c r="K149">
        <f>Database!B141</f>
        <v/>
      </c>
      <c r="L149">
        <f>Database!D141</f>
        <v/>
      </c>
      <c r="M149">
        <f>Database!E141</f>
        <v/>
      </c>
      <c r="N149">
        <f>Database!H141</f>
        <v/>
      </c>
      <c r="O149">
        <f>Database!AH141</f>
        <v/>
      </c>
      <c r="P149">
        <f>Database!AK141</f>
        <v/>
      </c>
      <c r="Q149">
        <f>Database!G141</f>
        <v/>
      </c>
    </row>
    <row r="150">
      <c r="A150">
        <f>Database!B150</f>
        <v/>
      </c>
      <c r="B150">
        <f>IF(AND(Screener!$D$9&lt;&gt;"",Database!$E150=Screener!$D$9),1,0)</f>
        <v/>
      </c>
      <c r="C150">
        <f>IF(AND(Screener!$D$8&lt;&gt;"",Database!$D150=Screener!$D$8),1,0)</f>
        <v/>
      </c>
      <c r="D150">
        <f>IF(OR(Database!$H150="",N(Screener!$D$10)&lt;=0),0,MAX(0,1-ABS(LOG10(Database!$H150/Screener!$D$10))/W_SIZEHW))</f>
        <v/>
      </c>
      <c r="E150">
        <f>IF(OR(Database!$AH150="",Screener!$D$11=""),0,IF(Database!$AH150=Screener!$D$11,1,0))</f>
        <v/>
      </c>
      <c r="F150">
        <f>IF(OR(Database!$AK150="",Screener!$D$12=""),0,IF(Database!$AK150=Screener!$D$12,1,0))</f>
        <v/>
      </c>
      <c r="G150">
        <f>IF(OR(Database!$G150="",N(Screener!$D$13)&lt;=0),0,MAX(0,1-(N(Screener!$D$13)-Database!$G150)/W_RECD))</f>
        <v/>
      </c>
      <c r="H150">
        <f>IF($K$1="",0,N(ISNUMBER(SEARCH($K$1,Database!$T150&amp;""))))+IF($L$1="",0,N(ISNUMBER(SEARCH($L$1,Database!$T150&amp;""))))+IF($M$1="",0,N(ISNUMBER(SEARCH($M$1,Database!$T150&amp;""))))+IF($N$1="",0,N(ISNUMBER(SEARCH($N$1,Database!$T150&amp;""))))+IF($O$1="",0,N(ISNUMBER(SEARCH($O$1,Database!$T150&amp;""))))+IF(Screener!$B$14="",0,N(ISNUMBER(SEARCH(Screener!$B$14,Database!$T150&amp;""))))</f>
        <v/>
      </c>
      <c r="I150">
        <f>IF(OR(Database!$B150=Screener!$B$5,IF(OR(Screener!$B$17="All",AND(Screener!$B$17="With A-share",(Database!$AL150&lt;&gt;"")),AND(Screener!$B$17="Without A-share",NOT((Database!$AL150&lt;&gt;"")))),1,0)=0),-999999,IF(Screener!$B$15="cornerstone overlap first",H150*100000,0)+W_SUB*B150+W_SEC*C150*(1-B150)+W_SIZE*D150+W_PROF*E150+W_AH*F150+W_REC*G150+W_CS*H150)+ROW()/1000000</f>
        <v/>
      </c>
      <c r="K150">
        <f>Database!B142</f>
        <v/>
      </c>
      <c r="L150">
        <f>Database!D142</f>
        <v/>
      </c>
      <c r="M150">
        <f>Database!E142</f>
        <v/>
      </c>
      <c r="N150">
        <f>Database!H142</f>
        <v/>
      </c>
      <c r="O150">
        <f>Database!AH142</f>
        <v/>
      </c>
      <c r="P150">
        <f>Database!AK142</f>
        <v/>
      </c>
      <c r="Q150">
        <f>Database!G142</f>
        <v/>
      </c>
    </row>
    <row r="151">
      <c r="A151">
        <f>Database!B151</f>
        <v/>
      </c>
      <c r="B151">
        <f>IF(AND(Screener!$D$9&lt;&gt;"",Database!$E151=Screener!$D$9),1,0)</f>
        <v/>
      </c>
      <c r="C151">
        <f>IF(AND(Screener!$D$8&lt;&gt;"",Database!$D151=Screener!$D$8),1,0)</f>
        <v/>
      </c>
      <c r="D151">
        <f>IF(OR(Database!$H151="",N(Screener!$D$10)&lt;=0),0,MAX(0,1-ABS(LOG10(Database!$H151/Screener!$D$10))/W_SIZEHW))</f>
        <v/>
      </c>
      <c r="E151">
        <f>IF(OR(Database!$AH151="",Screener!$D$11=""),0,IF(Database!$AH151=Screener!$D$11,1,0))</f>
        <v/>
      </c>
      <c r="F151">
        <f>IF(OR(Database!$AK151="",Screener!$D$12=""),0,IF(Database!$AK151=Screener!$D$12,1,0))</f>
        <v/>
      </c>
      <c r="G151">
        <f>IF(OR(Database!$G151="",N(Screener!$D$13)&lt;=0),0,MAX(0,1-(N(Screener!$D$13)-Database!$G151)/W_RECD))</f>
        <v/>
      </c>
      <c r="H151">
        <f>IF($K$1="",0,N(ISNUMBER(SEARCH($K$1,Database!$T151&amp;""))))+IF($L$1="",0,N(ISNUMBER(SEARCH($L$1,Database!$T151&amp;""))))+IF($M$1="",0,N(ISNUMBER(SEARCH($M$1,Database!$T151&amp;""))))+IF($N$1="",0,N(ISNUMBER(SEARCH($N$1,Database!$T151&amp;""))))+IF($O$1="",0,N(ISNUMBER(SEARCH($O$1,Database!$T151&amp;""))))+IF(Screener!$B$14="",0,N(ISNUMBER(SEARCH(Screener!$B$14,Database!$T151&amp;""))))</f>
        <v/>
      </c>
      <c r="I151">
        <f>IF(OR(Database!$B151=Screener!$B$5,IF(OR(Screener!$B$17="All",AND(Screener!$B$17="With A-share",(Database!$AL151&lt;&gt;"")),AND(Screener!$B$17="Without A-share",NOT((Database!$AL151&lt;&gt;"")))),1,0)=0),-999999,IF(Screener!$B$15="cornerstone overlap first",H151*100000,0)+W_SUB*B151+W_SEC*C151*(1-B151)+W_SIZE*D151+W_PROF*E151+W_AH*F151+W_REC*G151+W_CS*H151)+ROW()/1000000</f>
        <v/>
      </c>
      <c r="K151">
        <f>Database!B143</f>
        <v/>
      </c>
      <c r="L151">
        <f>Database!D143</f>
        <v/>
      </c>
      <c r="M151">
        <f>Database!E143</f>
        <v/>
      </c>
      <c r="N151">
        <f>Database!H143</f>
        <v/>
      </c>
      <c r="O151">
        <f>Database!AH143</f>
        <v/>
      </c>
      <c r="P151">
        <f>Database!AK143</f>
        <v/>
      </c>
      <c r="Q151">
        <f>Database!G143</f>
        <v/>
      </c>
    </row>
    <row r="152">
      <c r="A152">
        <f>Database!B152</f>
        <v/>
      </c>
      <c r="B152">
        <f>IF(AND(Screener!$D$9&lt;&gt;"",Database!$E152=Screener!$D$9),1,0)</f>
        <v/>
      </c>
      <c r="C152">
        <f>IF(AND(Screener!$D$8&lt;&gt;"",Database!$D152=Screener!$D$8),1,0)</f>
        <v/>
      </c>
      <c r="D152">
        <f>IF(OR(Database!$H152="",N(Screener!$D$10)&lt;=0),0,MAX(0,1-ABS(LOG10(Database!$H152/Screener!$D$10))/W_SIZEHW))</f>
        <v/>
      </c>
      <c r="E152">
        <f>IF(OR(Database!$AH152="",Screener!$D$11=""),0,IF(Database!$AH152=Screener!$D$11,1,0))</f>
        <v/>
      </c>
      <c r="F152">
        <f>IF(OR(Database!$AK152="",Screener!$D$12=""),0,IF(Database!$AK152=Screener!$D$12,1,0))</f>
        <v/>
      </c>
      <c r="G152">
        <f>IF(OR(Database!$G152="",N(Screener!$D$13)&lt;=0),0,MAX(0,1-(N(Screener!$D$13)-Database!$G152)/W_RECD))</f>
        <v/>
      </c>
      <c r="H152">
        <f>IF($K$1="",0,N(ISNUMBER(SEARCH($K$1,Database!$T152&amp;""))))+IF($L$1="",0,N(ISNUMBER(SEARCH($L$1,Database!$T152&amp;""))))+IF($M$1="",0,N(ISNUMBER(SEARCH($M$1,Database!$T152&amp;""))))+IF($N$1="",0,N(ISNUMBER(SEARCH($N$1,Database!$T152&amp;""))))+IF($O$1="",0,N(ISNUMBER(SEARCH($O$1,Database!$T152&amp;""))))+IF(Screener!$B$14="",0,N(ISNUMBER(SEARCH(Screener!$B$14,Database!$T152&amp;""))))</f>
        <v/>
      </c>
      <c r="I152">
        <f>IF(OR(Database!$B152=Screener!$B$5,IF(OR(Screener!$B$17="All",AND(Screener!$B$17="With A-share",(Database!$AL152&lt;&gt;"")),AND(Screener!$B$17="Without A-share",NOT((Database!$AL152&lt;&gt;"")))),1,0)=0),-999999,IF(Screener!$B$15="cornerstone overlap first",H152*100000,0)+W_SUB*B152+W_SEC*C152*(1-B152)+W_SIZE*D152+W_PROF*E152+W_AH*F152+W_REC*G152+W_CS*H152)+ROW()/1000000</f>
        <v/>
      </c>
      <c r="K152">
        <f>Database!B144</f>
        <v/>
      </c>
      <c r="L152">
        <f>Database!D144</f>
        <v/>
      </c>
      <c r="M152">
        <f>Database!E144</f>
        <v/>
      </c>
      <c r="N152">
        <f>Database!H144</f>
        <v/>
      </c>
      <c r="O152">
        <f>Database!AH144</f>
        <v/>
      </c>
      <c r="P152">
        <f>Database!AK144</f>
        <v/>
      </c>
      <c r="Q152">
        <f>Database!G144</f>
        <v/>
      </c>
    </row>
    <row r="153">
      <c r="A153">
        <f>Database!B153</f>
        <v/>
      </c>
      <c r="B153">
        <f>IF(AND(Screener!$D$9&lt;&gt;"",Database!$E153=Screener!$D$9),1,0)</f>
        <v/>
      </c>
      <c r="C153">
        <f>IF(AND(Screener!$D$8&lt;&gt;"",Database!$D153=Screener!$D$8),1,0)</f>
        <v/>
      </c>
      <c r="D153">
        <f>IF(OR(Database!$H153="",N(Screener!$D$10)&lt;=0),0,MAX(0,1-ABS(LOG10(Database!$H153/Screener!$D$10))/W_SIZEHW))</f>
        <v/>
      </c>
      <c r="E153">
        <f>IF(OR(Database!$AH153="",Screener!$D$11=""),0,IF(Database!$AH153=Screener!$D$11,1,0))</f>
        <v/>
      </c>
      <c r="F153">
        <f>IF(OR(Database!$AK153="",Screener!$D$12=""),0,IF(Database!$AK153=Screener!$D$12,1,0))</f>
        <v/>
      </c>
      <c r="G153">
        <f>IF(OR(Database!$G153="",N(Screener!$D$13)&lt;=0),0,MAX(0,1-(N(Screener!$D$13)-Database!$G153)/W_RECD))</f>
        <v/>
      </c>
      <c r="H153">
        <f>IF($K$1="",0,N(ISNUMBER(SEARCH($K$1,Database!$T153&amp;""))))+IF($L$1="",0,N(ISNUMBER(SEARCH($L$1,Database!$T153&amp;""))))+IF($M$1="",0,N(ISNUMBER(SEARCH($M$1,Database!$T153&amp;""))))+IF($N$1="",0,N(ISNUMBER(SEARCH($N$1,Database!$T153&amp;""))))+IF($O$1="",0,N(ISNUMBER(SEARCH($O$1,Database!$T153&amp;""))))+IF(Screener!$B$14="",0,N(ISNUMBER(SEARCH(Screener!$B$14,Database!$T153&amp;""))))</f>
        <v/>
      </c>
      <c r="I153">
        <f>IF(OR(Database!$B153=Screener!$B$5,IF(OR(Screener!$B$17="All",AND(Screener!$B$17="With A-share",(Database!$AL153&lt;&gt;"")),AND(Screener!$B$17="Without A-share",NOT((Database!$AL153&lt;&gt;"")))),1,0)=0),-999999,IF(Screener!$B$15="cornerstone overlap first",H153*100000,0)+W_SUB*B153+W_SEC*C153*(1-B153)+W_SIZE*D153+W_PROF*E153+W_AH*F153+W_REC*G153+W_CS*H153)+ROW()/1000000</f>
        <v/>
      </c>
      <c r="K153">
        <f>Database!B145</f>
        <v/>
      </c>
      <c r="L153">
        <f>Database!D145</f>
        <v/>
      </c>
      <c r="M153">
        <f>Database!E145</f>
        <v/>
      </c>
      <c r="N153">
        <f>Database!H145</f>
        <v/>
      </c>
      <c r="O153">
        <f>Database!AH145</f>
        <v/>
      </c>
      <c r="P153">
        <f>Database!AK145</f>
        <v/>
      </c>
      <c r="Q153">
        <f>Database!G145</f>
        <v/>
      </c>
    </row>
    <row r="154">
      <c r="A154">
        <f>Database!B154</f>
        <v/>
      </c>
      <c r="B154">
        <f>IF(AND(Screener!$D$9&lt;&gt;"",Database!$E154=Screener!$D$9),1,0)</f>
        <v/>
      </c>
      <c r="C154">
        <f>IF(AND(Screener!$D$8&lt;&gt;"",Database!$D154=Screener!$D$8),1,0)</f>
        <v/>
      </c>
      <c r="D154">
        <f>IF(OR(Database!$H154="",N(Screener!$D$10)&lt;=0),0,MAX(0,1-ABS(LOG10(Database!$H154/Screener!$D$10))/W_SIZEHW))</f>
        <v/>
      </c>
      <c r="E154">
        <f>IF(OR(Database!$AH154="",Screener!$D$11=""),0,IF(Database!$AH154=Screener!$D$11,1,0))</f>
        <v/>
      </c>
      <c r="F154">
        <f>IF(OR(Database!$AK154="",Screener!$D$12=""),0,IF(Database!$AK154=Screener!$D$12,1,0))</f>
        <v/>
      </c>
      <c r="G154">
        <f>IF(OR(Database!$G154="",N(Screener!$D$13)&lt;=0),0,MAX(0,1-(N(Screener!$D$13)-Database!$G154)/W_RECD))</f>
        <v/>
      </c>
      <c r="H154">
        <f>IF($K$1="",0,N(ISNUMBER(SEARCH($K$1,Database!$T154&amp;""))))+IF($L$1="",0,N(ISNUMBER(SEARCH($L$1,Database!$T154&amp;""))))+IF($M$1="",0,N(ISNUMBER(SEARCH($M$1,Database!$T154&amp;""))))+IF($N$1="",0,N(ISNUMBER(SEARCH($N$1,Database!$T154&amp;""))))+IF($O$1="",0,N(ISNUMBER(SEARCH($O$1,Database!$T154&amp;""))))+IF(Screener!$B$14="",0,N(ISNUMBER(SEARCH(Screener!$B$14,Database!$T154&amp;""))))</f>
        <v/>
      </c>
      <c r="I154">
        <f>IF(OR(Database!$B154=Screener!$B$5,IF(OR(Screener!$B$17="All",AND(Screener!$B$17="With A-share",(Database!$AL154&lt;&gt;"")),AND(Screener!$B$17="Without A-share",NOT((Database!$AL154&lt;&gt;"")))),1,0)=0),-999999,IF(Screener!$B$15="cornerstone overlap first",H154*100000,0)+W_SUB*B154+W_SEC*C154*(1-B154)+W_SIZE*D154+W_PROF*E154+W_AH*F154+W_REC*G154+W_CS*H154)+ROW()/1000000</f>
        <v/>
      </c>
      <c r="K154">
        <f>Database!B146</f>
        <v/>
      </c>
      <c r="L154">
        <f>Database!D146</f>
        <v/>
      </c>
      <c r="M154">
        <f>Database!E146</f>
        <v/>
      </c>
      <c r="N154">
        <f>Database!H146</f>
        <v/>
      </c>
      <c r="O154">
        <f>Database!AH146</f>
        <v/>
      </c>
      <c r="P154">
        <f>Database!AK146</f>
        <v/>
      </c>
      <c r="Q154">
        <f>Database!G146</f>
        <v/>
      </c>
    </row>
    <row r="155">
      <c r="A155">
        <f>Database!B155</f>
        <v/>
      </c>
      <c r="B155">
        <f>IF(AND(Screener!$D$9&lt;&gt;"",Database!$E155=Screener!$D$9),1,0)</f>
        <v/>
      </c>
      <c r="C155">
        <f>IF(AND(Screener!$D$8&lt;&gt;"",Database!$D155=Screener!$D$8),1,0)</f>
        <v/>
      </c>
      <c r="D155">
        <f>IF(OR(Database!$H155="",N(Screener!$D$10)&lt;=0),0,MAX(0,1-ABS(LOG10(Database!$H155/Screener!$D$10))/W_SIZEHW))</f>
        <v/>
      </c>
      <c r="E155">
        <f>IF(OR(Database!$AH155="",Screener!$D$11=""),0,IF(Database!$AH155=Screener!$D$11,1,0))</f>
        <v/>
      </c>
      <c r="F155">
        <f>IF(OR(Database!$AK155="",Screener!$D$12=""),0,IF(Database!$AK155=Screener!$D$12,1,0))</f>
        <v/>
      </c>
      <c r="G155">
        <f>IF(OR(Database!$G155="",N(Screener!$D$13)&lt;=0),0,MAX(0,1-(N(Screener!$D$13)-Database!$G155)/W_RECD))</f>
        <v/>
      </c>
      <c r="H155">
        <f>IF($K$1="",0,N(ISNUMBER(SEARCH($K$1,Database!$T155&amp;""))))+IF($L$1="",0,N(ISNUMBER(SEARCH($L$1,Database!$T155&amp;""))))+IF($M$1="",0,N(ISNUMBER(SEARCH($M$1,Database!$T155&amp;""))))+IF($N$1="",0,N(ISNUMBER(SEARCH($N$1,Database!$T155&amp;""))))+IF($O$1="",0,N(ISNUMBER(SEARCH($O$1,Database!$T155&amp;""))))+IF(Screener!$B$14="",0,N(ISNUMBER(SEARCH(Screener!$B$14,Database!$T155&amp;""))))</f>
        <v/>
      </c>
      <c r="I155">
        <f>IF(OR(Database!$B155=Screener!$B$5,IF(OR(Screener!$B$17="All",AND(Screener!$B$17="With A-share",(Database!$AL155&lt;&gt;"")),AND(Screener!$B$17="Without A-share",NOT((Database!$AL155&lt;&gt;"")))),1,0)=0),-999999,IF(Screener!$B$15="cornerstone overlap first",H155*100000,0)+W_SUB*B155+W_SEC*C155*(1-B155)+W_SIZE*D155+W_PROF*E155+W_AH*F155+W_REC*G155+W_CS*H155)+ROW()/1000000</f>
        <v/>
      </c>
      <c r="K155">
        <f>Database!B147</f>
        <v/>
      </c>
      <c r="L155">
        <f>Database!D147</f>
        <v/>
      </c>
      <c r="M155">
        <f>Database!E147</f>
        <v/>
      </c>
      <c r="N155">
        <f>Database!H147</f>
        <v/>
      </c>
      <c r="O155">
        <f>Database!AH147</f>
        <v/>
      </c>
      <c r="P155">
        <f>Database!AK147</f>
        <v/>
      </c>
      <c r="Q155">
        <f>Database!G147</f>
        <v/>
      </c>
    </row>
    <row r="156">
      <c r="A156">
        <f>Database!B156</f>
        <v/>
      </c>
      <c r="B156">
        <f>IF(AND(Screener!$D$9&lt;&gt;"",Database!$E156=Screener!$D$9),1,0)</f>
        <v/>
      </c>
      <c r="C156">
        <f>IF(AND(Screener!$D$8&lt;&gt;"",Database!$D156=Screener!$D$8),1,0)</f>
        <v/>
      </c>
      <c r="D156">
        <f>IF(OR(Database!$H156="",N(Screener!$D$10)&lt;=0),0,MAX(0,1-ABS(LOG10(Database!$H156/Screener!$D$10))/W_SIZEHW))</f>
        <v/>
      </c>
      <c r="E156">
        <f>IF(OR(Database!$AH156="",Screener!$D$11=""),0,IF(Database!$AH156=Screener!$D$11,1,0))</f>
        <v/>
      </c>
      <c r="F156">
        <f>IF(OR(Database!$AK156="",Screener!$D$12=""),0,IF(Database!$AK156=Screener!$D$12,1,0))</f>
        <v/>
      </c>
      <c r="G156">
        <f>IF(OR(Database!$G156="",N(Screener!$D$13)&lt;=0),0,MAX(0,1-(N(Screener!$D$13)-Database!$G156)/W_RECD))</f>
        <v/>
      </c>
      <c r="H156">
        <f>IF($K$1="",0,N(ISNUMBER(SEARCH($K$1,Database!$T156&amp;""))))+IF($L$1="",0,N(ISNUMBER(SEARCH($L$1,Database!$T156&amp;""))))+IF($M$1="",0,N(ISNUMBER(SEARCH($M$1,Database!$T156&amp;""))))+IF($N$1="",0,N(ISNUMBER(SEARCH($N$1,Database!$T156&amp;""))))+IF($O$1="",0,N(ISNUMBER(SEARCH($O$1,Database!$T156&amp;""))))+IF(Screener!$B$14="",0,N(ISNUMBER(SEARCH(Screener!$B$14,Database!$T156&amp;""))))</f>
        <v/>
      </c>
      <c r="I156">
        <f>IF(OR(Database!$B156=Screener!$B$5,IF(OR(Screener!$B$17="All",AND(Screener!$B$17="With A-share",(Database!$AL156&lt;&gt;"")),AND(Screener!$B$17="Without A-share",NOT((Database!$AL156&lt;&gt;"")))),1,0)=0),-999999,IF(Screener!$B$15="cornerstone overlap first",H156*100000,0)+W_SUB*B156+W_SEC*C156*(1-B156)+W_SIZE*D156+W_PROF*E156+W_AH*F156+W_REC*G156+W_CS*H156)+ROW()/1000000</f>
        <v/>
      </c>
      <c r="K156">
        <f>Database!B148</f>
        <v/>
      </c>
      <c r="L156">
        <f>Database!D148</f>
        <v/>
      </c>
      <c r="M156">
        <f>Database!E148</f>
        <v/>
      </c>
      <c r="N156">
        <f>Database!H148</f>
        <v/>
      </c>
      <c r="O156">
        <f>Database!AH148</f>
        <v/>
      </c>
      <c r="P156">
        <f>Database!AK148</f>
        <v/>
      </c>
      <c r="Q156">
        <f>Database!G148</f>
        <v/>
      </c>
    </row>
    <row r="157">
      <c r="A157">
        <f>Database!B157</f>
        <v/>
      </c>
      <c r="B157">
        <f>IF(AND(Screener!$D$9&lt;&gt;"",Database!$E157=Screener!$D$9),1,0)</f>
        <v/>
      </c>
      <c r="C157">
        <f>IF(AND(Screener!$D$8&lt;&gt;"",Database!$D157=Screener!$D$8),1,0)</f>
        <v/>
      </c>
      <c r="D157">
        <f>IF(OR(Database!$H157="",N(Screener!$D$10)&lt;=0),0,MAX(0,1-ABS(LOG10(Database!$H157/Screener!$D$10))/W_SIZEHW))</f>
        <v/>
      </c>
      <c r="E157">
        <f>IF(OR(Database!$AH157="",Screener!$D$11=""),0,IF(Database!$AH157=Screener!$D$11,1,0))</f>
        <v/>
      </c>
      <c r="F157">
        <f>IF(OR(Database!$AK157="",Screener!$D$12=""),0,IF(Database!$AK157=Screener!$D$12,1,0))</f>
        <v/>
      </c>
      <c r="G157">
        <f>IF(OR(Database!$G157="",N(Screener!$D$13)&lt;=0),0,MAX(0,1-(N(Screener!$D$13)-Database!$G157)/W_RECD))</f>
        <v/>
      </c>
      <c r="H157">
        <f>IF($K$1="",0,N(ISNUMBER(SEARCH($K$1,Database!$T157&amp;""))))+IF($L$1="",0,N(ISNUMBER(SEARCH($L$1,Database!$T157&amp;""))))+IF($M$1="",0,N(ISNUMBER(SEARCH($M$1,Database!$T157&amp;""))))+IF($N$1="",0,N(ISNUMBER(SEARCH($N$1,Database!$T157&amp;""))))+IF($O$1="",0,N(ISNUMBER(SEARCH($O$1,Database!$T157&amp;""))))+IF(Screener!$B$14="",0,N(ISNUMBER(SEARCH(Screener!$B$14,Database!$T157&amp;""))))</f>
        <v/>
      </c>
      <c r="I157">
        <f>IF(OR(Database!$B157=Screener!$B$5,IF(OR(Screener!$B$17="All",AND(Screener!$B$17="With A-share",(Database!$AL157&lt;&gt;"")),AND(Screener!$B$17="Without A-share",NOT((Database!$AL157&lt;&gt;"")))),1,0)=0),-999999,IF(Screener!$B$15="cornerstone overlap first",H157*100000,0)+W_SUB*B157+W_SEC*C157*(1-B157)+W_SIZE*D157+W_PROF*E157+W_AH*F157+W_REC*G157+W_CS*H157)+ROW()/1000000</f>
        <v/>
      </c>
      <c r="K157">
        <f>Database!B149</f>
        <v/>
      </c>
      <c r="L157">
        <f>Database!D149</f>
        <v/>
      </c>
      <c r="M157">
        <f>Database!E149</f>
        <v/>
      </c>
      <c r="N157">
        <f>Database!H149</f>
        <v/>
      </c>
      <c r="O157">
        <f>Database!AH149</f>
        <v/>
      </c>
      <c r="P157">
        <f>Database!AK149</f>
        <v/>
      </c>
      <c r="Q157">
        <f>Database!G149</f>
        <v/>
      </c>
    </row>
    <row r="158">
      <c r="A158">
        <f>Database!B158</f>
        <v/>
      </c>
      <c r="B158">
        <f>IF(AND(Screener!$D$9&lt;&gt;"",Database!$E158=Screener!$D$9),1,0)</f>
        <v/>
      </c>
      <c r="C158">
        <f>IF(AND(Screener!$D$8&lt;&gt;"",Database!$D158=Screener!$D$8),1,0)</f>
        <v/>
      </c>
      <c r="D158">
        <f>IF(OR(Database!$H158="",N(Screener!$D$10)&lt;=0),0,MAX(0,1-ABS(LOG10(Database!$H158/Screener!$D$10))/W_SIZEHW))</f>
        <v/>
      </c>
      <c r="E158">
        <f>IF(OR(Database!$AH158="",Screener!$D$11=""),0,IF(Database!$AH158=Screener!$D$11,1,0))</f>
        <v/>
      </c>
      <c r="F158">
        <f>IF(OR(Database!$AK158="",Screener!$D$12=""),0,IF(Database!$AK158=Screener!$D$12,1,0))</f>
        <v/>
      </c>
      <c r="G158">
        <f>IF(OR(Database!$G158="",N(Screener!$D$13)&lt;=0),0,MAX(0,1-(N(Screener!$D$13)-Database!$G158)/W_RECD))</f>
        <v/>
      </c>
      <c r="H158">
        <f>IF($K$1="",0,N(ISNUMBER(SEARCH($K$1,Database!$T158&amp;""))))+IF($L$1="",0,N(ISNUMBER(SEARCH($L$1,Database!$T158&amp;""))))+IF($M$1="",0,N(ISNUMBER(SEARCH($M$1,Database!$T158&amp;""))))+IF($N$1="",0,N(ISNUMBER(SEARCH($N$1,Database!$T158&amp;""))))+IF($O$1="",0,N(ISNUMBER(SEARCH($O$1,Database!$T158&amp;""))))+IF(Screener!$B$14="",0,N(ISNUMBER(SEARCH(Screener!$B$14,Database!$T158&amp;""))))</f>
        <v/>
      </c>
      <c r="I158">
        <f>IF(OR(Database!$B158=Screener!$B$5,IF(OR(Screener!$B$17="All",AND(Screener!$B$17="With A-share",(Database!$AL158&lt;&gt;"")),AND(Screener!$B$17="Without A-share",NOT((Database!$AL158&lt;&gt;"")))),1,0)=0),-999999,IF(Screener!$B$15="cornerstone overlap first",H158*100000,0)+W_SUB*B158+W_SEC*C158*(1-B158)+W_SIZE*D158+W_PROF*E158+W_AH*F158+W_REC*G158+W_CS*H158)+ROW()/1000000</f>
        <v/>
      </c>
      <c r="K158">
        <f>Database!B150</f>
        <v/>
      </c>
      <c r="L158">
        <f>Database!D150</f>
        <v/>
      </c>
      <c r="M158">
        <f>Database!E150</f>
        <v/>
      </c>
      <c r="N158">
        <f>Database!H150</f>
        <v/>
      </c>
      <c r="O158">
        <f>Database!AH150</f>
        <v/>
      </c>
      <c r="P158">
        <f>Database!AK150</f>
        <v/>
      </c>
      <c r="Q158">
        <f>Database!G150</f>
        <v/>
      </c>
    </row>
    <row r="159">
      <c r="A159">
        <f>Database!B159</f>
        <v/>
      </c>
      <c r="B159">
        <f>IF(AND(Screener!$D$9&lt;&gt;"",Database!$E159=Screener!$D$9),1,0)</f>
        <v/>
      </c>
      <c r="C159">
        <f>IF(AND(Screener!$D$8&lt;&gt;"",Database!$D159=Screener!$D$8),1,0)</f>
        <v/>
      </c>
      <c r="D159">
        <f>IF(OR(Database!$H159="",N(Screener!$D$10)&lt;=0),0,MAX(0,1-ABS(LOG10(Database!$H159/Screener!$D$10))/W_SIZEHW))</f>
        <v/>
      </c>
      <c r="E159">
        <f>IF(OR(Database!$AH159="",Screener!$D$11=""),0,IF(Database!$AH159=Screener!$D$11,1,0))</f>
        <v/>
      </c>
      <c r="F159">
        <f>IF(OR(Database!$AK159="",Screener!$D$12=""),0,IF(Database!$AK159=Screener!$D$12,1,0))</f>
        <v/>
      </c>
      <c r="G159">
        <f>IF(OR(Database!$G159="",N(Screener!$D$13)&lt;=0),0,MAX(0,1-(N(Screener!$D$13)-Database!$G159)/W_RECD))</f>
        <v/>
      </c>
      <c r="H159">
        <f>IF($K$1="",0,N(ISNUMBER(SEARCH($K$1,Database!$T159&amp;""))))+IF($L$1="",0,N(ISNUMBER(SEARCH($L$1,Database!$T159&amp;""))))+IF($M$1="",0,N(ISNUMBER(SEARCH($M$1,Database!$T159&amp;""))))+IF($N$1="",0,N(ISNUMBER(SEARCH($N$1,Database!$T159&amp;""))))+IF($O$1="",0,N(ISNUMBER(SEARCH($O$1,Database!$T159&amp;""))))+IF(Screener!$B$14="",0,N(ISNUMBER(SEARCH(Screener!$B$14,Database!$T159&amp;""))))</f>
        <v/>
      </c>
      <c r="I159">
        <f>IF(OR(Database!$B159=Screener!$B$5,IF(OR(Screener!$B$17="All",AND(Screener!$B$17="With A-share",(Database!$AL159&lt;&gt;"")),AND(Screener!$B$17="Without A-share",NOT((Database!$AL159&lt;&gt;"")))),1,0)=0),-999999,IF(Screener!$B$15="cornerstone overlap first",H159*100000,0)+W_SUB*B159+W_SEC*C159*(1-B159)+W_SIZE*D159+W_PROF*E159+W_AH*F159+W_REC*G159+W_CS*H159)+ROW()/1000000</f>
        <v/>
      </c>
      <c r="K159">
        <f>Database!B151</f>
        <v/>
      </c>
      <c r="L159">
        <f>Database!D151</f>
        <v/>
      </c>
      <c r="M159">
        <f>Database!E151</f>
        <v/>
      </c>
      <c r="N159">
        <f>Database!H151</f>
        <v/>
      </c>
      <c r="O159">
        <f>Database!AH151</f>
        <v/>
      </c>
      <c r="P159">
        <f>Database!AK151</f>
        <v/>
      </c>
      <c r="Q159">
        <f>Database!G151</f>
        <v/>
      </c>
    </row>
    <row r="160">
      <c r="A160">
        <f>Database!B160</f>
        <v/>
      </c>
      <c r="B160">
        <f>IF(AND(Screener!$D$9&lt;&gt;"",Database!$E160=Screener!$D$9),1,0)</f>
        <v/>
      </c>
      <c r="C160">
        <f>IF(AND(Screener!$D$8&lt;&gt;"",Database!$D160=Screener!$D$8),1,0)</f>
        <v/>
      </c>
      <c r="D160">
        <f>IF(OR(Database!$H160="",N(Screener!$D$10)&lt;=0),0,MAX(0,1-ABS(LOG10(Database!$H160/Screener!$D$10))/W_SIZEHW))</f>
        <v/>
      </c>
      <c r="E160">
        <f>IF(OR(Database!$AH160="",Screener!$D$11=""),0,IF(Database!$AH160=Screener!$D$11,1,0))</f>
        <v/>
      </c>
      <c r="F160">
        <f>IF(OR(Database!$AK160="",Screener!$D$12=""),0,IF(Database!$AK160=Screener!$D$12,1,0))</f>
        <v/>
      </c>
      <c r="G160">
        <f>IF(OR(Database!$G160="",N(Screener!$D$13)&lt;=0),0,MAX(0,1-(N(Screener!$D$13)-Database!$G160)/W_RECD))</f>
        <v/>
      </c>
      <c r="H160">
        <f>IF($K$1="",0,N(ISNUMBER(SEARCH($K$1,Database!$T160&amp;""))))+IF($L$1="",0,N(ISNUMBER(SEARCH($L$1,Database!$T160&amp;""))))+IF($M$1="",0,N(ISNUMBER(SEARCH($M$1,Database!$T160&amp;""))))+IF($N$1="",0,N(ISNUMBER(SEARCH($N$1,Database!$T160&amp;""))))+IF($O$1="",0,N(ISNUMBER(SEARCH($O$1,Database!$T160&amp;""))))+IF(Screener!$B$14="",0,N(ISNUMBER(SEARCH(Screener!$B$14,Database!$T160&amp;""))))</f>
        <v/>
      </c>
      <c r="I160">
        <f>IF(OR(Database!$B160=Screener!$B$5,IF(OR(Screener!$B$17="All",AND(Screener!$B$17="With A-share",(Database!$AL160&lt;&gt;"")),AND(Screener!$B$17="Without A-share",NOT((Database!$AL160&lt;&gt;"")))),1,0)=0),-999999,IF(Screener!$B$15="cornerstone overlap first",H160*100000,0)+W_SUB*B160+W_SEC*C160*(1-B160)+W_SIZE*D160+W_PROF*E160+W_AH*F160+W_REC*G160+W_CS*H160)+ROW()/1000000</f>
        <v/>
      </c>
      <c r="K160">
        <f>Database!B152</f>
        <v/>
      </c>
      <c r="L160">
        <f>Database!D152</f>
        <v/>
      </c>
      <c r="M160">
        <f>Database!E152</f>
        <v/>
      </c>
      <c r="N160">
        <f>Database!H152</f>
        <v/>
      </c>
      <c r="O160">
        <f>Database!AH152</f>
        <v/>
      </c>
      <c r="P160">
        <f>Database!AK152</f>
        <v/>
      </c>
      <c r="Q160">
        <f>Database!G152</f>
        <v/>
      </c>
    </row>
    <row r="161">
      <c r="A161">
        <f>Database!B161</f>
        <v/>
      </c>
      <c r="B161">
        <f>IF(AND(Screener!$D$9&lt;&gt;"",Database!$E161=Screener!$D$9),1,0)</f>
        <v/>
      </c>
      <c r="C161">
        <f>IF(AND(Screener!$D$8&lt;&gt;"",Database!$D161=Screener!$D$8),1,0)</f>
        <v/>
      </c>
      <c r="D161">
        <f>IF(OR(Database!$H161="",N(Screener!$D$10)&lt;=0),0,MAX(0,1-ABS(LOG10(Database!$H161/Screener!$D$10))/W_SIZEHW))</f>
        <v/>
      </c>
      <c r="E161">
        <f>IF(OR(Database!$AH161="",Screener!$D$11=""),0,IF(Database!$AH161=Screener!$D$11,1,0))</f>
        <v/>
      </c>
      <c r="F161">
        <f>IF(OR(Database!$AK161="",Screener!$D$12=""),0,IF(Database!$AK161=Screener!$D$12,1,0))</f>
        <v/>
      </c>
      <c r="G161">
        <f>IF(OR(Database!$G161="",N(Screener!$D$13)&lt;=0),0,MAX(0,1-(N(Screener!$D$13)-Database!$G161)/W_RECD))</f>
        <v/>
      </c>
      <c r="H161">
        <f>IF($K$1="",0,N(ISNUMBER(SEARCH($K$1,Database!$T161&amp;""))))+IF($L$1="",0,N(ISNUMBER(SEARCH($L$1,Database!$T161&amp;""))))+IF($M$1="",0,N(ISNUMBER(SEARCH($M$1,Database!$T161&amp;""))))+IF($N$1="",0,N(ISNUMBER(SEARCH($N$1,Database!$T161&amp;""))))+IF($O$1="",0,N(ISNUMBER(SEARCH($O$1,Database!$T161&amp;""))))+IF(Screener!$B$14="",0,N(ISNUMBER(SEARCH(Screener!$B$14,Database!$T161&amp;""))))</f>
        <v/>
      </c>
      <c r="I161">
        <f>IF(OR(Database!$B161=Screener!$B$5,IF(OR(Screener!$B$17="All",AND(Screener!$B$17="With A-share",(Database!$AL161&lt;&gt;"")),AND(Screener!$B$17="Without A-share",NOT((Database!$AL161&lt;&gt;"")))),1,0)=0),-999999,IF(Screener!$B$15="cornerstone overlap first",H161*100000,0)+W_SUB*B161+W_SEC*C161*(1-B161)+W_SIZE*D161+W_PROF*E161+W_AH*F161+W_REC*G161+W_CS*H161)+ROW()/1000000</f>
        <v/>
      </c>
      <c r="K161">
        <f>Database!B153</f>
        <v/>
      </c>
      <c r="L161">
        <f>Database!D153</f>
        <v/>
      </c>
      <c r="M161">
        <f>Database!E153</f>
        <v/>
      </c>
      <c r="N161">
        <f>Database!H153</f>
        <v/>
      </c>
      <c r="O161">
        <f>Database!AH153</f>
        <v/>
      </c>
      <c r="P161">
        <f>Database!AK153</f>
        <v/>
      </c>
      <c r="Q161">
        <f>Database!G153</f>
        <v/>
      </c>
    </row>
    <row r="162">
      <c r="A162">
        <f>Database!B162</f>
        <v/>
      </c>
      <c r="B162">
        <f>IF(AND(Screener!$D$9&lt;&gt;"",Database!$E162=Screener!$D$9),1,0)</f>
        <v/>
      </c>
      <c r="C162">
        <f>IF(AND(Screener!$D$8&lt;&gt;"",Database!$D162=Screener!$D$8),1,0)</f>
        <v/>
      </c>
      <c r="D162">
        <f>IF(OR(Database!$H162="",N(Screener!$D$10)&lt;=0),0,MAX(0,1-ABS(LOG10(Database!$H162/Screener!$D$10))/W_SIZEHW))</f>
        <v/>
      </c>
      <c r="E162">
        <f>IF(OR(Database!$AH162="",Screener!$D$11=""),0,IF(Database!$AH162=Screener!$D$11,1,0))</f>
        <v/>
      </c>
      <c r="F162">
        <f>IF(OR(Database!$AK162="",Screener!$D$12=""),0,IF(Database!$AK162=Screener!$D$12,1,0))</f>
        <v/>
      </c>
      <c r="G162">
        <f>IF(OR(Database!$G162="",N(Screener!$D$13)&lt;=0),0,MAX(0,1-(N(Screener!$D$13)-Database!$G162)/W_RECD))</f>
        <v/>
      </c>
      <c r="H162">
        <f>IF($K$1="",0,N(ISNUMBER(SEARCH($K$1,Database!$T162&amp;""))))+IF($L$1="",0,N(ISNUMBER(SEARCH($L$1,Database!$T162&amp;""))))+IF($M$1="",0,N(ISNUMBER(SEARCH($M$1,Database!$T162&amp;""))))+IF($N$1="",0,N(ISNUMBER(SEARCH($N$1,Database!$T162&amp;""))))+IF($O$1="",0,N(ISNUMBER(SEARCH($O$1,Database!$T162&amp;""))))+IF(Screener!$B$14="",0,N(ISNUMBER(SEARCH(Screener!$B$14,Database!$T162&amp;""))))</f>
        <v/>
      </c>
      <c r="I162">
        <f>IF(OR(Database!$B162=Screener!$B$5,IF(OR(Screener!$B$17="All",AND(Screener!$B$17="With A-share",(Database!$AL162&lt;&gt;"")),AND(Screener!$B$17="Without A-share",NOT((Database!$AL162&lt;&gt;"")))),1,0)=0),-999999,IF(Screener!$B$15="cornerstone overlap first",H162*100000,0)+W_SUB*B162+W_SEC*C162*(1-B162)+W_SIZE*D162+W_PROF*E162+W_AH*F162+W_REC*G162+W_CS*H162)+ROW()/1000000</f>
        <v/>
      </c>
      <c r="K162">
        <f>Database!B154</f>
        <v/>
      </c>
      <c r="L162">
        <f>Database!D154</f>
        <v/>
      </c>
      <c r="M162">
        <f>Database!E154</f>
        <v/>
      </c>
      <c r="N162">
        <f>Database!H154</f>
        <v/>
      </c>
      <c r="O162">
        <f>Database!AH154</f>
        <v/>
      </c>
      <c r="P162">
        <f>Database!AK154</f>
        <v/>
      </c>
      <c r="Q162">
        <f>Database!G154</f>
        <v/>
      </c>
    </row>
    <row r="163">
      <c r="A163">
        <f>Database!B163</f>
        <v/>
      </c>
      <c r="B163">
        <f>IF(AND(Screener!$D$9&lt;&gt;"",Database!$E163=Screener!$D$9),1,0)</f>
        <v/>
      </c>
      <c r="C163">
        <f>IF(AND(Screener!$D$8&lt;&gt;"",Database!$D163=Screener!$D$8),1,0)</f>
        <v/>
      </c>
      <c r="D163">
        <f>IF(OR(Database!$H163="",N(Screener!$D$10)&lt;=0),0,MAX(0,1-ABS(LOG10(Database!$H163/Screener!$D$10))/W_SIZEHW))</f>
        <v/>
      </c>
      <c r="E163">
        <f>IF(OR(Database!$AH163="",Screener!$D$11=""),0,IF(Database!$AH163=Screener!$D$11,1,0))</f>
        <v/>
      </c>
      <c r="F163">
        <f>IF(OR(Database!$AK163="",Screener!$D$12=""),0,IF(Database!$AK163=Screener!$D$12,1,0))</f>
        <v/>
      </c>
      <c r="G163">
        <f>IF(OR(Database!$G163="",N(Screener!$D$13)&lt;=0),0,MAX(0,1-(N(Screener!$D$13)-Database!$G163)/W_RECD))</f>
        <v/>
      </c>
      <c r="H163">
        <f>IF($K$1="",0,N(ISNUMBER(SEARCH($K$1,Database!$T163&amp;""))))+IF($L$1="",0,N(ISNUMBER(SEARCH($L$1,Database!$T163&amp;""))))+IF($M$1="",0,N(ISNUMBER(SEARCH($M$1,Database!$T163&amp;""))))+IF($N$1="",0,N(ISNUMBER(SEARCH($N$1,Database!$T163&amp;""))))+IF($O$1="",0,N(ISNUMBER(SEARCH($O$1,Database!$T163&amp;""))))+IF(Screener!$B$14="",0,N(ISNUMBER(SEARCH(Screener!$B$14,Database!$T163&amp;""))))</f>
        <v/>
      </c>
      <c r="I163">
        <f>IF(OR(Database!$B163=Screener!$B$5,IF(OR(Screener!$B$17="All",AND(Screener!$B$17="With A-share",(Database!$AL163&lt;&gt;"")),AND(Screener!$B$17="Without A-share",NOT((Database!$AL163&lt;&gt;"")))),1,0)=0),-999999,IF(Screener!$B$15="cornerstone overlap first",H163*100000,0)+W_SUB*B163+W_SEC*C163*(1-B163)+W_SIZE*D163+W_PROF*E163+W_AH*F163+W_REC*G163+W_CS*H163)+ROW()/1000000</f>
        <v/>
      </c>
      <c r="K163">
        <f>Database!B155</f>
        <v/>
      </c>
      <c r="L163">
        <f>Database!D155</f>
        <v/>
      </c>
      <c r="M163">
        <f>Database!E155</f>
        <v/>
      </c>
      <c r="N163">
        <f>Database!H155</f>
        <v/>
      </c>
      <c r="O163">
        <f>Database!AH155</f>
        <v/>
      </c>
      <c r="P163">
        <f>Database!AK155</f>
        <v/>
      </c>
      <c r="Q163">
        <f>Database!G155</f>
        <v/>
      </c>
    </row>
    <row r="164">
      <c r="A164">
        <f>Database!B164</f>
        <v/>
      </c>
      <c r="B164">
        <f>IF(AND(Screener!$D$9&lt;&gt;"",Database!$E164=Screener!$D$9),1,0)</f>
        <v/>
      </c>
      <c r="C164">
        <f>IF(AND(Screener!$D$8&lt;&gt;"",Database!$D164=Screener!$D$8),1,0)</f>
        <v/>
      </c>
      <c r="D164">
        <f>IF(OR(Database!$H164="",N(Screener!$D$10)&lt;=0),0,MAX(0,1-ABS(LOG10(Database!$H164/Screener!$D$10))/W_SIZEHW))</f>
        <v/>
      </c>
      <c r="E164">
        <f>IF(OR(Database!$AH164="",Screener!$D$11=""),0,IF(Database!$AH164=Screener!$D$11,1,0))</f>
        <v/>
      </c>
      <c r="F164">
        <f>IF(OR(Database!$AK164="",Screener!$D$12=""),0,IF(Database!$AK164=Screener!$D$12,1,0))</f>
        <v/>
      </c>
      <c r="G164">
        <f>IF(OR(Database!$G164="",N(Screener!$D$13)&lt;=0),0,MAX(0,1-(N(Screener!$D$13)-Database!$G164)/W_RECD))</f>
        <v/>
      </c>
      <c r="H164">
        <f>IF($K$1="",0,N(ISNUMBER(SEARCH($K$1,Database!$T164&amp;""))))+IF($L$1="",0,N(ISNUMBER(SEARCH($L$1,Database!$T164&amp;""))))+IF($M$1="",0,N(ISNUMBER(SEARCH($M$1,Database!$T164&amp;""))))+IF($N$1="",0,N(ISNUMBER(SEARCH($N$1,Database!$T164&amp;""))))+IF($O$1="",0,N(ISNUMBER(SEARCH($O$1,Database!$T164&amp;""))))+IF(Screener!$B$14="",0,N(ISNUMBER(SEARCH(Screener!$B$14,Database!$T164&amp;""))))</f>
        <v/>
      </c>
      <c r="I164">
        <f>IF(OR(Database!$B164=Screener!$B$5,IF(OR(Screener!$B$17="All",AND(Screener!$B$17="With A-share",(Database!$AL164&lt;&gt;"")),AND(Screener!$B$17="Without A-share",NOT((Database!$AL164&lt;&gt;"")))),1,0)=0),-999999,IF(Screener!$B$15="cornerstone overlap first",H164*100000,0)+W_SUB*B164+W_SEC*C164*(1-B164)+W_SIZE*D164+W_PROF*E164+W_AH*F164+W_REC*G164+W_CS*H164)+ROW()/1000000</f>
        <v/>
      </c>
      <c r="K164">
        <f>Database!B156</f>
        <v/>
      </c>
      <c r="L164">
        <f>Database!D156</f>
        <v/>
      </c>
      <c r="M164">
        <f>Database!E156</f>
        <v/>
      </c>
      <c r="N164">
        <f>Database!H156</f>
        <v/>
      </c>
      <c r="O164">
        <f>Database!AH156</f>
        <v/>
      </c>
      <c r="P164">
        <f>Database!AK156</f>
        <v/>
      </c>
      <c r="Q164">
        <f>Database!G156</f>
        <v/>
      </c>
    </row>
    <row r="165">
      <c r="A165">
        <f>Database!B165</f>
        <v/>
      </c>
      <c r="B165">
        <f>IF(AND(Screener!$D$9&lt;&gt;"",Database!$E165=Screener!$D$9),1,0)</f>
        <v/>
      </c>
      <c r="C165">
        <f>IF(AND(Screener!$D$8&lt;&gt;"",Database!$D165=Screener!$D$8),1,0)</f>
        <v/>
      </c>
      <c r="D165">
        <f>IF(OR(Database!$H165="",N(Screener!$D$10)&lt;=0),0,MAX(0,1-ABS(LOG10(Database!$H165/Screener!$D$10))/W_SIZEHW))</f>
        <v/>
      </c>
      <c r="E165">
        <f>IF(OR(Database!$AH165="",Screener!$D$11=""),0,IF(Database!$AH165=Screener!$D$11,1,0))</f>
        <v/>
      </c>
      <c r="F165">
        <f>IF(OR(Database!$AK165="",Screener!$D$12=""),0,IF(Database!$AK165=Screener!$D$12,1,0))</f>
        <v/>
      </c>
      <c r="G165">
        <f>IF(OR(Database!$G165="",N(Screener!$D$13)&lt;=0),0,MAX(0,1-(N(Screener!$D$13)-Database!$G165)/W_RECD))</f>
        <v/>
      </c>
      <c r="H165">
        <f>IF($K$1="",0,N(ISNUMBER(SEARCH($K$1,Database!$T165&amp;""))))+IF($L$1="",0,N(ISNUMBER(SEARCH($L$1,Database!$T165&amp;""))))+IF($M$1="",0,N(ISNUMBER(SEARCH($M$1,Database!$T165&amp;""))))+IF($N$1="",0,N(ISNUMBER(SEARCH($N$1,Database!$T165&amp;""))))+IF($O$1="",0,N(ISNUMBER(SEARCH($O$1,Database!$T165&amp;""))))+IF(Screener!$B$14="",0,N(ISNUMBER(SEARCH(Screener!$B$14,Database!$T165&amp;""))))</f>
        <v/>
      </c>
      <c r="I165">
        <f>IF(OR(Database!$B165=Screener!$B$5,IF(OR(Screener!$B$17="All",AND(Screener!$B$17="With A-share",(Database!$AL165&lt;&gt;"")),AND(Screener!$B$17="Without A-share",NOT((Database!$AL165&lt;&gt;"")))),1,0)=0),-999999,IF(Screener!$B$15="cornerstone overlap first",H165*100000,0)+W_SUB*B165+W_SEC*C165*(1-B165)+W_SIZE*D165+W_PROF*E165+W_AH*F165+W_REC*G165+W_CS*H165)+ROW()/1000000</f>
        <v/>
      </c>
      <c r="K165">
        <f>Database!B157</f>
        <v/>
      </c>
      <c r="L165">
        <f>Database!D157</f>
        <v/>
      </c>
      <c r="M165">
        <f>Database!E157</f>
        <v/>
      </c>
      <c r="N165">
        <f>Database!H157</f>
        <v/>
      </c>
      <c r="O165">
        <f>Database!AH157</f>
        <v/>
      </c>
      <c r="P165">
        <f>Database!AK157</f>
        <v/>
      </c>
      <c r="Q165">
        <f>Database!G157</f>
        <v/>
      </c>
    </row>
    <row r="166">
      <c r="A166">
        <f>Database!B166</f>
        <v/>
      </c>
      <c r="B166">
        <f>IF(AND(Screener!$D$9&lt;&gt;"",Database!$E166=Screener!$D$9),1,0)</f>
        <v/>
      </c>
      <c r="C166">
        <f>IF(AND(Screener!$D$8&lt;&gt;"",Database!$D166=Screener!$D$8),1,0)</f>
        <v/>
      </c>
      <c r="D166">
        <f>IF(OR(Database!$H166="",N(Screener!$D$10)&lt;=0),0,MAX(0,1-ABS(LOG10(Database!$H166/Screener!$D$10))/W_SIZEHW))</f>
        <v/>
      </c>
      <c r="E166">
        <f>IF(OR(Database!$AH166="",Screener!$D$11=""),0,IF(Database!$AH166=Screener!$D$11,1,0))</f>
        <v/>
      </c>
      <c r="F166">
        <f>IF(OR(Database!$AK166="",Screener!$D$12=""),0,IF(Database!$AK166=Screener!$D$12,1,0))</f>
        <v/>
      </c>
      <c r="G166">
        <f>IF(OR(Database!$G166="",N(Screener!$D$13)&lt;=0),0,MAX(0,1-(N(Screener!$D$13)-Database!$G166)/W_RECD))</f>
        <v/>
      </c>
      <c r="H166">
        <f>IF($K$1="",0,N(ISNUMBER(SEARCH($K$1,Database!$T166&amp;""))))+IF($L$1="",0,N(ISNUMBER(SEARCH($L$1,Database!$T166&amp;""))))+IF($M$1="",0,N(ISNUMBER(SEARCH($M$1,Database!$T166&amp;""))))+IF($N$1="",0,N(ISNUMBER(SEARCH($N$1,Database!$T166&amp;""))))+IF($O$1="",0,N(ISNUMBER(SEARCH($O$1,Database!$T166&amp;""))))+IF(Screener!$B$14="",0,N(ISNUMBER(SEARCH(Screener!$B$14,Database!$T166&amp;""))))</f>
        <v/>
      </c>
      <c r="I166">
        <f>IF(OR(Database!$B166=Screener!$B$5,IF(OR(Screener!$B$17="All",AND(Screener!$B$17="With A-share",(Database!$AL166&lt;&gt;"")),AND(Screener!$B$17="Without A-share",NOT((Database!$AL166&lt;&gt;"")))),1,0)=0),-999999,IF(Screener!$B$15="cornerstone overlap first",H166*100000,0)+W_SUB*B166+W_SEC*C166*(1-B166)+W_SIZE*D166+W_PROF*E166+W_AH*F166+W_REC*G166+W_CS*H166)+ROW()/1000000</f>
        <v/>
      </c>
      <c r="K166">
        <f>Database!B158</f>
        <v/>
      </c>
      <c r="L166">
        <f>Database!D158</f>
        <v/>
      </c>
      <c r="M166">
        <f>Database!E158</f>
        <v/>
      </c>
      <c r="N166">
        <f>Database!H158</f>
        <v/>
      </c>
      <c r="O166">
        <f>Database!AH158</f>
        <v/>
      </c>
      <c r="P166">
        <f>Database!AK158</f>
        <v/>
      </c>
      <c r="Q166">
        <f>Database!G158</f>
        <v/>
      </c>
    </row>
    <row r="167">
      <c r="A167">
        <f>Database!B167</f>
        <v/>
      </c>
      <c r="B167">
        <f>IF(AND(Screener!$D$9&lt;&gt;"",Database!$E167=Screener!$D$9),1,0)</f>
        <v/>
      </c>
      <c r="C167">
        <f>IF(AND(Screener!$D$8&lt;&gt;"",Database!$D167=Screener!$D$8),1,0)</f>
        <v/>
      </c>
      <c r="D167">
        <f>IF(OR(Database!$H167="",N(Screener!$D$10)&lt;=0),0,MAX(0,1-ABS(LOG10(Database!$H167/Screener!$D$10))/W_SIZEHW))</f>
        <v/>
      </c>
      <c r="E167">
        <f>IF(OR(Database!$AH167="",Screener!$D$11=""),0,IF(Database!$AH167=Screener!$D$11,1,0))</f>
        <v/>
      </c>
      <c r="F167">
        <f>IF(OR(Database!$AK167="",Screener!$D$12=""),0,IF(Database!$AK167=Screener!$D$12,1,0))</f>
        <v/>
      </c>
      <c r="G167">
        <f>IF(OR(Database!$G167="",N(Screener!$D$13)&lt;=0),0,MAX(0,1-(N(Screener!$D$13)-Database!$G167)/W_RECD))</f>
        <v/>
      </c>
      <c r="H167">
        <f>IF($K$1="",0,N(ISNUMBER(SEARCH($K$1,Database!$T167&amp;""))))+IF($L$1="",0,N(ISNUMBER(SEARCH($L$1,Database!$T167&amp;""))))+IF($M$1="",0,N(ISNUMBER(SEARCH($M$1,Database!$T167&amp;""))))+IF($N$1="",0,N(ISNUMBER(SEARCH($N$1,Database!$T167&amp;""))))+IF($O$1="",0,N(ISNUMBER(SEARCH($O$1,Database!$T167&amp;""))))+IF(Screener!$B$14="",0,N(ISNUMBER(SEARCH(Screener!$B$14,Database!$T167&amp;""))))</f>
        <v/>
      </c>
      <c r="I167">
        <f>IF(OR(Database!$B167=Screener!$B$5,IF(OR(Screener!$B$17="All",AND(Screener!$B$17="With A-share",(Database!$AL167&lt;&gt;"")),AND(Screener!$B$17="Without A-share",NOT((Database!$AL167&lt;&gt;"")))),1,0)=0),-999999,IF(Screener!$B$15="cornerstone overlap first",H167*100000,0)+W_SUB*B167+W_SEC*C167*(1-B167)+W_SIZE*D167+W_PROF*E167+W_AH*F167+W_REC*G167+W_CS*H167)+ROW()/1000000</f>
        <v/>
      </c>
      <c r="K167">
        <f>Database!B159</f>
        <v/>
      </c>
      <c r="L167">
        <f>Database!D159</f>
        <v/>
      </c>
      <c r="M167">
        <f>Database!E159</f>
        <v/>
      </c>
      <c r="N167">
        <f>Database!H159</f>
        <v/>
      </c>
      <c r="O167">
        <f>Database!AH159</f>
        <v/>
      </c>
      <c r="P167">
        <f>Database!AK159</f>
        <v/>
      </c>
      <c r="Q167">
        <f>Database!G159</f>
        <v/>
      </c>
    </row>
    <row r="168">
      <c r="A168">
        <f>Database!B168</f>
        <v/>
      </c>
      <c r="B168">
        <f>IF(AND(Screener!$D$9&lt;&gt;"",Database!$E168=Screener!$D$9),1,0)</f>
        <v/>
      </c>
      <c r="C168">
        <f>IF(AND(Screener!$D$8&lt;&gt;"",Database!$D168=Screener!$D$8),1,0)</f>
        <v/>
      </c>
      <c r="D168">
        <f>IF(OR(Database!$H168="",N(Screener!$D$10)&lt;=0),0,MAX(0,1-ABS(LOG10(Database!$H168/Screener!$D$10))/W_SIZEHW))</f>
        <v/>
      </c>
      <c r="E168">
        <f>IF(OR(Database!$AH168="",Screener!$D$11=""),0,IF(Database!$AH168=Screener!$D$11,1,0))</f>
        <v/>
      </c>
      <c r="F168">
        <f>IF(OR(Database!$AK168="",Screener!$D$12=""),0,IF(Database!$AK168=Screener!$D$12,1,0))</f>
        <v/>
      </c>
      <c r="G168">
        <f>IF(OR(Database!$G168="",N(Screener!$D$13)&lt;=0),0,MAX(0,1-(N(Screener!$D$13)-Database!$G168)/W_RECD))</f>
        <v/>
      </c>
      <c r="H168">
        <f>IF($K$1="",0,N(ISNUMBER(SEARCH($K$1,Database!$T168&amp;""))))+IF($L$1="",0,N(ISNUMBER(SEARCH($L$1,Database!$T168&amp;""))))+IF($M$1="",0,N(ISNUMBER(SEARCH($M$1,Database!$T168&amp;""))))+IF($N$1="",0,N(ISNUMBER(SEARCH($N$1,Database!$T168&amp;""))))+IF($O$1="",0,N(ISNUMBER(SEARCH($O$1,Database!$T168&amp;""))))+IF(Screener!$B$14="",0,N(ISNUMBER(SEARCH(Screener!$B$14,Database!$T168&amp;""))))</f>
        <v/>
      </c>
      <c r="I168">
        <f>IF(OR(Database!$B168=Screener!$B$5,IF(OR(Screener!$B$17="All",AND(Screener!$B$17="With A-share",(Database!$AL168&lt;&gt;"")),AND(Screener!$B$17="Without A-share",NOT((Database!$AL168&lt;&gt;"")))),1,0)=0),-999999,IF(Screener!$B$15="cornerstone overlap first",H168*100000,0)+W_SUB*B168+W_SEC*C168*(1-B168)+W_SIZE*D168+W_PROF*E168+W_AH*F168+W_REC*G168+W_CS*H168)+ROW()/1000000</f>
        <v/>
      </c>
      <c r="K168">
        <f>Database!B160</f>
        <v/>
      </c>
      <c r="L168">
        <f>Database!D160</f>
        <v/>
      </c>
      <c r="M168">
        <f>Database!E160</f>
        <v/>
      </c>
      <c r="N168">
        <f>Database!H160</f>
        <v/>
      </c>
      <c r="O168">
        <f>Database!AH160</f>
        <v/>
      </c>
      <c r="P168">
        <f>Database!AK160</f>
        <v/>
      </c>
      <c r="Q168">
        <f>Database!G160</f>
        <v/>
      </c>
    </row>
    <row r="169">
      <c r="A169">
        <f>Database!B169</f>
        <v/>
      </c>
      <c r="B169">
        <f>IF(AND(Screener!$D$9&lt;&gt;"",Database!$E169=Screener!$D$9),1,0)</f>
        <v/>
      </c>
      <c r="C169">
        <f>IF(AND(Screener!$D$8&lt;&gt;"",Database!$D169=Screener!$D$8),1,0)</f>
        <v/>
      </c>
      <c r="D169">
        <f>IF(OR(Database!$H169="",N(Screener!$D$10)&lt;=0),0,MAX(0,1-ABS(LOG10(Database!$H169/Screener!$D$10))/W_SIZEHW))</f>
        <v/>
      </c>
      <c r="E169">
        <f>IF(OR(Database!$AH169="",Screener!$D$11=""),0,IF(Database!$AH169=Screener!$D$11,1,0))</f>
        <v/>
      </c>
      <c r="F169">
        <f>IF(OR(Database!$AK169="",Screener!$D$12=""),0,IF(Database!$AK169=Screener!$D$12,1,0))</f>
        <v/>
      </c>
      <c r="G169">
        <f>IF(OR(Database!$G169="",N(Screener!$D$13)&lt;=0),0,MAX(0,1-(N(Screener!$D$13)-Database!$G169)/W_RECD))</f>
        <v/>
      </c>
      <c r="H169">
        <f>IF($K$1="",0,N(ISNUMBER(SEARCH($K$1,Database!$T169&amp;""))))+IF($L$1="",0,N(ISNUMBER(SEARCH($L$1,Database!$T169&amp;""))))+IF($M$1="",0,N(ISNUMBER(SEARCH($M$1,Database!$T169&amp;""))))+IF($N$1="",0,N(ISNUMBER(SEARCH($N$1,Database!$T169&amp;""))))+IF($O$1="",0,N(ISNUMBER(SEARCH($O$1,Database!$T169&amp;""))))+IF(Screener!$B$14="",0,N(ISNUMBER(SEARCH(Screener!$B$14,Database!$T169&amp;""))))</f>
        <v/>
      </c>
      <c r="I169">
        <f>IF(OR(Database!$B169=Screener!$B$5,IF(OR(Screener!$B$17="All",AND(Screener!$B$17="With A-share",(Database!$AL169&lt;&gt;"")),AND(Screener!$B$17="Without A-share",NOT((Database!$AL169&lt;&gt;"")))),1,0)=0),-999999,IF(Screener!$B$15="cornerstone overlap first",H169*100000,0)+W_SUB*B169+W_SEC*C169*(1-B169)+W_SIZE*D169+W_PROF*E169+W_AH*F169+W_REC*G169+W_CS*H169)+ROW()/1000000</f>
        <v/>
      </c>
      <c r="K169">
        <f>Database!B161</f>
        <v/>
      </c>
      <c r="L169">
        <f>Database!D161</f>
        <v/>
      </c>
      <c r="M169">
        <f>Database!E161</f>
        <v/>
      </c>
      <c r="N169">
        <f>Database!H161</f>
        <v/>
      </c>
      <c r="O169">
        <f>Database!AH161</f>
        <v/>
      </c>
      <c r="P169">
        <f>Database!AK161</f>
        <v/>
      </c>
      <c r="Q169">
        <f>Database!G161</f>
        <v/>
      </c>
    </row>
    <row r="170">
      <c r="A170">
        <f>Database!B170</f>
        <v/>
      </c>
      <c r="B170">
        <f>IF(AND(Screener!$D$9&lt;&gt;"",Database!$E170=Screener!$D$9),1,0)</f>
        <v/>
      </c>
      <c r="C170">
        <f>IF(AND(Screener!$D$8&lt;&gt;"",Database!$D170=Screener!$D$8),1,0)</f>
        <v/>
      </c>
      <c r="D170">
        <f>IF(OR(Database!$H170="",N(Screener!$D$10)&lt;=0),0,MAX(0,1-ABS(LOG10(Database!$H170/Screener!$D$10))/W_SIZEHW))</f>
        <v/>
      </c>
      <c r="E170">
        <f>IF(OR(Database!$AH170="",Screener!$D$11=""),0,IF(Database!$AH170=Screener!$D$11,1,0))</f>
        <v/>
      </c>
      <c r="F170">
        <f>IF(OR(Database!$AK170="",Screener!$D$12=""),0,IF(Database!$AK170=Screener!$D$12,1,0))</f>
        <v/>
      </c>
      <c r="G170">
        <f>IF(OR(Database!$G170="",N(Screener!$D$13)&lt;=0),0,MAX(0,1-(N(Screener!$D$13)-Database!$G170)/W_RECD))</f>
        <v/>
      </c>
      <c r="H170">
        <f>IF($K$1="",0,N(ISNUMBER(SEARCH($K$1,Database!$T170&amp;""))))+IF($L$1="",0,N(ISNUMBER(SEARCH($L$1,Database!$T170&amp;""))))+IF($M$1="",0,N(ISNUMBER(SEARCH($M$1,Database!$T170&amp;""))))+IF($N$1="",0,N(ISNUMBER(SEARCH($N$1,Database!$T170&amp;""))))+IF($O$1="",0,N(ISNUMBER(SEARCH($O$1,Database!$T170&amp;""))))+IF(Screener!$B$14="",0,N(ISNUMBER(SEARCH(Screener!$B$14,Database!$T170&amp;""))))</f>
        <v/>
      </c>
      <c r="I170">
        <f>IF(OR(Database!$B170=Screener!$B$5,IF(OR(Screener!$B$17="All",AND(Screener!$B$17="With A-share",(Database!$AL170&lt;&gt;"")),AND(Screener!$B$17="Without A-share",NOT((Database!$AL170&lt;&gt;"")))),1,0)=0),-999999,IF(Screener!$B$15="cornerstone overlap first",H170*100000,0)+W_SUB*B170+W_SEC*C170*(1-B170)+W_SIZE*D170+W_PROF*E170+W_AH*F170+W_REC*G170+W_CS*H170)+ROW()/1000000</f>
        <v/>
      </c>
      <c r="K170">
        <f>Database!B162</f>
        <v/>
      </c>
      <c r="L170">
        <f>Database!D162</f>
        <v/>
      </c>
      <c r="M170">
        <f>Database!E162</f>
        <v/>
      </c>
      <c r="N170">
        <f>Database!H162</f>
        <v/>
      </c>
      <c r="O170">
        <f>Database!AH162</f>
        <v/>
      </c>
      <c r="P170">
        <f>Database!AK162</f>
        <v/>
      </c>
      <c r="Q170">
        <f>Database!G162</f>
        <v/>
      </c>
    </row>
    <row r="171">
      <c r="A171">
        <f>Database!B171</f>
        <v/>
      </c>
      <c r="B171">
        <f>IF(AND(Screener!$D$9&lt;&gt;"",Database!$E171=Screener!$D$9),1,0)</f>
        <v/>
      </c>
      <c r="C171">
        <f>IF(AND(Screener!$D$8&lt;&gt;"",Database!$D171=Screener!$D$8),1,0)</f>
        <v/>
      </c>
      <c r="D171">
        <f>IF(OR(Database!$H171="",N(Screener!$D$10)&lt;=0),0,MAX(0,1-ABS(LOG10(Database!$H171/Screener!$D$10))/W_SIZEHW))</f>
        <v/>
      </c>
      <c r="E171">
        <f>IF(OR(Database!$AH171="",Screener!$D$11=""),0,IF(Database!$AH171=Screener!$D$11,1,0))</f>
        <v/>
      </c>
      <c r="F171">
        <f>IF(OR(Database!$AK171="",Screener!$D$12=""),0,IF(Database!$AK171=Screener!$D$12,1,0))</f>
        <v/>
      </c>
      <c r="G171">
        <f>IF(OR(Database!$G171="",N(Screener!$D$13)&lt;=0),0,MAX(0,1-(N(Screener!$D$13)-Database!$G171)/W_RECD))</f>
        <v/>
      </c>
      <c r="H171">
        <f>IF($K$1="",0,N(ISNUMBER(SEARCH($K$1,Database!$T171&amp;""))))+IF($L$1="",0,N(ISNUMBER(SEARCH($L$1,Database!$T171&amp;""))))+IF($M$1="",0,N(ISNUMBER(SEARCH($M$1,Database!$T171&amp;""))))+IF($N$1="",0,N(ISNUMBER(SEARCH($N$1,Database!$T171&amp;""))))+IF($O$1="",0,N(ISNUMBER(SEARCH($O$1,Database!$T171&amp;""))))+IF(Screener!$B$14="",0,N(ISNUMBER(SEARCH(Screener!$B$14,Database!$T171&amp;""))))</f>
        <v/>
      </c>
      <c r="I171">
        <f>IF(OR(Database!$B171=Screener!$B$5,IF(OR(Screener!$B$17="All",AND(Screener!$B$17="With A-share",(Database!$AL171&lt;&gt;"")),AND(Screener!$B$17="Without A-share",NOT((Database!$AL171&lt;&gt;"")))),1,0)=0),-999999,IF(Screener!$B$15="cornerstone overlap first",H171*100000,0)+W_SUB*B171+W_SEC*C171*(1-B171)+W_SIZE*D171+W_PROF*E171+W_AH*F171+W_REC*G171+W_CS*H171)+ROW()/1000000</f>
        <v/>
      </c>
      <c r="K171">
        <f>Database!B163</f>
        <v/>
      </c>
      <c r="L171">
        <f>Database!D163</f>
        <v/>
      </c>
      <c r="M171">
        <f>Database!E163</f>
        <v/>
      </c>
      <c r="N171">
        <f>Database!H163</f>
        <v/>
      </c>
      <c r="O171">
        <f>Database!AH163</f>
        <v/>
      </c>
      <c r="P171">
        <f>Database!AK163</f>
        <v/>
      </c>
      <c r="Q171">
        <f>Database!G163</f>
        <v/>
      </c>
    </row>
    <row r="172">
      <c r="A172">
        <f>Database!B172</f>
        <v/>
      </c>
      <c r="B172">
        <f>IF(AND(Screener!$D$9&lt;&gt;"",Database!$E172=Screener!$D$9),1,0)</f>
        <v/>
      </c>
      <c r="C172">
        <f>IF(AND(Screener!$D$8&lt;&gt;"",Database!$D172=Screener!$D$8),1,0)</f>
        <v/>
      </c>
      <c r="D172">
        <f>IF(OR(Database!$H172="",N(Screener!$D$10)&lt;=0),0,MAX(0,1-ABS(LOG10(Database!$H172/Screener!$D$10))/W_SIZEHW))</f>
        <v/>
      </c>
      <c r="E172">
        <f>IF(OR(Database!$AH172="",Screener!$D$11=""),0,IF(Database!$AH172=Screener!$D$11,1,0))</f>
        <v/>
      </c>
      <c r="F172">
        <f>IF(OR(Database!$AK172="",Screener!$D$12=""),0,IF(Database!$AK172=Screener!$D$12,1,0))</f>
        <v/>
      </c>
      <c r="G172">
        <f>IF(OR(Database!$G172="",N(Screener!$D$13)&lt;=0),0,MAX(0,1-(N(Screener!$D$13)-Database!$G172)/W_RECD))</f>
        <v/>
      </c>
      <c r="H172">
        <f>IF($K$1="",0,N(ISNUMBER(SEARCH($K$1,Database!$T172&amp;""))))+IF($L$1="",0,N(ISNUMBER(SEARCH($L$1,Database!$T172&amp;""))))+IF($M$1="",0,N(ISNUMBER(SEARCH($M$1,Database!$T172&amp;""))))+IF($N$1="",0,N(ISNUMBER(SEARCH($N$1,Database!$T172&amp;""))))+IF($O$1="",0,N(ISNUMBER(SEARCH($O$1,Database!$T172&amp;""))))+IF(Screener!$B$14="",0,N(ISNUMBER(SEARCH(Screener!$B$14,Database!$T172&amp;""))))</f>
        <v/>
      </c>
      <c r="I172">
        <f>IF(OR(Database!$B172=Screener!$B$5,IF(OR(Screener!$B$17="All",AND(Screener!$B$17="With A-share",(Database!$AL172&lt;&gt;"")),AND(Screener!$B$17="Without A-share",NOT((Database!$AL172&lt;&gt;"")))),1,0)=0),-999999,IF(Screener!$B$15="cornerstone overlap first",H172*100000,0)+W_SUB*B172+W_SEC*C172*(1-B172)+W_SIZE*D172+W_PROF*E172+W_AH*F172+W_REC*G172+W_CS*H172)+ROW()/1000000</f>
        <v/>
      </c>
      <c r="K172">
        <f>Database!B164</f>
        <v/>
      </c>
      <c r="L172">
        <f>Database!D164</f>
        <v/>
      </c>
      <c r="M172">
        <f>Database!E164</f>
        <v/>
      </c>
      <c r="N172">
        <f>Database!H164</f>
        <v/>
      </c>
      <c r="O172">
        <f>Database!AH164</f>
        <v/>
      </c>
      <c r="P172">
        <f>Database!AK164</f>
        <v/>
      </c>
      <c r="Q172">
        <f>Database!G164</f>
        <v/>
      </c>
    </row>
    <row r="173">
      <c r="A173">
        <f>Database!B173</f>
        <v/>
      </c>
      <c r="B173">
        <f>IF(AND(Screener!$D$9&lt;&gt;"",Database!$E173=Screener!$D$9),1,0)</f>
        <v/>
      </c>
      <c r="C173">
        <f>IF(AND(Screener!$D$8&lt;&gt;"",Database!$D173=Screener!$D$8),1,0)</f>
        <v/>
      </c>
      <c r="D173">
        <f>IF(OR(Database!$H173="",N(Screener!$D$10)&lt;=0),0,MAX(0,1-ABS(LOG10(Database!$H173/Screener!$D$10))/W_SIZEHW))</f>
        <v/>
      </c>
      <c r="E173">
        <f>IF(OR(Database!$AH173="",Screener!$D$11=""),0,IF(Database!$AH173=Screener!$D$11,1,0))</f>
        <v/>
      </c>
      <c r="F173">
        <f>IF(OR(Database!$AK173="",Screener!$D$12=""),0,IF(Database!$AK173=Screener!$D$12,1,0))</f>
        <v/>
      </c>
      <c r="G173">
        <f>IF(OR(Database!$G173="",N(Screener!$D$13)&lt;=0),0,MAX(0,1-(N(Screener!$D$13)-Database!$G173)/W_RECD))</f>
        <v/>
      </c>
      <c r="H173">
        <f>IF($K$1="",0,N(ISNUMBER(SEARCH($K$1,Database!$T173&amp;""))))+IF($L$1="",0,N(ISNUMBER(SEARCH($L$1,Database!$T173&amp;""))))+IF($M$1="",0,N(ISNUMBER(SEARCH($M$1,Database!$T173&amp;""))))+IF($N$1="",0,N(ISNUMBER(SEARCH($N$1,Database!$T173&amp;""))))+IF($O$1="",0,N(ISNUMBER(SEARCH($O$1,Database!$T173&amp;""))))+IF(Screener!$B$14="",0,N(ISNUMBER(SEARCH(Screener!$B$14,Database!$T173&amp;""))))</f>
        <v/>
      </c>
      <c r="I173">
        <f>IF(OR(Database!$B173=Screener!$B$5,IF(OR(Screener!$B$17="All",AND(Screener!$B$17="With A-share",(Database!$AL173&lt;&gt;"")),AND(Screener!$B$17="Without A-share",NOT((Database!$AL173&lt;&gt;"")))),1,0)=0),-999999,IF(Screener!$B$15="cornerstone overlap first",H173*100000,0)+W_SUB*B173+W_SEC*C173*(1-B173)+W_SIZE*D173+W_PROF*E173+W_AH*F173+W_REC*G173+W_CS*H173)+ROW()/1000000</f>
        <v/>
      </c>
      <c r="K173">
        <f>Database!B165</f>
        <v/>
      </c>
      <c r="L173">
        <f>Database!D165</f>
        <v/>
      </c>
      <c r="M173">
        <f>Database!E165</f>
        <v/>
      </c>
      <c r="N173">
        <f>Database!H165</f>
        <v/>
      </c>
      <c r="O173">
        <f>Database!AH165</f>
        <v/>
      </c>
      <c r="P173">
        <f>Database!AK165</f>
        <v/>
      </c>
      <c r="Q173">
        <f>Database!G165</f>
        <v/>
      </c>
    </row>
    <row r="174">
      <c r="A174">
        <f>Database!B174</f>
        <v/>
      </c>
      <c r="B174">
        <f>IF(AND(Screener!$D$9&lt;&gt;"",Database!$E174=Screener!$D$9),1,0)</f>
        <v/>
      </c>
      <c r="C174">
        <f>IF(AND(Screener!$D$8&lt;&gt;"",Database!$D174=Screener!$D$8),1,0)</f>
        <v/>
      </c>
      <c r="D174">
        <f>IF(OR(Database!$H174="",N(Screener!$D$10)&lt;=0),0,MAX(0,1-ABS(LOG10(Database!$H174/Screener!$D$10))/W_SIZEHW))</f>
        <v/>
      </c>
      <c r="E174">
        <f>IF(OR(Database!$AH174="",Screener!$D$11=""),0,IF(Database!$AH174=Screener!$D$11,1,0))</f>
        <v/>
      </c>
      <c r="F174">
        <f>IF(OR(Database!$AK174="",Screener!$D$12=""),0,IF(Database!$AK174=Screener!$D$12,1,0))</f>
        <v/>
      </c>
      <c r="G174">
        <f>IF(OR(Database!$G174="",N(Screener!$D$13)&lt;=0),0,MAX(0,1-(N(Screener!$D$13)-Database!$G174)/W_RECD))</f>
        <v/>
      </c>
      <c r="H174">
        <f>IF($K$1="",0,N(ISNUMBER(SEARCH($K$1,Database!$T174&amp;""))))+IF($L$1="",0,N(ISNUMBER(SEARCH($L$1,Database!$T174&amp;""))))+IF($M$1="",0,N(ISNUMBER(SEARCH($M$1,Database!$T174&amp;""))))+IF($N$1="",0,N(ISNUMBER(SEARCH($N$1,Database!$T174&amp;""))))+IF($O$1="",0,N(ISNUMBER(SEARCH($O$1,Database!$T174&amp;""))))+IF(Screener!$B$14="",0,N(ISNUMBER(SEARCH(Screener!$B$14,Database!$T174&amp;""))))</f>
        <v/>
      </c>
      <c r="I174">
        <f>IF(OR(Database!$B174=Screener!$B$5,IF(OR(Screener!$B$17="All",AND(Screener!$B$17="With A-share",(Database!$AL174&lt;&gt;"")),AND(Screener!$B$17="Without A-share",NOT((Database!$AL174&lt;&gt;"")))),1,0)=0),-999999,IF(Screener!$B$15="cornerstone overlap first",H174*100000,0)+W_SUB*B174+W_SEC*C174*(1-B174)+W_SIZE*D174+W_PROF*E174+W_AH*F174+W_REC*G174+W_CS*H174)+ROW()/1000000</f>
        <v/>
      </c>
      <c r="K174">
        <f>Database!B166</f>
        <v/>
      </c>
      <c r="L174">
        <f>Database!D166</f>
        <v/>
      </c>
      <c r="M174">
        <f>Database!E166</f>
        <v/>
      </c>
      <c r="N174">
        <f>Database!H166</f>
        <v/>
      </c>
      <c r="O174">
        <f>Database!AH166</f>
        <v/>
      </c>
      <c r="P174">
        <f>Database!AK166</f>
        <v/>
      </c>
      <c r="Q174">
        <f>Database!G166</f>
        <v/>
      </c>
    </row>
    <row r="175">
      <c r="A175">
        <f>Database!B175</f>
        <v/>
      </c>
      <c r="B175">
        <f>IF(AND(Screener!$D$9&lt;&gt;"",Database!$E175=Screener!$D$9),1,0)</f>
        <v/>
      </c>
      <c r="C175">
        <f>IF(AND(Screener!$D$8&lt;&gt;"",Database!$D175=Screener!$D$8),1,0)</f>
        <v/>
      </c>
      <c r="D175">
        <f>IF(OR(Database!$H175="",N(Screener!$D$10)&lt;=0),0,MAX(0,1-ABS(LOG10(Database!$H175/Screener!$D$10))/W_SIZEHW))</f>
        <v/>
      </c>
      <c r="E175">
        <f>IF(OR(Database!$AH175="",Screener!$D$11=""),0,IF(Database!$AH175=Screener!$D$11,1,0))</f>
        <v/>
      </c>
      <c r="F175">
        <f>IF(OR(Database!$AK175="",Screener!$D$12=""),0,IF(Database!$AK175=Screener!$D$12,1,0))</f>
        <v/>
      </c>
      <c r="G175">
        <f>IF(OR(Database!$G175="",N(Screener!$D$13)&lt;=0),0,MAX(0,1-(N(Screener!$D$13)-Database!$G175)/W_RECD))</f>
        <v/>
      </c>
      <c r="H175">
        <f>IF($K$1="",0,N(ISNUMBER(SEARCH($K$1,Database!$T175&amp;""))))+IF($L$1="",0,N(ISNUMBER(SEARCH($L$1,Database!$T175&amp;""))))+IF($M$1="",0,N(ISNUMBER(SEARCH($M$1,Database!$T175&amp;""))))+IF($N$1="",0,N(ISNUMBER(SEARCH($N$1,Database!$T175&amp;""))))+IF($O$1="",0,N(ISNUMBER(SEARCH($O$1,Database!$T175&amp;""))))+IF(Screener!$B$14="",0,N(ISNUMBER(SEARCH(Screener!$B$14,Database!$T175&amp;""))))</f>
        <v/>
      </c>
      <c r="I175">
        <f>IF(OR(Database!$B175=Screener!$B$5,IF(OR(Screener!$B$17="All",AND(Screener!$B$17="With A-share",(Database!$AL175&lt;&gt;"")),AND(Screener!$B$17="Without A-share",NOT((Database!$AL175&lt;&gt;"")))),1,0)=0),-999999,IF(Screener!$B$15="cornerstone overlap first",H175*100000,0)+W_SUB*B175+W_SEC*C175*(1-B175)+W_SIZE*D175+W_PROF*E175+W_AH*F175+W_REC*G175+W_CS*H175)+ROW()/1000000</f>
        <v/>
      </c>
      <c r="K175">
        <f>Database!B167</f>
        <v/>
      </c>
      <c r="L175">
        <f>Database!D167</f>
        <v/>
      </c>
      <c r="M175">
        <f>Database!E167</f>
        <v/>
      </c>
      <c r="N175">
        <f>Database!H167</f>
        <v/>
      </c>
      <c r="O175">
        <f>Database!AH167</f>
        <v/>
      </c>
      <c r="P175">
        <f>Database!AK167</f>
        <v/>
      </c>
      <c r="Q175">
        <f>Database!G167</f>
        <v/>
      </c>
    </row>
    <row r="176">
      <c r="A176">
        <f>Database!B176</f>
        <v/>
      </c>
      <c r="B176">
        <f>IF(AND(Screener!$D$9&lt;&gt;"",Database!$E176=Screener!$D$9),1,0)</f>
        <v/>
      </c>
      <c r="C176">
        <f>IF(AND(Screener!$D$8&lt;&gt;"",Database!$D176=Screener!$D$8),1,0)</f>
        <v/>
      </c>
      <c r="D176">
        <f>IF(OR(Database!$H176="",N(Screener!$D$10)&lt;=0),0,MAX(0,1-ABS(LOG10(Database!$H176/Screener!$D$10))/W_SIZEHW))</f>
        <v/>
      </c>
      <c r="E176">
        <f>IF(OR(Database!$AH176="",Screener!$D$11=""),0,IF(Database!$AH176=Screener!$D$11,1,0))</f>
        <v/>
      </c>
      <c r="F176">
        <f>IF(OR(Database!$AK176="",Screener!$D$12=""),0,IF(Database!$AK176=Screener!$D$12,1,0))</f>
        <v/>
      </c>
      <c r="G176">
        <f>IF(OR(Database!$G176="",N(Screener!$D$13)&lt;=0),0,MAX(0,1-(N(Screener!$D$13)-Database!$G176)/W_RECD))</f>
        <v/>
      </c>
      <c r="H176">
        <f>IF($K$1="",0,N(ISNUMBER(SEARCH($K$1,Database!$T176&amp;""))))+IF($L$1="",0,N(ISNUMBER(SEARCH($L$1,Database!$T176&amp;""))))+IF($M$1="",0,N(ISNUMBER(SEARCH($M$1,Database!$T176&amp;""))))+IF($N$1="",0,N(ISNUMBER(SEARCH($N$1,Database!$T176&amp;""))))+IF($O$1="",0,N(ISNUMBER(SEARCH($O$1,Database!$T176&amp;""))))+IF(Screener!$B$14="",0,N(ISNUMBER(SEARCH(Screener!$B$14,Database!$T176&amp;""))))</f>
        <v/>
      </c>
      <c r="I176">
        <f>IF(OR(Database!$B176=Screener!$B$5,IF(OR(Screener!$B$17="All",AND(Screener!$B$17="With A-share",(Database!$AL176&lt;&gt;"")),AND(Screener!$B$17="Without A-share",NOT((Database!$AL176&lt;&gt;"")))),1,0)=0),-999999,IF(Screener!$B$15="cornerstone overlap first",H176*100000,0)+W_SUB*B176+W_SEC*C176*(1-B176)+W_SIZE*D176+W_PROF*E176+W_AH*F176+W_REC*G176+W_CS*H176)+ROW()/1000000</f>
        <v/>
      </c>
      <c r="K176">
        <f>Database!B168</f>
        <v/>
      </c>
      <c r="L176">
        <f>Database!D168</f>
        <v/>
      </c>
      <c r="M176">
        <f>Database!E168</f>
        <v/>
      </c>
      <c r="N176">
        <f>Database!H168</f>
        <v/>
      </c>
      <c r="O176">
        <f>Database!AH168</f>
        <v/>
      </c>
      <c r="P176">
        <f>Database!AK168</f>
        <v/>
      </c>
      <c r="Q176">
        <f>Database!G168</f>
        <v/>
      </c>
    </row>
    <row r="177">
      <c r="A177">
        <f>Database!B177</f>
        <v/>
      </c>
      <c r="B177">
        <f>IF(AND(Screener!$D$9&lt;&gt;"",Database!$E177=Screener!$D$9),1,0)</f>
        <v/>
      </c>
      <c r="C177">
        <f>IF(AND(Screener!$D$8&lt;&gt;"",Database!$D177=Screener!$D$8),1,0)</f>
        <v/>
      </c>
      <c r="D177">
        <f>IF(OR(Database!$H177="",N(Screener!$D$10)&lt;=0),0,MAX(0,1-ABS(LOG10(Database!$H177/Screener!$D$10))/W_SIZEHW))</f>
        <v/>
      </c>
      <c r="E177">
        <f>IF(OR(Database!$AH177="",Screener!$D$11=""),0,IF(Database!$AH177=Screener!$D$11,1,0))</f>
        <v/>
      </c>
      <c r="F177">
        <f>IF(OR(Database!$AK177="",Screener!$D$12=""),0,IF(Database!$AK177=Screener!$D$12,1,0))</f>
        <v/>
      </c>
      <c r="G177">
        <f>IF(OR(Database!$G177="",N(Screener!$D$13)&lt;=0),0,MAX(0,1-(N(Screener!$D$13)-Database!$G177)/W_RECD))</f>
        <v/>
      </c>
      <c r="H177">
        <f>IF($K$1="",0,N(ISNUMBER(SEARCH($K$1,Database!$T177&amp;""))))+IF($L$1="",0,N(ISNUMBER(SEARCH($L$1,Database!$T177&amp;""))))+IF($M$1="",0,N(ISNUMBER(SEARCH($M$1,Database!$T177&amp;""))))+IF($N$1="",0,N(ISNUMBER(SEARCH($N$1,Database!$T177&amp;""))))+IF($O$1="",0,N(ISNUMBER(SEARCH($O$1,Database!$T177&amp;""))))+IF(Screener!$B$14="",0,N(ISNUMBER(SEARCH(Screener!$B$14,Database!$T177&amp;""))))</f>
        <v/>
      </c>
      <c r="I177">
        <f>IF(OR(Database!$B177=Screener!$B$5,IF(OR(Screener!$B$17="All",AND(Screener!$B$17="With A-share",(Database!$AL177&lt;&gt;"")),AND(Screener!$B$17="Without A-share",NOT((Database!$AL177&lt;&gt;"")))),1,0)=0),-999999,IF(Screener!$B$15="cornerstone overlap first",H177*100000,0)+W_SUB*B177+W_SEC*C177*(1-B177)+W_SIZE*D177+W_PROF*E177+W_AH*F177+W_REC*G177+W_CS*H177)+ROW()/1000000</f>
        <v/>
      </c>
      <c r="K177">
        <f>Database!B169</f>
        <v/>
      </c>
      <c r="L177">
        <f>Database!D169</f>
        <v/>
      </c>
      <c r="M177">
        <f>Database!E169</f>
        <v/>
      </c>
      <c r="N177">
        <f>Database!H169</f>
        <v/>
      </c>
      <c r="O177">
        <f>Database!AH169</f>
        <v/>
      </c>
      <c r="P177">
        <f>Database!AK169</f>
        <v/>
      </c>
      <c r="Q177">
        <f>Database!G169</f>
        <v/>
      </c>
    </row>
    <row r="178">
      <c r="A178">
        <f>Database!B178</f>
        <v/>
      </c>
      <c r="B178">
        <f>IF(AND(Screener!$D$9&lt;&gt;"",Database!$E178=Screener!$D$9),1,0)</f>
        <v/>
      </c>
      <c r="C178">
        <f>IF(AND(Screener!$D$8&lt;&gt;"",Database!$D178=Screener!$D$8),1,0)</f>
        <v/>
      </c>
      <c r="D178">
        <f>IF(OR(Database!$H178="",N(Screener!$D$10)&lt;=0),0,MAX(0,1-ABS(LOG10(Database!$H178/Screener!$D$10))/W_SIZEHW))</f>
        <v/>
      </c>
      <c r="E178">
        <f>IF(OR(Database!$AH178="",Screener!$D$11=""),0,IF(Database!$AH178=Screener!$D$11,1,0))</f>
        <v/>
      </c>
      <c r="F178">
        <f>IF(OR(Database!$AK178="",Screener!$D$12=""),0,IF(Database!$AK178=Screener!$D$12,1,0))</f>
        <v/>
      </c>
      <c r="G178">
        <f>IF(OR(Database!$G178="",N(Screener!$D$13)&lt;=0),0,MAX(0,1-(N(Screener!$D$13)-Database!$G178)/W_RECD))</f>
        <v/>
      </c>
      <c r="H178">
        <f>IF($K$1="",0,N(ISNUMBER(SEARCH($K$1,Database!$T178&amp;""))))+IF($L$1="",0,N(ISNUMBER(SEARCH($L$1,Database!$T178&amp;""))))+IF($M$1="",0,N(ISNUMBER(SEARCH($M$1,Database!$T178&amp;""))))+IF($N$1="",0,N(ISNUMBER(SEARCH($N$1,Database!$T178&amp;""))))+IF($O$1="",0,N(ISNUMBER(SEARCH($O$1,Database!$T178&amp;""))))+IF(Screener!$B$14="",0,N(ISNUMBER(SEARCH(Screener!$B$14,Database!$T178&amp;""))))</f>
        <v/>
      </c>
      <c r="I178">
        <f>IF(OR(Database!$B178=Screener!$B$5,IF(OR(Screener!$B$17="All",AND(Screener!$B$17="With A-share",(Database!$AL178&lt;&gt;"")),AND(Screener!$B$17="Without A-share",NOT((Database!$AL178&lt;&gt;"")))),1,0)=0),-999999,IF(Screener!$B$15="cornerstone overlap first",H178*100000,0)+W_SUB*B178+W_SEC*C178*(1-B178)+W_SIZE*D178+W_PROF*E178+W_AH*F178+W_REC*G178+W_CS*H178)+ROW()/1000000</f>
        <v/>
      </c>
      <c r="K178">
        <f>Database!B170</f>
        <v/>
      </c>
      <c r="L178">
        <f>Database!D170</f>
        <v/>
      </c>
      <c r="M178">
        <f>Database!E170</f>
        <v/>
      </c>
      <c r="N178">
        <f>Database!H170</f>
        <v/>
      </c>
      <c r="O178">
        <f>Database!AH170</f>
        <v/>
      </c>
      <c r="P178">
        <f>Database!AK170</f>
        <v/>
      </c>
      <c r="Q178">
        <f>Database!G170</f>
        <v/>
      </c>
    </row>
    <row r="179">
      <c r="A179">
        <f>Database!B179</f>
        <v/>
      </c>
      <c r="B179">
        <f>IF(AND(Screener!$D$9&lt;&gt;"",Database!$E179=Screener!$D$9),1,0)</f>
        <v/>
      </c>
      <c r="C179">
        <f>IF(AND(Screener!$D$8&lt;&gt;"",Database!$D179=Screener!$D$8),1,0)</f>
        <v/>
      </c>
      <c r="D179">
        <f>IF(OR(Database!$H179="",N(Screener!$D$10)&lt;=0),0,MAX(0,1-ABS(LOG10(Database!$H179/Screener!$D$10))/W_SIZEHW))</f>
        <v/>
      </c>
      <c r="E179">
        <f>IF(OR(Database!$AH179="",Screener!$D$11=""),0,IF(Database!$AH179=Screener!$D$11,1,0))</f>
        <v/>
      </c>
      <c r="F179">
        <f>IF(OR(Database!$AK179="",Screener!$D$12=""),0,IF(Database!$AK179=Screener!$D$12,1,0))</f>
        <v/>
      </c>
      <c r="G179">
        <f>IF(OR(Database!$G179="",N(Screener!$D$13)&lt;=0),0,MAX(0,1-(N(Screener!$D$13)-Database!$G179)/W_RECD))</f>
        <v/>
      </c>
      <c r="H179">
        <f>IF($K$1="",0,N(ISNUMBER(SEARCH($K$1,Database!$T179&amp;""))))+IF($L$1="",0,N(ISNUMBER(SEARCH($L$1,Database!$T179&amp;""))))+IF($M$1="",0,N(ISNUMBER(SEARCH($M$1,Database!$T179&amp;""))))+IF($N$1="",0,N(ISNUMBER(SEARCH($N$1,Database!$T179&amp;""))))+IF($O$1="",0,N(ISNUMBER(SEARCH($O$1,Database!$T179&amp;""))))+IF(Screener!$B$14="",0,N(ISNUMBER(SEARCH(Screener!$B$14,Database!$T179&amp;""))))</f>
        <v/>
      </c>
      <c r="I179">
        <f>IF(OR(Database!$B179=Screener!$B$5,IF(OR(Screener!$B$17="All",AND(Screener!$B$17="With A-share",(Database!$AL179&lt;&gt;"")),AND(Screener!$B$17="Without A-share",NOT((Database!$AL179&lt;&gt;"")))),1,0)=0),-999999,IF(Screener!$B$15="cornerstone overlap first",H179*100000,0)+W_SUB*B179+W_SEC*C179*(1-B179)+W_SIZE*D179+W_PROF*E179+W_AH*F179+W_REC*G179+W_CS*H179)+ROW()/1000000</f>
        <v/>
      </c>
      <c r="K179">
        <f>Database!B171</f>
        <v/>
      </c>
      <c r="L179">
        <f>Database!D171</f>
        <v/>
      </c>
      <c r="M179">
        <f>Database!E171</f>
        <v/>
      </c>
      <c r="N179">
        <f>Database!H171</f>
        <v/>
      </c>
      <c r="O179">
        <f>Database!AH171</f>
        <v/>
      </c>
      <c r="P179">
        <f>Database!AK171</f>
        <v/>
      </c>
      <c r="Q179">
        <f>Database!G171</f>
        <v/>
      </c>
    </row>
    <row r="180">
      <c r="A180">
        <f>Database!B180</f>
        <v/>
      </c>
      <c r="B180">
        <f>IF(AND(Screener!$D$9&lt;&gt;"",Database!$E180=Screener!$D$9),1,0)</f>
        <v/>
      </c>
      <c r="C180">
        <f>IF(AND(Screener!$D$8&lt;&gt;"",Database!$D180=Screener!$D$8),1,0)</f>
        <v/>
      </c>
      <c r="D180">
        <f>IF(OR(Database!$H180="",N(Screener!$D$10)&lt;=0),0,MAX(0,1-ABS(LOG10(Database!$H180/Screener!$D$10))/W_SIZEHW))</f>
        <v/>
      </c>
      <c r="E180">
        <f>IF(OR(Database!$AH180="",Screener!$D$11=""),0,IF(Database!$AH180=Screener!$D$11,1,0))</f>
        <v/>
      </c>
      <c r="F180">
        <f>IF(OR(Database!$AK180="",Screener!$D$12=""),0,IF(Database!$AK180=Screener!$D$12,1,0))</f>
        <v/>
      </c>
      <c r="G180">
        <f>IF(OR(Database!$G180="",N(Screener!$D$13)&lt;=0),0,MAX(0,1-(N(Screener!$D$13)-Database!$G180)/W_RECD))</f>
        <v/>
      </c>
      <c r="H180">
        <f>IF($K$1="",0,N(ISNUMBER(SEARCH($K$1,Database!$T180&amp;""))))+IF($L$1="",0,N(ISNUMBER(SEARCH($L$1,Database!$T180&amp;""))))+IF($M$1="",0,N(ISNUMBER(SEARCH($M$1,Database!$T180&amp;""))))+IF($N$1="",0,N(ISNUMBER(SEARCH($N$1,Database!$T180&amp;""))))+IF($O$1="",0,N(ISNUMBER(SEARCH($O$1,Database!$T180&amp;""))))+IF(Screener!$B$14="",0,N(ISNUMBER(SEARCH(Screener!$B$14,Database!$T180&amp;""))))</f>
        <v/>
      </c>
      <c r="I180">
        <f>IF(OR(Database!$B180=Screener!$B$5,IF(OR(Screener!$B$17="All",AND(Screener!$B$17="With A-share",(Database!$AL180&lt;&gt;"")),AND(Screener!$B$17="Without A-share",NOT((Database!$AL180&lt;&gt;"")))),1,0)=0),-999999,IF(Screener!$B$15="cornerstone overlap first",H180*100000,0)+W_SUB*B180+W_SEC*C180*(1-B180)+W_SIZE*D180+W_PROF*E180+W_AH*F180+W_REC*G180+W_CS*H180)+ROW()/1000000</f>
        <v/>
      </c>
      <c r="K180">
        <f>Database!B172</f>
        <v/>
      </c>
      <c r="L180">
        <f>Database!D172</f>
        <v/>
      </c>
      <c r="M180">
        <f>Database!E172</f>
        <v/>
      </c>
      <c r="N180">
        <f>Database!H172</f>
        <v/>
      </c>
      <c r="O180">
        <f>Database!AH172</f>
        <v/>
      </c>
      <c r="P180">
        <f>Database!AK172</f>
        <v/>
      </c>
      <c r="Q180">
        <f>Database!G172</f>
        <v/>
      </c>
    </row>
    <row r="181">
      <c r="A181">
        <f>Database!B181</f>
        <v/>
      </c>
      <c r="B181">
        <f>IF(AND(Screener!$D$9&lt;&gt;"",Database!$E181=Screener!$D$9),1,0)</f>
        <v/>
      </c>
      <c r="C181">
        <f>IF(AND(Screener!$D$8&lt;&gt;"",Database!$D181=Screener!$D$8),1,0)</f>
        <v/>
      </c>
      <c r="D181">
        <f>IF(OR(Database!$H181="",N(Screener!$D$10)&lt;=0),0,MAX(0,1-ABS(LOG10(Database!$H181/Screener!$D$10))/W_SIZEHW))</f>
        <v/>
      </c>
      <c r="E181">
        <f>IF(OR(Database!$AH181="",Screener!$D$11=""),0,IF(Database!$AH181=Screener!$D$11,1,0))</f>
        <v/>
      </c>
      <c r="F181">
        <f>IF(OR(Database!$AK181="",Screener!$D$12=""),0,IF(Database!$AK181=Screener!$D$12,1,0))</f>
        <v/>
      </c>
      <c r="G181">
        <f>IF(OR(Database!$G181="",N(Screener!$D$13)&lt;=0),0,MAX(0,1-(N(Screener!$D$13)-Database!$G181)/W_RECD))</f>
        <v/>
      </c>
      <c r="H181">
        <f>IF($K$1="",0,N(ISNUMBER(SEARCH($K$1,Database!$T181&amp;""))))+IF($L$1="",0,N(ISNUMBER(SEARCH($L$1,Database!$T181&amp;""))))+IF($M$1="",0,N(ISNUMBER(SEARCH($M$1,Database!$T181&amp;""))))+IF($N$1="",0,N(ISNUMBER(SEARCH($N$1,Database!$T181&amp;""))))+IF($O$1="",0,N(ISNUMBER(SEARCH($O$1,Database!$T181&amp;""))))+IF(Screener!$B$14="",0,N(ISNUMBER(SEARCH(Screener!$B$14,Database!$T181&amp;""))))</f>
        <v/>
      </c>
      <c r="I181">
        <f>IF(OR(Database!$B181=Screener!$B$5,IF(OR(Screener!$B$17="All",AND(Screener!$B$17="With A-share",(Database!$AL181&lt;&gt;"")),AND(Screener!$B$17="Without A-share",NOT((Database!$AL181&lt;&gt;"")))),1,0)=0),-999999,IF(Screener!$B$15="cornerstone overlap first",H181*100000,0)+W_SUB*B181+W_SEC*C181*(1-B181)+W_SIZE*D181+W_PROF*E181+W_AH*F181+W_REC*G181+W_CS*H181)+ROW()/1000000</f>
        <v/>
      </c>
      <c r="K181">
        <f>Database!B173</f>
        <v/>
      </c>
      <c r="L181">
        <f>Database!D173</f>
        <v/>
      </c>
      <c r="M181">
        <f>Database!E173</f>
        <v/>
      </c>
      <c r="N181">
        <f>Database!H173</f>
        <v/>
      </c>
      <c r="O181">
        <f>Database!AH173</f>
        <v/>
      </c>
      <c r="P181">
        <f>Database!AK173</f>
        <v/>
      </c>
      <c r="Q181">
        <f>Database!G173</f>
        <v/>
      </c>
    </row>
    <row r="182">
      <c r="A182">
        <f>Database!B182</f>
        <v/>
      </c>
      <c r="B182">
        <f>IF(AND(Screener!$D$9&lt;&gt;"",Database!$E182=Screener!$D$9),1,0)</f>
        <v/>
      </c>
      <c r="C182">
        <f>IF(AND(Screener!$D$8&lt;&gt;"",Database!$D182=Screener!$D$8),1,0)</f>
        <v/>
      </c>
      <c r="D182">
        <f>IF(OR(Database!$H182="",N(Screener!$D$10)&lt;=0),0,MAX(0,1-ABS(LOG10(Database!$H182/Screener!$D$10))/W_SIZEHW))</f>
        <v/>
      </c>
      <c r="E182">
        <f>IF(OR(Database!$AH182="",Screener!$D$11=""),0,IF(Database!$AH182=Screener!$D$11,1,0))</f>
        <v/>
      </c>
      <c r="F182">
        <f>IF(OR(Database!$AK182="",Screener!$D$12=""),0,IF(Database!$AK182=Screener!$D$12,1,0))</f>
        <v/>
      </c>
      <c r="G182">
        <f>IF(OR(Database!$G182="",N(Screener!$D$13)&lt;=0),0,MAX(0,1-(N(Screener!$D$13)-Database!$G182)/W_RECD))</f>
        <v/>
      </c>
      <c r="H182">
        <f>IF($K$1="",0,N(ISNUMBER(SEARCH($K$1,Database!$T182&amp;""))))+IF($L$1="",0,N(ISNUMBER(SEARCH($L$1,Database!$T182&amp;""))))+IF($M$1="",0,N(ISNUMBER(SEARCH($M$1,Database!$T182&amp;""))))+IF($N$1="",0,N(ISNUMBER(SEARCH($N$1,Database!$T182&amp;""))))+IF($O$1="",0,N(ISNUMBER(SEARCH($O$1,Database!$T182&amp;""))))+IF(Screener!$B$14="",0,N(ISNUMBER(SEARCH(Screener!$B$14,Database!$T182&amp;""))))</f>
        <v/>
      </c>
      <c r="I182">
        <f>IF(OR(Database!$B182=Screener!$B$5,IF(OR(Screener!$B$17="All",AND(Screener!$B$17="With A-share",(Database!$AL182&lt;&gt;"")),AND(Screener!$B$17="Without A-share",NOT((Database!$AL182&lt;&gt;"")))),1,0)=0),-999999,IF(Screener!$B$15="cornerstone overlap first",H182*100000,0)+W_SUB*B182+W_SEC*C182*(1-B182)+W_SIZE*D182+W_PROF*E182+W_AH*F182+W_REC*G182+W_CS*H182)+ROW()/1000000</f>
        <v/>
      </c>
      <c r="K182">
        <f>Database!B174</f>
        <v/>
      </c>
      <c r="L182">
        <f>Database!D174</f>
        <v/>
      </c>
      <c r="M182">
        <f>Database!E174</f>
        <v/>
      </c>
      <c r="N182">
        <f>Database!H174</f>
        <v/>
      </c>
      <c r="O182">
        <f>Database!AH174</f>
        <v/>
      </c>
      <c r="P182">
        <f>Database!AK174</f>
        <v/>
      </c>
      <c r="Q182">
        <f>Database!G174</f>
        <v/>
      </c>
    </row>
    <row r="183">
      <c r="A183">
        <f>Database!B183</f>
        <v/>
      </c>
      <c r="B183">
        <f>IF(AND(Screener!$D$9&lt;&gt;"",Database!$E183=Screener!$D$9),1,0)</f>
        <v/>
      </c>
      <c r="C183">
        <f>IF(AND(Screener!$D$8&lt;&gt;"",Database!$D183=Screener!$D$8),1,0)</f>
        <v/>
      </c>
      <c r="D183">
        <f>IF(OR(Database!$H183="",N(Screener!$D$10)&lt;=0),0,MAX(0,1-ABS(LOG10(Database!$H183/Screener!$D$10))/W_SIZEHW))</f>
        <v/>
      </c>
      <c r="E183">
        <f>IF(OR(Database!$AH183="",Screener!$D$11=""),0,IF(Database!$AH183=Screener!$D$11,1,0))</f>
        <v/>
      </c>
      <c r="F183">
        <f>IF(OR(Database!$AK183="",Screener!$D$12=""),0,IF(Database!$AK183=Screener!$D$12,1,0))</f>
        <v/>
      </c>
      <c r="G183">
        <f>IF(OR(Database!$G183="",N(Screener!$D$13)&lt;=0),0,MAX(0,1-(N(Screener!$D$13)-Database!$G183)/W_RECD))</f>
        <v/>
      </c>
      <c r="H183">
        <f>IF($K$1="",0,N(ISNUMBER(SEARCH($K$1,Database!$T183&amp;""))))+IF($L$1="",0,N(ISNUMBER(SEARCH($L$1,Database!$T183&amp;""))))+IF($M$1="",0,N(ISNUMBER(SEARCH($M$1,Database!$T183&amp;""))))+IF($N$1="",0,N(ISNUMBER(SEARCH($N$1,Database!$T183&amp;""))))+IF($O$1="",0,N(ISNUMBER(SEARCH($O$1,Database!$T183&amp;""))))+IF(Screener!$B$14="",0,N(ISNUMBER(SEARCH(Screener!$B$14,Database!$T183&amp;""))))</f>
        <v/>
      </c>
      <c r="I183">
        <f>IF(OR(Database!$B183=Screener!$B$5,IF(OR(Screener!$B$17="All",AND(Screener!$B$17="With A-share",(Database!$AL183&lt;&gt;"")),AND(Screener!$B$17="Without A-share",NOT((Database!$AL183&lt;&gt;"")))),1,0)=0),-999999,IF(Screener!$B$15="cornerstone overlap first",H183*100000,0)+W_SUB*B183+W_SEC*C183*(1-B183)+W_SIZE*D183+W_PROF*E183+W_AH*F183+W_REC*G183+W_CS*H183)+ROW()/1000000</f>
        <v/>
      </c>
      <c r="K183">
        <f>Database!B175</f>
        <v/>
      </c>
      <c r="L183">
        <f>Database!D175</f>
        <v/>
      </c>
      <c r="M183">
        <f>Database!E175</f>
        <v/>
      </c>
      <c r="N183">
        <f>Database!H175</f>
        <v/>
      </c>
      <c r="O183">
        <f>Database!AH175</f>
        <v/>
      </c>
      <c r="P183">
        <f>Database!AK175</f>
        <v/>
      </c>
      <c r="Q183">
        <f>Database!G175</f>
        <v/>
      </c>
    </row>
    <row r="184">
      <c r="A184">
        <f>Database!B184</f>
        <v/>
      </c>
      <c r="B184">
        <f>IF(AND(Screener!$D$9&lt;&gt;"",Database!$E184=Screener!$D$9),1,0)</f>
        <v/>
      </c>
      <c r="C184">
        <f>IF(AND(Screener!$D$8&lt;&gt;"",Database!$D184=Screener!$D$8),1,0)</f>
        <v/>
      </c>
      <c r="D184">
        <f>IF(OR(Database!$H184="",N(Screener!$D$10)&lt;=0),0,MAX(0,1-ABS(LOG10(Database!$H184/Screener!$D$10))/W_SIZEHW))</f>
        <v/>
      </c>
      <c r="E184">
        <f>IF(OR(Database!$AH184="",Screener!$D$11=""),0,IF(Database!$AH184=Screener!$D$11,1,0))</f>
        <v/>
      </c>
      <c r="F184">
        <f>IF(OR(Database!$AK184="",Screener!$D$12=""),0,IF(Database!$AK184=Screener!$D$12,1,0))</f>
        <v/>
      </c>
      <c r="G184">
        <f>IF(OR(Database!$G184="",N(Screener!$D$13)&lt;=0),0,MAX(0,1-(N(Screener!$D$13)-Database!$G184)/W_RECD))</f>
        <v/>
      </c>
      <c r="H184">
        <f>IF($K$1="",0,N(ISNUMBER(SEARCH($K$1,Database!$T184&amp;""))))+IF($L$1="",0,N(ISNUMBER(SEARCH($L$1,Database!$T184&amp;""))))+IF($M$1="",0,N(ISNUMBER(SEARCH($M$1,Database!$T184&amp;""))))+IF($N$1="",0,N(ISNUMBER(SEARCH($N$1,Database!$T184&amp;""))))+IF($O$1="",0,N(ISNUMBER(SEARCH($O$1,Database!$T184&amp;""))))+IF(Screener!$B$14="",0,N(ISNUMBER(SEARCH(Screener!$B$14,Database!$T184&amp;""))))</f>
        <v/>
      </c>
      <c r="I184">
        <f>IF(OR(Database!$B184=Screener!$B$5,IF(OR(Screener!$B$17="All",AND(Screener!$B$17="With A-share",(Database!$AL184&lt;&gt;"")),AND(Screener!$B$17="Without A-share",NOT((Database!$AL184&lt;&gt;"")))),1,0)=0),-999999,IF(Screener!$B$15="cornerstone overlap first",H184*100000,0)+W_SUB*B184+W_SEC*C184*(1-B184)+W_SIZE*D184+W_PROF*E184+W_AH*F184+W_REC*G184+W_CS*H184)+ROW()/1000000</f>
        <v/>
      </c>
      <c r="K184">
        <f>Database!B176</f>
        <v/>
      </c>
      <c r="L184">
        <f>Database!D176</f>
        <v/>
      </c>
      <c r="M184">
        <f>Database!E176</f>
        <v/>
      </c>
      <c r="N184">
        <f>Database!H176</f>
        <v/>
      </c>
      <c r="O184">
        <f>Database!AH176</f>
        <v/>
      </c>
      <c r="P184">
        <f>Database!AK176</f>
        <v/>
      </c>
      <c r="Q184">
        <f>Database!G176</f>
        <v/>
      </c>
    </row>
    <row r="185">
      <c r="A185">
        <f>Database!B185</f>
        <v/>
      </c>
      <c r="B185">
        <f>IF(AND(Screener!$D$9&lt;&gt;"",Database!$E185=Screener!$D$9),1,0)</f>
        <v/>
      </c>
      <c r="C185">
        <f>IF(AND(Screener!$D$8&lt;&gt;"",Database!$D185=Screener!$D$8),1,0)</f>
        <v/>
      </c>
      <c r="D185">
        <f>IF(OR(Database!$H185="",N(Screener!$D$10)&lt;=0),0,MAX(0,1-ABS(LOG10(Database!$H185/Screener!$D$10))/W_SIZEHW))</f>
        <v/>
      </c>
      <c r="E185">
        <f>IF(OR(Database!$AH185="",Screener!$D$11=""),0,IF(Database!$AH185=Screener!$D$11,1,0))</f>
        <v/>
      </c>
      <c r="F185">
        <f>IF(OR(Database!$AK185="",Screener!$D$12=""),0,IF(Database!$AK185=Screener!$D$12,1,0))</f>
        <v/>
      </c>
      <c r="G185">
        <f>IF(OR(Database!$G185="",N(Screener!$D$13)&lt;=0),0,MAX(0,1-(N(Screener!$D$13)-Database!$G185)/W_RECD))</f>
        <v/>
      </c>
      <c r="H185">
        <f>IF($K$1="",0,N(ISNUMBER(SEARCH($K$1,Database!$T185&amp;""))))+IF($L$1="",0,N(ISNUMBER(SEARCH($L$1,Database!$T185&amp;""))))+IF($M$1="",0,N(ISNUMBER(SEARCH($M$1,Database!$T185&amp;""))))+IF($N$1="",0,N(ISNUMBER(SEARCH($N$1,Database!$T185&amp;""))))+IF($O$1="",0,N(ISNUMBER(SEARCH($O$1,Database!$T185&amp;""))))+IF(Screener!$B$14="",0,N(ISNUMBER(SEARCH(Screener!$B$14,Database!$T185&amp;""))))</f>
        <v/>
      </c>
      <c r="I185">
        <f>IF(OR(Database!$B185=Screener!$B$5,IF(OR(Screener!$B$17="All",AND(Screener!$B$17="With A-share",(Database!$AL185&lt;&gt;"")),AND(Screener!$B$17="Without A-share",NOT((Database!$AL185&lt;&gt;"")))),1,0)=0),-999999,IF(Screener!$B$15="cornerstone overlap first",H185*100000,0)+W_SUB*B185+W_SEC*C185*(1-B185)+W_SIZE*D185+W_PROF*E185+W_AH*F185+W_REC*G185+W_CS*H185)+ROW()/1000000</f>
        <v/>
      </c>
      <c r="K185">
        <f>Database!B177</f>
        <v/>
      </c>
      <c r="L185">
        <f>Database!D177</f>
        <v/>
      </c>
      <c r="M185">
        <f>Database!E177</f>
        <v/>
      </c>
      <c r="N185">
        <f>Database!H177</f>
        <v/>
      </c>
      <c r="O185">
        <f>Database!AH177</f>
        <v/>
      </c>
      <c r="P185">
        <f>Database!AK177</f>
        <v/>
      </c>
      <c r="Q185">
        <f>Database!G177</f>
        <v/>
      </c>
    </row>
    <row r="186">
      <c r="A186">
        <f>Database!B186</f>
        <v/>
      </c>
      <c r="B186">
        <f>IF(AND(Screener!$D$9&lt;&gt;"",Database!$E186=Screener!$D$9),1,0)</f>
        <v/>
      </c>
      <c r="C186">
        <f>IF(AND(Screener!$D$8&lt;&gt;"",Database!$D186=Screener!$D$8),1,0)</f>
        <v/>
      </c>
      <c r="D186">
        <f>IF(OR(Database!$H186="",N(Screener!$D$10)&lt;=0),0,MAX(0,1-ABS(LOG10(Database!$H186/Screener!$D$10))/W_SIZEHW))</f>
        <v/>
      </c>
      <c r="E186">
        <f>IF(OR(Database!$AH186="",Screener!$D$11=""),0,IF(Database!$AH186=Screener!$D$11,1,0))</f>
        <v/>
      </c>
      <c r="F186">
        <f>IF(OR(Database!$AK186="",Screener!$D$12=""),0,IF(Database!$AK186=Screener!$D$12,1,0))</f>
        <v/>
      </c>
      <c r="G186">
        <f>IF(OR(Database!$G186="",N(Screener!$D$13)&lt;=0),0,MAX(0,1-(N(Screener!$D$13)-Database!$G186)/W_RECD))</f>
        <v/>
      </c>
      <c r="H186">
        <f>IF($K$1="",0,N(ISNUMBER(SEARCH($K$1,Database!$T186&amp;""))))+IF($L$1="",0,N(ISNUMBER(SEARCH($L$1,Database!$T186&amp;""))))+IF($M$1="",0,N(ISNUMBER(SEARCH($M$1,Database!$T186&amp;""))))+IF($N$1="",0,N(ISNUMBER(SEARCH($N$1,Database!$T186&amp;""))))+IF($O$1="",0,N(ISNUMBER(SEARCH($O$1,Database!$T186&amp;""))))+IF(Screener!$B$14="",0,N(ISNUMBER(SEARCH(Screener!$B$14,Database!$T186&amp;""))))</f>
        <v/>
      </c>
      <c r="I186">
        <f>IF(OR(Database!$B186=Screener!$B$5,IF(OR(Screener!$B$17="All",AND(Screener!$B$17="With A-share",(Database!$AL186&lt;&gt;"")),AND(Screener!$B$17="Without A-share",NOT((Database!$AL186&lt;&gt;"")))),1,0)=0),-999999,IF(Screener!$B$15="cornerstone overlap first",H186*100000,0)+W_SUB*B186+W_SEC*C186*(1-B186)+W_SIZE*D186+W_PROF*E186+W_AH*F186+W_REC*G186+W_CS*H186)+ROW()/1000000</f>
        <v/>
      </c>
      <c r="K186">
        <f>Database!B178</f>
        <v/>
      </c>
      <c r="L186">
        <f>Database!D178</f>
        <v/>
      </c>
      <c r="M186">
        <f>Database!E178</f>
        <v/>
      </c>
      <c r="N186">
        <f>Database!H178</f>
        <v/>
      </c>
      <c r="O186">
        <f>Database!AH178</f>
        <v/>
      </c>
      <c r="P186">
        <f>Database!AK178</f>
        <v/>
      </c>
      <c r="Q186">
        <f>Database!G178</f>
        <v/>
      </c>
    </row>
    <row r="187">
      <c r="A187">
        <f>Database!B187</f>
        <v/>
      </c>
      <c r="B187">
        <f>IF(AND(Screener!$D$9&lt;&gt;"",Database!$E187=Screener!$D$9),1,0)</f>
        <v/>
      </c>
      <c r="C187">
        <f>IF(AND(Screener!$D$8&lt;&gt;"",Database!$D187=Screener!$D$8),1,0)</f>
        <v/>
      </c>
      <c r="D187">
        <f>IF(OR(Database!$H187="",N(Screener!$D$10)&lt;=0),0,MAX(0,1-ABS(LOG10(Database!$H187/Screener!$D$10))/W_SIZEHW))</f>
        <v/>
      </c>
      <c r="E187">
        <f>IF(OR(Database!$AH187="",Screener!$D$11=""),0,IF(Database!$AH187=Screener!$D$11,1,0))</f>
        <v/>
      </c>
      <c r="F187">
        <f>IF(OR(Database!$AK187="",Screener!$D$12=""),0,IF(Database!$AK187=Screener!$D$12,1,0))</f>
        <v/>
      </c>
      <c r="G187">
        <f>IF(OR(Database!$G187="",N(Screener!$D$13)&lt;=0),0,MAX(0,1-(N(Screener!$D$13)-Database!$G187)/W_RECD))</f>
        <v/>
      </c>
      <c r="H187">
        <f>IF($K$1="",0,N(ISNUMBER(SEARCH($K$1,Database!$T187&amp;""))))+IF($L$1="",0,N(ISNUMBER(SEARCH($L$1,Database!$T187&amp;""))))+IF($M$1="",0,N(ISNUMBER(SEARCH($M$1,Database!$T187&amp;""))))+IF($N$1="",0,N(ISNUMBER(SEARCH($N$1,Database!$T187&amp;""))))+IF($O$1="",0,N(ISNUMBER(SEARCH($O$1,Database!$T187&amp;""))))+IF(Screener!$B$14="",0,N(ISNUMBER(SEARCH(Screener!$B$14,Database!$T187&amp;""))))</f>
        <v/>
      </c>
      <c r="I187">
        <f>IF(OR(Database!$B187=Screener!$B$5,IF(OR(Screener!$B$17="All",AND(Screener!$B$17="With A-share",(Database!$AL187&lt;&gt;"")),AND(Screener!$B$17="Without A-share",NOT((Database!$AL187&lt;&gt;"")))),1,0)=0),-999999,IF(Screener!$B$15="cornerstone overlap first",H187*100000,0)+W_SUB*B187+W_SEC*C187*(1-B187)+W_SIZE*D187+W_PROF*E187+W_AH*F187+W_REC*G187+W_CS*H187)+ROW()/1000000</f>
        <v/>
      </c>
      <c r="K187">
        <f>Database!B179</f>
        <v/>
      </c>
      <c r="L187">
        <f>Database!D179</f>
        <v/>
      </c>
      <c r="M187">
        <f>Database!E179</f>
        <v/>
      </c>
      <c r="N187">
        <f>Database!H179</f>
        <v/>
      </c>
      <c r="O187">
        <f>Database!AH179</f>
        <v/>
      </c>
      <c r="P187">
        <f>Database!AK179</f>
        <v/>
      </c>
      <c r="Q187">
        <f>Database!G179</f>
        <v/>
      </c>
    </row>
    <row r="188">
      <c r="A188">
        <f>Database!B188</f>
        <v/>
      </c>
      <c r="B188">
        <f>IF(AND(Screener!$D$9&lt;&gt;"",Database!$E188=Screener!$D$9),1,0)</f>
        <v/>
      </c>
      <c r="C188">
        <f>IF(AND(Screener!$D$8&lt;&gt;"",Database!$D188=Screener!$D$8),1,0)</f>
        <v/>
      </c>
      <c r="D188">
        <f>IF(OR(Database!$H188="",N(Screener!$D$10)&lt;=0),0,MAX(0,1-ABS(LOG10(Database!$H188/Screener!$D$10))/W_SIZEHW))</f>
        <v/>
      </c>
      <c r="E188">
        <f>IF(OR(Database!$AH188="",Screener!$D$11=""),0,IF(Database!$AH188=Screener!$D$11,1,0))</f>
        <v/>
      </c>
      <c r="F188">
        <f>IF(OR(Database!$AK188="",Screener!$D$12=""),0,IF(Database!$AK188=Screener!$D$12,1,0))</f>
        <v/>
      </c>
      <c r="G188">
        <f>IF(OR(Database!$G188="",N(Screener!$D$13)&lt;=0),0,MAX(0,1-(N(Screener!$D$13)-Database!$G188)/W_RECD))</f>
        <v/>
      </c>
      <c r="H188">
        <f>IF($K$1="",0,N(ISNUMBER(SEARCH($K$1,Database!$T188&amp;""))))+IF($L$1="",0,N(ISNUMBER(SEARCH($L$1,Database!$T188&amp;""))))+IF($M$1="",0,N(ISNUMBER(SEARCH($M$1,Database!$T188&amp;""))))+IF($N$1="",0,N(ISNUMBER(SEARCH($N$1,Database!$T188&amp;""))))+IF($O$1="",0,N(ISNUMBER(SEARCH($O$1,Database!$T188&amp;""))))+IF(Screener!$B$14="",0,N(ISNUMBER(SEARCH(Screener!$B$14,Database!$T188&amp;""))))</f>
        <v/>
      </c>
      <c r="I188">
        <f>IF(OR(Database!$B188=Screener!$B$5,IF(OR(Screener!$B$17="All",AND(Screener!$B$17="With A-share",(Database!$AL188&lt;&gt;"")),AND(Screener!$B$17="Without A-share",NOT((Database!$AL188&lt;&gt;"")))),1,0)=0),-999999,IF(Screener!$B$15="cornerstone overlap first",H188*100000,0)+W_SUB*B188+W_SEC*C188*(1-B188)+W_SIZE*D188+W_PROF*E188+W_AH*F188+W_REC*G188+W_CS*H188)+ROW()/1000000</f>
        <v/>
      </c>
      <c r="K188">
        <f>Database!B180</f>
        <v/>
      </c>
      <c r="L188">
        <f>Database!D180</f>
        <v/>
      </c>
      <c r="M188">
        <f>Database!E180</f>
        <v/>
      </c>
      <c r="N188">
        <f>Database!H180</f>
        <v/>
      </c>
      <c r="O188">
        <f>Database!AH180</f>
        <v/>
      </c>
      <c r="P188">
        <f>Database!AK180</f>
        <v/>
      </c>
      <c r="Q188">
        <f>Database!G180</f>
        <v/>
      </c>
    </row>
    <row r="189">
      <c r="A189">
        <f>Database!B189</f>
        <v/>
      </c>
      <c r="B189">
        <f>IF(AND(Screener!$D$9&lt;&gt;"",Database!$E189=Screener!$D$9),1,0)</f>
        <v/>
      </c>
      <c r="C189">
        <f>IF(AND(Screener!$D$8&lt;&gt;"",Database!$D189=Screener!$D$8),1,0)</f>
        <v/>
      </c>
      <c r="D189">
        <f>IF(OR(Database!$H189="",N(Screener!$D$10)&lt;=0),0,MAX(0,1-ABS(LOG10(Database!$H189/Screener!$D$10))/W_SIZEHW))</f>
        <v/>
      </c>
      <c r="E189">
        <f>IF(OR(Database!$AH189="",Screener!$D$11=""),0,IF(Database!$AH189=Screener!$D$11,1,0))</f>
        <v/>
      </c>
      <c r="F189">
        <f>IF(OR(Database!$AK189="",Screener!$D$12=""),0,IF(Database!$AK189=Screener!$D$12,1,0))</f>
        <v/>
      </c>
      <c r="G189">
        <f>IF(OR(Database!$G189="",N(Screener!$D$13)&lt;=0),0,MAX(0,1-(N(Screener!$D$13)-Database!$G189)/W_RECD))</f>
        <v/>
      </c>
      <c r="H189">
        <f>IF($K$1="",0,N(ISNUMBER(SEARCH($K$1,Database!$T189&amp;""))))+IF($L$1="",0,N(ISNUMBER(SEARCH($L$1,Database!$T189&amp;""))))+IF($M$1="",0,N(ISNUMBER(SEARCH($M$1,Database!$T189&amp;""))))+IF($N$1="",0,N(ISNUMBER(SEARCH($N$1,Database!$T189&amp;""))))+IF($O$1="",0,N(ISNUMBER(SEARCH($O$1,Database!$T189&amp;""))))+IF(Screener!$B$14="",0,N(ISNUMBER(SEARCH(Screener!$B$14,Database!$T189&amp;""))))</f>
        <v/>
      </c>
      <c r="I189">
        <f>IF(OR(Database!$B189=Screener!$B$5,IF(OR(Screener!$B$17="All",AND(Screener!$B$17="With A-share",(Database!$AL189&lt;&gt;"")),AND(Screener!$B$17="Without A-share",NOT((Database!$AL189&lt;&gt;"")))),1,0)=0),-999999,IF(Screener!$B$15="cornerstone overlap first",H189*100000,0)+W_SUB*B189+W_SEC*C189*(1-B189)+W_SIZE*D189+W_PROF*E189+W_AH*F189+W_REC*G189+W_CS*H189)+ROW()/1000000</f>
        <v/>
      </c>
      <c r="K189">
        <f>Database!B181</f>
        <v/>
      </c>
      <c r="L189">
        <f>Database!D181</f>
        <v/>
      </c>
      <c r="M189">
        <f>Database!E181</f>
        <v/>
      </c>
      <c r="N189">
        <f>Database!H181</f>
        <v/>
      </c>
      <c r="O189">
        <f>Database!AH181</f>
        <v/>
      </c>
      <c r="P189">
        <f>Database!AK181</f>
        <v/>
      </c>
      <c r="Q189">
        <f>Database!G181</f>
        <v/>
      </c>
    </row>
    <row r="190">
      <c r="A190">
        <f>Database!B190</f>
        <v/>
      </c>
      <c r="B190">
        <f>IF(AND(Screener!$D$9&lt;&gt;"",Database!$E190=Screener!$D$9),1,0)</f>
        <v/>
      </c>
      <c r="C190">
        <f>IF(AND(Screener!$D$8&lt;&gt;"",Database!$D190=Screener!$D$8),1,0)</f>
        <v/>
      </c>
      <c r="D190">
        <f>IF(OR(Database!$H190="",N(Screener!$D$10)&lt;=0),0,MAX(0,1-ABS(LOG10(Database!$H190/Screener!$D$10))/W_SIZEHW))</f>
        <v/>
      </c>
      <c r="E190">
        <f>IF(OR(Database!$AH190="",Screener!$D$11=""),0,IF(Database!$AH190=Screener!$D$11,1,0))</f>
        <v/>
      </c>
      <c r="F190">
        <f>IF(OR(Database!$AK190="",Screener!$D$12=""),0,IF(Database!$AK190=Screener!$D$12,1,0))</f>
        <v/>
      </c>
      <c r="G190">
        <f>IF(OR(Database!$G190="",N(Screener!$D$13)&lt;=0),0,MAX(0,1-(N(Screener!$D$13)-Database!$G190)/W_RECD))</f>
        <v/>
      </c>
      <c r="H190">
        <f>IF($K$1="",0,N(ISNUMBER(SEARCH($K$1,Database!$T190&amp;""))))+IF($L$1="",0,N(ISNUMBER(SEARCH($L$1,Database!$T190&amp;""))))+IF($M$1="",0,N(ISNUMBER(SEARCH($M$1,Database!$T190&amp;""))))+IF($N$1="",0,N(ISNUMBER(SEARCH($N$1,Database!$T190&amp;""))))+IF($O$1="",0,N(ISNUMBER(SEARCH($O$1,Database!$T190&amp;""))))+IF(Screener!$B$14="",0,N(ISNUMBER(SEARCH(Screener!$B$14,Database!$T190&amp;""))))</f>
        <v/>
      </c>
      <c r="I190">
        <f>IF(OR(Database!$B190=Screener!$B$5,IF(OR(Screener!$B$17="All",AND(Screener!$B$17="With A-share",(Database!$AL190&lt;&gt;"")),AND(Screener!$B$17="Without A-share",NOT((Database!$AL190&lt;&gt;"")))),1,0)=0),-999999,IF(Screener!$B$15="cornerstone overlap first",H190*100000,0)+W_SUB*B190+W_SEC*C190*(1-B190)+W_SIZE*D190+W_PROF*E190+W_AH*F190+W_REC*G190+W_CS*H190)+ROW()/1000000</f>
        <v/>
      </c>
      <c r="K190">
        <f>Database!B182</f>
        <v/>
      </c>
      <c r="L190">
        <f>Database!D182</f>
        <v/>
      </c>
      <c r="M190">
        <f>Database!E182</f>
        <v/>
      </c>
      <c r="N190">
        <f>Database!H182</f>
        <v/>
      </c>
      <c r="O190">
        <f>Database!AH182</f>
        <v/>
      </c>
      <c r="P190">
        <f>Database!AK182</f>
        <v/>
      </c>
      <c r="Q190">
        <f>Database!G182</f>
        <v/>
      </c>
    </row>
    <row r="191">
      <c r="A191">
        <f>Database!B191</f>
        <v/>
      </c>
      <c r="B191">
        <f>IF(AND(Screener!$D$9&lt;&gt;"",Database!$E191=Screener!$D$9),1,0)</f>
        <v/>
      </c>
      <c r="C191">
        <f>IF(AND(Screener!$D$8&lt;&gt;"",Database!$D191=Screener!$D$8),1,0)</f>
        <v/>
      </c>
      <c r="D191">
        <f>IF(OR(Database!$H191="",N(Screener!$D$10)&lt;=0),0,MAX(0,1-ABS(LOG10(Database!$H191/Screener!$D$10))/W_SIZEHW))</f>
        <v/>
      </c>
      <c r="E191">
        <f>IF(OR(Database!$AH191="",Screener!$D$11=""),0,IF(Database!$AH191=Screener!$D$11,1,0))</f>
        <v/>
      </c>
      <c r="F191">
        <f>IF(OR(Database!$AK191="",Screener!$D$12=""),0,IF(Database!$AK191=Screener!$D$12,1,0))</f>
        <v/>
      </c>
      <c r="G191">
        <f>IF(OR(Database!$G191="",N(Screener!$D$13)&lt;=0),0,MAX(0,1-(N(Screener!$D$13)-Database!$G191)/W_RECD))</f>
        <v/>
      </c>
      <c r="H191">
        <f>IF($K$1="",0,N(ISNUMBER(SEARCH($K$1,Database!$T191&amp;""))))+IF($L$1="",0,N(ISNUMBER(SEARCH($L$1,Database!$T191&amp;""))))+IF($M$1="",0,N(ISNUMBER(SEARCH($M$1,Database!$T191&amp;""))))+IF($N$1="",0,N(ISNUMBER(SEARCH($N$1,Database!$T191&amp;""))))+IF($O$1="",0,N(ISNUMBER(SEARCH($O$1,Database!$T191&amp;""))))+IF(Screener!$B$14="",0,N(ISNUMBER(SEARCH(Screener!$B$14,Database!$T191&amp;""))))</f>
        <v/>
      </c>
      <c r="I191">
        <f>IF(OR(Database!$B191=Screener!$B$5,IF(OR(Screener!$B$17="All",AND(Screener!$B$17="With A-share",(Database!$AL191&lt;&gt;"")),AND(Screener!$B$17="Without A-share",NOT((Database!$AL191&lt;&gt;"")))),1,0)=0),-999999,IF(Screener!$B$15="cornerstone overlap first",H191*100000,0)+W_SUB*B191+W_SEC*C191*(1-B191)+W_SIZE*D191+W_PROF*E191+W_AH*F191+W_REC*G191+W_CS*H191)+ROW()/1000000</f>
        <v/>
      </c>
      <c r="K191">
        <f>Database!B183</f>
        <v/>
      </c>
      <c r="L191">
        <f>Database!D183</f>
        <v/>
      </c>
      <c r="M191">
        <f>Database!E183</f>
        <v/>
      </c>
      <c r="N191">
        <f>Database!H183</f>
        <v/>
      </c>
      <c r="O191">
        <f>Database!AH183</f>
        <v/>
      </c>
      <c r="P191">
        <f>Database!AK183</f>
        <v/>
      </c>
      <c r="Q191">
        <f>Database!G183</f>
        <v/>
      </c>
    </row>
    <row r="192">
      <c r="A192">
        <f>Database!B192</f>
        <v/>
      </c>
      <c r="B192">
        <f>IF(AND(Screener!$D$9&lt;&gt;"",Database!$E192=Screener!$D$9),1,0)</f>
        <v/>
      </c>
      <c r="C192">
        <f>IF(AND(Screener!$D$8&lt;&gt;"",Database!$D192=Screener!$D$8),1,0)</f>
        <v/>
      </c>
      <c r="D192">
        <f>IF(OR(Database!$H192="",N(Screener!$D$10)&lt;=0),0,MAX(0,1-ABS(LOG10(Database!$H192/Screener!$D$10))/W_SIZEHW))</f>
        <v/>
      </c>
      <c r="E192">
        <f>IF(OR(Database!$AH192="",Screener!$D$11=""),0,IF(Database!$AH192=Screener!$D$11,1,0))</f>
        <v/>
      </c>
      <c r="F192">
        <f>IF(OR(Database!$AK192="",Screener!$D$12=""),0,IF(Database!$AK192=Screener!$D$12,1,0))</f>
        <v/>
      </c>
      <c r="G192">
        <f>IF(OR(Database!$G192="",N(Screener!$D$13)&lt;=0),0,MAX(0,1-(N(Screener!$D$13)-Database!$G192)/W_RECD))</f>
        <v/>
      </c>
      <c r="H192">
        <f>IF($K$1="",0,N(ISNUMBER(SEARCH($K$1,Database!$T192&amp;""))))+IF($L$1="",0,N(ISNUMBER(SEARCH($L$1,Database!$T192&amp;""))))+IF($M$1="",0,N(ISNUMBER(SEARCH($M$1,Database!$T192&amp;""))))+IF($N$1="",0,N(ISNUMBER(SEARCH($N$1,Database!$T192&amp;""))))+IF($O$1="",0,N(ISNUMBER(SEARCH($O$1,Database!$T192&amp;""))))+IF(Screener!$B$14="",0,N(ISNUMBER(SEARCH(Screener!$B$14,Database!$T192&amp;""))))</f>
        <v/>
      </c>
      <c r="I192">
        <f>IF(OR(Database!$B192=Screener!$B$5,IF(OR(Screener!$B$17="All",AND(Screener!$B$17="With A-share",(Database!$AL192&lt;&gt;"")),AND(Screener!$B$17="Without A-share",NOT((Database!$AL192&lt;&gt;"")))),1,0)=0),-999999,IF(Screener!$B$15="cornerstone overlap first",H192*100000,0)+W_SUB*B192+W_SEC*C192*(1-B192)+W_SIZE*D192+W_PROF*E192+W_AH*F192+W_REC*G192+W_CS*H192)+ROW()/1000000</f>
        <v/>
      </c>
      <c r="K192">
        <f>Database!B184</f>
        <v/>
      </c>
      <c r="L192">
        <f>Database!D184</f>
        <v/>
      </c>
      <c r="M192">
        <f>Database!E184</f>
        <v/>
      </c>
      <c r="N192">
        <f>Database!H184</f>
        <v/>
      </c>
      <c r="O192">
        <f>Database!AH184</f>
        <v/>
      </c>
      <c r="P192">
        <f>Database!AK184</f>
        <v/>
      </c>
      <c r="Q192">
        <f>Database!G184</f>
        <v/>
      </c>
    </row>
    <row r="193">
      <c r="A193">
        <f>Database!B193</f>
        <v/>
      </c>
      <c r="B193">
        <f>IF(AND(Screener!$D$9&lt;&gt;"",Database!$E193=Screener!$D$9),1,0)</f>
        <v/>
      </c>
      <c r="C193">
        <f>IF(AND(Screener!$D$8&lt;&gt;"",Database!$D193=Screener!$D$8),1,0)</f>
        <v/>
      </c>
      <c r="D193">
        <f>IF(OR(Database!$H193="",N(Screener!$D$10)&lt;=0),0,MAX(0,1-ABS(LOG10(Database!$H193/Screener!$D$10))/W_SIZEHW))</f>
        <v/>
      </c>
      <c r="E193">
        <f>IF(OR(Database!$AH193="",Screener!$D$11=""),0,IF(Database!$AH193=Screener!$D$11,1,0))</f>
        <v/>
      </c>
      <c r="F193">
        <f>IF(OR(Database!$AK193="",Screener!$D$12=""),0,IF(Database!$AK193=Screener!$D$12,1,0))</f>
        <v/>
      </c>
      <c r="G193">
        <f>IF(OR(Database!$G193="",N(Screener!$D$13)&lt;=0),0,MAX(0,1-(N(Screener!$D$13)-Database!$G193)/W_RECD))</f>
        <v/>
      </c>
      <c r="H193">
        <f>IF($K$1="",0,N(ISNUMBER(SEARCH($K$1,Database!$T193&amp;""))))+IF($L$1="",0,N(ISNUMBER(SEARCH($L$1,Database!$T193&amp;""))))+IF($M$1="",0,N(ISNUMBER(SEARCH($M$1,Database!$T193&amp;""))))+IF($N$1="",0,N(ISNUMBER(SEARCH($N$1,Database!$T193&amp;""))))+IF($O$1="",0,N(ISNUMBER(SEARCH($O$1,Database!$T193&amp;""))))+IF(Screener!$B$14="",0,N(ISNUMBER(SEARCH(Screener!$B$14,Database!$T193&amp;""))))</f>
        <v/>
      </c>
      <c r="I193">
        <f>IF(OR(Database!$B193=Screener!$B$5,IF(OR(Screener!$B$17="All",AND(Screener!$B$17="With A-share",(Database!$AL193&lt;&gt;"")),AND(Screener!$B$17="Without A-share",NOT((Database!$AL193&lt;&gt;"")))),1,0)=0),-999999,IF(Screener!$B$15="cornerstone overlap first",H193*100000,0)+W_SUB*B193+W_SEC*C193*(1-B193)+W_SIZE*D193+W_PROF*E193+W_AH*F193+W_REC*G193+W_CS*H193)+ROW()/1000000</f>
        <v/>
      </c>
      <c r="K193">
        <f>Database!B185</f>
        <v/>
      </c>
      <c r="L193">
        <f>Database!D185</f>
        <v/>
      </c>
      <c r="M193">
        <f>Database!E185</f>
        <v/>
      </c>
      <c r="N193">
        <f>Database!H185</f>
        <v/>
      </c>
      <c r="O193">
        <f>Database!AH185</f>
        <v/>
      </c>
      <c r="P193">
        <f>Database!AK185</f>
        <v/>
      </c>
      <c r="Q193">
        <f>Database!G185</f>
        <v/>
      </c>
    </row>
    <row r="194">
      <c r="A194">
        <f>Database!B194</f>
        <v/>
      </c>
      <c r="B194">
        <f>IF(AND(Screener!$D$9&lt;&gt;"",Database!$E194=Screener!$D$9),1,0)</f>
        <v/>
      </c>
      <c r="C194">
        <f>IF(AND(Screener!$D$8&lt;&gt;"",Database!$D194=Screener!$D$8),1,0)</f>
        <v/>
      </c>
      <c r="D194">
        <f>IF(OR(Database!$H194="",N(Screener!$D$10)&lt;=0),0,MAX(0,1-ABS(LOG10(Database!$H194/Screener!$D$10))/W_SIZEHW))</f>
        <v/>
      </c>
      <c r="E194">
        <f>IF(OR(Database!$AH194="",Screener!$D$11=""),0,IF(Database!$AH194=Screener!$D$11,1,0))</f>
        <v/>
      </c>
      <c r="F194">
        <f>IF(OR(Database!$AK194="",Screener!$D$12=""),0,IF(Database!$AK194=Screener!$D$12,1,0))</f>
        <v/>
      </c>
      <c r="G194">
        <f>IF(OR(Database!$G194="",N(Screener!$D$13)&lt;=0),0,MAX(0,1-(N(Screener!$D$13)-Database!$G194)/W_RECD))</f>
        <v/>
      </c>
      <c r="H194">
        <f>IF($K$1="",0,N(ISNUMBER(SEARCH($K$1,Database!$T194&amp;""))))+IF($L$1="",0,N(ISNUMBER(SEARCH($L$1,Database!$T194&amp;""))))+IF($M$1="",0,N(ISNUMBER(SEARCH($M$1,Database!$T194&amp;""))))+IF($N$1="",0,N(ISNUMBER(SEARCH($N$1,Database!$T194&amp;""))))+IF($O$1="",0,N(ISNUMBER(SEARCH($O$1,Database!$T194&amp;""))))+IF(Screener!$B$14="",0,N(ISNUMBER(SEARCH(Screener!$B$14,Database!$T194&amp;""))))</f>
        <v/>
      </c>
      <c r="I194">
        <f>IF(OR(Database!$B194=Screener!$B$5,IF(OR(Screener!$B$17="All",AND(Screener!$B$17="With A-share",(Database!$AL194&lt;&gt;"")),AND(Screener!$B$17="Without A-share",NOT((Database!$AL194&lt;&gt;"")))),1,0)=0),-999999,IF(Screener!$B$15="cornerstone overlap first",H194*100000,0)+W_SUB*B194+W_SEC*C194*(1-B194)+W_SIZE*D194+W_PROF*E194+W_AH*F194+W_REC*G194+W_CS*H194)+ROW()/1000000</f>
        <v/>
      </c>
      <c r="K194">
        <f>Database!B186</f>
        <v/>
      </c>
      <c r="L194">
        <f>Database!D186</f>
        <v/>
      </c>
      <c r="M194">
        <f>Database!E186</f>
        <v/>
      </c>
      <c r="N194">
        <f>Database!H186</f>
        <v/>
      </c>
      <c r="O194">
        <f>Database!AH186</f>
        <v/>
      </c>
      <c r="P194">
        <f>Database!AK186</f>
        <v/>
      </c>
      <c r="Q194">
        <f>Database!G186</f>
        <v/>
      </c>
    </row>
    <row r="195">
      <c r="A195">
        <f>Database!B195</f>
        <v/>
      </c>
      <c r="B195">
        <f>IF(AND(Screener!$D$9&lt;&gt;"",Database!$E195=Screener!$D$9),1,0)</f>
        <v/>
      </c>
      <c r="C195">
        <f>IF(AND(Screener!$D$8&lt;&gt;"",Database!$D195=Screener!$D$8),1,0)</f>
        <v/>
      </c>
      <c r="D195">
        <f>IF(OR(Database!$H195="",N(Screener!$D$10)&lt;=0),0,MAX(0,1-ABS(LOG10(Database!$H195/Screener!$D$10))/W_SIZEHW))</f>
        <v/>
      </c>
      <c r="E195">
        <f>IF(OR(Database!$AH195="",Screener!$D$11=""),0,IF(Database!$AH195=Screener!$D$11,1,0))</f>
        <v/>
      </c>
      <c r="F195">
        <f>IF(OR(Database!$AK195="",Screener!$D$12=""),0,IF(Database!$AK195=Screener!$D$12,1,0))</f>
        <v/>
      </c>
      <c r="G195">
        <f>IF(OR(Database!$G195="",N(Screener!$D$13)&lt;=0),0,MAX(0,1-(N(Screener!$D$13)-Database!$G195)/W_RECD))</f>
        <v/>
      </c>
      <c r="H195">
        <f>IF($K$1="",0,N(ISNUMBER(SEARCH($K$1,Database!$T195&amp;""))))+IF($L$1="",0,N(ISNUMBER(SEARCH($L$1,Database!$T195&amp;""))))+IF($M$1="",0,N(ISNUMBER(SEARCH($M$1,Database!$T195&amp;""))))+IF($N$1="",0,N(ISNUMBER(SEARCH($N$1,Database!$T195&amp;""))))+IF($O$1="",0,N(ISNUMBER(SEARCH($O$1,Database!$T195&amp;""))))+IF(Screener!$B$14="",0,N(ISNUMBER(SEARCH(Screener!$B$14,Database!$T195&amp;""))))</f>
        <v/>
      </c>
      <c r="I195">
        <f>IF(OR(Database!$B195=Screener!$B$5,IF(OR(Screener!$B$17="All",AND(Screener!$B$17="With A-share",(Database!$AL195&lt;&gt;"")),AND(Screener!$B$17="Without A-share",NOT((Database!$AL195&lt;&gt;"")))),1,0)=0),-999999,IF(Screener!$B$15="cornerstone overlap first",H195*100000,0)+W_SUB*B195+W_SEC*C195*(1-B195)+W_SIZE*D195+W_PROF*E195+W_AH*F195+W_REC*G195+W_CS*H195)+ROW()/1000000</f>
        <v/>
      </c>
      <c r="K195">
        <f>Database!B187</f>
        <v/>
      </c>
      <c r="L195">
        <f>Database!D187</f>
        <v/>
      </c>
      <c r="M195">
        <f>Database!E187</f>
        <v/>
      </c>
      <c r="N195">
        <f>Database!H187</f>
        <v/>
      </c>
      <c r="O195">
        <f>Database!AH187</f>
        <v/>
      </c>
      <c r="P195">
        <f>Database!AK187</f>
        <v/>
      </c>
      <c r="Q195">
        <f>Database!G187</f>
        <v/>
      </c>
    </row>
    <row r="196">
      <c r="A196">
        <f>Database!B196</f>
        <v/>
      </c>
      <c r="B196">
        <f>IF(AND(Screener!$D$9&lt;&gt;"",Database!$E196=Screener!$D$9),1,0)</f>
        <v/>
      </c>
      <c r="C196">
        <f>IF(AND(Screener!$D$8&lt;&gt;"",Database!$D196=Screener!$D$8),1,0)</f>
        <v/>
      </c>
      <c r="D196">
        <f>IF(OR(Database!$H196="",N(Screener!$D$10)&lt;=0),0,MAX(0,1-ABS(LOG10(Database!$H196/Screener!$D$10))/W_SIZEHW))</f>
        <v/>
      </c>
      <c r="E196">
        <f>IF(OR(Database!$AH196="",Screener!$D$11=""),0,IF(Database!$AH196=Screener!$D$11,1,0))</f>
        <v/>
      </c>
      <c r="F196">
        <f>IF(OR(Database!$AK196="",Screener!$D$12=""),0,IF(Database!$AK196=Screener!$D$12,1,0))</f>
        <v/>
      </c>
      <c r="G196">
        <f>IF(OR(Database!$G196="",N(Screener!$D$13)&lt;=0),0,MAX(0,1-(N(Screener!$D$13)-Database!$G196)/W_RECD))</f>
        <v/>
      </c>
      <c r="H196">
        <f>IF($K$1="",0,N(ISNUMBER(SEARCH($K$1,Database!$T196&amp;""))))+IF($L$1="",0,N(ISNUMBER(SEARCH($L$1,Database!$T196&amp;""))))+IF($M$1="",0,N(ISNUMBER(SEARCH($M$1,Database!$T196&amp;""))))+IF($N$1="",0,N(ISNUMBER(SEARCH($N$1,Database!$T196&amp;""))))+IF($O$1="",0,N(ISNUMBER(SEARCH($O$1,Database!$T196&amp;""))))+IF(Screener!$B$14="",0,N(ISNUMBER(SEARCH(Screener!$B$14,Database!$T196&amp;""))))</f>
        <v/>
      </c>
      <c r="I196">
        <f>IF(OR(Database!$B196=Screener!$B$5,IF(OR(Screener!$B$17="All",AND(Screener!$B$17="With A-share",(Database!$AL196&lt;&gt;"")),AND(Screener!$B$17="Without A-share",NOT((Database!$AL196&lt;&gt;"")))),1,0)=0),-999999,IF(Screener!$B$15="cornerstone overlap first",H196*100000,0)+W_SUB*B196+W_SEC*C196*(1-B196)+W_SIZE*D196+W_PROF*E196+W_AH*F196+W_REC*G196+W_CS*H196)+ROW()/1000000</f>
        <v/>
      </c>
      <c r="K196">
        <f>Database!B188</f>
        <v/>
      </c>
      <c r="L196">
        <f>Database!D188</f>
        <v/>
      </c>
      <c r="M196">
        <f>Database!E188</f>
        <v/>
      </c>
      <c r="N196">
        <f>Database!H188</f>
        <v/>
      </c>
      <c r="O196">
        <f>Database!AH188</f>
        <v/>
      </c>
      <c r="P196">
        <f>Database!AK188</f>
        <v/>
      </c>
      <c r="Q196">
        <f>Database!G188</f>
        <v/>
      </c>
    </row>
    <row r="197">
      <c r="A197">
        <f>Database!B197</f>
        <v/>
      </c>
      <c r="B197">
        <f>IF(AND(Screener!$D$9&lt;&gt;"",Database!$E197=Screener!$D$9),1,0)</f>
        <v/>
      </c>
      <c r="C197">
        <f>IF(AND(Screener!$D$8&lt;&gt;"",Database!$D197=Screener!$D$8),1,0)</f>
        <v/>
      </c>
      <c r="D197">
        <f>IF(OR(Database!$H197="",N(Screener!$D$10)&lt;=0),0,MAX(0,1-ABS(LOG10(Database!$H197/Screener!$D$10))/W_SIZEHW))</f>
        <v/>
      </c>
      <c r="E197">
        <f>IF(OR(Database!$AH197="",Screener!$D$11=""),0,IF(Database!$AH197=Screener!$D$11,1,0))</f>
        <v/>
      </c>
      <c r="F197">
        <f>IF(OR(Database!$AK197="",Screener!$D$12=""),0,IF(Database!$AK197=Screener!$D$12,1,0))</f>
        <v/>
      </c>
      <c r="G197">
        <f>IF(OR(Database!$G197="",N(Screener!$D$13)&lt;=0),0,MAX(0,1-(N(Screener!$D$13)-Database!$G197)/W_RECD))</f>
        <v/>
      </c>
      <c r="H197">
        <f>IF($K$1="",0,N(ISNUMBER(SEARCH($K$1,Database!$T197&amp;""))))+IF($L$1="",0,N(ISNUMBER(SEARCH($L$1,Database!$T197&amp;""))))+IF($M$1="",0,N(ISNUMBER(SEARCH($M$1,Database!$T197&amp;""))))+IF($N$1="",0,N(ISNUMBER(SEARCH($N$1,Database!$T197&amp;""))))+IF($O$1="",0,N(ISNUMBER(SEARCH($O$1,Database!$T197&amp;""))))+IF(Screener!$B$14="",0,N(ISNUMBER(SEARCH(Screener!$B$14,Database!$T197&amp;""))))</f>
        <v/>
      </c>
      <c r="I197">
        <f>IF(OR(Database!$B197=Screener!$B$5,IF(OR(Screener!$B$17="All",AND(Screener!$B$17="With A-share",(Database!$AL197&lt;&gt;"")),AND(Screener!$B$17="Without A-share",NOT((Database!$AL197&lt;&gt;"")))),1,0)=0),-999999,IF(Screener!$B$15="cornerstone overlap first",H197*100000,0)+W_SUB*B197+W_SEC*C197*(1-B197)+W_SIZE*D197+W_PROF*E197+W_AH*F197+W_REC*G197+W_CS*H197)+ROW()/1000000</f>
        <v/>
      </c>
      <c r="K197">
        <f>Database!B189</f>
        <v/>
      </c>
      <c r="L197">
        <f>Database!D189</f>
        <v/>
      </c>
      <c r="M197">
        <f>Database!E189</f>
        <v/>
      </c>
      <c r="N197">
        <f>Database!H189</f>
        <v/>
      </c>
      <c r="O197">
        <f>Database!AH189</f>
        <v/>
      </c>
      <c r="P197">
        <f>Database!AK189</f>
        <v/>
      </c>
      <c r="Q197">
        <f>Database!G189</f>
        <v/>
      </c>
    </row>
    <row r="198">
      <c r="A198">
        <f>Database!B198</f>
        <v/>
      </c>
      <c r="B198">
        <f>IF(AND(Screener!$D$9&lt;&gt;"",Database!$E198=Screener!$D$9),1,0)</f>
        <v/>
      </c>
      <c r="C198">
        <f>IF(AND(Screener!$D$8&lt;&gt;"",Database!$D198=Screener!$D$8),1,0)</f>
        <v/>
      </c>
      <c r="D198">
        <f>IF(OR(Database!$H198="",N(Screener!$D$10)&lt;=0),0,MAX(0,1-ABS(LOG10(Database!$H198/Screener!$D$10))/W_SIZEHW))</f>
        <v/>
      </c>
      <c r="E198">
        <f>IF(OR(Database!$AH198="",Screener!$D$11=""),0,IF(Database!$AH198=Screener!$D$11,1,0))</f>
        <v/>
      </c>
      <c r="F198">
        <f>IF(OR(Database!$AK198="",Screener!$D$12=""),0,IF(Database!$AK198=Screener!$D$12,1,0))</f>
        <v/>
      </c>
      <c r="G198">
        <f>IF(OR(Database!$G198="",N(Screener!$D$13)&lt;=0),0,MAX(0,1-(N(Screener!$D$13)-Database!$G198)/W_RECD))</f>
        <v/>
      </c>
      <c r="H198">
        <f>IF($K$1="",0,N(ISNUMBER(SEARCH($K$1,Database!$T198&amp;""))))+IF($L$1="",0,N(ISNUMBER(SEARCH($L$1,Database!$T198&amp;""))))+IF($M$1="",0,N(ISNUMBER(SEARCH($M$1,Database!$T198&amp;""))))+IF($N$1="",0,N(ISNUMBER(SEARCH($N$1,Database!$T198&amp;""))))+IF($O$1="",0,N(ISNUMBER(SEARCH($O$1,Database!$T198&amp;""))))+IF(Screener!$B$14="",0,N(ISNUMBER(SEARCH(Screener!$B$14,Database!$T198&amp;""))))</f>
        <v/>
      </c>
      <c r="I198">
        <f>IF(OR(Database!$B198=Screener!$B$5,IF(OR(Screener!$B$17="All",AND(Screener!$B$17="With A-share",(Database!$AL198&lt;&gt;"")),AND(Screener!$B$17="Without A-share",NOT((Database!$AL198&lt;&gt;"")))),1,0)=0),-999999,IF(Screener!$B$15="cornerstone overlap first",H198*100000,0)+W_SUB*B198+W_SEC*C198*(1-B198)+W_SIZE*D198+W_PROF*E198+W_AH*F198+W_REC*G198+W_CS*H198)+ROW()/1000000</f>
        <v/>
      </c>
      <c r="K198">
        <f>Database!B190</f>
        <v/>
      </c>
      <c r="L198">
        <f>Database!D190</f>
        <v/>
      </c>
      <c r="M198">
        <f>Database!E190</f>
        <v/>
      </c>
      <c r="N198">
        <f>Database!H190</f>
        <v/>
      </c>
      <c r="O198">
        <f>Database!AH190</f>
        <v/>
      </c>
      <c r="P198">
        <f>Database!AK190</f>
        <v/>
      </c>
      <c r="Q198">
        <f>Database!G190</f>
        <v/>
      </c>
    </row>
    <row r="199">
      <c r="A199">
        <f>Database!B199</f>
        <v/>
      </c>
      <c r="B199">
        <f>IF(AND(Screener!$D$9&lt;&gt;"",Database!$E199=Screener!$D$9),1,0)</f>
        <v/>
      </c>
      <c r="C199">
        <f>IF(AND(Screener!$D$8&lt;&gt;"",Database!$D199=Screener!$D$8),1,0)</f>
        <v/>
      </c>
      <c r="D199">
        <f>IF(OR(Database!$H199="",N(Screener!$D$10)&lt;=0),0,MAX(0,1-ABS(LOG10(Database!$H199/Screener!$D$10))/W_SIZEHW))</f>
        <v/>
      </c>
      <c r="E199">
        <f>IF(OR(Database!$AH199="",Screener!$D$11=""),0,IF(Database!$AH199=Screener!$D$11,1,0))</f>
        <v/>
      </c>
      <c r="F199">
        <f>IF(OR(Database!$AK199="",Screener!$D$12=""),0,IF(Database!$AK199=Screener!$D$12,1,0))</f>
        <v/>
      </c>
      <c r="G199">
        <f>IF(OR(Database!$G199="",N(Screener!$D$13)&lt;=0),0,MAX(0,1-(N(Screener!$D$13)-Database!$G199)/W_RECD))</f>
        <v/>
      </c>
      <c r="H199">
        <f>IF($K$1="",0,N(ISNUMBER(SEARCH($K$1,Database!$T199&amp;""))))+IF($L$1="",0,N(ISNUMBER(SEARCH($L$1,Database!$T199&amp;""))))+IF($M$1="",0,N(ISNUMBER(SEARCH($M$1,Database!$T199&amp;""))))+IF($N$1="",0,N(ISNUMBER(SEARCH($N$1,Database!$T199&amp;""))))+IF($O$1="",0,N(ISNUMBER(SEARCH($O$1,Database!$T199&amp;""))))+IF(Screener!$B$14="",0,N(ISNUMBER(SEARCH(Screener!$B$14,Database!$T199&amp;""))))</f>
        <v/>
      </c>
      <c r="I199">
        <f>IF(OR(Database!$B199=Screener!$B$5,IF(OR(Screener!$B$17="All",AND(Screener!$B$17="With A-share",(Database!$AL199&lt;&gt;"")),AND(Screener!$B$17="Without A-share",NOT((Database!$AL199&lt;&gt;"")))),1,0)=0),-999999,IF(Screener!$B$15="cornerstone overlap first",H199*100000,0)+W_SUB*B199+W_SEC*C199*(1-B199)+W_SIZE*D199+W_PROF*E199+W_AH*F199+W_REC*G199+W_CS*H199)+ROW()/1000000</f>
        <v/>
      </c>
      <c r="K199">
        <f>Database!B191</f>
        <v/>
      </c>
      <c r="L199">
        <f>Database!D191</f>
        <v/>
      </c>
      <c r="M199">
        <f>Database!E191</f>
        <v/>
      </c>
      <c r="N199">
        <f>Database!H191</f>
        <v/>
      </c>
      <c r="O199">
        <f>Database!AH191</f>
        <v/>
      </c>
      <c r="P199">
        <f>Database!AK191</f>
        <v/>
      </c>
      <c r="Q199">
        <f>Database!G191</f>
        <v/>
      </c>
    </row>
    <row r="200">
      <c r="A200">
        <f>Database!B200</f>
        <v/>
      </c>
      <c r="B200">
        <f>IF(AND(Screener!$D$9&lt;&gt;"",Database!$E200=Screener!$D$9),1,0)</f>
        <v/>
      </c>
      <c r="C200">
        <f>IF(AND(Screener!$D$8&lt;&gt;"",Database!$D200=Screener!$D$8),1,0)</f>
        <v/>
      </c>
      <c r="D200">
        <f>IF(OR(Database!$H200="",N(Screener!$D$10)&lt;=0),0,MAX(0,1-ABS(LOG10(Database!$H200/Screener!$D$10))/W_SIZEHW))</f>
        <v/>
      </c>
      <c r="E200">
        <f>IF(OR(Database!$AH200="",Screener!$D$11=""),0,IF(Database!$AH200=Screener!$D$11,1,0))</f>
        <v/>
      </c>
      <c r="F200">
        <f>IF(OR(Database!$AK200="",Screener!$D$12=""),0,IF(Database!$AK200=Screener!$D$12,1,0))</f>
        <v/>
      </c>
      <c r="G200">
        <f>IF(OR(Database!$G200="",N(Screener!$D$13)&lt;=0),0,MAX(0,1-(N(Screener!$D$13)-Database!$G200)/W_RECD))</f>
        <v/>
      </c>
      <c r="H200">
        <f>IF($K$1="",0,N(ISNUMBER(SEARCH($K$1,Database!$T200&amp;""))))+IF($L$1="",0,N(ISNUMBER(SEARCH($L$1,Database!$T200&amp;""))))+IF($M$1="",0,N(ISNUMBER(SEARCH($M$1,Database!$T200&amp;""))))+IF($N$1="",0,N(ISNUMBER(SEARCH($N$1,Database!$T200&amp;""))))+IF($O$1="",0,N(ISNUMBER(SEARCH($O$1,Database!$T200&amp;""))))+IF(Screener!$B$14="",0,N(ISNUMBER(SEARCH(Screener!$B$14,Database!$T200&amp;""))))</f>
        <v/>
      </c>
      <c r="I200">
        <f>IF(OR(Database!$B200=Screener!$B$5,IF(OR(Screener!$B$17="All",AND(Screener!$B$17="With A-share",(Database!$AL200&lt;&gt;"")),AND(Screener!$B$17="Without A-share",NOT((Database!$AL200&lt;&gt;"")))),1,0)=0),-999999,IF(Screener!$B$15="cornerstone overlap first",H200*100000,0)+W_SUB*B200+W_SEC*C200*(1-B200)+W_SIZE*D200+W_PROF*E200+W_AH*F200+W_REC*G200+W_CS*H200)+ROW()/1000000</f>
        <v/>
      </c>
      <c r="K200">
        <f>Database!B192</f>
        <v/>
      </c>
      <c r="L200">
        <f>Database!D192</f>
        <v/>
      </c>
      <c r="M200">
        <f>Database!E192</f>
        <v/>
      </c>
      <c r="N200">
        <f>Database!H192</f>
        <v/>
      </c>
      <c r="O200">
        <f>Database!AH192</f>
        <v/>
      </c>
      <c r="P200">
        <f>Database!AK192</f>
        <v/>
      </c>
      <c r="Q200">
        <f>Database!G192</f>
        <v/>
      </c>
    </row>
    <row r="201">
      <c r="A201">
        <f>Database!B201</f>
        <v/>
      </c>
      <c r="B201">
        <f>IF(AND(Screener!$D$9&lt;&gt;"",Database!$E201=Screener!$D$9),1,0)</f>
        <v/>
      </c>
      <c r="C201">
        <f>IF(AND(Screener!$D$8&lt;&gt;"",Database!$D201=Screener!$D$8),1,0)</f>
        <v/>
      </c>
      <c r="D201">
        <f>IF(OR(Database!$H201="",N(Screener!$D$10)&lt;=0),0,MAX(0,1-ABS(LOG10(Database!$H201/Screener!$D$10))/W_SIZEHW))</f>
        <v/>
      </c>
      <c r="E201">
        <f>IF(OR(Database!$AH201="",Screener!$D$11=""),0,IF(Database!$AH201=Screener!$D$11,1,0))</f>
        <v/>
      </c>
      <c r="F201">
        <f>IF(OR(Database!$AK201="",Screener!$D$12=""),0,IF(Database!$AK201=Screener!$D$12,1,0))</f>
        <v/>
      </c>
      <c r="G201">
        <f>IF(OR(Database!$G201="",N(Screener!$D$13)&lt;=0),0,MAX(0,1-(N(Screener!$D$13)-Database!$G201)/W_RECD))</f>
        <v/>
      </c>
      <c r="H201">
        <f>IF($K$1="",0,N(ISNUMBER(SEARCH($K$1,Database!$T201&amp;""))))+IF($L$1="",0,N(ISNUMBER(SEARCH($L$1,Database!$T201&amp;""))))+IF($M$1="",0,N(ISNUMBER(SEARCH($M$1,Database!$T201&amp;""))))+IF($N$1="",0,N(ISNUMBER(SEARCH($N$1,Database!$T201&amp;""))))+IF($O$1="",0,N(ISNUMBER(SEARCH($O$1,Database!$T201&amp;""))))+IF(Screener!$B$14="",0,N(ISNUMBER(SEARCH(Screener!$B$14,Database!$T201&amp;""))))</f>
        <v/>
      </c>
      <c r="I201">
        <f>IF(OR(Database!$B201=Screener!$B$5,IF(OR(Screener!$B$17="All",AND(Screener!$B$17="With A-share",(Database!$AL201&lt;&gt;"")),AND(Screener!$B$17="Without A-share",NOT((Database!$AL201&lt;&gt;"")))),1,0)=0),-999999,IF(Screener!$B$15="cornerstone overlap first",H201*100000,0)+W_SUB*B201+W_SEC*C201*(1-B201)+W_SIZE*D201+W_PROF*E201+W_AH*F201+W_REC*G201+W_CS*H201)+ROW()/1000000</f>
        <v/>
      </c>
      <c r="K201">
        <f>Database!B193</f>
        <v/>
      </c>
      <c r="L201">
        <f>Database!D193</f>
        <v/>
      </c>
      <c r="M201">
        <f>Database!E193</f>
        <v/>
      </c>
      <c r="N201">
        <f>Database!H193</f>
        <v/>
      </c>
      <c r="O201">
        <f>Database!AH193</f>
        <v/>
      </c>
      <c r="P201">
        <f>Database!AK193</f>
        <v/>
      </c>
      <c r="Q201">
        <f>Database!G193</f>
        <v/>
      </c>
    </row>
    <row r="202">
      <c r="A202">
        <f>Database!B202</f>
        <v/>
      </c>
      <c r="B202">
        <f>IF(AND(Screener!$D$9&lt;&gt;"",Database!$E202=Screener!$D$9),1,0)</f>
        <v/>
      </c>
      <c r="C202">
        <f>IF(AND(Screener!$D$8&lt;&gt;"",Database!$D202=Screener!$D$8),1,0)</f>
        <v/>
      </c>
      <c r="D202">
        <f>IF(OR(Database!$H202="",N(Screener!$D$10)&lt;=0),0,MAX(0,1-ABS(LOG10(Database!$H202/Screener!$D$10))/W_SIZEHW))</f>
        <v/>
      </c>
      <c r="E202">
        <f>IF(OR(Database!$AH202="",Screener!$D$11=""),0,IF(Database!$AH202=Screener!$D$11,1,0))</f>
        <v/>
      </c>
      <c r="F202">
        <f>IF(OR(Database!$AK202="",Screener!$D$12=""),0,IF(Database!$AK202=Screener!$D$12,1,0))</f>
        <v/>
      </c>
      <c r="G202">
        <f>IF(OR(Database!$G202="",N(Screener!$D$13)&lt;=0),0,MAX(0,1-(N(Screener!$D$13)-Database!$G202)/W_RECD))</f>
        <v/>
      </c>
      <c r="H202">
        <f>IF($K$1="",0,N(ISNUMBER(SEARCH($K$1,Database!$T202&amp;""))))+IF($L$1="",0,N(ISNUMBER(SEARCH($L$1,Database!$T202&amp;""))))+IF($M$1="",0,N(ISNUMBER(SEARCH($M$1,Database!$T202&amp;""))))+IF($N$1="",0,N(ISNUMBER(SEARCH($N$1,Database!$T202&amp;""))))+IF($O$1="",0,N(ISNUMBER(SEARCH($O$1,Database!$T202&amp;""))))+IF(Screener!$B$14="",0,N(ISNUMBER(SEARCH(Screener!$B$14,Database!$T202&amp;""))))</f>
        <v/>
      </c>
      <c r="I202">
        <f>IF(OR(Database!$B202=Screener!$B$5,IF(OR(Screener!$B$17="All",AND(Screener!$B$17="With A-share",(Database!$AL202&lt;&gt;"")),AND(Screener!$B$17="Without A-share",NOT((Database!$AL202&lt;&gt;"")))),1,0)=0),-999999,IF(Screener!$B$15="cornerstone overlap first",H202*100000,0)+W_SUB*B202+W_SEC*C202*(1-B202)+W_SIZE*D202+W_PROF*E202+W_AH*F202+W_REC*G202+W_CS*H202)+ROW()/1000000</f>
        <v/>
      </c>
      <c r="K202">
        <f>Database!B194</f>
        <v/>
      </c>
      <c r="L202">
        <f>Database!D194</f>
        <v/>
      </c>
      <c r="M202">
        <f>Database!E194</f>
        <v/>
      </c>
      <c r="N202">
        <f>Database!H194</f>
        <v/>
      </c>
      <c r="O202">
        <f>Database!AH194</f>
        <v/>
      </c>
      <c r="P202">
        <f>Database!AK194</f>
        <v/>
      </c>
      <c r="Q202">
        <f>Database!G194</f>
        <v/>
      </c>
    </row>
    <row r="203">
      <c r="A203">
        <f>Database!B203</f>
        <v/>
      </c>
      <c r="B203">
        <f>IF(AND(Screener!$D$9&lt;&gt;"",Database!$E203=Screener!$D$9),1,0)</f>
        <v/>
      </c>
      <c r="C203">
        <f>IF(AND(Screener!$D$8&lt;&gt;"",Database!$D203=Screener!$D$8),1,0)</f>
        <v/>
      </c>
      <c r="D203">
        <f>IF(OR(Database!$H203="",N(Screener!$D$10)&lt;=0),0,MAX(0,1-ABS(LOG10(Database!$H203/Screener!$D$10))/W_SIZEHW))</f>
        <v/>
      </c>
      <c r="E203">
        <f>IF(OR(Database!$AH203="",Screener!$D$11=""),0,IF(Database!$AH203=Screener!$D$11,1,0))</f>
        <v/>
      </c>
      <c r="F203">
        <f>IF(OR(Database!$AK203="",Screener!$D$12=""),0,IF(Database!$AK203=Screener!$D$12,1,0))</f>
        <v/>
      </c>
      <c r="G203">
        <f>IF(OR(Database!$G203="",N(Screener!$D$13)&lt;=0),0,MAX(0,1-(N(Screener!$D$13)-Database!$G203)/W_RECD))</f>
        <v/>
      </c>
      <c r="H203">
        <f>IF($K$1="",0,N(ISNUMBER(SEARCH($K$1,Database!$T203&amp;""))))+IF($L$1="",0,N(ISNUMBER(SEARCH($L$1,Database!$T203&amp;""))))+IF($M$1="",0,N(ISNUMBER(SEARCH($M$1,Database!$T203&amp;""))))+IF($N$1="",0,N(ISNUMBER(SEARCH($N$1,Database!$T203&amp;""))))+IF($O$1="",0,N(ISNUMBER(SEARCH($O$1,Database!$T203&amp;""))))+IF(Screener!$B$14="",0,N(ISNUMBER(SEARCH(Screener!$B$14,Database!$T203&amp;""))))</f>
        <v/>
      </c>
      <c r="I203">
        <f>IF(OR(Database!$B203=Screener!$B$5,IF(OR(Screener!$B$17="All",AND(Screener!$B$17="With A-share",(Database!$AL203&lt;&gt;"")),AND(Screener!$B$17="Without A-share",NOT((Database!$AL203&lt;&gt;"")))),1,0)=0),-999999,IF(Screener!$B$15="cornerstone overlap first",H203*100000,0)+W_SUB*B203+W_SEC*C203*(1-B203)+W_SIZE*D203+W_PROF*E203+W_AH*F203+W_REC*G203+W_CS*H203)+ROW()/1000000</f>
        <v/>
      </c>
      <c r="K203">
        <f>Database!B195</f>
        <v/>
      </c>
      <c r="L203">
        <f>Database!D195</f>
        <v/>
      </c>
      <c r="M203">
        <f>Database!E195</f>
        <v/>
      </c>
      <c r="N203">
        <f>Database!H195</f>
        <v/>
      </c>
      <c r="O203">
        <f>Database!AH195</f>
        <v/>
      </c>
      <c r="P203">
        <f>Database!AK195</f>
        <v/>
      </c>
      <c r="Q203">
        <f>Database!G195</f>
        <v/>
      </c>
    </row>
    <row r="204">
      <c r="A204">
        <f>Database!B204</f>
        <v/>
      </c>
      <c r="B204">
        <f>IF(AND(Screener!$D$9&lt;&gt;"",Database!$E204=Screener!$D$9),1,0)</f>
        <v/>
      </c>
      <c r="C204">
        <f>IF(AND(Screener!$D$8&lt;&gt;"",Database!$D204=Screener!$D$8),1,0)</f>
        <v/>
      </c>
      <c r="D204">
        <f>IF(OR(Database!$H204="",N(Screener!$D$10)&lt;=0),0,MAX(0,1-ABS(LOG10(Database!$H204/Screener!$D$10))/W_SIZEHW))</f>
        <v/>
      </c>
      <c r="E204">
        <f>IF(OR(Database!$AH204="",Screener!$D$11=""),0,IF(Database!$AH204=Screener!$D$11,1,0))</f>
        <v/>
      </c>
      <c r="F204">
        <f>IF(OR(Database!$AK204="",Screener!$D$12=""),0,IF(Database!$AK204=Screener!$D$12,1,0))</f>
        <v/>
      </c>
      <c r="G204">
        <f>IF(OR(Database!$G204="",N(Screener!$D$13)&lt;=0),0,MAX(0,1-(N(Screener!$D$13)-Database!$G204)/W_RECD))</f>
        <v/>
      </c>
      <c r="H204">
        <f>IF($K$1="",0,N(ISNUMBER(SEARCH($K$1,Database!$T204&amp;""))))+IF($L$1="",0,N(ISNUMBER(SEARCH($L$1,Database!$T204&amp;""))))+IF($M$1="",0,N(ISNUMBER(SEARCH($M$1,Database!$T204&amp;""))))+IF($N$1="",0,N(ISNUMBER(SEARCH($N$1,Database!$T204&amp;""))))+IF($O$1="",0,N(ISNUMBER(SEARCH($O$1,Database!$T204&amp;""))))+IF(Screener!$B$14="",0,N(ISNUMBER(SEARCH(Screener!$B$14,Database!$T204&amp;""))))</f>
        <v/>
      </c>
      <c r="I204">
        <f>IF(OR(Database!$B204=Screener!$B$5,IF(OR(Screener!$B$17="All",AND(Screener!$B$17="With A-share",(Database!$AL204&lt;&gt;"")),AND(Screener!$B$17="Without A-share",NOT((Database!$AL204&lt;&gt;"")))),1,0)=0),-999999,IF(Screener!$B$15="cornerstone overlap first",H204*100000,0)+W_SUB*B204+W_SEC*C204*(1-B204)+W_SIZE*D204+W_PROF*E204+W_AH*F204+W_REC*G204+W_CS*H204)+ROW()/1000000</f>
        <v/>
      </c>
      <c r="K204">
        <f>Database!B196</f>
        <v/>
      </c>
      <c r="L204">
        <f>Database!D196</f>
        <v/>
      </c>
      <c r="M204">
        <f>Database!E196</f>
        <v/>
      </c>
      <c r="N204">
        <f>Database!H196</f>
        <v/>
      </c>
      <c r="O204">
        <f>Database!AH196</f>
        <v/>
      </c>
      <c r="P204">
        <f>Database!AK196</f>
        <v/>
      </c>
      <c r="Q204">
        <f>Database!G196</f>
        <v/>
      </c>
    </row>
    <row r="205">
      <c r="A205">
        <f>Database!B205</f>
        <v/>
      </c>
      <c r="B205">
        <f>IF(AND(Screener!$D$9&lt;&gt;"",Database!$E205=Screener!$D$9),1,0)</f>
        <v/>
      </c>
      <c r="C205">
        <f>IF(AND(Screener!$D$8&lt;&gt;"",Database!$D205=Screener!$D$8),1,0)</f>
        <v/>
      </c>
      <c r="D205">
        <f>IF(OR(Database!$H205="",N(Screener!$D$10)&lt;=0),0,MAX(0,1-ABS(LOG10(Database!$H205/Screener!$D$10))/W_SIZEHW))</f>
        <v/>
      </c>
      <c r="E205">
        <f>IF(OR(Database!$AH205="",Screener!$D$11=""),0,IF(Database!$AH205=Screener!$D$11,1,0))</f>
        <v/>
      </c>
      <c r="F205">
        <f>IF(OR(Database!$AK205="",Screener!$D$12=""),0,IF(Database!$AK205=Screener!$D$12,1,0))</f>
        <v/>
      </c>
      <c r="G205">
        <f>IF(OR(Database!$G205="",N(Screener!$D$13)&lt;=0),0,MAX(0,1-(N(Screener!$D$13)-Database!$G205)/W_RECD))</f>
        <v/>
      </c>
      <c r="H205">
        <f>IF($K$1="",0,N(ISNUMBER(SEARCH($K$1,Database!$T205&amp;""))))+IF($L$1="",0,N(ISNUMBER(SEARCH($L$1,Database!$T205&amp;""))))+IF($M$1="",0,N(ISNUMBER(SEARCH($M$1,Database!$T205&amp;""))))+IF($N$1="",0,N(ISNUMBER(SEARCH($N$1,Database!$T205&amp;""))))+IF($O$1="",0,N(ISNUMBER(SEARCH($O$1,Database!$T205&amp;""))))+IF(Screener!$B$14="",0,N(ISNUMBER(SEARCH(Screener!$B$14,Database!$T205&amp;""))))</f>
        <v/>
      </c>
      <c r="I205">
        <f>IF(OR(Database!$B205=Screener!$B$5,IF(OR(Screener!$B$17="All",AND(Screener!$B$17="With A-share",(Database!$AL205&lt;&gt;"")),AND(Screener!$B$17="Without A-share",NOT((Database!$AL205&lt;&gt;"")))),1,0)=0),-999999,IF(Screener!$B$15="cornerstone overlap first",H205*100000,0)+W_SUB*B205+W_SEC*C205*(1-B205)+W_SIZE*D205+W_PROF*E205+W_AH*F205+W_REC*G205+W_CS*H205)+ROW()/1000000</f>
        <v/>
      </c>
      <c r="K205">
        <f>Database!B197</f>
        <v/>
      </c>
      <c r="L205">
        <f>Database!D197</f>
        <v/>
      </c>
      <c r="M205">
        <f>Database!E197</f>
        <v/>
      </c>
      <c r="N205">
        <f>Database!H197</f>
        <v/>
      </c>
      <c r="O205">
        <f>Database!AH197</f>
        <v/>
      </c>
      <c r="P205">
        <f>Database!AK197</f>
        <v/>
      </c>
      <c r="Q205">
        <f>Database!G197</f>
        <v/>
      </c>
    </row>
    <row r="206">
      <c r="A206">
        <f>Database!B206</f>
        <v/>
      </c>
      <c r="B206">
        <f>IF(AND(Screener!$D$9&lt;&gt;"",Database!$E206=Screener!$D$9),1,0)</f>
        <v/>
      </c>
      <c r="C206">
        <f>IF(AND(Screener!$D$8&lt;&gt;"",Database!$D206=Screener!$D$8),1,0)</f>
        <v/>
      </c>
      <c r="D206">
        <f>IF(OR(Database!$H206="",N(Screener!$D$10)&lt;=0),0,MAX(0,1-ABS(LOG10(Database!$H206/Screener!$D$10))/W_SIZEHW))</f>
        <v/>
      </c>
      <c r="E206">
        <f>IF(OR(Database!$AH206="",Screener!$D$11=""),0,IF(Database!$AH206=Screener!$D$11,1,0))</f>
        <v/>
      </c>
      <c r="F206">
        <f>IF(OR(Database!$AK206="",Screener!$D$12=""),0,IF(Database!$AK206=Screener!$D$12,1,0))</f>
        <v/>
      </c>
      <c r="G206">
        <f>IF(OR(Database!$G206="",N(Screener!$D$13)&lt;=0),0,MAX(0,1-(N(Screener!$D$13)-Database!$G206)/W_RECD))</f>
        <v/>
      </c>
      <c r="H206">
        <f>IF($K$1="",0,N(ISNUMBER(SEARCH($K$1,Database!$T206&amp;""))))+IF($L$1="",0,N(ISNUMBER(SEARCH($L$1,Database!$T206&amp;""))))+IF($M$1="",0,N(ISNUMBER(SEARCH($M$1,Database!$T206&amp;""))))+IF($N$1="",0,N(ISNUMBER(SEARCH($N$1,Database!$T206&amp;""))))+IF($O$1="",0,N(ISNUMBER(SEARCH($O$1,Database!$T206&amp;""))))+IF(Screener!$B$14="",0,N(ISNUMBER(SEARCH(Screener!$B$14,Database!$T206&amp;""))))</f>
        <v/>
      </c>
      <c r="I206">
        <f>IF(OR(Database!$B206=Screener!$B$5,IF(OR(Screener!$B$17="All",AND(Screener!$B$17="With A-share",(Database!$AL206&lt;&gt;"")),AND(Screener!$B$17="Without A-share",NOT((Database!$AL206&lt;&gt;"")))),1,0)=0),-999999,IF(Screener!$B$15="cornerstone overlap first",H206*100000,0)+W_SUB*B206+W_SEC*C206*(1-B206)+W_SIZE*D206+W_PROF*E206+W_AH*F206+W_REC*G206+W_CS*H206)+ROW()/1000000</f>
        <v/>
      </c>
      <c r="K206">
        <f>Database!B198</f>
        <v/>
      </c>
      <c r="L206">
        <f>Database!D198</f>
        <v/>
      </c>
      <c r="M206">
        <f>Database!E198</f>
        <v/>
      </c>
      <c r="N206">
        <f>Database!H198</f>
        <v/>
      </c>
      <c r="O206">
        <f>Database!AH198</f>
        <v/>
      </c>
      <c r="P206">
        <f>Database!AK198</f>
        <v/>
      </c>
      <c r="Q206">
        <f>Database!G198</f>
        <v/>
      </c>
    </row>
    <row r="207">
      <c r="A207">
        <f>Database!B207</f>
        <v/>
      </c>
      <c r="B207">
        <f>IF(AND(Screener!$D$9&lt;&gt;"",Database!$E207=Screener!$D$9),1,0)</f>
        <v/>
      </c>
      <c r="C207">
        <f>IF(AND(Screener!$D$8&lt;&gt;"",Database!$D207=Screener!$D$8),1,0)</f>
        <v/>
      </c>
      <c r="D207">
        <f>IF(OR(Database!$H207="",N(Screener!$D$10)&lt;=0),0,MAX(0,1-ABS(LOG10(Database!$H207/Screener!$D$10))/W_SIZEHW))</f>
        <v/>
      </c>
      <c r="E207">
        <f>IF(OR(Database!$AH207="",Screener!$D$11=""),0,IF(Database!$AH207=Screener!$D$11,1,0))</f>
        <v/>
      </c>
      <c r="F207">
        <f>IF(OR(Database!$AK207="",Screener!$D$12=""),0,IF(Database!$AK207=Screener!$D$12,1,0))</f>
        <v/>
      </c>
      <c r="G207">
        <f>IF(OR(Database!$G207="",N(Screener!$D$13)&lt;=0),0,MAX(0,1-(N(Screener!$D$13)-Database!$G207)/W_RECD))</f>
        <v/>
      </c>
      <c r="H207">
        <f>IF($K$1="",0,N(ISNUMBER(SEARCH($K$1,Database!$T207&amp;""))))+IF($L$1="",0,N(ISNUMBER(SEARCH($L$1,Database!$T207&amp;""))))+IF($M$1="",0,N(ISNUMBER(SEARCH($M$1,Database!$T207&amp;""))))+IF($N$1="",0,N(ISNUMBER(SEARCH($N$1,Database!$T207&amp;""))))+IF($O$1="",0,N(ISNUMBER(SEARCH($O$1,Database!$T207&amp;""))))+IF(Screener!$B$14="",0,N(ISNUMBER(SEARCH(Screener!$B$14,Database!$T207&amp;""))))</f>
        <v/>
      </c>
      <c r="I207">
        <f>IF(OR(Database!$B207=Screener!$B$5,IF(OR(Screener!$B$17="All",AND(Screener!$B$17="With A-share",(Database!$AL207&lt;&gt;"")),AND(Screener!$B$17="Without A-share",NOT((Database!$AL207&lt;&gt;"")))),1,0)=0),-999999,IF(Screener!$B$15="cornerstone overlap first",H207*100000,0)+W_SUB*B207+W_SEC*C207*(1-B207)+W_SIZE*D207+W_PROF*E207+W_AH*F207+W_REC*G207+W_CS*H207)+ROW()/1000000</f>
        <v/>
      </c>
      <c r="K207">
        <f>Database!B199</f>
        <v/>
      </c>
      <c r="L207">
        <f>Database!D199</f>
        <v/>
      </c>
      <c r="M207">
        <f>Database!E199</f>
        <v/>
      </c>
      <c r="N207">
        <f>Database!H199</f>
        <v/>
      </c>
      <c r="O207">
        <f>Database!AH199</f>
        <v/>
      </c>
      <c r="P207">
        <f>Database!AK199</f>
        <v/>
      </c>
      <c r="Q207">
        <f>Database!G199</f>
        <v/>
      </c>
    </row>
    <row r="208">
      <c r="A208">
        <f>Database!B208</f>
        <v/>
      </c>
      <c r="B208">
        <f>IF(AND(Screener!$D$9&lt;&gt;"",Database!$E208=Screener!$D$9),1,0)</f>
        <v/>
      </c>
      <c r="C208">
        <f>IF(AND(Screener!$D$8&lt;&gt;"",Database!$D208=Screener!$D$8),1,0)</f>
        <v/>
      </c>
      <c r="D208">
        <f>IF(OR(Database!$H208="",N(Screener!$D$10)&lt;=0),0,MAX(0,1-ABS(LOG10(Database!$H208/Screener!$D$10))/W_SIZEHW))</f>
        <v/>
      </c>
      <c r="E208">
        <f>IF(OR(Database!$AH208="",Screener!$D$11=""),0,IF(Database!$AH208=Screener!$D$11,1,0))</f>
        <v/>
      </c>
      <c r="F208">
        <f>IF(OR(Database!$AK208="",Screener!$D$12=""),0,IF(Database!$AK208=Screener!$D$12,1,0))</f>
        <v/>
      </c>
      <c r="G208">
        <f>IF(OR(Database!$G208="",N(Screener!$D$13)&lt;=0),0,MAX(0,1-(N(Screener!$D$13)-Database!$G208)/W_RECD))</f>
        <v/>
      </c>
      <c r="H208">
        <f>IF($K$1="",0,N(ISNUMBER(SEARCH($K$1,Database!$T208&amp;""))))+IF($L$1="",0,N(ISNUMBER(SEARCH($L$1,Database!$T208&amp;""))))+IF($M$1="",0,N(ISNUMBER(SEARCH($M$1,Database!$T208&amp;""))))+IF($N$1="",0,N(ISNUMBER(SEARCH($N$1,Database!$T208&amp;""))))+IF($O$1="",0,N(ISNUMBER(SEARCH($O$1,Database!$T208&amp;""))))+IF(Screener!$B$14="",0,N(ISNUMBER(SEARCH(Screener!$B$14,Database!$T208&amp;""))))</f>
        <v/>
      </c>
      <c r="I208">
        <f>IF(OR(Database!$B208=Screener!$B$5,IF(OR(Screener!$B$17="All",AND(Screener!$B$17="With A-share",(Database!$AL208&lt;&gt;"")),AND(Screener!$B$17="Without A-share",NOT((Database!$AL208&lt;&gt;"")))),1,0)=0),-999999,IF(Screener!$B$15="cornerstone overlap first",H208*100000,0)+W_SUB*B208+W_SEC*C208*(1-B208)+W_SIZE*D208+W_PROF*E208+W_AH*F208+W_REC*G208+W_CS*H208)+ROW()/1000000</f>
        <v/>
      </c>
      <c r="K208">
        <f>Database!B200</f>
        <v/>
      </c>
      <c r="L208">
        <f>Database!D200</f>
        <v/>
      </c>
      <c r="M208">
        <f>Database!E200</f>
        <v/>
      </c>
      <c r="N208">
        <f>Database!H200</f>
        <v/>
      </c>
      <c r="O208">
        <f>Database!AH200</f>
        <v/>
      </c>
      <c r="P208">
        <f>Database!AK200</f>
        <v/>
      </c>
      <c r="Q208">
        <f>Database!G200</f>
        <v/>
      </c>
    </row>
    <row r="209">
      <c r="A209">
        <f>Database!B209</f>
        <v/>
      </c>
      <c r="B209">
        <f>IF(AND(Screener!$D$9&lt;&gt;"",Database!$E209=Screener!$D$9),1,0)</f>
        <v/>
      </c>
      <c r="C209">
        <f>IF(AND(Screener!$D$8&lt;&gt;"",Database!$D209=Screener!$D$8),1,0)</f>
        <v/>
      </c>
      <c r="D209">
        <f>IF(OR(Database!$H209="",N(Screener!$D$10)&lt;=0),0,MAX(0,1-ABS(LOG10(Database!$H209/Screener!$D$10))/W_SIZEHW))</f>
        <v/>
      </c>
      <c r="E209">
        <f>IF(OR(Database!$AH209="",Screener!$D$11=""),0,IF(Database!$AH209=Screener!$D$11,1,0))</f>
        <v/>
      </c>
      <c r="F209">
        <f>IF(OR(Database!$AK209="",Screener!$D$12=""),0,IF(Database!$AK209=Screener!$D$12,1,0))</f>
        <v/>
      </c>
      <c r="G209">
        <f>IF(OR(Database!$G209="",N(Screener!$D$13)&lt;=0),0,MAX(0,1-(N(Screener!$D$13)-Database!$G209)/W_RECD))</f>
        <v/>
      </c>
      <c r="H209">
        <f>IF($K$1="",0,N(ISNUMBER(SEARCH($K$1,Database!$T209&amp;""))))+IF($L$1="",0,N(ISNUMBER(SEARCH($L$1,Database!$T209&amp;""))))+IF($M$1="",0,N(ISNUMBER(SEARCH($M$1,Database!$T209&amp;""))))+IF($N$1="",0,N(ISNUMBER(SEARCH($N$1,Database!$T209&amp;""))))+IF($O$1="",0,N(ISNUMBER(SEARCH($O$1,Database!$T209&amp;""))))+IF(Screener!$B$14="",0,N(ISNUMBER(SEARCH(Screener!$B$14,Database!$T209&amp;""))))</f>
        <v/>
      </c>
      <c r="I209">
        <f>IF(OR(Database!$B209=Screener!$B$5,IF(OR(Screener!$B$17="All",AND(Screener!$B$17="With A-share",(Database!$AL209&lt;&gt;"")),AND(Screener!$B$17="Without A-share",NOT((Database!$AL209&lt;&gt;"")))),1,0)=0),-999999,IF(Screener!$B$15="cornerstone overlap first",H209*100000,0)+W_SUB*B209+W_SEC*C209*(1-B209)+W_SIZE*D209+W_PROF*E209+W_AH*F209+W_REC*G209+W_CS*H209)+ROW()/1000000</f>
        <v/>
      </c>
      <c r="K209">
        <f>Database!B201</f>
        <v/>
      </c>
      <c r="L209">
        <f>Database!D201</f>
        <v/>
      </c>
      <c r="M209">
        <f>Database!E201</f>
        <v/>
      </c>
      <c r="N209">
        <f>Database!H201</f>
        <v/>
      </c>
      <c r="O209">
        <f>Database!AH201</f>
        <v/>
      </c>
      <c r="P209">
        <f>Database!AK201</f>
        <v/>
      </c>
      <c r="Q209">
        <f>Database!G201</f>
        <v/>
      </c>
    </row>
    <row r="210">
      <c r="A210">
        <f>Database!B210</f>
        <v/>
      </c>
      <c r="B210">
        <f>IF(AND(Screener!$D$9&lt;&gt;"",Database!$E210=Screener!$D$9),1,0)</f>
        <v/>
      </c>
      <c r="C210">
        <f>IF(AND(Screener!$D$8&lt;&gt;"",Database!$D210=Screener!$D$8),1,0)</f>
        <v/>
      </c>
      <c r="D210">
        <f>IF(OR(Database!$H210="",N(Screener!$D$10)&lt;=0),0,MAX(0,1-ABS(LOG10(Database!$H210/Screener!$D$10))/W_SIZEHW))</f>
        <v/>
      </c>
      <c r="E210">
        <f>IF(OR(Database!$AH210="",Screener!$D$11=""),0,IF(Database!$AH210=Screener!$D$11,1,0))</f>
        <v/>
      </c>
      <c r="F210">
        <f>IF(OR(Database!$AK210="",Screener!$D$12=""),0,IF(Database!$AK210=Screener!$D$12,1,0))</f>
        <v/>
      </c>
      <c r="G210">
        <f>IF(OR(Database!$G210="",N(Screener!$D$13)&lt;=0),0,MAX(0,1-(N(Screener!$D$13)-Database!$G210)/W_RECD))</f>
        <v/>
      </c>
      <c r="H210">
        <f>IF($K$1="",0,N(ISNUMBER(SEARCH($K$1,Database!$T210&amp;""))))+IF($L$1="",0,N(ISNUMBER(SEARCH($L$1,Database!$T210&amp;""))))+IF($M$1="",0,N(ISNUMBER(SEARCH($M$1,Database!$T210&amp;""))))+IF($N$1="",0,N(ISNUMBER(SEARCH($N$1,Database!$T210&amp;""))))+IF($O$1="",0,N(ISNUMBER(SEARCH($O$1,Database!$T210&amp;""))))+IF(Screener!$B$14="",0,N(ISNUMBER(SEARCH(Screener!$B$14,Database!$T210&amp;""))))</f>
        <v/>
      </c>
      <c r="I210">
        <f>IF(OR(Database!$B210=Screener!$B$5,IF(OR(Screener!$B$17="All",AND(Screener!$B$17="With A-share",(Database!$AL210&lt;&gt;"")),AND(Screener!$B$17="Without A-share",NOT((Database!$AL210&lt;&gt;"")))),1,0)=0),-999999,IF(Screener!$B$15="cornerstone overlap first",H210*100000,0)+W_SUB*B210+W_SEC*C210*(1-B210)+W_SIZE*D210+W_PROF*E210+W_AH*F210+W_REC*G210+W_CS*H210)+ROW()/1000000</f>
        <v/>
      </c>
      <c r="K210">
        <f>Database!B202</f>
        <v/>
      </c>
      <c r="L210">
        <f>Database!D202</f>
        <v/>
      </c>
      <c r="M210">
        <f>Database!E202</f>
        <v/>
      </c>
      <c r="N210">
        <f>Database!H202</f>
        <v/>
      </c>
      <c r="O210">
        <f>Database!AH202</f>
        <v/>
      </c>
      <c r="P210">
        <f>Database!AK202</f>
        <v/>
      </c>
      <c r="Q210">
        <f>Database!G202</f>
        <v/>
      </c>
    </row>
    <row r="211">
      <c r="A211">
        <f>Database!B211</f>
        <v/>
      </c>
      <c r="B211">
        <f>IF(AND(Screener!$D$9&lt;&gt;"",Database!$E211=Screener!$D$9),1,0)</f>
        <v/>
      </c>
      <c r="C211">
        <f>IF(AND(Screener!$D$8&lt;&gt;"",Database!$D211=Screener!$D$8),1,0)</f>
        <v/>
      </c>
      <c r="D211">
        <f>IF(OR(Database!$H211="",N(Screener!$D$10)&lt;=0),0,MAX(0,1-ABS(LOG10(Database!$H211/Screener!$D$10))/W_SIZEHW))</f>
        <v/>
      </c>
      <c r="E211">
        <f>IF(OR(Database!$AH211="",Screener!$D$11=""),0,IF(Database!$AH211=Screener!$D$11,1,0))</f>
        <v/>
      </c>
      <c r="F211">
        <f>IF(OR(Database!$AK211="",Screener!$D$12=""),0,IF(Database!$AK211=Screener!$D$12,1,0))</f>
        <v/>
      </c>
      <c r="G211">
        <f>IF(OR(Database!$G211="",N(Screener!$D$13)&lt;=0),0,MAX(0,1-(N(Screener!$D$13)-Database!$G211)/W_RECD))</f>
        <v/>
      </c>
      <c r="H211">
        <f>IF($K$1="",0,N(ISNUMBER(SEARCH($K$1,Database!$T211&amp;""))))+IF($L$1="",0,N(ISNUMBER(SEARCH($L$1,Database!$T211&amp;""))))+IF($M$1="",0,N(ISNUMBER(SEARCH($M$1,Database!$T211&amp;""))))+IF($N$1="",0,N(ISNUMBER(SEARCH($N$1,Database!$T211&amp;""))))+IF($O$1="",0,N(ISNUMBER(SEARCH($O$1,Database!$T211&amp;""))))+IF(Screener!$B$14="",0,N(ISNUMBER(SEARCH(Screener!$B$14,Database!$T211&amp;""))))</f>
        <v/>
      </c>
      <c r="I211">
        <f>IF(OR(Database!$B211=Screener!$B$5,IF(OR(Screener!$B$17="All",AND(Screener!$B$17="With A-share",(Database!$AL211&lt;&gt;"")),AND(Screener!$B$17="Without A-share",NOT((Database!$AL211&lt;&gt;"")))),1,0)=0),-999999,IF(Screener!$B$15="cornerstone overlap first",H211*100000,0)+W_SUB*B211+W_SEC*C211*(1-B211)+W_SIZE*D211+W_PROF*E211+W_AH*F211+W_REC*G211+W_CS*H211)+ROW()/1000000</f>
        <v/>
      </c>
      <c r="K211">
        <f>Database!B203</f>
        <v/>
      </c>
      <c r="L211">
        <f>Database!D203</f>
        <v/>
      </c>
      <c r="M211">
        <f>Database!E203</f>
        <v/>
      </c>
      <c r="N211">
        <f>Database!H203</f>
        <v/>
      </c>
      <c r="O211">
        <f>Database!AH203</f>
        <v/>
      </c>
      <c r="P211">
        <f>Database!AK203</f>
        <v/>
      </c>
      <c r="Q211">
        <f>Database!G203</f>
        <v/>
      </c>
    </row>
    <row r="212">
      <c r="A212">
        <f>Database!B212</f>
        <v/>
      </c>
      <c r="B212">
        <f>IF(AND(Screener!$D$9&lt;&gt;"",Database!$E212=Screener!$D$9),1,0)</f>
        <v/>
      </c>
      <c r="C212">
        <f>IF(AND(Screener!$D$8&lt;&gt;"",Database!$D212=Screener!$D$8),1,0)</f>
        <v/>
      </c>
      <c r="D212">
        <f>IF(OR(Database!$H212="",N(Screener!$D$10)&lt;=0),0,MAX(0,1-ABS(LOG10(Database!$H212/Screener!$D$10))/W_SIZEHW))</f>
        <v/>
      </c>
      <c r="E212">
        <f>IF(OR(Database!$AH212="",Screener!$D$11=""),0,IF(Database!$AH212=Screener!$D$11,1,0))</f>
        <v/>
      </c>
      <c r="F212">
        <f>IF(OR(Database!$AK212="",Screener!$D$12=""),0,IF(Database!$AK212=Screener!$D$12,1,0))</f>
        <v/>
      </c>
      <c r="G212">
        <f>IF(OR(Database!$G212="",N(Screener!$D$13)&lt;=0),0,MAX(0,1-(N(Screener!$D$13)-Database!$G212)/W_RECD))</f>
        <v/>
      </c>
      <c r="H212">
        <f>IF($K$1="",0,N(ISNUMBER(SEARCH($K$1,Database!$T212&amp;""))))+IF($L$1="",0,N(ISNUMBER(SEARCH($L$1,Database!$T212&amp;""))))+IF($M$1="",0,N(ISNUMBER(SEARCH($M$1,Database!$T212&amp;""))))+IF($N$1="",0,N(ISNUMBER(SEARCH($N$1,Database!$T212&amp;""))))+IF($O$1="",0,N(ISNUMBER(SEARCH($O$1,Database!$T212&amp;""))))+IF(Screener!$B$14="",0,N(ISNUMBER(SEARCH(Screener!$B$14,Database!$T212&amp;""))))</f>
        <v/>
      </c>
      <c r="I212">
        <f>IF(OR(Database!$B212=Screener!$B$5,IF(OR(Screener!$B$17="All",AND(Screener!$B$17="With A-share",(Database!$AL212&lt;&gt;"")),AND(Screener!$B$17="Without A-share",NOT((Database!$AL212&lt;&gt;"")))),1,0)=0),-999999,IF(Screener!$B$15="cornerstone overlap first",H212*100000,0)+W_SUB*B212+W_SEC*C212*(1-B212)+W_SIZE*D212+W_PROF*E212+W_AH*F212+W_REC*G212+W_CS*H212)+ROW()/1000000</f>
        <v/>
      </c>
      <c r="K212">
        <f>Database!B204</f>
        <v/>
      </c>
      <c r="L212">
        <f>Database!D204</f>
        <v/>
      </c>
      <c r="M212">
        <f>Database!E204</f>
        <v/>
      </c>
      <c r="N212">
        <f>Database!H204</f>
        <v/>
      </c>
      <c r="O212">
        <f>Database!AH204</f>
        <v/>
      </c>
      <c r="P212">
        <f>Database!AK204</f>
        <v/>
      </c>
      <c r="Q212">
        <f>Database!G204</f>
        <v/>
      </c>
    </row>
    <row r="213">
      <c r="A213">
        <f>Database!B213</f>
        <v/>
      </c>
      <c r="B213">
        <f>IF(AND(Screener!$D$9&lt;&gt;"",Database!$E213=Screener!$D$9),1,0)</f>
        <v/>
      </c>
      <c r="C213">
        <f>IF(AND(Screener!$D$8&lt;&gt;"",Database!$D213=Screener!$D$8),1,0)</f>
        <v/>
      </c>
      <c r="D213">
        <f>IF(OR(Database!$H213="",N(Screener!$D$10)&lt;=0),0,MAX(0,1-ABS(LOG10(Database!$H213/Screener!$D$10))/W_SIZEHW))</f>
        <v/>
      </c>
      <c r="E213">
        <f>IF(OR(Database!$AH213="",Screener!$D$11=""),0,IF(Database!$AH213=Screener!$D$11,1,0))</f>
        <v/>
      </c>
      <c r="F213">
        <f>IF(OR(Database!$AK213="",Screener!$D$12=""),0,IF(Database!$AK213=Screener!$D$12,1,0))</f>
        <v/>
      </c>
      <c r="G213">
        <f>IF(OR(Database!$G213="",N(Screener!$D$13)&lt;=0),0,MAX(0,1-(N(Screener!$D$13)-Database!$G213)/W_RECD))</f>
        <v/>
      </c>
      <c r="H213">
        <f>IF($K$1="",0,N(ISNUMBER(SEARCH($K$1,Database!$T213&amp;""))))+IF($L$1="",0,N(ISNUMBER(SEARCH($L$1,Database!$T213&amp;""))))+IF($M$1="",0,N(ISNUMBER(SEARCH($M$1,Database!$T213&amp;""))))+IF($N$1="",0,N(ISNUMBER(SEARCH($N$1,Database!$T213&amp;""))))+IF($O$1="",0,N(ISNUMBER(SEARCH($O$1,Database!$T213&amp;""))))+IF(Screener!$B$14="",0,N(ISNUMBER(SEARCH(Screener!$B$14,Database!$T213&amp;""))))</f>
        <v/>
      </c>
      <c r="I213">
        <f>IF(OR(Database!$B213=Screener!$B$5,IF(OR(Screener!$B$17="All",AND(Screener!$B$17="With A-share",(Database!$AL213&lt;&gt;"")),AND(Screener!$B$17="Without A-share",NOT((Database!$AL213&lt;&gt;"")))),1,0)=0),-999999,IF(Screener!$B$15="cornerstone overlap first",H213*100000,0)+W_SUB*B213+W_SEC*C213*(1-B213)+W_SIZE*D213+W_PROF*E213+W_AH*F213+W_REC*G213+W_CS*H213)+ROW()/1000000</f>
        <v/>
      </c>
      <c r="K213">
        <f>Database!B205</f>
        <v/>
      </c>
      <c r="L213">
        <f>Database!D205</f>
        <v/>
      </c>
      <c r="M213">
        <f>Database!E205</f>
        <v/>
      </c>
      <c r="N213">
        <f>Database!H205</f>
        <v/>
      </c>
      <c r="O213">
        <f>Database!AH205</f>
        <v/>
      </c>
      <c r="P213">
        <f>Database!AK205</f>
        <v/>
      </c>
      <c r="Q213">
        <f>Database!G205</f>
        <v/>
      </c>
    </row>
    <row r="214">
      <c r="A214">
        <f>Database!B214</f>
        <v/>
      </c>
      <c r="B214">
        <f>IF(AND(Screener!$D$9&lt;&gt;"",Database!$E214=Screener!$D$9),1,0)</f>
        <v/>
      </c>
      <c r="C214">
        <f>IF(AND(Screener!$D$8&lt;&gt;"",Database!$D214=Screener!$D$8),1,0)</f>
        <v/>
      </c>
      <c r="D214">
        <f>IF(OR(Database!$H214="",N(Screener!$D$10)&lt;=0),0,MAX(0,1-ABS(LOG10(Database!$H214/Screener!$D$10))/W_SIZEHW))</f>
        <v/>
      </c>
      <c r="E214">
        <f>IF(OR(Database!$AH214="",Screener!$D$11=""),0,IF(Database!$AH214=Screener!$D$11,1,0))</f>
        <v/>
      </c>
      <c r="F214">
        <f>IF(OR(Database!$AK214="",Screener!$D$12=""),0,IF(Database!$AK214=Screener!$D$12,1,0))</f>
        <v/>
      </c>
      <c r="G214">
        <f>IF(OR(Database!$G214="",N(Screener!$D$13)&lt;=0),0,MAX(0,1-(N(Screener!$D$13)-Database!$G214)/W_RECD))</f>
        <v/>
      </c>
      <c r="H214">
        <f>IF($K$1="",0,N(ISNUMBER(SEARCH($K$1,Database!$T214&amp;""))))+IF($L$1="",0,N(ISNUMBER(SEARCH($L$1,Database!$T214&amp;""))))+IF($M$1="",0,N(ISNUMBER(SEARCH($M$1,Database!$T214&amp;""))))+IF($N$1="",0,N(ISNUMBER(SEARCH($N$1,Database!$T214&amp;""))))+IF($O$1="",0,N(ISNUMBER(SEARCH($O$1,Database!$T214&amp;""))))+IF(Screener!$B$14="",0,N(ISNUMBER(SEARCH(Screener!$B$14,Database!$T214&amp;""))))</f>
        <v/>
      </c>
      <c r="I214">
        <f>IF(OR(Database!$B214=Screener!$B$5,IF(OR(Screener!$B$17="All",AND(Screener!$B$17="With A-share",(Database!$AL214&lt;&gt;"")),AND(Screener!$B$17="Without A-share",NOT((Database!$AL214&lt;&gt;"")))),1,0)=0),-999999,IF(Screener!$B$15="cornerstone overlap first",H214*100000,0)+W_SUB*B214+W_SEC*C214*(1-B214)+W_SIZE*D214+W_PROF*E214+W_AH*F214+W_REC*G214+W_CS*H214)+ROW()/1000000</f>
        <v/>
      </c>
      <c r="K214">
        <f>Database!B206</f>
        <v/>
      </c>
      <c r="L214">
        <f>Database!D206</f>
        <v/>
      </c>
      <c r="M214">
        <f>Database!E206</f>
        <v/>
      </c>
      <c r="N214">
        <f>Database!H206</f>
        <v/>
      </c>
      <c r="O214">
        <f>Database!AH206</f>
        <v/>
      </c>
      <c r="P214">
        <f>Database!AK206</f>
        <v/>
      </c>
      <c r="Q214">
        <f>Database!G206</f>
        <v/>
      </c>
    </row>
    <row r="215">
      <c r="A215">
        <f>Database!B215</f>
        <v/>
      </c>
      <c r="B215">
        <f>IF(AND(Screener!$D$9&lt;&gt;"",Database!$E215=Screener!$D$9),1,0)</f>
        <v/>
      </c>
      <c r="C215">
        <f>IF(AND(Screener!$D$8&lt;&gt;"",Database!$D215=Screener!$D$8),1,0)</f>
        <v/>
      </c>
      <c r="D215">
        <f>IF(OR(Database!$H215="",N(Screener!$D$10)&lt;=0),0,MAX(0,1-ABS(LOG10(Database!$H215/Screener!$D$10))/W_SIZEHW))</f>
        <v/>
      </c>
      <c r="E215">
        <f>IF(OR(Database!$AH215="",Screener!$D$11=""),0,IF(Database!$AH215=Screener!$D$11,1,0))</f>
        <v/>
      </c>
      <c r="F215">
        <f>IF(OR(Database!$AK215="",Screener!$D$12=""),0,IF(Database!$AK215=Screener!$D$12,1,0))</f>
        <v/>
      </c>
      <c r="G215">
        <f>IF(OR(Database!$G215="",N(Screener!$D$13)&lt;=0),0,MAX(0,1-(N(Screener!$D$13)-Database!$G215)/W_RECD))</f>
        <v/>
      </c>
      <c r="H215">
        <f>IF($K$1="",0,N(ISNUMBER(SEARCH($K$1,Database!$T215&amp;""))))+IF($L$1="",0,N(ISNUMBER(SEARCH($L$1,Database!$T215&amp;""))))+IF($M$1="",0,N(ISNUMBER(SEARCH($M$1,Database!$T215&amp;""))))+IF($N$1="",0,N(ISNUMBER(SEARCH($N$1,Database!$T215&amp;""))))+IF($O$1="",0,N(ISNUMBER(SEARCH($O$1,Database!$T215&amp;""))))+IF(Screener!$B$14="",0,N(ISNUMBER(SEARCH(Screener!$B$14,Database!$T215&amp;""))))</f>
        <v/>
      </c>
      <c r="I215">
        <f>IF(OR(Database!$B215=Screener!$B$5,IF(OR(Screener!$B$17="All",AND(Screener!$B$17="With A-share",(Database!$AL215&lt;&gt;"")),AND(Screener!$B$17="Without A-share",NOT((Database!$AL215&lt;&gt;"")))),1,0)=0),-999999,IF(Screener!$B$15="cornerstone overlap first",H215*100000,0)+W_SUB*B215+W_SEC*C215*(1-B215)+W_SIZE*D215+W_PROF*E215+W_AH*F215+W_REC*G215+W_CS*H215)+ROW()/1000000</f>
        <v/>
      </c>
      <c r="K215">
        <f>Database!B207</f>
        <v/>
      </c>
      <c r="L215">
        <f>Database!D207</f>
        <v/>
      </c>
      <c r="M215">
        <f>Database!E207</f>
        <v/>
      </c>
      <c r="N215">
        <f>Database!H207</f>
        <v/>
      </c>
      <c r="O215">
        <f>Database!AH207</f>
        <v/>
      </c>
      <c r="P215">
        <f>Database!AK207</f>
        <v/>
      </c>
      <c r="Q215">
        <f>Database!G207</f>
        <v/>
      </c>
    </row>
    <row r="216">
      <c r="A216">
        <f>Database!B216</f>
        <v/>
      </c>
      <c r="B216">
        <f>IF(AND(Screener!$D$9&lt;&gt;"",Database!$E216=Screener!$D$9),1,0)</f>
        <v/>
      </c>
      <c r="C216">
        <f>IF(AND(Screener!$D$8&lt;&gt;"",Database!$D216=Screener!$D$8),1,0)</f>
        <v/>
      </c>
      <c r="D216">
        <f>IF(OR(Database!$H216="",N(Screener!$D$10)&lt;=0),0,MAX(0,1-ABS(LOG10(Database!$H216/Screener!$D$10))/W_SIZEHW))</f>
        <v/>
      </c>
      <c r="E216">
        <f>IF(OR(Database!$AH216="",Screener!$D$11=""),0,IF(Database!$AH216=Screener!$D$11,1,0))</f>
        <v/>
      </c>
      <c r="F216">
        <f>IF(OR(Database!$AK216="",Screener!$D$12=""),0,IF(Database!$AK216=Screener!$D$12,1,0))</f>
        <v/>
      </c>
      <c r="G216">
        <f>IF(OR(Database!$G216="",N(Screener!$D$13)&lt;=0),0,MAX(0,1-(N(Screener!$D$13)-Database!$G216)/W_RECD))</f>
        <v/>
      </c>
      <c r="H216">
        <f>IF($K$1="",0,N(ISNUMBER(SEARCH($K$1,Database!$T216&amp;""))))+IF($L$1="",0,N(ISNUMBER(SEARCH($L$1,Database!$T216&amp;""))))+IF($M$1="",0,N(ISNUMBER(SEARCH($M$1,Database!$T216&amp;""))))+IF($N$1="",0,N(ISNUMBER(SEARCH($N$1,Database!$T216&amp;""))))+IF($O$1="",0,N(ISNUMBER(SEARCH($O$1,Database!$T216&amp;""))))+IF(Screener!$B$14="",0,N(ISNUMBER(SEARCH(Screener!$B$14,Database!$T216&amp;""))))</f>
        <v/>
      </c>
      <c r="I216">
        <f>IF(OR(Database!$B216=Screener!$B$5,IF(OR(Screener!$B$17="All",AND(Screener!$B$17="With A-share",(Database!$AL216&lt;&gt;"")),AND(Screener!$B$17="Without A-share",NOT((Database!$AL216&lt;&gt;"")))),1,0)=0),-999999,IF(Screener!$B$15="cornerstone overlap first",H216*100000,0)+W_SUB*B216+W_SEC*C216*(1-B216)+W_SIZE*D216+W_PROF*E216+W_AH*F216+W_REC*G216+W_CS*H216)+ROW()/1000000</f>
        <v/>
      </c>
      <c r="K216">
        <f>Database!B208</f>
        <v/>
      </c>
      <c r="L216">
        <f>Database!D208</f>
        <v/>
      </c>
      <c r="M216">
        <f>Database!E208</f>
        <v/>
      </c>
      <c r="N216">
        <f>Database!H208</f>
        <v/>
      </c>
      <c r="O216">
        <f>Database!AH208</f>
        <v/>
      </c>
      <c r="P216">
        <f>Database!AK208</f>
        <v/>
      </c>
      <c r="Q216">
        <f>Database!G208</f>
        <v/>
      </c>
    </row>
    <row r="217">
      <c r="A217">
        <f>Database!B217</f>
        <v/>
      </c>
      <c r="B217">
        <f>IF(AND(Screener!$D$9&lt;&gt;"",Database!$E217=Screener!$D$9),1,0)</f>
        <v/>
      </c>
      <c r="C217">
        <f>IF(AND(Screener!$D$8&lt;&gt;"",Database!$D217=Screener!$D$8),1,0)</f>
        <v/>
      </c>
      <c r="D217">
        <f>IF(OR(Database!$H217="",N(Screener!$D$10)&lt;=0),0,MAX(0,1-ABS(LOG10(Database!$H217/Screener!$D$10))/W_SIZEHW))</f>
        <v/>
      </c>
      <c r="E217">
        <f>IF(OR(Database!$AH217="",Screener!$D$11=""),0,IF(Database!$AH217=Screener!$D$11,1,0))</f>
        <v/>
      </c>
      <c r="F217">
        <f>IF(OR(Database!$AK217="",Screener!$D$12=""),0,IF(Database!$AK217=Screener!$D$12,1,0))</f>
        <v/>
      </c>
      <c r="G217">
        <f>IF(OR(Database!$G217="",N(Screener!$D$13)&lt;=0),0,MAX(0,1-(N(Screener!$D$13)-Database!$G217)/W_RECD))</f>
        <v/>
      </c>
      <c r="H217">
        <f>IF($K$1="",0,N(ISNUMBER(SEARCH($K$1,Database!$T217&amp;""))))+IF($L$1="",0,N(ISNUMBER(SEARCH($L$1,Database!$T217&amp;""))))+IF($M$1="",0,N(ISNUMBER(SEARCH($M$1,Database!$T217&amp;""))))+IF($N$1="",0,N(ISNUMBER(SEARCH($N$1,Database!$T217&amp;""))))+IF($O$1="",0,N(ISNUMBER(SEARCH($O$1,Database!$T217&amp;""))))+IF(Screener!$B$14="",0,N(ISNUMBER(SEARCH(Screener!$B$14,Database!$T217&amp;""))))</f>
        <v/>
      </c>
      <c r="I217">
        <f>IF(OR(Database!$B217=Screener!$B$5,IF(OR(Screener!$B$17="All",AND(Screener!$B$17="With A-share",(Database!$AL217&lt;&gt;"")),AND(Screener!$B$17="Without A-share",NOT((Database!$AL217&lt;&gt;"")))),1,0)=0),-999999,IF(Screener!$B$15="cornerstone overlap first",H217*100000,0)+W_SUB*B217+W_SEC*C217*(1-B217)+W_SIZE*D217+W_PROF*E217+W_AH*F217+W_REC*G217+W_CS*H217)+ROW()/1000000</f>
        <v/>
      </c>
      <c r="K217">
        <f>Database!B209</f>
        <v/>
      </c>
      <c r="L217">
        <f>Database!D209</f>
        <v/>
      </c>
      <c r="M217">
        <f>Database!E209</f>
        <v/>
      </c>
      <c r="N217">
        <f>Database!H209</f>
        <v/>
      </c>
      <c r="O217">
        <f>Database!AH209</f>
        <v/>
      </c>
      <c r="P217">
        <f>Database!AK209</f>
        <v/>
      </c>
      <c r="Q217">
        <f>Database!G209</f>
        <v/>
      </c>
    </row>
    <row r="218">
      <c r="A218">
        <f>Database!B218</f>
        <v/>
      </c>
      <c r="B218">
        <f>IF(AND(Screener!$D$9&lt;&gt;"",Database!$E218=Screener!$D$9),1,0)</f>
        <v/>
      </c>
      <c r="C218">
        <f>IF(AND(Screener!$D$8&lt;&gt;"",Database!$D218=Screener!$D$8),1,0)</f>
        <v/>
      </c>
      <c r="D218">
        <f>IF(OR(Database!$H218="",N(Screener!$D$10)&lt;=0),0,MAX(0,1-ABS(LOG10(Database!$H218/Screener!$D$10))/W_SIZEHW))</f>
        <v/>
      </c>
      <c r="E218">
        <f>IF(OR(Database!$AH218="",Screener!$D$11=""),0,IF(Database!$AH218=Screener!$D$11,1,0))</f>
        <v/>
      </c>
      <c r="F218">
        <f>IF(OR(Database!$AK218="",Screener!$D$12=""),0,IF(Database!$AK218=Screener!$D$12,1,0))</f>
        <v/>
      </c>
      <c r="G218">
        <f>IF(OR(Database!$G218="",N(Screener!$D$13)&lt;=0),0,MAX(0,1-(N(Screener!$D$13)-Database!$G218)/W_RECD))</f>
        <v/>
      </c>
      <c r="H218">
        <f>IF($K$1="",0,N(ISNUMBER(SEARCH($K$1,Database!$T218&amp;""))))+IF($L$1="",0,N(ISNUMBER(SEARCH($L$1,Database!$T218&amp;""))))+IF($M$1="",0,N(ISNUMBER(SEARCH($M$1,Database!$T218&amp;""))))+IF($N$1="",0,N(ISNUMBER(SEARCH($N$1,Database!$T218&amp;""))))+IF($O$1="",0,N(ISNUMBER(SEARCH($O$1,Database!$T218&amp;""))))+IF(Screener!$B$14="",0,N(ISNUMBER(SEARCH(Screener!$B$14,Database!$T218&amp;""))))</f>
        <v/>
      </c>
      <c r="I218">
        <f>IF(OR(Database!$B218=Screener!$B$5,IF(OR(Screener!$B$17="All",AND(Screener!$B$17="With A-share",(Database!$AL218&lt;&gt;"")),AND(Screener!$B$17="Without A-share",NOT((Database!$AL218&lt;&gt;"")))),1,0)=0),-999999,IF(Screener!$B$15="cornerstone overlap first",H218*100000,0)+W_SUB*B218+W_SEC*C218*(1-B218)+W_SIZE*D218+W_PROF*E218+W_AH*F218+W_REC*G218+W_CS*H218)+ROW()/1000000</f>
        <v/>
      </c>
      <c r="K218">
        <f>Database!B210</f>
        <v/>
      </c>
      <c r="L218">
        <f>Database!D210</f>
        <v/>
      </c>
      <c r="M218">
        <f>Database!E210</f>
        <v/>
      </c>
      <c r="N218">
        <f>Database!H210</f>
        <v/>
      </c>
      <c r="O218">
        <f>Database!AH210</f>
        <v/>
      </c>
      <c r="P218">
        <f>Database!AK210</f>
        <v/>
      </c>
      <c r="Q218">
        <f>Database!G210</f>
        <v/>
      </c>
    </row>
    <row r="219">
      <c r="A219">
        <f>Database!B219</f>
        <v/>
      </c>
      <c r="B219">
        <f>IF(AND(Screener!$D$9&lt;&gt;"",Database!$E219=Screener!$D$9),1,0)</f>
        <v/>
      </c>
      <c r="C219">
        <f>IF(AND(Screener!$D$8&lt;&gt;"",Database!$D219=Screener!$D$8),1,0)</f>
        <v/>
      </c>
      <c r="D219">
        <f>IF(OR(Database!$H219="",N(Screener!$D$10)&lt;=0),0,MAX(0,1-ABS(LOG10(Database!$H219/Screener!$D$10))/W_SIZEHW))</f>
        <v/>
      </c>
      <c r="E219">
        <f>IF(OR(Database!$AH219="",Screener!$D$11=""),0,IF(Database!$AH219=Screener!$D$11,1,0))</f>
        <v/>
      </c>
      <c r="F219">
        <f>IF(OR(Database!$AK219="",Screener!$D$12=""),0,IF(Database!$AK219=Screener!$D$12,1,0))</f>
        <v/>
      </c>
      <c r="G219">
        <f>IF(OR(Database!$G219="",N(Screener!$D$13)&lt;=0),0,MAX(0,1-(N(Screener!$D$13)-Database!$G219)/W_RECD))</f>
        <v/>
      </c>
      <c r="H219">
        <f>IF($K$1="",0,N(ISNUMBER(SEARCH($K$1,Database!$T219&amp;""))))+IF($L$1="",0,N(ISNUMBER(SEARCH($L$1,Database!$T219&amp;""))))+IF($M$1="",0,N(ISNUMBER(SEARCH($M$1,Database!$T219&amp;""))))+IF($N$1="",0,N(ISNUMBER(SEARCH($N$1,Database!$T219&amp;""))))+IF($O$1="",0,N(ISNUMBER(SEARCH($O$1,Database!$T219&amp;""))))+IF(Screener!$B$14="",0,N(ISNUMBER(SEARCH(Screener!$B$14,Database!$T219&amp;""))))</f>
        <v/>
      </c>
      <c r="I219">
        <f>IF(OR(Database!$B219=Screener!$B$5,IF(OR(Screener!$B$17="All",AND(Screener!$B$17="With A-share",(Database!$AL219&lt;&gt;"")),AND(Screener!$B$17="Without A-share",NOT((Database!$AL219&lt;&gt;"")))),1,0)=0),-999999,IF(Screener!$B$15="cornerstone overlap first",H219*100000,0)+W_SUB*B219+W_SEC*C219*(1-B219)+W_SIZE*D219+W_PROF*E219+W_AH*F219+W_REC*G219+W_CS*H219)+ROW()/1000000</f>
        <v/>
      </c>
      <c r="K219">
        <f>Database!B211</f>
        <v/>
      </c>
      <c r="L219">
        <f>Database!D211</f>
        <v/>
      </c>
      <c r="M219">
        <f>Database!E211</f>
        <v/>
      </c>
      <c r="N219">
        <f>Database!H211</f>
        <v/>
      </c>
      <c r="O219">
        <f>Database!AH211</f>
        <v/>
      </c>
      <c r="P219">
        <f>Database!AK211</f>
        <v/>
      </c>
      <c r="Q219">
        <f>Database!G211</f>
        <v/>
      </c>
    </row>
    <row r="220">
      <c r="A220">
        <f>Database!B220</f>
        <v/>
      </c>
      <c r="B220">
        <f>IF(AND(Screener!$D$9&lt;&gt;"",Database!$E220=Screener!$D$9),1,0)</f>
        <v/>
      </c>
      <c r="C220">
        <f>IF(AND(Screener!$D$8&lt;&gt;"",Database!$D220=Screener!$D$8),1,0)</f>
        <v/>
      </c>
      <c r="D220">
        <f>IF(OR(Database!$H220="",N(Screener!$D$10)&lt;=0),0,MAX(0,1-ABS(LOG10(Database!$H220/Screener!$D$10))/W_SIZEHW))</f>
        <v/>
      </c>
      <c r="E220">
        <f>IF(OR(Database!$AH220="",Screener!$D$11=""),0,IF(Database!$AH220=Screener!$D$11,1,0))</f>
        <v/>
      </c>
      <c r="F220">
        <f>IF(OR(Database!$AK220="",Screener!$D$12=""),0,IF(Database!$AK220=Screener!$D$12,1,0))</f>
        <v/>
      </c>
      <c r="G220">
        <f>IF(OR(Database!$G220="",N(Screener!$D$13)&lt;=0),0,MAX(0,1-(N(Screener!$D$13)-Database!$G220)/W_RECD))</f>
        <v/>
      </c>
      <c r="H220">
        <f>IF($K$1="",0,N(ISNUMBER(SEARCH($K$1,Database!$T220&amp;""))))+IF($L$1="",0,N(ISNUMBER(SEARCH($L$1,Database!$T220&amp;""))))+IF($M$1="",0,N(ISNUMBER(SEARCH($M$1,Database!$T220&amp;""))))+IF($N$1="",0,N(ISNUMBER(SEARCH($N$1,Database!$T220&amp;""))))+IF($O$1="",0,N(ISNUMBER(SEARCH($O$1,Database!$T220&amp;""))))+IF(Screener!$B$14="",0,N(ISNUMBER(SEARCH(Screener!$B$14,Database!$T220&amp;""))))</f>
        <v/>
      </c>
      <c r="I220">
        <f>IF(OR(Database!$B220=Screener!$B$5,IF(OR(Screener!$B$17="All",AND(Screener!$B$17="With A-share",(Database!$AL220&lt;&gt;"")),AND(Screener!$B$17="Without A-share",NOT((Database!$AL220&lt;&gt;"")))),1,0)=0),-999999,IF(Screener!$B$15="cornerstone overlap first",H220*100000,0)+W_SUB*B220+W_SEC*C220*(1-B220)+W_SIZE*D220+W_PROF*E220+W_AH*F220+W_REC*G220+W_CS*H220)+ROW()/1000000</f>
        <v/>
      </c>
      <c r="K220">
        <f>Database!B212</f>
        <v/>
      </c>
      <c r="L220">
        <f>Database!D212</f>
        <v/>
      </c>
      <c r="M220">
        <f>Database!E212</f>
        <v/>
      </c>
      <c r="N220">
        <f>Database!H212</f>
        <v/>
      </c>
      <c r="O220">
        <f>Database!AH212</f>
        <v/>
      </c>
      <c r="P220">
        <f>Database!AK212</f>
        <v/>
      </c>
      <c r="Q220">
        <f>Database!G212</f>
        <v/>
      </c>
    </row>
    <row r="221">
      <c r="A221">
        <f>Database!B221</f>
        <v/>
      </c>
      <c r="B221">
        <f>IF(AND(Screener!$D$9&lt;&gt;"",Database!$E221=Screener!$D$9),1,0)</f>
        <v/>
      </c>
      <c r="C221">
        <f>IF(AND(Screener!$D$8&lt;&gt;"",Database!$D221=Screener!$D$8),1,0)</f>
        <v/>
      </c>
      <c r="D221">
        <f>IF(OR(Database!$H221="",N(Screener!$D$10)&lt;=0),0,MAX(0,1-ABS(LOG10(Database!$H221/Screener!$D$10))/W_SIZEHW))</f>
        <v/>
      </c>
      <c r="E221">
        <f>IF(OR(Database!$AH221="",Screener!$D$11=""),0,IF(Database!$AH221=Screener!$D$11,1,0))</f>
        <v/>
      </c>
      <c r="F221">
        <f>IF(OR(Database!$AK221="",Screener!$D$12=""),0,IF(Database!$AK221=Screener!$D$12,1,0))</f>
        <v/>
      </c>
      <c r="G221">
        <f>IF(OR(Database!$G221="",N(Screener!$D$13)&lt;=0),0,MAX(0,1-(N(Screener!$D$13)-Database!$G221)/W_RECD))</f>
        <v/>
      </c>
      <c r="H221">
        <f>IF($K$1="",0,N(ISNUMBER(SEARCH($K$1,Database!$T221&amp;""))))+IF($L$1="",0,N(ISNUMBER(SEARCH($L$1,Database!$T221&amp;""))))+IF($M$1="",0,N(ISNUMBER(SEARCH($M$1,Database!$T221&amp;""))))+IF($N$1="",0,N(ISNUMBER(SEARCH($N$1,Database!$T221&amp;""))))+IF($O$1="",0,N(ISNUMBER(SEARCH($O$1,Database!$T221&amp;""))))+IF(Screener!$B$14="",0,N(ISNUMBER(SEARCH(Screener!$B$14,Database!$T221&amp;""))))</f>
        <v/>
      </c>
      <c r="I221">
        <f>IF(OR(Database!$B221=Screener!$B$5,IF(OR(Screener!$B$17="All",AND(Screener!$B$17="With A-share",(Database!$AL221&lt;&gt;"")),AND(Screener!$B$17="Without A-share",NOT((Database!$AL221&lt;&gt;"")))),1,0)=0),-999999,IF(Screener!$B$15="cornerstone overlap first",H221*100000,0)+W_SUB*B221+W_SEC*C221*(1-B221)+W_SIZE*D221+W_PROF*E221+W_AH*F221+W_REC*G221+W_CS*H221)+ROW()/1000000</f>
        <v/>
      </c>
      <c r="K221">
        <f>Database!B213</f>
        <v/>
      </c>
      <c r="L221">
        <f>Database!D213</f>
        <v/>
      </c>
      <c r="M221">
        <f>Database!E213</f>
        <v/>
      </c>
      <c r="N221">
        <f>Database!H213</f>
        <v/>
      </c>
      <c r="O221">
        <f>Database!AH213</f>
        <v/>
      </c>
      <c r="P221">
        <f>Database!AK213</f>
        <v/>
      </c>
      <c r="Q221">
        <f>Database!G213</f>
        <v/>
      </c>
    </row>
    <row r="222">
      <c r="A222">
        <f>Database!B222</f>
        <v/>
      </c>
      <c r="B222">
        <f>IF(AND(Screener!$D$9&lt;&gt;"",Database!$E222=Screener!$D$9),1,0)</f>
        <v/>
      </c>
      <c r="C222">
        <f>IF(AND(Screener!$D$8&lt;&gt;"",Database!$D222=Screener!$D$8),1,0)</f>
        <v/>
      </c>
      <c r="D222">
        <f>IF(OR(Database!$H222="",N(Screener!$D$10)&lt;=0),0,MAX(0,1-ABS(LOG10(Database!$H222/Screener!$D$10))/W_SIZEHW))</f>
        <v/>
      </c>
      <c r="E222">
        <f>IF(OR(Database!$AH222="",Screener!$D$11=""),0,IF(Database!$AH222=Screener!$D$11,1,0))</f>
        <v/>
      </c>
      <c r="F222">
        <f>IF(OR(Database!$AK222="",Screener!$D$12=""),0,IF(Database!$AK222=Screener!$D$12,1,0))</f>
        <v/>
      </c>
      <c r="G222">
        <f>IF(OR(Database!$G222="",N(Screener!$D$13)&lt;=0),0,MAX(0,1-(N(Screener!$D$13)-Database!$G222)/W_RECD))</f>
        <v/>
      </c>
      <c r="H222">
        <f>IF($K$1="",0,N(ISNUMBER(SEARCH($K$1,Database!$T222&amp;""))))+IF($L$1="",0,N(ISNUMBER(SEARCH($L$1,Database!$T222&amp;""))))+IF($M$1="",0,N(ISNUMBER(SEARCH($M$1,Database!$T222&amp;""))))+IF($N$1="",0,N(ISNUMBER(SEARCH($N$1,Database!$T222&amp;""))))+IF($O$1="",0,N(ISNUMBER(SEARCH($O$1,Database!$T222&amp;""))))+IF(Screener!$B$14="",0,N(ISNUMBER(SEARCH(Screener!$B$14,Database!$T222&amp;""))))</f>
        <v/>
      </c>
      <c r="I222">
        <f>IF(OR(Database!$B222=Screener!$B$5,IF(OR(Screener!$B$17="All",AND(Screener!$B$17="With A-share",(Database!$AL222&lt;&gt;"")),AND(Screener!$B$17="Without A-share",NOT((Database!$AL222&lt;&gt;"")))),1,0)=0),-999999,IF(Screener!$B$15="cornerstone overlap first",H222*100000,0)+W_SUB*B222+W_SEC*C222*(1-B222)+W_SIZE*D222+W_PROF*E222+W_AH*F222+W_REC*G222+W_CS*H222)+ROW()/1000000</f>
        <v/>
      </c>
      <c r="K222">
        <f>Database!B214</f>
        <v/>
      </c>
      <c r="L222">
        <f>Database!D214</f>
        <v/>
      </c>
      <c r="M222">
        <f>Database!E214</f>
        <v/>
      </c>
      <c r="N222">
        <f>Database!H214</f>
        <v/>
      </c>
      <c r="O222">
        <f>Database!AH214</f>
        <v/>
      </c>
      <c r="P222">
        <f>Database!AK214</f>
        <v/>
      </c>
      <c r="Q222">
        <f>Database!G214</f>
        <v/>
      </c>
    </row>
    <row r="223">
      <c r="A223">
        <f>Database!B223</f>
        <v/>
      </c>
      <c r="B223">
        <f>IF(AND(Screener!$D$9&lt;&gt;"",Database!$E223=Screener!$D$9),1,0)</f>
        <v/>
      </c>
      <c r="C223">
        <f>IF(AND(Screener!$D$8&lt;&gt;"",Database!$D223=Screener!$D$8),1,0)</f>
        <v/>
      </c>
      <c r="D223">
        <f>IF(OR(Database!$H223="",N(Screener!$D$10)&lt;=0),0,MAX(0,1-ABS(LOG10(Database!$H223/Screener!$D$10))/W_SIZEHW))</f>
        <v/>
      </c>
      <c r="E223">
        <f>IF(OR(Database!$AH223="",Screener!$D$11=""),0,IF(Database!$AH223=Screener!$D$11,1,0))</f>
        <v/>
      </c>
      <c r="F223">
        <f>IF(OR(Database!$AK223="",Screener!$D$12=""),0,IF(Database!$AK223=Screener!$D$12,1,0))</f>
        <v/>
      </c>
      <c r="G223">
        <f>IF(OR(Database!$G223="",N(Screener!$D$13)&lt;=0),0,MAX(0,1-(N(Screener!$D$13)-Database!$G223)/W_RECD))</f>
        <v/>
      </c>
      <c r="H223">
        <f>IF($K$1="",0,N(ISNUMBER(SEARCH($K$1,Database!$T223&amp;""))))+IF($L$1="",0,N(ISNUMBER(SEARCH($L$1,Database!$T223&amp;""))))+IF($M$1="",0,N(ISNUMBER(SEARCH($M$1,Database!$T223&amp;""))))+IF($N$1="",0,N(ISNUMBER(SEARCH($N$1,Database!$T223&amp;""))))+IF($O$1="",0,N(ISNUMBER(SEARCH($O$1,Database!$T223&amp;""))))+IF(Screener!$B$14="",0,N(ISNUMBER(SEARCH(Screener!$B$14,Database!$T223&amp;""))))</f>
        <v/>
      </c>
      <c r="I223">
        <f>IF(OR(Database!$B223=Screener!$B$5,IF(OR(Screener!$B$17="All",AND(Screener!$B$17="With A-share",(Database!$AL223&lt;&gt;"")),AND(Screener!$B$17="Without A-share",NOT((Database!$AL223&lt;&gt;"")))),1,0)=0),-999999,IF(Screener!$B$15="cornerstone overlap first",H223*100000,0)+W_SUB*B223+W_SEC*C223*(1-B223)+W_SIZE*D223+W_PROF*E223+W_AH*F223+W_REC*G223+W_CS*H223)+ROW()/1000000</f>
        <v/>
      </c>
      <c r="K223">
        <f>Database!B215</f>
        <v/>
      </c>
      <c r="L223">
        <f>Database!D215</f>
        <v/>
      </c>
      <c r="M223">
        <f>Database!E215</f>
        <v/>
      </c>
      <c r="N223">
        <f>Database!H215</f>
        <v/>
      </c>
      <c r="O223">
        <f>Database!AH215</f>
        <v/>
      </c>
      <c r="P223">
        <f>Database!AK215</f>
        <v/>
      </c>
      <c r="Q223">
        <f>Database!G215</f>
        <v/>
      </c>
    </row>
    <row r="224">
      <c r="A224">
        <f>Database!B224</f>
        <v/>
      </c>
      <c r="B224">
        <f>IF(AND(Screener!$D$9&lt;&gt;"",Database!$E224=Screener!$D$9),1,0)</f>
        <v/>
      </c>
      <c r="C224">
        <f>IF(AND(Screener!$D$8&lt;&gt;"",Database!$D224=Screener!$D$8),1,0)</f>
        <v/>
      </c>
      <c r="D224">
        <f>IF(OR(Database!$H224="",N(Screener!$D$10)&lt;=0),0,MAX(0,1-ABS(LOG10(Database!$H224/Screener!$D$10))/W_SIZEHW))</f>
        <v/>
      </c>
      <c r="E224">
        <f>IF(OR(Database!$AH224="",Screener!$D$11=""),0,IF(Database!$AH224=Screener!$D$11,1,0))</f>
        <v/>
      </c>
      <c r="F224">
        <f>IF(OR(Database!$AK224="",Screener!$D$12=""),0,IF(Database!$AK224=Screener!$D$12,1,0))</f>
        <v/>
      </c>
      <c r="G224">
        <f>IF(OR(Database!$G224="",N(Screener!$D$13)&lt;=0),0,MAX(0,1-(N(Screener!$D$13)-Database!$G224)/W_RECD))</f>
        <v/>
      </c>
      <c r="H224">
        <f>IF($K$1="",0,N(ISNUMBER(SEARCH($K$1,Database!$T224&amp;""))))+IF($L$1="",0,N(ISNUMBER(SEARCH($L$1,Database!$T224&amp;""))))+IF($M$1="",0,N(ISNUMBER(SEARCH($M$1,Database!$T224&amp;""))))+IF($N$1="",0,N(ISNUMBER(SEARCH($N$1,Database!$T224&amp;""))))+IF($O$1="",0,N(ISNUMBER(SEARCH($O$1,Database!$T224&amp;""))))+IF(Screener!$B$14="",0,N(ISNUMBER(SEARCH(Screener!$B$14,Database!$T224&amp;""))))</f>
        <v/>
      </c>
      <c r="I224">
        <f>IF(OR(Database!$B224=Screener!$B$5,IF(OR(Screener!$B$17="All",AND(Screener!$B$17="With A-share",(Database!$AL224&lt;&gt;"")),AND(Screener!$B$17="Without A-share",NOT((Database!$AL224&lt;&gt;"")))),1,0)=0),-999999,IF(Screener!$B$15="cornerstone overlap first",H224*100000,0)+W_SUB*B224+W_SEC*C224*(1-B224)+W_SIZE*D224+W_PROF*E224+W_AH*F224+W_REC*G224+W_CS*H224)+ROW()/1000000</f>
        <v/>
      </c>
      <c r="K224">
        <f>Database!B216</f>
        <v/>
      </c>
      <c r="L224">
        <f>Database!D216</f>
        <v/>
      </c>
      <c r="M224">
        <f>Database!E216</f>
        <v/>
      </c>
      <c r="N224">
        <f>Database!H216</f>
        <v/>
      </c>
      <c r="O224">
        <f>Database!AH216</f>
        <v/>
      </c>
      <c r="P224">
        <f>Database!AK216</f>
        <v/>
      </c>
      <c r="Q224">
        <f>Database!G216</f>
        <v/>
      </c>
    </row>
    <row r="225">
      <c r="A225">
        <f>Database!B225</f>
        <v/>
      </c>
      <c r="B225">
        <f>IF(AND(Screener!$D$9&lt;&gt;"",Database!$E225=Screener!$D$9),1,0)</f>
        <v/>
      </c>
      <c r="C225">
        <f>IF(AND(Screener!$D$8&lt;&gt;"",Database!$D225=Screener!$D$8),1,0)</f>
        <v/>
      </c>
      <c r="D225">
        <f>IF(OR(Database!$H225="",N(Screener!$D$10)&lt;=0),0,MAX(0,1-ABS(LOG10(Database!$H225/Screener!$D$10))/W_SIZEHW))</f>
        <v/>
      </c>
      <c r="E225">
        <f>IF(OR(Database!$AH225="",Screener!$D$11=""),0,IF(Database!$AH225=Screener!$D$11,1,0))</f>
        <v/>
      </c>
      <c r="F225">
        <f>IF(OR(Database!$AK225="",Screener!$D$12=""),0,IF(Database!$AK225=Screener!$D$12,1,0))</f>
        <v/>
      </c>
      <c r="G225">
        <f>IF(OR(Database!$G225="",N(Screener!$D$13)&lt;=0),0,MAX(0,1-(N(Screener!$D$13)-Database!$G225)/W_RECD))</f>
        <v/>
      </c>
      <c r="H225">
        <f>IF($K$1="",0,N(ISNUMBER(SEARCH($K$1,Database!$T225&amp;""))))+IF($L$1="",0,N(ISNUMBER(SEARCH($L$1,Database!$T225&amp;""))))+IF($M$1="",0,N(ISNUMBER(SEARCH($M$1,Database!$T225&amp;""))))+IF($N$1="",0,N(ISNUMBER(SEARCH($N$1,Database!$T225&amp;""))))+IF($O$1="",0,N(ISNUMBER(SEARCH($O$1,Database!$T225&amp;""))))+IF(Screener!$B$14="",0,N(ISNUMBER(SEARCH(Screener!$B$14,Database!$T225&amp;""))))</f>
        <v/>
      </c>
      <c r="I225">
        <f>IF(OR(Database!$B225=Screener!$B$5,IF(OR(Screener!$B$17="All",AND(Screener!$B$17="With A-share",(Database!$AL225&lt;&gt;"")),AND(Screener!$B$17="Without A-share",NOT((Database!$AL225&lt;&gt;"")))),1,0)=0),-999999,IF(Screener!$B$15="cornerstone overlap first",H225*100000,0)+W_SUB*B225+W_SEC*C225*(1-B225)+W_SIZE*D225+W_PROF*E225+W_AH*F225+W_REC*G225+W_CS*H225)+ROW()/1000000</f>
        <v/>
      </c>
      <c r="K225">
        <f>Database!B217</f>
        <v/>
      </c>
      <c r="L225">
        <f>Database!D217</f>
        <v/>
      </c>
      <c r="M225">
        <f>Database!E217</f>
        <v/>
      </c>
      <c r="N225">
        <f>Database!H217</f>
        <v/>
      </c>
      <c r="O225">
        <f>Database!AH217</f>
        <v/>
      </c>
      <c r="P225">
        <f>Database!AK217</f>
        <v/>
      </c>
      <c r="Q225">
        <f>Database!G217</f>
        <v/>
      </c>
    </row>
    <row r="226">
      <c r="A226">
        <f>Database!B226</f>
        <v/>
      </c>
      <c r="B226">
        <f>IF(AND(Screener!$D$9&lt;&gt;"",Database!$E226=Screener!$D$9),1,0)</f>
        <v/>
      </c>
      <c r="C226">
        <f>IF(AND(Screener!$D$8&lt;&gt;"",Database!$D226=Screener!$D$8),1,0)</f>
        <v/>
      </c>
      <c r="D226">
        <f>IF(OR(Database!$H226="",N(Screener!$D$10)&lt;=0),0,MAX(0,1-ABS(LOG10(Database!$H226/Screener!$D$10))/W_SIZEHW))</f>
        <v/>
      </c>
      <c r="E226">
        <f>IF(OR(Database!$AH226="",Screener!$D$11=""),0,IF(Database!$AH226=Screener!$D$11,1,0))</f>
        <v/>
      </c>
      <c r="F226">
        <f>IF(OR(Database!$AK226="",Screener!$D$12=""),0,IF(Database!$AK226=Screener!$D$12,1,0))</f>
        <v/>
      </c>
      <c r="G226">
        <f>IF(OR(Database!$G226="",N(Screener!$D$13)&lt;=0),0,MAX(0,1-(N(Screener!$D$13)-Database!$G226)/W_RECD))</f>
        <v/>
      </c>
      <c r="H226">
        <f>IF($K$1="",0,N(ISNUMBER(SEARCH($K$1,Database!$T226&amp;""))))+IF($L$1="",0,N(ISNUMBER(SEARCH($L$1,Database!$T226&amp;""))))+IF($M$1="",0,N(ISNUMBER(SEARCH($M$1,Database!$T226&amp;""))))+IF($N$1="",0,N(ISNUMBER(SEARCH($N$1,Database!$T226&amp;""))))+IF($O$1="",0,N(ISNUMBER(SEARCH($O$1,Database!$T226&amp;""))))+IF(Screener!$B$14="",0,N(ISNUMBER(SEARCH(Screener!$B$14,Database!$T226&amp;""))))</f>
        <v/>
      </c>
      <c r="I226">
        <f>IF(OR(Database!$B226=Screener!$B$5,IF(OR(Screener!$B$17="All",AND(Screener!$B$17="With A-share",(Database!$AL226&lt;&gt;"")),AND(Screener!$B$17="Without A-share",NOT((Database!$AL226&lt;&gt;"")))),1,0)=0),-999999,IF(Screener!$B$15="cornerstone overlap first",H226*100000,0)+W_SUB*B226+W_SEC*C226*(1-B226)+W_SIZE*D226+W_PROF*E226+W_AH*F226+W_REC*G226+W_CS*H226)+ROW()/1000000</f>
        <v/>
      </c>
      <c r="K226">
        <f>Database!B218</f>
        <v/>
      </c>
      <c r="L226">
        <f>Database!D218</f>
        <v/>
      </c>
      <c r="M226">
        <f>Database!E218</f>
        <v/>
      </c>
      <c r="N226">
        <f>Database!H218</f>
        <v/>
      </c>
      <c r="O226">
        <f>Database!AH218</f>
        <v/>
      </c>
      <c r="P226">
        <f>Database!AK218</f>
        <v/>
      </c>
      <c r="Q226">
        <f>Database!G218</f>
        <v/>
      </c>
    </row>
    <row r="227">
      <c r="A227">
        <f>Database!B227</f>
        <v/>
      </c>
      <c r="B227">
        <f>IF(AND(Screener!$D$9&lt;&gt;"",Database!$E227=Screener!$D$9),1,0)</f>
        <v/>
      </c>
      <c r="C227">
        <f>IF(AND(Screener!$D$8&lt;&gt;"",Database!$D227=Screener!$D$8),1,0)</f>
        <v/>
      </c>
      <c r="D227">
        <f>IF(OR(Database!$H227="",N(Screener!$D$10)&lt;=0),0,MAX(0,1-ABS(LOG10(Database!$H227/Screener!$D$10))/W_SIZEHW))</f>
        <v/>
      </c>
      <c r="E227">
        <f>IF(OR(Database!$AH227="",Screener!$D$11=""),0,IF(Database!$AH227=Screener!$D$11,1,0))</f>
        <v/>
      </c>
      <c r="F227">
        <f>IF(OR(Database!$AK227="",Screener!$D$12=""),0,IF(Database!$AK227=Screener!$D$12,1,0))</f>
        <v/>
      </c>
      <c r="G227">
        <f>IF(OR(Database!$G227="",N(Screener!$D$13)&lt;=0),0,MAX(0,1-(N(Screener!$D$13)-Database!$G227)/W_RECD))</f>
        <v/>
      </c>
      <c r="H227">
        <f>IF($K$1="",0,N(ISNUMBER(SEARCH($K$1,Database!$T227&amp;""))))+IF($L$1="",0,N(ISNUMBER(SEARCH($L$1,Database!$T227&amp;""))))+IF($M$1="",0,N(ISNUMBER(SEARCH($M$1,Database!$T227&amp;""))))+IF($N$1="",0,N(ISNUMBER(SEARCH($N$1,Database!$T227&amp;""))))+IF($O$1="",0,N(ISNUMBER(SEARCH($O$1,Database!$T227&amp;""))))+IF(Screener!$B$14="",0,N(ISNUMBER(SEARCH(Screener!$B$14,Database!$T227&amp;""))))</f>
        <v/>
      </c>
      <c r="I227">
        <f>IF(OR(Database!$B227=Screener!$B$5,IF(OR(Screener!$B$17="All",AND(Screener!$B$17="With A-share",(Database!$AL227&lt;&gt;"")),AND(Screener!$B$17="Without A-share",NOT((Database!$AL227&lt;&gt;"")))),1,0)=0),-999999,IF(Screener!$B$15="cornerstone overlap first",H227*100000,0)+W_SUB*B227+W_SEC*C227*(1-B227)+W_SIZE*D227+W_PROF*E227+W_AH*F227+W_REC*G227+W_CS*H227)+ROW()/1000000</f>
        <v/>
      </c>
      <c r="K227">
        <f>Database!B219</f>
        <v/>
      </c>
      <c r="L227">
        <f>Database!D219</f>
        <v/>
      </c>
      <c r="M227">
        <f>Database!E219</f>
        <v/>
      </c>
      <c r="N227">
        <f>Database!H219</f>
        <v/>
      </c>
      <c r="O227">
        <f>Database!AH219</f>
        <v/>
      </c>
      <c r="P227">
        <f>Database!AK219</f>
        <v/>
      </c>
      <c r="Q227">
        <f>Database!G219</f>
        <v/>
      </c>
    </row>
    <row r="228">
      <c r="A228">
        <f>Database!B228</f>
        <v/>
      </c>
      <c r="B228">
        <f>IF(AND(Screener!$D$9&lt;&gt;"",Database!$E228=Screener!$D$9),1,0)</f>
        <v/>
      </c>
      <c r="C228">
        <f>IF(AND(Screener!$D$8&lt;&gt;"",Database!$D228=Screener!$D$8),1,0)</f>
        <v/>
      </c>
      <c r="D228">
        <f>IF(OR(Database!$H228="",N(Screener!$D$10)&lt;=0),0,MAX(0,1-ABS(LOG10(Database!$H228/Screener!$D$10))/W_SIZEHW))</f>
        <v/>
      </c>
      <c r="E228">
        <f>IF(OR(Database!$AH228="",Screener!$D$11=""),0,IF(Database!$AH228=Screener!$D$11,1,0))</f>
        <v/>
      </c>
      <c r="F228">
        <f>IF(OR(Database!$AK228="",Screener!$D$12=""),0,IF(Database!$AK228=Screener!$D$12,1,0))</f>
        <v/>
      </c>
      <c r="G228">
        <f>IF(OR(Database!$G228="",N(Screener!$D$13)&lt;=0),0,MAX(0,1-(N(Screener!$D$13)-Database!$G228)/W_RECD))</f>
        <v/>
      </c>
      <c r="H228">
        <f>IF($K$1="",0,N(ISNUMBER(SEARCH($K$1,Database!$T228&amp;""))))+IF($L$1="",0,N(ISNUMBER(SEARCH($L$1,Database!$T228&amp;""))))+IF($M$1="",0,N(ISNUMBER(SEARCH($M$1,Database!$T228&amp;""))))+IF($N$1="",0,N(ISNUMBER(SEARCH($N$1,Database!$T228&amp;""))))+IF($O$1="",0,N(ISNUMBER(SEARCH($O$1,Database!$T228&amp;""))))+IF(Screener!$B$14="",0,N(ISNUMBER(SEARCH(Screener!$B$14,Database!$T228&amp;""))))</f>
        <v/>
      </c>
      <c r="I228">
        <f>IF(OR(Database!$B228=Screener!$B$5,IF(OR(Screener!$B$17="All",AND(Screener!$B$17="With A-share",(Database!$AL228&lt;&gt;"")),AND(Screener!$B$17="Without A-share",NOT((Database!$AL228&lt;&gt;"")))),1,0)=0),-999999,IF(Screener!$B$15="cornerstone overlap first",H228*100000,0)+W_SUB*B228+W_SEC*C228*(1-B228)+W_SIZE*D228+W_PROF*E228+W_AH*F228+W_REC*G228+W_CS*H228)+ROW()/1000000</f>
        <v/>
      </c>
      <c r="K228">
        <f>Database!B220</f>
        <v/>
      </c>
      <c r="L228">
        <f>Database!D220</f>
        <v/>
      </c>
      <c r="M228">
        <f>Database!E220</f>
        <v/>
      </c>
      <c r="N228">
        <f>Database!H220</f>
        <v/>
      </c>
      <c r="O228">
        <f>Database!AH220</f>
        <v/>
      </c>
      <c r="P228">
        <f>Database!AK220</f>
        <v/>
      </c>
      <c r="Q228">
        <f>Database!G220</f>
        <v/>
      </c>
    </row>
    <row r="229">
      <c r="A229">
        <f>Database!B229</f>
        <v/>
      </c>
      <c r="B229">
        <f>IF(AND(Screener!$D$9&lt;&gt;"",Database!$E229=Screener!$D$9),1,0)</f>
        <v/>
      </c>
      <c r="C229">
        <f>IF(AND(Screener!$D$8&lt;&gt;"",Database!$D229=Screener!$D$8),1,0)</f>
        <v/>
      </c>
      <c r="D229">
        <f>IF(OR(Database!$H229="",N(Screener!$D$10)&lt;=0),0,MAX(0,1-ABS(LOG10(Database!$H229/Screener!$D$10))/W_SIZEHW))</f>
        <v/>
      </c>
      <c r="E229">
        <f>IF(OR(Database!$AH229="",Screener!$D$11=""),0,IF(Database!$AH229=Screener!$D$11,1,0))</f>
        <v/>
      </c>
      <c r="F229">
        <f>IF(OR(Database!$AK229="",Screener!$D$12=""),0,IF(Database!$AK229=Screener!$D$12,1,0))</f>
        <v/>
      </c>
      <c r="G229">
        <f>IF(OR(Database!$G229="",N(Screener!$D$13)&lt;=0),0,MAX(0,1-(N(Screener!$D$13)-Database!$G229)/W_RECD))</f>
        <v/>
      </c>
      <c r="H229">
        <f>IF($K$1="",0,N(ISNUMBER(SEARCH($K$1,Database!$T229&amp;""))))+IF($L$1="",0,N(ISNUMBER(SEARCH($L$1,Database!$T229&amp;""))))+IF($M$1="",0,N(ISNUMBER(SEARCH($M$1,Database!$T229&amp;""))))+IF($N$1="",0,N(ISNUMBER(SEARCH($N$1,Database!$T229&amp;""))))+IF($O$1="",0,N(ISNUMBER(SEARCH($O$1,Database!$T229&amp;""))))+IF(Screener!$B$14="",0,N(ISNUMBER(SEARCH(Screener!$B$14,Database!$T229&amp;""))))</f>
        <v/>
      </c>
      <c r="I229">
        <f>IF(OR(Database!$B229=Screener!$B$5,IF(OR(Screener!$B$17="All",AND(Screener!$B$17="With A-share",(Database!$AL229&lt;&gt;"")),AND(Screener!$B$17="Without A-share",NOT((Database!$AL229&lt;&gt;"")))),1,0)=0),-999999,IF(Screener!$B$15="cornerstone overlap first",H229*100000,0)+W_SUB*B229+W_SEC*C229*(1-B229)+W_SIZE*D229+W_PROF*E229+W_AH*F229+W_REC*G229+W_CS*H229)+ROW()/1000000</f>
        <v/>
      </c>
      <c r="K229">
        <f>Database!B221</f>
        <v/>
      </c>
      <c r="L229">
        <f>Database!D221</f>
        <v/>
      </c>
      <c r="M229">
        <f>Database!E221</f>
        <v/>
      </c>
      <c r="N229">
        <f>Database!H221</f>
        <v/>
      </c>
      <c r="O229">
        <f>Database!AH221</f>
        <v/>
      </c>
      <c r="P229">
        <f>Database!AK221</f>
        <v/>
      </c>
      <c r="Q229">
        <f>Database!G221</f>
        <v/>
      </c>
    </row>
    <row r="230">
      <c r="A230">
        <f>Database!B230</f>
        <v/>
      </c>
      <c r="B230">
        <f>IF(AND(Screener!$D$9&lt;&gt;"",Database!$E230=Screener!$D$9),1,0)</f>
        <v/>
      </c>
      <c r="C230">
        <f>IF(AND(Screener!$D$8&lt;&gt;"",Database!$D230=Screener!$D$8),1,0)</f>
        <v/>
      </c>
      <c r="D230">
        <f>IF(OR(Database!$H230="",N(Screener!$D$10)&lt;=0),0,MAX(0,1-ABS(LOG10(Database!$H230/Screener!$D$10))/W_SIZEHW))</f>
        <v/>
      </c>
      <c r="E230">
        <f>IF(OR(Database!$AH230="",Screener!$D$11=""),0,IF(Database!$AH230=Screener!$D$11,1,0))</f>
        <v/>
      </c>
      <c r="F230">
        <f>IF(OR(Database!$AK230="",Screener!$D$12=""),0,IF(Database!$AK230=Screener!$D$12,1,0))</f>
        <v/>
      </c>
      <c r="G230">
        <f>IF(OR(Database!$G230="",N(Screener!$D$13)&lt;=0),0,MAX(0,1-(N(Screener!$D$13)-Database!$G230)/W_RECD))</f>
        <v/>
      </c>
      <c r="H230">
        <f>IF($K$1="",0,N(ISNUMBER(SEARCH($K$1,Database!$T230&amp;""))))+IF($L$1="",0,N(ISNUMBER(SEARCH($L$1,Database!$T230&amp;""))))+IF($M$1="",0,N(ISNUMBER(SEARCH($M$1,Database!$T230&amp;""))))+IF($N$1="",0,N(ISNUMBER(SEARCH($N$1,Database!$T230&amp;""))))+IF($O$1="",0,N(ISNUMBER(SEARCH($O$1,Database!$T230&amp;""))))+IF(Screener!$B$14="",0,N(ISNUMBER(SEARCH(Screener!$B$14,Database!$T230&amp;""))))</f>
        <v/>
      </c>
      <c r="I230">
        <f>IF(OR(Database!$B230=Screener!$B$5,IF(OR(Screener!$B$17="All",AND(Screener!$B$17="With A-share",(Database!$AL230&lt;&gt;"")),AND(Screener!$B$17="Without A-share",NOT((Database!$AL230&lt;&gt;"")))),1,0)=0),-999999,IF(Screener!$B$15="cornerstone overlap first",H230*100000,0)+W_SUB*B230+W_SEC*C230*(1-B230)+W_SIZE*D230+W_PROF*E230+W_AH*F230+W_REC*G230+W_CS*H230)+ROW()/1000000</f>
        <v/>
      </c>
      <c r="K230">
        <f>Database!B222</f>
        <v/>
      </c>
      <c r="L230">
        <f>Database!D222</f>
        <v/>
      </c>
      <c r="M230">
        <f>Database!E222</f>
        <v/>
      </c>
      <c r="N230">
        <f>Database!H222</f>
        <v/>
      </c>
      <c r="O230">
        <f>Database!AH222</f>
        <v/>
      </c>
      <c r="P230">
        <f>Database!AK222</f>
        <v/>
      </c>
      <c r="Q230">
        <f>Database!G222</f>
        <v/>
      </c>
    </row>
    <row r="231">
      <c r="A231">
        <f>Database!B231</f>
        <v/>
      </c>
      <c r="B231">
        <f>IF(AND(Screener!$D$9&lt;&gt;"",Database!$E231=Screener!$D$9),1,0)</f>
        <v/>
      </c>
      <c r="C231">
        <f>IF(AND(Screener!$D$8&lt;&gt;"",Database!$D231=Screener!$D$8),1,0)</f>
        <v/>
      </c>
      <c r="D231">
        <f>IF(OR(Database!$H231="",N(Screener!$D$10)&lt;=0),0,MAX(0,1-ABS(LOG10(Database!$H231/Screener!$D$10))/W_SIZEHW))</f>
        <v/>
      </c>
      <c r="E231">
        <f>IF(OR(Database!$AH231="",Screener!$D$11=""),0,IF(Database!$AH231=Screener!$D$11,1,0))</f>
        <v/>
      </c>
      <c r="F231">
        <f>IF(OR(Database!$AK231="",Screener!$D$12=""),0,IF(Database!$AK231=Screener!$D$12,1,0))</f>
        <v/>
      </c>
      <c r="G231">
        <f>IF(OR(Database!$G231="",N(Screener!$D$13)&lt;=0),0,MAX(0,1-(N(Screener!$D$13)-Database!$G231)/W_RECD))</f>
        <v/>
      </c>
      <c r="H231">
        <f>IF($K$1="",0,N(ISNUMBER(SEARCH($K$1,Database!$T231&amp;""))))+IF($L$1="",0,N(ISNUMBER(SEARCH($L$1,Database!$T231&amp;""))))+IF($M$1="",0,N(ISNUMBER(SEARCH($M$1,Database!$T231&amp;""))))+IF($N$1="",0,N(ISNUMBER(SEARCH($N$1,Database!$T231&amp;""))))+IF($O$1="",0,N(ISNUMBER(SEARCH($O$1,Database!$T231&amp;""))))+IF(Screener!$B$14="",0,N(ISNUMBER(SEARCH(Screener!$B$14,Database!$T231&amp;""))))</f>
        <v/>
      </c>
      <c r="I231">
        <f>IF(OR(Database!$B231=Screener!$B$5,IF(OR(Screener!$B$17="All",AND(Screener!$B$17="With A-share",(Database!$AL231&lt;&gt;"")),AND(Screener!$B$17="Without A-share",NOT((Database!$AL231&lt;&gt;"")))),1,0)=0),-999999,IF(Screener!$B$15="cornerstone overlap first",H231*100000,0)+W_SUB*B231+W_SEC*C231*(1-B231)+W_SIZE*D231+W_PROF*E231+W_AH*F231+W_REC*G231+W_CS*H231)+ROW()/1000000</f>
        <v/>
      </c>
      <c r="K231">
        <f>Database!B223</f>
        <v/>
      </c>
      <c r="L231">
        <f>Database!D223</f>
        <v/>
      </c>
      <c r="M231">
        <f>Database!E223</f>
        <v/>
      </c>
      <c r="N231">
        <f>Database!H223</f>
        <v/>
      </c>
      <c r="O231">
        <f>Database!AH223</f>
        <v/>
      </c>
      <c r="P231">
        <f>Database!AK223</f>
        <v/>
      </c>
      <c r="Q231">
        <f>Database!G223</f>
        <v/>
      </c>
    </row>
    <row r="232">
      <c r="A232">
        <f>Database!B232</f>
        <v/>
      </c>
      <c r="B232">
        <f>IF(AND(Screener!$D$9&lt;&gt;"",Database!$E232=Screener!$D$9),1,0)</f>
        <v/>
      </c>
      <c r="C232">
        <f>IF(AND(Screener!$D$8&lt;&gt;"",Database!$D232=Screener!$D$8),1,0)</f>
        <v/>
      </c>
      <c r="D232">
        <f>IF(OR(Database!$H232="",N(Screener!$D$10)&lt;=0),0,MAX(0,1-ABS(LOG10(Database!$H232/Screener!$D$10))/W_SIZEHW))</f>
        <v/>
      </c>
      <c r="E232">
        <f>IF(OR(Database!$AH232="",Screener!$D$11=""),0,IF(Database!$AH232=Screener!$D$11,1,0))</f>
        <v/>
      </c>
      <c r="F232">
        <f>IF(OR(Database!$AK232="",Screener!$D$12=""),0,IF(Database!$AK232=Screener!$D$12,1,0))</f>
        <v/>
      </c>
      <c r="G232">
        <f>IF(OR(Database!$G232="",N(Screener!$D$13)&lt;=0),0,MAX(0,1-(N(Screener!$D$13)-Database!$G232)/W_RECD))</f>
        <v/>
      </c>
      <c r="H232">
        <f>IF($K$1="",0,N(ISNUMBER(SEARCH($K$1,Database!$T232&amp;""))))+IF($L$1="",0,N(ISNUMBER(SEARCH($L$1,Database!$T232&amp;""))))+IF($M$1="",0,N(ISNUMBER(SEARCH($M$1,Database!$T232&amp;""))))+IF($N$1="",0,N(ISNUMBER(SEARCH($N$1,Database!$T232&amp;""))))+IF($O$1="",0,N(ISNUMBER(SEARCH($O$1,Database!$T232&amp;""))))+IF(Screener!$B$14="",0,N(ISNUMBER(SEARCH(Screener!$B$14,Database!$T232&amp;""))))</f>
        <v/>
      </c>
      <c r="I232">
        <f>IF(OR(Database!$B232=Screener!$B$5,IF(OR(Screener!$B$17="All",AND(Screener!$B$17="With A-share",(Database!$AL232&lt;&gt;"")),AND(Screener!$B$17="Without A-share",NOT((Database!$AL232&lt;&gt;"")))),1,0)=0),-999999,IF(Screener!$B$15="cornerstone overlap first",H232*100000,0)+W_SUB*B232+W_SEC*C232*(1-B232)+W_SIZE*D232+W_PROF*E232+W_AH*F232+W_REC*G232+W_CS*H232)+ROW()/1000000</f>
        <v/>
      </c>
      <c r="K232">
        <f>Database!B224</f>
        <v/>
      </c>
      <c r="L232">
        <f>Database!D224</f>
        <v/>
      </c>
      <c r="M232">
        <f>Database!E224</f>
        <v/>
      </c>
      <c r="N232">
        <f>Database!H224</f>
        <v/>
      </c>
      <c r="O232">
        <f>Database!AH224</f>
        <v/>
      </c>
      <c r="P232">
        <f>Database!AK224</f>
        <v/>
      </c>
      <c r="Q232">
        <f>Database!G224</f>
        <v/>
      </c>
    </row>
    <row r="233">
      <c r="A233">
        <f>Database!B233</f>
        <v/>
      </c>
      <c r="B233">
        <f>IF(AND(Screener!$D$9&lt;&gt;"",Database!$E233=Screener!$D$9),1,0)</f>
        <v/>
      </c>
      <c r="C233">
        <f>IF(AND(Screener!$D$8&lt;&gt;"",Database!$D233=Screener!$D$8),1,0)</f>
        <v/>
      </c>
      <c r="D233">
        <f>IF(OR(Database!$H233="",N(Screener!$D$10)&lt;=0),0,MAX(0,1-ABS(LOG10(Database!$H233/Screener!$D$10))/W_SIZEHW))</f>
        <v/>
      </c>
      <c r="E233">
        <f>IF(OR(Database!$AH233="",Screener!$D$11=""),0,IF(Database!$AH233=Screener!$D$11,1,0))</f>
        <v/>
      </c>
      <c r="F233">
        <f>IF(OR(Database!$AK233="",Screener!$D$12=""),0,IF(Database!$AK233=Screener!$D$12,1,0))</f>
        <v/>
      </c>
      <c r="G233">
        <f>IF(OR(Database!$G233="",N(Screener!$D$13)&lt;=0),0,MAX(0,1-(N(Screener!$D$13)-Database!$G233)/W_RECD))</f>
        <v/>
      </c>
      <c r="H233">
        <f>IF($K$1="",0,N(ISNUMBER(SEARCH($K$1,Database!$T233&amp;""))))+IF($L$1="",0,N(ISNUMBER(SEARCH($L$1,Database!$T233&amp;""))))+IF($M$1="",0,N(ISNUMBER(SEARCH($M$1,Database!$T233&amp;""))))+IF($N$1="",0,N(ISNUMBER(SEARCH($N$1,Database!$T233&amp;""))))+IF($O$1="",0,N(ISNUMBER(SEARCH($O$1,Database!$T233&amp;""))))+IF(Screener!$B$14="",0,N(ISNUMBER(SEARCH(Screener!$B$14,Database!$T233&amp;""))))</f>
        <v/>
      </c>
      <c r="I233">
        <f>IF(OR(Database!$B233=Screener!$B$5,IF(OR(Screener!$B$17="All",AND(Screener!$B$17="With A-share",(Database!$AL233&lt;&gt;"")),AND(Screener!$B$17="Without A-share",NOT((Database!$AL233&lt;&gt;"")))),1,0)=0),-999999,IF(Screener!$B$15="cornerstone overlap first",H233*100000,0)+W_SUB*B233+W_SEC*C233*(1-B233)+W_SIZE*D233+W_PROF*E233+W_AH*F233+W_REC*G233+W_CS*H233)+ROW()/1000000</f>
        <v/>
      </c>
      <c r="K233">
        <f>Database!B225</f>
        <v/>
      </c>
      <c r="L233">
        <f>Database!D225</f>
        <v/>
      </c>
      <c r="M233">
        <f>Database!E225</f>
        <v/>
      </c>
      <c r="N233">
        <f>Database!H225</f>
        <v/>
      </c>
      <c r="O233">
        <f>Database!AH225</f>
        <v/>
      </c>
      <c r="P233">
        <f>Database!AK225</f>
        <v/>
      </c>
      <c r="Q233">
        <f>Database!G225</f>
        <v/>
      </c>
    </row>
    <row r="234">
      <c r="A234">
        <f>Database!B234</f>
        <v/>
      </c>
      <c r="B234">
        <f>IF(AND(Screener!$D$9&lt;&gt;"",Database!$E234=Screener!$D$9),1,0)</f>
        <v/>
      </c>
      <c r="C234">
        <f>IF(AND(Screener!$D$8&lt;&gt;"",Database!$D234=Screener!$D$8),1,0)</f>
        <v/>
      </c>
      <c r="D234">
        <f>IF(OR(Database!$H234="",N(Screener!$D$10)&lt;=0),0,MAX(0,1-ABS(LOG10(Database!$H234/Screener!$D$10))/W_SIZEHW))</f>
        <v/>
      </c>
      <c r="E234">
        <f>IF(OR(Database!$AH234="",Screener!$D$11=""),0,IF(Database!$AH234=Screener!$D$11,1,0))</f>
        <v/>
      </c>
      <c r="F234">
        <f>IF(OR(Database!$AK234="",Screener!$D$12=""),0,IF(Database!$AK234=Screener!$D$12,1,0))</f>
        <v/>
      </c>
      <c r="G234">
        <f>IF(OR(Database!$G234="",N(Screener!$D$13)&lt;=0),0,MAX(0,1-(N(Screener!$D$13)-Database!$G234)/W_RECD))</f>
        <v/>
      </c>
      <c r="H234">
        <f>IF($K$1="",0,N(ISNUMBER(SEARCH($K$1,Database!$T234&amp;""))))+IF($L$1="",0,N(ISNUMBER(SEARCH($L$1,Database!$T234&amp;""))))+IF($M$1="",0,N(ISNUMBER(SEARCH($M$1,Database!$T234&amp;""))))+IF($N$1="",0,N(ISNUMBER(SEARCH($N$1,Database!$T234&amp;""))))+IF($O$1="",0,N(ISNUMBER(SEARCH($O$1,Database!$T234&amp;""))))+IF(Screener!$B$14="",0,N(ISNUMBER(SEARCH(Screener!$B$14,Database!$T234&amp;""))))</f>
        <v/>
      </c>
      <c r="I234">
        <f>IF(OR(Database!$B234=Screener!$B$5,IF(OR(Screener!$B$17="All",AND(Screener!$B$17="With A-share",(Database!$AL234&lt;&gt;"")),AND(Screener!$B$17="Without A-share",NOT((Database!$AL234&lt;&gt;"")))),1,0)=0),-999999,IF(Screener!$B$15="cornerstone overlap first",H234*100000,0)+W_SUB*B234+W_SEC*C234*(1-B234)+W_SIZE*D234+W_PROF*E234+W_AH*F234+W_REC*G234+W_CS*H234)+ROW()/1000000</f>
        <v/>
      </c>
      <c r="K234">
        <f>Database!B226</f>
        <v/>
      </c>
      <c r="L234">
        <f>Database!D226</f>
        <v/>
      </c>
      <c r="M234">
        <f>Database!E226</f>
        <v/>
      </c>
      <c r="N234">
        <f>Database!H226</f>
        <v/>
      </c>
      <c r="O234">
        <f>Database!AH226</f>
        <v/>
      </c>
      <c r="P234">
        <f>Database!AK226</f>
        <v/>
      </c>
      <c r="Q234">
        <f>Database!G226</f>
        <v/>
      </c>
    </row>
    <row r="235">
      <c r="A235">
        <f>Database!B235</f>
        <v/>
      </c>
      <c r="B235">
        <f>IF(AND(Screener!$D$9&lt;&gt;"",Database!$E235=Screener!$D$9),1,0)</f>
        <v/>
      </c>
      <c r="C235">
        <f>IF(AND(Screener!$D$8&lt;&gt;"",Database!$D235=Screener!$D$8),1,0)</f>
        <v/>
      </c>
      <c r="D235">
        <f>IF(OR(Database!$H235="",N(Screener!$D$10)&lt;=0),0,MAX(0,1-ABS(LOG10(Database!$H235/Screener!$D$10))/W_SIZEHW))</f>
        <v/>
      </c>
      <c r="E235">
        <f>IF(OR(Database!$AH235="",Screener!$D$11=""),0,IF(Database!$AH235=Screener!$D$11,1,0))</f>
        <v/>
      </c>
      <c r="F235">
        <f>IF(OR(Database!$AK235="",Screener!$D$12=""),0,IF(Database!$AK235=Screener!$D$12,1,0))</f>
        <v/>
      </c>
      <c r="G235">
        <f>IF(OR(Database!$G235="",N(Screener!$D$13)&lt;=0),0,MAX(0,1-(N(Screener!$D$13)-Database!$G235)/W_RECD))</f>
        <v/>
      </c>
      <c r="H235">
        <f>IF($K$1="",0,N(ISNUMBER(SEARCH($K$1,Database!$T235&amp;""))))+IF($L$1="",0,N(ISNUMBER(SEARCH($L$1,Database!$T235&amp;""))))+IF($M$1="",0,N(ISNUMBER(SEARCH($M$1,Database!$T235&amp;""))))+IF($N$1="",0,N(ISNUMBER(SEARCH($N$1,Database!$T235&amp;""))))+IF($O$1="",0,N(ISNUMBER(SEARCH($O$1,Database!$T235&amp;""))))+IF(Screener!$B$14="",0,N(ISNUMBER(SEARCH(Screener!$B$14,Database!$T235&amp;""))))</f>
        <v/>
      </c>
      <c r="I235">
        <f>IF(OR(Database!$B235=Screener!$B$5,IF(OR(Screener!$B$17="All",AND(Screener!$B$17="With A-share",(Database!$AL235&lt;&gt;"")),AND(Screener!$B$17="Without A-share",NOT((Database!$AL235&lt;&gt;"")))),1,0)=0),-999999,IF(Screener!$B$15="cornerstone overlap first",H235*100000,0)+W_SUB*B235+W_SEC*C235*(1-B235)+W_SIZE*D235+W_PROF*E235+W_AH*F235+W_REC*G235+W_CS*H235)+ROW()/1000000</f>
        <v/>
      </c>
      <c r="K235">
        <f>Database!B227</f>
        <v/>
      </c>
      <c r="L235">
        <f>Database!D227</f>
        <v/>
      </c>
      <c r="M235">
        <f>Database!E227</f>
        <v/>
      </c>
      <c r="N235">
        <f>Database!H227</f>
        <v/>
      </c>
      <c r="O235">
        <f>Database!AH227</f>
        <v/>
      </c>
      <c r="P235">
        <f>Database!AK227</f>
        <v/>
      </c>
      <c r="Q235">
        <f>Database!G227</f>
        <v/>
      </c>
    </row>
    <row r="236">
      <c r="A236">
        <f>Database!B236</f>
        <v/>
      </c>
      <c r="B236">
        <f>IF(AND(Screener!$D$9&lt;&gt;"",Database!$E236=Screener!$D$9),1,0)</f>
        <v/>
      </c>
      <c r="C236">
        <f>IF(AND(Screener!$D$8&lt;&gt;"",Database!$D236=Screener!$D$8),1,0)</f>
        <v/>
      </c>
      <c r="D236">
        <f>IF(OR(Database!$H236="",N(Screener!$D$10)&lt;=0),0,MAX(0,1-ABS(LOG10(Database!$H236/Screener!$D$10))/W_SIZEHW))</f>
        <v/>
      </c>
      <c r="E236">
        <f>IF(OR(Database!$AH236="",Screener!$D$11=""),0,IF(Database!$AH236=Screener!$D$11,1,0))</f>
        <v/>
      </c>
      <c r="F236">
        <f>IF(OR(Database!$AK236="",Screener!$D$12=""),0,IF(Database!$AK236=Screener!$D$12,1,0))</f>
        <v/>
      </c>
      <c r="G236">
        <f>IF(OR(Database!$G236="",N(Screener!$D$13)&lt;=0),0,MAX(0,1-(N(Screener!$D$13)-Database!$G236)/W_RECD))</f>
        <v/>
      </c>
      <c r="H236">
        <f>IF($K$1="",0,N(ISNUMBER(SEARCH($K$1,Database!$T236&amp;""))))+IF($L$1="",0,N(ISNUMBER(SEARCH($L$1,Database!$T236&amp;""))))+IF($M$1="",0,N(ISNUMBER(SEARCH($M$1,Database!$T236&amp;""))))+IF($N$1="",0,N(ISNUMBER(SEARCH($N$1,Database!$T236&amp;""))))+IF($O$1="",0,N(ISNUMBER(SEARCH($O$1,Database!$T236&amp;""))))+IF(Screener!$B$14="",0,N(ISNUMBER(SEARCH(Screener!$B$14,Database!$T236&amp;""))))</f>
        <v/>
      </c>
      <c r="I236">
        <f>IF(OR(Database!$B236=Screener!$B$5,IF(OR(Screener!$B$17="All",AND(Screener!$B$17="With A-share",(Database!$AL236&lt;&gt;"")),AND(Screener!$B$17="Without A-share",NOT((Database!$AL236&lt;&gt;"")))),1,0)=0),-999999,IF(Screener!$B$15="cornerstone overlap first",H236*100000,0)+W_SUB*B236+W_SEC*C236*(1-B236)+W_SIZE*D236+W_PROF*E236+W_AH*F236+W_REC*G236+W_CS*H236)+ROW()/1000000</f>
        <v/>
      </c>
      <c r="K236">
        <f>Database!B228</f>
        <v/>
      </c>
      <c r="L236">
        <f>Database!D228</f>
        <v/>
      </c>
      <c r="M236">
        <f>Database!E228</f>
        <v/>
      </c>
      <c r="N236">
        <f>Database!H228</f>
        <v/>
      </c>
      <c r="O236">
        <f>Database!AH228</f>
        <v/>
      </c>
      <c r="P236">
        <f>Database!AK228</f>
        <v/>
      </c>
      <c r="Q236">
        <f>Database!G228</f>
        <v/>
      </c>
    </row>
    <row r="237">
      <c r="A237">
        <f>Database!B237</f>
        <v/>
      </c>
      <c r="B237">
        <f>IF(AND(Screener!$D$9&lt;&gt;"",Database!$E237=Screener!$D$9),1,0)</f>
        <v/>
      </c>
      <c r="C237">
        <f>IF(AND(Screener!$D$8&lt;&gt;"",Database!$D237=Screener!$D$8),1,0)</f>
        <v/>
      </c>
      <c r="D237">
        <f>IF(OR(Database!$H237="",N(Screener!$D$10)&lt;=0),0,MAX(0,1-ABS(LOG10(Database!$H237/Screener!$D$10))/W_SIZEHW))</f>
        <v/>
      </c>
      <c r="E237">
        <f>IF(OR(Database!$AH237="",Screener!$D$11=""),0,IF(Database!$AH237=Screener!$D$11,1,0))</f>
        <v/>
      </c>
      <c r="F237">
        <f>IF(OR(Database!$AK237="",Screener!$D$12=""),0,IF(Database!$AK237=Screener!$D$12,1,0))</f>
        <v/>
      </c>
      <c r="G237">
        <f>IF(OR(Database!$G237="",N(Screener!$D$13)&lt;=0),0,MAX(0,1-(N(Screener!$D$13)-Database!$G237)/W_RECD))</f>
        <v/>
      </c>
      <c r="H237">
        <f>IF($K$1="",0,N(ISNUMBER(SEARCH($K$1,Database!$T237&amp;""))))+IF($L$1="",0,N(ISNUMBER(SEARCH($L$1,Database!$T237&amp;""))))+IF($M$1="",0,N(ISNUMBER(SEARCH($M$1,Database!$T237&amp;""))))+IF($N$1="",0,N(ISNUMBER(SEARCH($N$1,Database!$T237&amp;""))))+IF($O$1="",0,N(ISNUMBER(SEARCH($O$1,Database!$T237&amp;""))))+IF(Screener!$B$14="",0,N(ISNUMBER(SEARCH(Screener!$B$14,Database!$T237&amp;""))))</f>
        <v/>
      </c>
      <c r="I237">
        <f>IF(OR(Database!$B237=Screener!$B$5,IF(OR(Screener!$B$17="All",AND(Screener!$B$17="With A-share",(Database!$AL237&lt;&gt;"")),AND(Screener!$B$17="Without A-share",NOT((Database!$AL237&lt;&gt;"")))),1,0)=0),-999999,IF(Screener!$B$15="cornerstone overlap first",H237*100000,0)+W_SUB*B237+W_SEC*C237*(1-B237)+W_SIZE*D237+W_PROF*E237+W_AH*F237+W_REC*G237+W_CS*H237)+ROW()/1000000</f>
        <v/>
      </c>
      <c r="K237">
        <f>Database!B229</f>
        <v/>
      </c>
      <c r="L237">
        <f>Database!D229</f>
        <v/>
      </c>
      <c r="M237">
        <f>Database!E229</f>
        <v/>
      </c>
      <c r="N237">
        <f>Database!H229</f>
        <v/>
      </c>
      <c r="O237">
        <f>Database!AH229</f>
        <v/>
      </c>
      <c r="P237">
        <f>Database!AK229</f>
        <v/>
      </c>
      <c r="Q237">
        <f>Database!G229</f>
        <v/>
      </c>
    </row>
    <row r="238">
      <c r="A238">
        <f>Database!B238</f>
        <v/>
      </c>
      <c r="B238">
        <f>IF(AND(Screener!$D$9&lt;&gt;"",Database!$E238=Screener!$D$9),1,0)</f>
        <v/>
      </c>
      <c r="C238">
        <f>IF(AND(Screener!$D$8&lt;&gt;"",Database!$D238=Screener!$D$8),1,0)</f>
        <v/>
      </c>
      <c r="D238">
        <f>IF(OR(Database!$H238="",N(Screener!$D$10)&lt;=0),0,MAX(0,1-ABS(LOG10(Database!$H238/Screener!$D$10))/W_SIZEHW))</f>
        <v/>
      </c>
      <c r="E238">
        <f>IF(OR(Database!$AH238="",Screener!$D$11=""),0,IF(Database!$AH238=Screener!$D$11,1,0))</f>
        <v/>
      </c>
      <c r="F238">
        <f>IF(OR(Database!$AK238="",Screener!$D$12=""),0,IF(Database!$AK238=Screener!$D$12,1,0))</f>
        <v/>
      </c>
      <c r="G238">
        <f>IF(OR(Database!$G238="",N(Screener!$D$13)&lt;=0),0,MAX(0,1-(N(Screener!$D$13)-Database!$G238)/W_RECD))</f>
        <v/>
      </c>
      <c r="H238">
        <f>IF($K$1="",0,N(ISNUMBER(SEARCH($K$1,Database!$T238&amp;""))))+IF($L$1="",0,N(ISNUMBER(SEARCH($L$1,Database!$T238&amp;""))))+IF($M$1="",0,N(ISNUMBER(SEARCH($M$1,Database!$T238&amp;""))))+IF($N$1="",0,N(ISNUMBER(SEARCH($N$1,Database!$T238&amp;""))))+IF($O$1="",0,N(ISNUMBER(SEARCH($O$1,Database!$T238&amp;""))))+IF(Screener!$B$14="",0,N(ISNUMBER(SEARCH(Screener!$B$14,Database!$T238&amp;""))))</f>
        <v/>
      </c>
      <c r="I238">
        <f>IF(OR(Database!$B238=Screener!$B$5,IF(OR(Screener!$B$17="All",AND(Screener!$B$17="With A-share",(Database!$AL238&lt;&gt;"")),AND(Screener!$B$17="Without A-share",NOT((Database!$AL238&lt;&gt;"")))),1,0)=0),-999999,IF(Screener!$B$15="cornerstone overlap first",H238*100000,0)+W_SUB*B238+W_SEC*C238*(1-B238)+W_SIZE*D238+W_PROF*E238+W_AH*F238+W_REC*G238+W_CS*H238)+ROW()/1000000</f>
        <v/>
      </c>
      <c r="K238">
        <f>Database!B230</f>
        <v/>
      </c>
      <c r="L238">
        <f>Database!D230</f>
        <v/>
      </c>
      <c r="M238">
        <f>Database!E230</f>
        <v/>
      </c>
      <c r="N238">
        <f>Database!H230</f>
        <v/>
      </c>
      <c r="O238">
        <f>Database!AH230</f>
        <v/>
      </c>
      <c r="P238">
        <f>Database!AK230</f>
        <v/>
      </c>
      <c r="Q238">
        <f>Database!G230</f>
        <v/>
      </c>
    </row>
    <row r="239">
      <c r="A239">
        <f>Database!B239</f>
        <v/>
      </c>
      <c r="B239">
        <f>IF(AND(Screener!$D$9&lt;&gt;"",Database!$E239=Screener!$D$9),1,0)</f>
        <v/>
      </c>
      <c r="C239">
        <f>IF(AND(Screener!$D$8&lt;&gt;"",Database!$D239=Screener!$D$8),1,0)</f>
        <v/>
      </c>
      <c r="D239">
        <f>IF(OR(Database!$H239="",N(Screener!$D$10)&lt;=0),0,MAX(0,1-ABS(LOG10(Database!$H239/Screener!$D$10))/W_SIZEHW))</f>
        <v/>
      </c>
      <c r="E239">
        <f>IF(OR(Database!$AH239="",Screener!$D$11=""),0,IF(Database!$AH239=Screener!$D$11,1,0))</f>
        <v/>
      </c>
      <c r="F239">
        <f>IF(OR(Database!$AK239="",Screener!$D$12=""),0,IF(Database!$AK239=Screener!$D$12,1,0))</f>
        <v/>
      </c>
      <c r="G239">
        <f>IF(OR(Database!$G239="",N(Screener!$D$13)&lt;=0),0,MAX(0,1-(N(Screener!$D$13)-Database!$G239)/W_RECD))</f>
        <v/>
      </c>
      <c r="H239">
        <f>IF($K$1="",0,N(ISNUMBER(SEARCH($K$1,Database!$T239&amp;""))))+IF($L$1="",0,N(ISNUMBER(SEARCH($L$1,Database!$T239&amp;""))))+IF($M$1="",0,N(ISNUMBER(SEARCH($M$1,Database!$T239&amp;""))))+IF($N$1="",0,N(ISNUMBER(SEARCH($N$1,Database!$T239&amp;""))))+IF($O$1="",0,N(ISNUMBER(SEARCH($O$1,Database!$T239&amp;""))))+IF(Screener!$B$14="",0,N(ISNUMBER(SEARCH(Screener!$B$14,Database!$T239&amp;""))))</f>
        <v/>
      </c>
      <c r="I239">
        <f>IF(OR(Database!$B239=Screener!$B$5,IF(OR(Screener!$B$17="All",AND(Screener!$B$17="With A-share",(Database!$AL239&lt;&gt;"")),AND(Screener!$B$17="Without A-share",NOT((Database!$AL239&lt;&gt;"")))),1,0)=0),-999999,IF(Screener!$B$15="cornerstone overlap first",H239*100000,0)+W_SUB*B239+W_SEC*C239*(1-B239)+W_SIZE*D239+W_PROF*E239+W_AH*F239+W_REC*G239+W_CS*H239)+ROW()/1000000</f>
        <v/>
      </c>
      <c r="K239">
        <f>Database!B231</f>
        <v/>
      </c>
      <c r="L239">
        <f>Database!D231</f>
        <v/>
      </c>
      <c r="M239">
        <f>Database!E231</f>
        <v/>
      </c>
      <c r="N239">
        <f>Database!H231</f>
        <v/>
      </c>
      <c r="O239">
        <f>Database!AH231</f>
        <v/>
      </c>
      <c r="P239">
        <f>Database!AK231</f>
        <v/>
      </c>
      <c r="Q239">
        <f>Database!G231</f>
        <v/>
      </c>
    </row>
    <row r="240">
      <c r="A240">
        <f>Database!B240</f>
        <v/>
      </c>
      <c r="B240">
        <f>IF(AND(Screener!$D$9&lt;&gt;"",Database!$E240=Screener!$D$9),1,0)</f>
        <v/>
      </c>
      <c r="C240">
        <f>IF(AND(Screener!$D$8&lt;&gt;"",Database!$D240=Screener!$D$8),1,0)</f>
        <v/>
      </c>
      <c r="D240">
        <f>IF(OR(Database!$H240="",N(Screener!$D$10)&lt;=0),0,MAX(0,1-ABS(LOG10(Database!$H240/Screener!$D$10))/W_SIZEHW))</f>
        <v/>
      </c>
      <c r="E240">
        <f>IF(OR(Database!$AH240="",Screener!$D$11=""),0,IF(Database!$AH240=Screener!$D$11,1,0))</f>
        <v/>
      </c>
      <c r="F240">
        <f>IF(OR(Database!$AK240="",Screener!$D$12=""),0,IF(Database!$AK240=Screener!$D$12,1,0))</f>
        <v/>
      </c>
      <c r="G240">
        <f>IF(OR(Database!$G240="",N(Screener!$D$13)&lt;=0),0,MAX(0,1-(N(Screener!$D$13)-Database!$G240)/W_RECD))</f>
        <v/>
      </c>
      <c r="H240">
        <f>IF($K$1="",0,N(ISNUMBER(SEARCH($K$1,Database!$T240&amp;""))))+IF($L$1="",0,N(ISNUMBER(SEARCH($L$1,Database!$T240&amp;""))))+IF($M$1="",0,N(ISNUMBER(SEARCH($M$1,Database!$T240&amp;""))))+IF($N$1="",0,N(ISNUMBER(SEARCH($N$1,Database!$T240&amp;""))))+IF($O$1="",0,N(ISNUMBER(SEARCH($O$1,Database!$T240&amp;""))))+IF(Screener!$B$14="",0,N(ISNUMBER(SEARCH(Screener!$B$14,Database!$T240&amp;""))))</f>
        <v/>
      </c>
      <c r="I240">
        <f>IF(OR(Database!$B240=Screener!$B$5,IF(OR(Screener!$B$17="All",AND(Screener!$B$17="With A-share",(Database!$AL240&lt;&gt;"")),AND(Screener!$B$17="Without A-share",NOT((Database!$AL240&lt;&gt;"")))),1,0)=0),-999999,IF(Screener!$B$15="cornerstone overlap first",H240*100000,0)+W_SUB*B240+W_SEC*C240*(1-B240)+W_SIZE*D240+W_PROF*E240+W_AH*F240+W_REC*G240+W_CS*H240)+ROW()/1000000</f>
        <v/>
      </c>
      <c r="K240">
        <f>Database!B232</f>
        <v/>
      </c>
      <c r="L240">
        <f>Database!D232</f>
        <v/>
      </c>
      <c r="M240">
        <f>Database!E232</f>
        <v/>
      </c>
      <c r="N240">
        <f>Database!H232</f>
        <v/>
      </c>
      <c r="O240">
        <f>Database!AH232</f>
        <v/>
      </c>
      <c r="P240">
        <f>Database!AK232</f>
        <v/>
      </c>
      <c r="Q240">
        <f>Database!G232</f>
        <v/>
      </c>
    </row>
    <row r="241">
      <c r="A241">
        <f>Database!B241</f>
        <v/>
      </c>
      <c r="B241">
        <f>IF(AND(Screener!$D$9&lt;&gt;"",Database!$E241=Screener!$D$9),1,0)</f>
        <v/>
      </c>
      <c r="C241">
        <f>IF(AND(Screener!$D$8&lt;&gt;"",Database!$D241=Screener!$D$8),1,0)</f>
        <v/>
      </c>
      <c r="D241">
        <f>IF(OR(Database!$H241="",N(Screener!$D$10)&lt;=0),0,MAX(0,1-ABS(LOG10(Database!$H241/Screener!$D$10))/W_SIZEHW))</f>
        <v/>
      </c>
      <c r="E241">
        <f>IF(OR(Database!$AH241="",Screener!$D$11=""),0,IF(Database!$AH241=Screener!$D$11,1,0))</f>
        <v/>
      </c>
      <c r="F241">
        <f>IF(OR(Database!$AK241="",Screener!$D$12=""),0,IF(Database!$AK241=Screener!$D$12,1,0))</f>
        <v/>
      </c>
      <c r="G241">
        <f>IF(OR(Database!$G241="",N(Screener!$D$13)&lt;=0),0,MAX(0,1-(N(Screener!$D$13)-Database!$G241)/W_RECD))</f>
        <v/>
      </c>
      <c r="H241">
        <f>IF($K$1="",0,N(ISNUMBER(SEARCH($K$1,Database!$T241&amp;""))))+IF($L$1="",0,N(ISNUMBER(SEARCH($L$1,Database!$T241&amp;""))))+IF($M$1="",0,N(ISNUMBER(SEARCH($M$1,Database!$T241&amp;""))))+IF($N$1="",0,N(ISNUMBER(SEARCH($N$1,Database!$T241&amp;""))))+IF($O$1="",0,N(ISNUMBER(SEARCH($O$1,Database!$T241&amp;""))))+IF(Screener!$B$14="",0,N(ISNUMBER(SEARCH(Screener!$B$14,Database!$T241&amp;""))))</f>
        <v/>
      </c>
      <c r="I241">
        <f>IF(OR(Database!$B241=Screener!$B$5,IF(OR(Screener!$B$17="All",AND(Screener!$B$17="With A-share",(Database!$AL241&lt;&gt;"")),AND(Screener!$B$17="Without A-share",NOT((Database!$AL241&lt;&gt;"")))),1,0)=0),-999999,IF(Screener!$B$15="cornerstone overlap first",H241*100000,0)+W_SUB*B241+W_SEC*C241*(1-B241)+W_SIZE*D241+W_PROF*E241+W_AH*F241+W_REC*G241+W_CS*H241)+ROW()/1000000</f>
        <v/>
      </c>
      <c r="K241">
        <f>Database!B233</f>
        <v/>
      </c>
      <c r="L241">
        <f>Database!D233</f>
        <v/>
      </c>
      <c r="M241">
        <f>Database!E233</f>
        <v/>
      </c>
      <c r="N241">
        <f>Database!H233</f>
        <v/>
      </c>
      <c r="O241">
        <f>Database!AH233</f>
        <v/>
      </c>
      <c r="P241">
        <f>Database!AK233</f>
        <v/>
      </c>
      <c r="Q241">
        <f>Database!G233</f>
        <v/>
      </c>
    </row>
    <row r="242">
      <c r="A242">
        <f>Database!B242</f>
        <v/>
      </c>
      <c r="B242">
        <f>IF(AND(Screener!$D$9&lt;&gt;"",Database!$E242=Screener!$D$9),1,0)</f>
        <v/>
      </c>
      <c r="C242">
        <f>IF(AND(Screener!$D$8&lt;&gt;"",Database!$D242=Screener!$D$8),1,0)</f>
        <v/>
      </c>
      <c r="D242">
        <f>IF(OR(Database!$H242="",N(Screener!$D$10)&lt;=0),0,MAX(0,1-ABS(LOG10(Database!$H242/Screener!$D$10))/W_SIZEHW))</f>
        <v/>
      </c>
      <c r="E242">
        <f>IF(OR(Database!$AH242="",Screener!$D$11=""),0,IF(Database!$AH242=Screener!$D$11,1,0))</f>
        <v/>
      </c>
      <c r="F242">
        <f>IF(OR(Database!$AK242="",Screener!$D$12=""),0,IF(Database!$AK242=Screener!$D$12,1,0))</f>
        <v/>
      </c>
      <c r="G242">
        <f>IF(OR(Database!$G242="",N(Screener!$D$13)&lt;=0),0,MAX(0,1-(N(Screener!$D$13)-Database!$G242)/W_RECD))</f>
        <v/>
      </c>
      <c r="H242">
        <f>IF($K$1="",0,N(ISNUMBER(SEARCH($K$1,Database!$T242&amp;""))))+IF($L$1="",0,N(ISNUMBER(SEARCH($L$1,Database!$T242&amp;""))))+IF($M$1="",0,N(ISNUMBER(SEARCH($M$1,Database!$T242&amp;""))))+IF($N$1="",0,N(ISNUMBER(SEARCH($N$1,Database!$T242&amp;""))))+IF($O$1="",0,N(ISNUMBER(SEARCH($O$1,Database!$T242&amp;""))))+IF(Screener!$B$14="",0,N(ISNUMBER(SEARCH(Screener!$B$14,Database!$T242&amp;""))))</f>
        <v/>
      </c>
      <c r="I242">
        <f>IF(OR(Database!$B242=Screener!$B$5,IF(OR(Screener!$B$17="All",AND(Screener!$B$17="With A-share",(Database!$AL242&lt;&gt;"")),AND(Screener!$B$17="Without A-share",NOT((Database!$AL242&lt;&gt;"")))),1,0)=0),-999999,IF(Screener!$B$15="cornerstone overlap first",H242*100000,0)+W_SUB*B242+W_SEC*C242*(1-B242)+W_SIZE*D242+W_PROF*E242+W_AH*F242+W_REC*G242+W_CS*H242)+ROW()/1000000</f>
        <v/>
      </c>
      <c r="K242">
        <f>Database!B234</f>
        <v/>
      </c>
      <c r="L242">
        <f>Database!D234</f>
        <v/>
      </c>
      <c r="M242">
        <f>Database!E234</f>
        <v/>
      </c>
      <c r="N242">
        <f>Database!H234</f>
        <v/>
      </c>
      <c r="O242">
        <f>Database!AH234</f>
        <v/>
      </c>
      <c r="P242">
        <f>Database!AK234</f>
        <v/>
      </c>
      <c r="Q242">
        <f>Database!G234</f>
        <v/>
      </c>
    </row>
    <row r="243">
      <c r="A243">
        <f>Database!B243</f>
        <v/>
      </c>
      <c r="B243">
        <f>IF(AND(Screener!$D$9&lt;&gt;"",Database!$E243=Screener!$D$9),1,0)</f>
        <v/>
      </c>
      <c r="C243">
        <f>IF(AND(Screener!$D$8&lt;&gt;"",Database!$D243=Screener!$D$8),1,0)</f>
        <v/>
      </c>
      <c r="D243">
        <f>IF(OR(Database!$H243="",N(Screener!$D$10)&lt;=0),0,MAX(0,1-ABS(LOG10(Database!$H243/Screener!$D$10))/W_SIZEHW))</f>
        <v/>
      </c>
      <c r="E243">
        <f>IF(OR(Database!$AH243="",Screener!$D$11=""),0,IF(Database!$AH243=Screener!$D$11,1,0))</f>
        <v/>
      </c>
      <c r="F243">
        <f>IF(OR(Database!$AK243="",Screener!$D$12=""),0,IF(Database!$AK243=Screener!$D$12,1,0))</f>
        <v/>
      </c>
      <c r="G243">
        <f>IF(OR(Database!$G243="",N(Screener!$D$13)&lt;=0),0,MAX(0,1-(N(Screener!$D$13)-Database!$G243)/W_RECD))</f>
        <v/>
      </c>
      <c r="H243">
        <f>IF($K$1="",0,N(ISNUMBER(SEARCH($K$1,Database!$T243&amp;""))))+IF($L$1="",0,N(ISNUMBER(SEARCH($L$1,Database!$T243&amp;""))))+IF($M$1="",0,N(ISNUMBER(SEARCH($M$1,Database!$T243&amp;""))))+IF($N$1="",0,N(ISNUMBER(SEARCH($N$1,Database!$T243&amp;""))))+IF($O$1="",0,N(ISNUMBER(SEARCH($O$1,Database!$T243&amp;""))))+IF(Screener!$B$14="",0,N(ISNUMBER(SEARCH(Screener!$B$14,Database!$T243&amp;""))))</f>
        <v/>
      </c>
      <c r="I243">
        <f>IF(OR(Database!$B243=Screener!$B$5,IF(OR(Screener!$B$17="All",AND(Screener!$B$17="With A-share",(Database!$AL243&lt;&gt;"")),AND(Screener!$B$17="Without A-share",NOT((Database!$AL243&lt;&gt;"")))),1,0)=0),-999999,IF(Screener!$B$15="cornerstone overlap first",H243*100000,0)+W_SUB*B243+W_SEC*C243*(1-B243)+W_SIZE*D243+W_PROF*E243+W_AH*F243+W_REC*G243+W_CS*H243)+ROW()/1000000</f>
        <v/>
      </c>
      <c r="K243">
        <f>Database!B235</f>
        <v/>
      </c>
      <c r="L243">
        <f>Database!D235</f>
        <v/>
      </c>
      <c r="M243">
        <f>Database!E235</f>
        <v/>
      </c>
      <c r="N243">
        <f>Database!H235</f>
        <v/>
      </c>
      <c r="O243">
        <f>Database!AH235</f>
        <v/>
      </c>
      <c r="P243">
        <f>Database!AK235</f>
        <v/>
      </c>
      <c r="Q243">
        <f>Database!G235</f>
        <v/>
      </c>
    </row>
    <row r="244">
      <c r="A244">
        <f>Database!B244</f>
        <v/>
      </c>
      <c r="B244">
        <f>IF(AND(Screener!$D$9&lt;&gt;"",Database!$E244=Screener!$D$9),1,0)</f>
        <v/>
      </c>
      <c r="C244">
        <f>IF(AND(Screener!$D$8&lt;&gt;"",Database!$D244=Screener!$D$8),1,0)</f>
        <v/>
      </c>
      <c r="D244">
        <f>IF(OR(Database!$H244="",N(Screener!$D$10)&lt;=0),0,MAX(0,1-ABS(LOG10(Database!$H244/Screener!$D$10))/W_SIZEHW))</f>
        <v/>
      </c>
      <c r="E244">
        <f>IF(OR(Database!$AH244="",Screener!$D$11=""),0,IF(Database!$AH244=Screener!$D$11,1,0))</f>
        <v/>
      </c>
      <c r="F244">
        <f>IF(OR(Database!$AK244="",Screener!$D$12=""),0,IF(Database!$AK244=Screener!$D$12,1,0))</f>
        <v/>
      </c>
      <c r="G244">
        <f>IF(OR(Database!$G244="",N(Screener!$D$13)&lt;=0),0,MAX(0,1-(N(Screener!$D$13)-Database!$G244)/W_RECD))</f>
        <v/>
      </c>
      <c r="H244">
        <f>IF($K$1="",0,N(ISNUMBER(SEARCH($K$1,Database!$T244&amp;""))))+IF($L$1="",0,N(ISNUMBER(SEARCH($L$1,Database!$T244&amp;""))))+IF($M$1="",0,N(ISNUMBER(SEARCH($M$1,Database!$T244&amp;""))))+IF($N$1="",0,N(ISNUMBER(SEARCH($N$1,Database!$T244&amp;""))))+IF($O$1="",0,N(ISNUMBER(SEARCH($O$1,Database!$T244&amp;""))))+IF(Screener!$B$14="",0,N(ISNUMBER(SEARCH(Screener!$B$14,Database!$T244&amp;""))))</f>
        <v/>
      </c>
      <c r="I244">
        <f>IF(OR(Database!$B244=Screener!$B$5,IF(OR(Screener!$B$17="All",AND(Screener!$B$17="With A-share",(Database!$AL244&lt;&gt;"")),AND(Screener!$B$17="Without A-share",NOT((Database!$AL244&lt;&gt;"")))),1,0)=0),-999999,IF(Screener!$B$15="cornerstone overlap first",H244*100000,0)+W_SUB*B244+W_SEC*C244*(1-B244)+W_SIZE*D244+W_PROF*E244+W_AH*F244+W_REC*G244+W_CS*H244)+ROW()/1000000</f>
        <v/>
      </c>
      <c r="K244">
        <f>Database!B236</f>
        <v/>
      </c>
      <c r="L244">
        <f>Database!D236</f>
        <v/>
      </c>
      <c r="M244">
        <f>Database!E236</f>
        <v/>
      </c>
      <c r="N244">
        <f>Database!H236</f>
        <v/>
      </c>
      <c r="O244">
        <f>Database!AH236</f>
        <v/>
      </c>
      <c r="P244">
        <f>Database!AK236</f>
        <v/>
      </c>
      <c r="Q244">
        <f>Database!G236</f>
        <v/>
      </c>
    </row>
    <row r="245">
      <c r="A245">
        <f>Database!B245</f>
        <v/>
      </c>
      <c r="B245">
        <f>IF(AND(Screener!$D$9&lt;&gt;"",Database!$E245=Screener!$D$9),1,0)</f>
        <v/>
      </c>
      <c r="C245">
        <f>IF(AND(Screener!$D$8&lt;&gt;"",Database!$D245=Screener!$D$8),1,0)</f>
        <v/>
      </c>
      <c r="D245">
        <f>IF(OR(Database!$H245="",N(Screener!$D$10)&lt;=0),0,MAX(0,1-ABS(LOG10(Database!$H245/Screener!$D$10))/W_SIZEHW))</f>
        <v/>
      </c>
      <c r="E245">
        <f>IF(OR(Database!$AH245="",Screener!$D$11=""),0,IF(Database!$AH245=Screener!$D$11,1,0))</f>
        <v/>
      </c>
      <c r="F245">
        <f>IF(OR(Database!$AK245="",Screener!$D$12=""),0,IF(Database!$AK245=Screener!$D$12,1,0))</f>
        <v/>
      </c>
      <c r="G245">
        <f>IF(OR(Database!$G245="",N(Screener!$D$13)&lt;=0),0,MAX(0,1-(N(Screener!$D$13)-Database!$G245)/W_RECD))</f>
        <v/>
      </c>
      <c r="H245">
        <f>IF($K$1="",0,N(ISNUMBER(SEARCH($K$1,Database!$T245&amp;""))))+IF($L$1="",0,N(ISNUMBER(SEARCH($L$1,Database!$T245&amp;""))))+IF($M$1="",0,N(ISNUMBER(SEARCH($M$1,Database!$T245&amp;""))))+IF($N$1="",0,N(ISNUMBER(SEARCH($N$1,Database!$T245&amp;""))))+IF($O$1="",0,N(ISNUMBER(SEARCH($O$1,Database!$T245&amp;""))))+IF(Screener!$B$14="",0,N(ISNUMBER(SEARCH(Screener!$B$14,Database!$T245&amp;""))))</f>
        <v/>
      </c>
      <c r="I245">
        <f>IF(OR(Database!$B245=Screener!$B$5,IF(OR(Screener!$B$17="All",AND(Screener!$B$17="With A-share",(Database!$AL245&lt;&gt;"")),AND(Screener!$B$17="Without A-share",NOT((Database!$AL245&lt;&gt;"")))),1,0)=0),-999999,IF(Screener!$B$15="cornerstone overlap first",H245*100000,0)+W_SUB*B245+W_SEC*C245*(1-B245)+W_SIZE*D245+W_PROF*E245+W_AH*F245+W_REC*G245+W_CS*H245)+ROW()/1000000</f>
        <v/>
      </c>
      <c r="K245">
        <f>Database!B237</f>
        <v/>
      </c>
      <c r="L245">
        <f>Database!D237</f>
        <v/>
      </c>
      <c r="M245">
        <f>Database!E237</f>
        <v/>
      </c>
      <c r="N245">
        <f>Database!H237</f>
        <v/>
      </c>
      <c r="O245">
        <f>Database!AH237</f>
        <v/>
      </c>
      <c r="P245">
        <f>Database!AK237</f>
        <v/>
      </c>
      <c r="Q245">
        <f>Database!G237</f>
        <v/>
      </c>
    </row>
    <row r="246">
      <c r="A246">
        <f>Database!B246</f>
        <v/>
      </c>
      <c r="B246">
        <f>IF(AND(Screener!$D$9&lt;&gt;"",Database!$E246=Screener!$D$9),1,0)</f>
        <v/>
      </c>
      <c r="C246">
        <f>IF(AND(Screener!$D$8&lt;&gt;"",Database!$D246=Screener!$D$8),1,0)</f>
        <v/>
      </c>
      <c r="D246">
        <f>IF(OR(Database!$H246="",N(Screener!$D$10)&lt;=0),0,MAX(0,1-ABS(LOG10(Database!$H246/Screener!$D$10))/W_SIZEHW))</f>
        <v/>
      </c>
      <c r="E246">
        <f>IF(OR(Database!$AH246="",Screener!$D$11=""),0,IF(Database!$AH246=Screener!$D$11,1,0))</f>
        <v/>
      </c>
      <c r="F246">
        <f>IF(OR(Database!$AK246="",Screener!$D$12=""),0,IF(Database!$AK246=Screener!$D$12,1,0))</f>
        <v/>
      </c>
      <c r="G246">
        <f>IF(OR(Database!$G246="",N(Screener!$D$13)&lt;=0),0,MAX(0,1-(N(Screener!$D$13)-Database!$G246)/W_RECD))</f>
        <v/>
      </c>
      <c r="H246">
        <f>IF($K$1="",0,N(ISNUMBER(SEARCH($K$1,Database!$T246&amp;""))))+IF($L$1="",0,N(ISNUMBER(SEARCH($L$1,Database!$T246&amp;""))))+IF($M$1="",0,N(ISNUMBER(SEARCH($M$1,Database!$T246&amp;""))))+IF($N$1="",0,N(ISNUMBER(SEARCH($N$1,Database!$T246&amp;""))))+IF($O$1="",0,N(ISNUMBER(SEARCH($O$1,Database!$T246&amp;""))))+IF(Screener!$B$14="",0,N(ISNUMBER(SEARCH(Screener!$B$14,Database!$T246&amp;""))))</f>
        <v/>
      </c>
      <c r="I246">
        <f>IF(OR(Database!$B246=Screener!$B$5,IF(OR(Screener!$B$17="All",AND(Screener!$B$17="With A-share",(Database!$AL246&lt;&gt;"")),AND(Screener!$B$17="Without A-share",NOT((Database!$AL246&lt;&gt;"")))),1,0)=0),-999999,IF(Screener!$B$15="cornerstone overlap first",H246*100000,0)+W_SUB*B246+W_SEC*C246*(1-B246)+W_SIZE*D246+W_PROF*E246+W_AH*F246+W_REC*G246+W_CS*H246)+ROW()/1000000</f>
        <v/>
      </c>
      <c r="K246">
        <f>Database!B238</f>
        <v/>
      </c>
      <c r="L246">
        <f>Database!D238</f>
        <v/>
      </c>
      <c r="M246">
        <f>Database!E238</f>
        <v/>
      </c>
      <c r="N246">
        <f>Database!H238</f>
        <v/>
      </c>
      <c r="O246">
        <f>Database!AH238</f>
        <v/>
      </c>
      <c r="P246">
        <f>Database!AK238</f>
        <v/>
      </c>
      <c r="Q246">
        <f>Database!G238</f>
        <v/>
      </c>
    </row>
    <row r="247">
      <c r="A247">
        <f>Database!B247</f>
        <v/>
      </c>
      <c r="B247">
        <f>IF(AND(Screener!$D$9&lt;&gt;"",Database!$E247=Screener!$D$9),1,0)</f>
        <v/>
      </c>
      <c r="C247">
        <f>IF(AND(Screener!$D$8&lt;&gt;"",Database!$D247=Screener!$D$8),1,0)</f>
        <v/>
      </c>
      <c r="D247">
        <f>IF(OR(Database!$H247="",N(Screener!$D$10)&lt;=0),0,MAX(0,1-ABS(LOG10(Database!$H247/Screener!$D$10))/W_SIZEHW))</f>
        <v/>
      </c>
      <c r="E247">
        <f>IF(OR(Database!$AH247="",Screener!$D$11=""),0,IF(Database!$AH247=Screener!$D$11,1,0))</f>
        <v/>
      </c>
      <c r="F247">
        <f>IF(OR(Database!$AK247="",Screener!$D$12=""),0,IF(Database!$AK247=Screener!$D$12,1,0))</f>
        <v/>
      </c>
      <c r="G247">
        <f>IF(OR(Database!$G247="",N(Screener!$D$13)&lt;=0),0,MAX(0,1-(N(Screener!$D$13)-Database!$G247)/W_RECD))</f>
        <v/>
      </c>
      <c r="H247">
        <f>IF($K$1="",0,N(ISNUMBER(SEARCH($K$1,Database!$T247&amp;""))))+IF($L$1="",0,N(ISNUMBER(SEARCH($L$1,Database!$T247&amp;""))))+IF($M$1="",0,N(ISNUMBER(SEARCH($M$1,Database!$T247&amp;""))))+IF($N$1="",0,N(ISNUMBER(SEARCH($N$1,Database!$T247&amp;""))))+IF($O$1="",0,N(ISNUMBER(SEARCH($O$1,Database!$T247&amp;""))))+IF(Screener!$B$14="",0,N(ISNUMBER(SEARCH(Screener!$B$14,Database!$T247&amp;""))))</f>
        <v/>
      </c>
      <c r="I247">
        <f>IF(OR(Database!$B247=Screener!$B$5,IF(OR(Screener!$B$17="All",AND(Screener!$B$17="With A-share",(Database!$AL247&lt;&gt;"")),AND(Screener!$B$17="Without A-share",NOT((Database!$AL247&lt;&gt;"")))),1,0)=0),-999999,IF(Screener!$B$15="cornerstone overlap first",H247*100000,0)+W_SUB*B247+W_SEC*C247*(1-B247)+W_SIZE*D247+W_PROF*E247+W_AH*F247+W_REC*G247+W_CS*H247)+ROW()/1000000</f>
        <v/>
      </c>
      <c r="K247">
        <f>Database!B239</f>
        <v/>
      </c>
      <c r="L247">
        <f>Database!D239</f>
        <v/>
      </c>
      <c r="M247">
        <f>Database!E239</f>
        <v/>
      </c>
      <c r="N247">
        <f>Database!H239</f>
        <v/>
      </c>
      <c r="O247">
        <f>Database!AH239</f>
        <v/>
      </c>
      <c r="P247">
        <f>Database!AK239</f>
        <v/>
      </c>
      <c r="Q247">
        <f>Database!G239</f>
        <v/>
      </c>
    </row>
    <row r="248">
      <c r="A248">
        <f>Database!B248</f>
        <v/>
      </c>
      <c r="B248">
        <f>IF(AND(Screener!$D$9&lt;&gt;"",Database!$E248=Screener!$D$9),1,0)</f>
        <v/>
      </c>
      <c r="C248">
        <f>IF(AND(Screener!$D$8&lt;&gt;"",Database!$D248=Screener!$D$8),1,0)</f>
        <v/>
      </c>
      <c r="D248">
        <f>IF(OR(Database!$H248="",N(Screener!$D$10)&lt;=0),0,MAX(0,1-ABS(LOG10(Database!$H248/Screener!$D$10))/W_SIZEHW))</f>
        <v/>
      </c>
      <c r="E248">
        <f>IF(OR(Database!$AH248="",Screener!$D$11=""),0,IF(Database!$AH248=Screener!$D$11,1,0))</f>
        <v/>
      </c>
      <c r="F248">
        <f>IF(OR(Database!$AK248="",Screener!$D$12=""),0,IF(Database!$AK248=Screener!$D$12,1,0))</f>
        <v/>
      </c>
      <c r="G248">
        <f>IF(OR(Database!$G248="",N(Screener!$D$13)&lt;=0),0,MAX(0,1-(N(Screener!$D$13)-Database!$G248)/W_RECD))</f>
        <v/>
      </c>
      <c r="H248">
        <f>IF($K$1="",0,N(ISNUMBER(SEARCH($K$1,Database!$T248&amp;""))))+IF($L$1="",0,N(ISNUMBER(SEARCH($L$1,Database!$T248&amp;""))))+IF($M$1="",0,N(ISNUMBER(SEARCH($M$1,Database!$T248&amp;""))))+IF($N$1="",0,N(ISNUMBER(SEARCH($N$1,Database!$T248&amp;""))))+IF($O$1="",0,N(ISNUMBER(SEARCH($O$1,Database!$T248&amp;""))))+IF(Screener!$B$14="",0,N(ISNUMBER(SEARCH(Screener!$B$14,Database!$T248&amp;""))))</f>
        <v/>
      </c>
      <c r="I248">
        <f>IF(OR(Database!$B248=Screener!$B$5,IF(OR(Screener!$B$17="All",AND(Screener!$B$17="With A-share",(Database!$AL248&lt;&gt;"")),AND(Screener!$B$17="Without A-share",NOT((Database!$AL248&lt;&gt;"")))),1,0)=0),-999999,IF(Screener!$B$15="cornerstone overlap first",H248*100000,0)+W_SUB*B248+W_SEC*C248*(1-B248)+W_SIZE*D248+W_PROF*E248+W_AH*F248+W_REC*G248+W_CS*H248)+ROW()/1000000</f>
        <v/>
      </c>
      <c r="K248">
        <f>Database!B240</f>
        <v/>
      </c>
      <c r="L248">
        <f>Database!D240</f>
        <v/>
      </c>
      <c r="M248">
        <f>Database!E240</f>
        <v/>
      </c>
      <c r="N248">
        <f>Database!H240</f>
        <v/>
      </c>
      <c r="O248">
        <f>Database!AH240</f>
        <v/>
      </c>
      <c r="P248">
        <f>Database!AK240</f>
        <v/>
      </c>
      <c r="Q248">
        <f>Database!G240</f>
        <v/>
      </c>
    </row>
    <row r="249">
      <c r="A249">
        <f>Database!B249</f>
        <v/>
      </c>
      <c r="B249">
        <f>IF(AND(Screener!$D$9&lt;&gt;"",Database!$E249=Screener!$D$9),1,0)</f>
        <v/>
      </c>
      <c r="C249">
        <f>IF(AND(Screener!$D$8&lt;&gt;"",Database!$D249=Screener!$D$8),1,0)</f>
        <v/>
      </c>
      <c r="D249">
        <f>IF(OR(Database!$H249="",N(Screener!$D$10)&lt;=0),0,MAX(0,1-ABS(LOG10(Database!$H249/Screener!$D$10))/W_SIZEHW))</f>
        <v/>
      </c>
      <c r="E249">
        <f>IF(OR(Database!$AH249="",Screener!$D$11=""),0,IF(Database!$AH249=Screener!$D$11,1,0))</f>
        <v/>
      </c>
      <c r="F249">
        <f>IF(OR(Database!$AK249="",Screener!$D$12=""),0,IF(Database!$AK249=Screener!$D$12,1,0))</f>
        <v/>
      </c>
      <c r="G249">
        <f>IF(OR(Database!$G249="",N(Screener!$D$13)&lt;=0),0,MAX(0,1-(N(Screener!$D$13)-Database!$G249)/W_RECD))</f>
        <v/>
      </c>
      <c r="H249">
        <f>IF($K$1="",0,N(ISNUMBER(SEARCH($K$1,Database!$T249&amp;""))))+IF($L$1="",0,N(ISNUMBER(SEARCH($L$1,Database!$T249&amp;""))))+IF($M$1="",0,N(ISNUMBER(SEARCH($M$1,Database!$T249&amp;""))))+IF($N$1="",0,N(ISNUMBER(SEARCH($N$1,Database!$T249&amp;""))))+IF($O$1="",0,N(ISNUMBER(SEARCH($O$1,Database!$T249&amp;""))))+IF(Screener!$B$14="",0,N(ISNUMBER(SEARCH(Screener!$B$14,Database!$T249&amp;""))))</f>
        <v/>
      </c>
      <c r="I249">
        <f>IF(OR(Database!$B249=Screener!$B$5,IF(OR(Screener!$B$17="All",AND(Screener!$B$17="With A-share",(Database!$AL249&lt;&gt;"")),AND(Screener!$B$17="Without A-share",NOT((Database!$AL249&lt;&gt;"")))),1,0)=0),-999999,IF(Screener!$B$15="cornerstone overlap first",H249*100000,0)+W_SUB*B249+W_SEC*C249*(1-B249)+W_SIZE*D249+W_PROF*E249+W_AH*F249+W_REC*G249+W_CS*H249)+ROW()/1000000</f>
        <v/>
      </c>
      <c r="K249">
        <f>Database!B241</f>
        <v/>
      </c>
      <c r="L249">
        <f>Database!D241</f>
        <v/>
      </c>
      <c r="M249">
        <f>Database!E241</f>
        <v/>
      </c>
      <c r="N249">
        <f>Database!H241</f>
        <v/>
      </c>
      <c r="O249">
        <f>Database!AH241</f>
        <v/>
      </c>
      <c r="P249">
        <f>Database!AK241</f>
        <v/>
      </c>
      <c r="Q249">
        <f>Database!G241</f>
        <v/>
      </c>
    </row>
    <row r="250">
      <c r="A250">
        <f>Database!B250</f>
        <v/>
      </c>
      <c r="B250">
        <f>IF(AND(Screener!$D$9&lt;&gt;"",Database!$E250=Screener!$D$9),1,0)</f>
        <v/>
      </c>
      <c r="C250">
        <f>IF(AND(Screener!$D$8&lt;&gt;"",Database!$D250=Screener!$D$8),1,0)</f>
        <v/>
      </c>
      <c r="D250">
        <f>IF(OR(Database!$H250="",N(Screener!$D$10)&lt;=0),0,MAX(0,1-ABS(LOG10(Database!$H250/Screener!$D$10))/W_SIZEHW))</f>
        <v/>
      </c>
      <c r="E250">
        <f>IF(OR(Database!$AH250="",Screener!$D$11=""),0,IF(Database!$AH250=Screener!$D$11,1,0))</f>
        <v/>
      </c>
      <c r="F250">
        <f>IF(OR(Database!$AK250="",Screener!$D$12=""),0,IF(Database!$AK250=Screener!$D$12,1,0))</f>
        <v/>
      </c>
      <c r="G250">
        <f>IF(OR(Database!$G250="",N(Screener!$D$13)&lt;=0),0,MAX(0,1-(N(Screener!$D$13)-Database!$G250)/W_RECD))</f>
        <v/>
      </c>
      <c r="H250">
        <f>IF($K$1="",0,N(ISNUMBER(SEARCH($K$1,Database!$T250&amp;""))))+IF($L$1="",0,N(ISNUMBER(SEARCH($L$1,Database!$T250&amp;""))))+IF($M$1="",0,N(ISNUMBER(SEARCH($M$1,Database!$T250&amp;""))))+IF($N$1="",0,N(ISNUMBER(SEARCH($N$1,Database!$T250&amp;""))))+IF($O$1="",0,N(ISNUMBER(SEARCH($O$1,Database!$T250&amp;""))))+IF(Screener!$B$14="",0,N(ISNUMBER(SEARCH(Screener!$B$14,Database!$T250&amp;""))))</f>
        <v/>
      </c>
      <c r="I250">
        <f>IF(OR(Database!$B250=Screener!$B$5,IF(OR(Screener!$B$17="All",AND(Screener!$B$17="With A-share",(Database!$AL250&lt;&gt;"")),AND(Screener!$B$17="Without A-share",NOT((Database!$AL250&lt;&gt;"")))),1,0)=0),-999999,IF(Screener!$B$15="cornerstone overlap first",H250*100000,0)+W_SUB*B250+W_SEC*C250*(1-B250)+W_SIZE*D250+W_PROF*E250+W_AH*F250+W_REC*G250+W_CS*H250)+ROW()/1000000</f>
        <v/>
      </c>
      <c r="K250">
        <f>Database!B242</f>
        <v/>
      </c>
      <c r="L250">
        <f>Database!D242</f>
        <v/>
      </c>
      <c r="M250">
        <f>Database!E242</f>
        <v/>
      </c>
      <c r="N250">
        <f>Database!H242</f>
        <v/>
      </c>
      <c r="O250">
        <f>Database!AH242</f>
        <v/>
      </c>
      <c r="P250">
        <f>Database!AK242</f>
        <v/>
      </c>
      <c r="Q250">
        <f>Database!G242</f>
        <v/>
      </c>
    </row>
    <row r="251">
      <c r="A251">
        <f>Database!B251</f>
        <v/>
      </c>
      <c r="B251">
        <f>IF(AND(Screener!$D$9&lt;&gt;"",Database!$E251=Screener!$D$9),1,0)</f>
        <v/>
      </c>
      <c r="C251">
        <f>IF(AND(Screener!$D$8&lt;&gt;"",Database!$D251=Screener!$D$8),1,0)</f>
        <v/>
      </c>
      <c r="D251">
        <f>IF(OR(Database!$H251="",N(Screener!$D$10)&lt;=0),0,MAX(0,1-ABS(LOG10(Database!$H251/Screener!$D$10))/W_SIZEHW))</f>
        <v/>
      </c>
      <c r="E251">
        <f>IF(OR(Database!$AH251="",Screener!$D$11=""),0,IF(Database!$AH251=Screener!$D$11,1,0))</f>
        <v/>
      </c>
      <c r="F251">
        <f>IF(OR(Database!$AK251="",Screener!$D$12=""),0,IF(Database!$AK251=Screener!$D$12,1,0))</f>
        <v/>
      </c>
      <c r="G251">
        <f>IF(OR(Database!$G251="",N(Screener!$D$13)&lt;=0),0,MAX(0,1-(N(Screener!$D$13)-Database!$G251)/W_RECD))</f>
        <v/>
      </c>
      <c r="H251">
        <f>IF($K$1="",0,N(ISNUMBER(SEARCH($K$1,Database!$T251&amp;""))))+IF($L$1="",0,N(ISNUMBER(SEARCH($L$1,Database!$T251&amp;""))))+IF($M$1="",0,N(ISNUMBER(SEARCH($M$1,Database!$T251&amp;""))))+IF($N$1="",0,N(ISNUMBER(SEARCH($N$1,Database!$T251&amp;""))))+IF($O$1="",0,N(ISNUMBER(SEARCH($O$1,Database!$T251&amp;""))))+IF(Screener!$B$14="",0,N(ISNUMBER(SEARCH(Screener!$B$14,Database!$T251&amp;""))))</f>
        <v/>
      </c>
      <c r="I251">
        <f>IF(OR(Database!$B251=Screener!$B$5,IF(OR(Screener!$B$17="All",AND(Screener!$B$17="With A-share",(Database!$AL251&lt;&gt;"")),AND(Screener!$B$17="Without A-share",NOT((Database!$AL251&lt;&gt;"")))),1,0)=0),-999999,IF(Screener!$B$15="cornerstone overlap first",H251*100000,0)+W_SUB*B251+W_SEC*C251*(1-B251)+W_SIZE*D251+W_PROF*E251+W_AH*F251+W_REC*G251+W_CS*H251)+ROW()/1000000</f>
        <v/>
      </c>
      <c r="K251">
        <f>Database!B243</f>
        <v/>
      </c>
      <c r="L251">
        <f>Database!D243</f>
        <v/>
      </c>
      <c r="M251">
        <f>Database!E243</f>
        <v/>
      </c>
      <c r="N251">
        <f>Database!H243</f>
        <v/>
      </c>
      <c r="O251">
        <f>Database!AH243</f>
        <v/>
      </c>
      <c r="P251">
        <f>Database!AK243</f>
        <v/>
      </c>
      <c r="Q251">
        <f>Database!G243</f>
        <v/>
      </c>
    </row>
    <row r="252">
      <c r="A252">
        <f>Database!B252</f>
        <v/>
      </c>
      <c r="B252">
        <f>IF(AND(Screener!$D$9&lt;&gt;"",Database!$E252=Screener!$D$9),1,0)</f>
        <v/>
      </c>
      <c r="C252">
        <f>IF(AND(Screener!$D$8&lt;&gt;"",Database!$D252=Screener!$D$8),1,0)</f>
        <v/>
      </c>
      <c r="D252">
        <f>IF(OR(Database!$H252="",N(Screener!$D$10)&lt;=0),0,MAX(0,1-ABS(LOG10(Database!$H252/Screener!$D$10))/W_SIZEHW))</f>
        <v/>
      </c>
      <c r="E252">
        <f>IF(OR(Database!$AH252="",Screener!$D$11=""),0,IF(Database!$AH252=Screener!$D$11,1,0))</f>
        <v/>
      </c>
      <c r="F252">
        <f>IF(OR(Database!$AK252="",Screener!$D$12=""),0,IF(Database!$AK252=Screener!$D$12,1,0))</f>
        <v/>
      </c>
      <c r="G252">
        <f>IF(OR(Database!$G252="",N(Screener!$D$13)&lt;=0),0,MAX(0,1-(N(Screener!$D$13)-Database!$G252)/W_RECD))</f>
        <v/>
      </c>
      <c r="H252">
        <f>IF($K$1="",0,N(ISNUMBER(SEARCH($K$1,Database!$T252&amp;""))))+IF($L$1="",0,N(ISNUMBER(SEARCH($L$1,Database!$T252&amp;""))))+IF($M$1="",0,N(ISNUMBER(SEARCH($M$1,Database!$T252&amp;""))))+IF($N$1="",0,N(ISNUMBER(SEARCH($N$1,Database!$T252&amp;""))))+IF($O$1="",0,N(ISNUMBER(SEARCH($O$1,Database!$T252&amp;""))))+IF(Screener!$B$14="",0,N(ISNUMBER(SEARCH(Screener!$B$14,Database!$T252&amp;""))))</f>
        <v/>
      </c>
      <c r="I252">
        <f>IF(OR(Database!$B252=Screener!$B$5,IF(OR(Screener!$B$17="All",AND(Screener!$B$17="With A-share",(Database!$AL252&lt;&gt;"")),AND(Screener!$B$17="Without A-share",NOT((Database!$AL252&lt;&gt;"")))),1,0)=0),-999999,IF(Screener!$B$15="cornerstone overlap first",H252*100000,0)+W_SUB*B252+W_SEC*C252*(1-B252)+W_SIZE*D252+W_PROF*E252+W_AH*F252+W_REC*G252+W_CS*H252)+ROW()/1000000</f>
        <v/>
      </c>
      <c r="K252">
        <f>Database!B244</f>
        <v/>
      </c>
      <c r="L252">
        <f>Database!D244</f>
        <v/>
      </c>
      <c r="M252">
        <f>Database!E244</f>
        <v/>
      </c>
      <c r="N252">
        <f>Database!H244</f>
        <v/>
      </c>
      <c r="O252">
        <f>Database!AH244</f>
        <v/>
      </c>
      <c r="P252">
        <f>Database!AK244</f>
        <v/>
      </c>
      <c r="Q252">
        <f>Database!G244</f>
        <v/>
      </c>
    </row>
    <row r="253">
      <c r="A253">
        <f>Database!B253</f>
        <v/>
      </c>
      <c r="B253">
        <f>IF(AND(Screener!$D$9&lt;&gt;"",Database!$E253=Screener!$D$9),1,0)</f>
        <v/>
      </c>
      <c r="C253">
        <f>IF(AND(Screener!$D$8&lt;&gt;"",Database!$D253=Screener!$D$8),1,0)</f>
        <v/>
      </c>
      <c r="D253">
        <f>IF(OR(Database!$H253="",N(Screener!$D$10)&lt;=0),0,MAX(0,1-ABS(LOG10(Database!$H253/Screener!$D$10))/W_SIZEHW))</f>
        <v/>
      </c>
      <c r="E253">
        <f>IF(OR(Database!$AH253="",Screener!$D$11=""),0,IF(Database!$AH253=Screener!$D$11,1,0))</f>
        <v/>
      </c>
      <c r="F253">
        <f>IF(OR(Database!$AK253="",Screener!$D$12=""),0,IF(Database!$AK253=Screener!$D$12,1,0))</f>
        <v/>
      </c>
      <c r="G253">
        <f>IF(OR(Database!$G253="",N(Screener!$D$13)&lt;=0),0,MAX(0,1-(N(Screener!$D$13)-Database!$G253)/W_RECD))</f>
        <v/>
      </c>
      <c r="H253">
        <f>IF($K$1="",0,N(ISNUMBER(SEARCH($K$1,Database!$T253&amp;""))))+IF($L$1="",0,N(ISNUMBER(SEARCH($L$1,Database!$T253&amp;""))))+IF($M$1="",0,N(ISNUMBER(SEARCH($M$1,Database!$T253&amp;""))))+IF($N$1="",0,N(ISNUMBER(SEARCH($N$1,Database!$T253&amp;""))))+IF($O$1="",0,N(ISNUMBER(SEARCH($O$1,Database!$T253&amp;""))))+IF(Screener!$B$14="",0,N(ISNUMBER(SEARCH(Screener!$B$14,Database!$T253&amp;""))))</f>
        <v/>
      </c>
      <c r="I253">
        <f>IF(OR(Database!$B253=Screener!$B$5,IF(OR(Screener!$B$17="All",AND(Screener!$B$17="With A-share",(Database!$AL253&lt;&gt;"")),AND(Screener!$B$17="Without A-share",NOT((Database!$AL253&lt;&gt;"")))),1,0)=0),-999999,IF(Screener!$B$15="cornerstone overlap first",H253*100000,0)+W_SUB*B253+W_SEC*C253*(1-B253)+W_SIZE*D253+W_PROF*E253+W_AH*F253+W_REC*G253+W_CS*H253)+ROW()/1000000</f>
        <v/>
      </c>
      <c r="K253">
        <f>Database!B245</f>
        <v/>
      </c>
      <c r="L253">
        <f>Database!D245</f>
        <v/>
      </c>
      <c r="M253">
        <f>Database!E245</f>
        <v/>
      </c>
      <c r="N253">
        <f>Database!H245</f>
        <v/>
      </c>
      <c r="O253">
        <f>Database!AH245</f>
        <v/>
      </c>
      <c r="P253">
        <f>Database!AK245</f>
        <v/>
      </c>
      <c r="Q253">
        <f>Database!G245</f>
        <v/>
      </c>
    </row>
    <row r="254">
      <c r="A254">
        <f>Database!B254</f>
        <v/>
      </c>
      <c r="B254">
        <f>IF(AND(Screener!$D$9&lt;&gt;"",Database!$E254=Screener!$D$9),1,0)</f>
        <v/>
      </c>
      <c r="C254">
        <f>IF(AND(Screener!$D$8&lt;&gt;"",Database!$D254=Screener!$D$8),1,0)</f>
        <v/>
      </c>
      <c r="D254">
        <f>IF(OR(Database!$H254="",N(Screener!$D$10)&lt;=0),0,MAX(0,1-ABS(LOG10(Database!$H254/Screener!$D$10))/W_SIZEHW))</f>
        <v/>
      </c>
      <c r="E254">
        <f>IF(OR(Database!$AH254="",Screener!$D$11=""),0,IF(Database!$AH254=Screener!$D$11,1,0))</f>
        <v/>
      </c>
      <c r="F254">
        <f>IF(OR(Database!$AK254="",Screener!$D$12=""),0,IF(Database!$AK254=Screener!$D$12,1,0))</f>
        <v/>
      </c>
      <c r="G254">
        <f>IF(OR(Database!$G254="",N(Screener!$D$13)&lt;=0),0,MAX(0,1-(N(Screener!$D$13)-Database!$G254)/W_RECD))</f>
        <v/>
      </c>
      <c r="H254">
        <f>IF($K$1="",0,N(ISNUMBER(SEARCH($K$1,Database!$T254&amp;""))))+IF($L$1="",0,N(ISNUMBER(SEARCH($L$1,Database!$T254&amp;""))))+IF($M$1="",0,N(ISNUMBER(SEARCH($M$1,Database!$T254&amp;""))))+IF($N$1="",0,N(ISNUMBER(SEARCH($N$1,Database!$T254&amp;""))))+IF($O$1="",0,N(ISNUMBER(SEARCH($O$1,Database!$T254&amp;""))))+IF(Screener!$B$14="",0,N(ISNUMBER(SEARCH(Screener!$B$14,Database!$T254&amp;""))))</f>
        <v/>
      </c>
      <c r="I254">
        <f>IF(OR(Database!$B254=Screener!$B$5,IF(OR(Screener!$B$17="All",AND(Screener!$B$17="With A-share",(Database!$AL254&lt;&gt;"")),AND(Screener!$B$17="Without A-share",NOT((Database!$AL254&lt;&gt;"")))),1,0)=0),-999999,IF(Screener!$B$15="cornerstone overlap first",H254*100000,0)+W_SUB*B254+W_SEC*C254*(1-B254)+W_SIZE*D254+W_PROF*E254+W_AH*F254+W_REC*G254+W_CS*H254)+ROW()/1000000</f>
        <v/>
      </c>
      <c r="K254">
        <f>Database!B246</f>
        <v/>
      </c>
      <c r="L254">
        <f>Database!D246</f>
        <v/>
      </c>
      <c r="M254">
        <f>Database!E246</f>
        <v/>
      </c>
      <c r="N254">
        <f>Database!H246</f>
        <v/>
      </c>
      <c r="O254">
        <f>Database!AH246</f>
        <v/>
      </c>
      <c r="P254">
        <f>Database!AK246</f>
        <v/>
      </c>
      <c r="Q254">
        <f>Database!G246</f>
        <v/>
      </c>
    </row>
    <row r="255">
      <c r="A255">
        <f>Database!B255</f>
        <v/>
      </c>
      <c r="B255">
        <f>IF(AND(Screener!$D$9&lt;&gt;"",Database!$E255=Screener!$D$9),1,0)</f>
        <v/>
      </c>
      <c r="C255">
        <f>IF(AND(Screener!$D$8&lt;&gt;"",Database!$D255=Screener!$D$8),1,0)</f>
        <v/>
      </c>
      <c r="D255">
        <f>IF(OR(Database!$H255="",N(Screener!$D$10)&lt;=0),0,MAX(0,1-ABS(LOG10(Database!$H255/Screener!$D$10))/W_SIZEHW))</f>
        <v/>
      </c>
      <c r="E255">
        <f>IF(OR(Database!$AH255="",Screener!$D$11=""),0,IF(Database!$AH255=Screener!$D$11,1,0))</f>
        <v/>
      </c>
      <c r="F255">
        <f>IF(OR(Database!$AK255="",Screener!$D$12=""),0,IF(Database!$AK255=Screener!$D$12,1,0))</f>
        <v/>
      </c>
      <c r="G255">
        <f>IF(OR(Database!$G255="",N(Screener!$D$13)&lt;=0),0,MAX(0,1-(N(Screener!$D$13)-Database!$G255)/W_RECD))</f>
        <v/>
      </c>
      <c r="H255">
        <f>IF($K$1="",0,N(ISNUMBER(SEARCH($K$1,Database!$T255&amp;""))))+IF($L$1="",0,N(ISNUMBER(SEARCH($L$1,Database!$T255&amp;""))))+IF($M$1="",0,N(ISNUMBER(SEARCH($M$1,Database!$T255&amp;""))))+IF($N$1="",0,N(ISNUMBER(SEARCH($N$1,Database!$T255&amp;""))))+IF($O$1="",0,N(ISNUMBER(SEARCH($O$1,Database!$T255&amp;""))))+IF(Screener!$B$14="",0,N(ISNUMBER(SEARCH(Screener!$B$14,Database!$T255&amp;""))))</f>
        <v/>
      </c>
      <c r="I255">
        <f>IF(OR(Database!$B255=Screener!$B$5,IF(OR(Screener!$B$17="All",AND(Screener!$B$17="With A-share",(Database!$AL255&lt;&gt;"")),AND(Screener!$B$17="Without A-share",NOT((Database!$AL255&lt;&gt;"")))),1,0)=0),-999999,IF(Screener!$B$15="cornerstone overlap first",H255*100000,0)+W_SUB*B255+W_SEC*C255*(1-B255)+W_SIZE*D255+W_PROF*E255+W_AH*F255+W_REC*G255+W_CS*H255)+ROW()/1000000</f>
        <v/>
      </c>
      <c r="K255">
        <f>Database!B247</f>
        <v/>
      </c>
      <c r="L255">
        <f>Database!D247</f>
        <v/>
      </c>
      <c r="M255">
        <f>Database!E247</f>
        <v/>
      </c>
      <c r="N255">
        <f>Database!H247</f>
        <v/>
      </c>
      <c r="O255">
        <f>Database!AH247</f>
        <v/>
      </c>
      <c r="P255">
        <f>Database!AK247</f>
        <v/>
      </c>
      <c r="Q255">
        <f>Database!G247</f>
        <v/>
      </c>
    </row>
    <row r="256">
      <c r="A256">
        <f>Database!B256</f>
        <v/>
      </c>
      <c r="B256">
        <f>IF(AND(Screener!$D$9&lt;&gt;"",Database!$E256=Screener!$D$9),1,0)</f>
        <v/>
      </c>
      <c r="C256">
        <f>IF(AND(Screener!$D$8&lt;&gt;"",Database!$D256=Screener!$D$8),1,0)</f>
        <v/>
      </c>
      <c r="D256">
        <f>IF(OR(Database!$H256="",N(Screener!$D$10)&lt;=0),0,MAX(0,1-ABS(LOG10(Database!$H256/Screener!$D$10))/W_SIZEHW))</f>
        <v/>
      </c>
      <c r="E256">
        <f>IF(OR(Database!$AH256="",Screener!$D$11=""),0,IF(Database!$AH256=Screener!$D$11,1,0))</f>
        <v/>
      </c>
      <c r="F256">
        <f>IF(OR(Database!$AK256="",Screener!$D$12=""),0,IF(Database!$AK256=Screener!$D$12,1,0))</f>
        <v/>
      </c>
      <c r="G256">
        <f>IF(OR(Database!$G256="",N(Screener!$D$13)&lt;=0),0,MAX(0,1-(N(Screener!$D$13)-Database!$G256)/W_RECD))</f>
        <v/>
      </c>
      <c r="H256">
        <f>IF($K$1="",0,N(ISNUMBER(SEARCH($K$1,Database!$T256&amp;""))))+IF($L$1="",0,N(ISNUMBER(SEARCH($L$1,Database!$T256&amp;""))))+IF($M$1="",0,N(ISNUMBER(SEARCH($M$1,Database!$T256&amp;""))))+IF($N$1="",0,N(ISNUMBER(SEARCH($N$1,Database!$T256&amp;""))))+IF($O$1="",0,N(ISNUMBER(SEARCH($O$1,Database!$T256&amp;""))))+IF(Screener!$B$14="",0,N(ISNUMBER(SEARCH(Screener!$B$14,Database!$T256&amp;""))))</f>
        <v/>
      </c>
      <c r="I256">
        <f>IF(OR(Database!$B256=Screener!$B$5,IF(OR(Screener!$B$17="All",AND(Screener!$B$17="With A-share",(Database!$AL256&lt;&gt;"")),AND(Screener!$B$17="Without A-share",NOT((Database!$AL256&lt;&gt;"")))),1,0)=0),-999999,IF(Screener!$B$15="cornerstone overlap first",H256*100000,0)+W_SUB*B256+W_SEC*C256*(1-B256)+W_SIZE*D256+W_PROF*E256+W_AH*F256+W_REC*G256+W_CS*H256)+ROW()/1000000</f>
        <v/>
      </c>
      <c r="K256">
        <f>Database!B248</f>
        <v/>
      </c>
      <c r="L256">
        <f>Database!D248</f>
        <v/>
      </c>
      <c r="M256">
        <f>Database!E248</f>
        <v/>
      </c>
      <c r="N256">
        <f>Database!H248</f>
        <v/>
      </c>
      <c r="O256">
        <f>Database!AH248</f>
        <v/>
      </c>
      <c r="P256">
        <f>Database!AK248</f>
        <v/>
      </c>
      <c r="Q256">
        <f>Database!G248</f>
        <v/>
      </c>
    </row>
    <row r="257">
      <c r="A257">
        <f>Database!B257</f>
        <v/>
      </c>
      <c r="B257">
        <f>IF(AND(Screener!$D$9&lt;&gt;"",Database!$E257=Screener!$D$9),1,0)</f>
        <v/>
      </c>
      <c r="C257">
        <f>IF(AND(Screener!$D$8&lt;&gt;"",Database!$D257=Screener!$D$8),1,0)</f>
        <v/>
      </c>
      <c r="D257">
        <f>IF(OR(Database!$H257="",N(Screener!$D$10)&lt;=0),0,MAX(0,1-ABS(LOG10(Database!$H257/Screener!$D$10))/W_SIZEHW))</f>
        <v/>
      </c>
      <c r="E257">
        <f>IF(OR(Database!$AH257="",Screener!$D$11=""),0,IF(Database!$AH257=Screener!$D$11,1,0))</f>
        <v/>
      </c>
      <c r="F257">
        <f>IF(OR(Database!$AK257="",Screener!$D$12=""),0,IF(Database!$AK257=Screener!$D$12,1,0))</f>
        <v/>
      </c>
      <c r="G257">
        <f>IF(OR(Database!$G257="",N(Screener!$D$13)&lt;=0),0,MAX(0,1-(N(Screener!$D$13)-Database!$G257)/W_RECD))</f>
        <v/>
      </c>
      <c r="H257">
        <f>IF($K$1="",0,N(ISNUMBER(SEARCH($K$1,Database!$T257&amp;""))))+IF($L$1="",0,N(ISNUMBER(SEARCH($L$1,Database!$T257&amp;""))))+IF($M$1="",0,N(ISNUMBER(SEARCH($M$1,Database!$T257&amp;""))))+IF($N$1="",0,N(ISNUMBER(SEARCH($N$1,Database!$T257&amp;""))))+IF($O$1="",0,N(ISNUMBER(SEARCH($O$1,Database!$T257&amp;""))))+IF(Screener!$B$14="",0,N(ISNUMBER(SEARCH(Screener!$B$14,Database!$T257&amp;""))))</f>
        <v/>
      </c>
      <c r="I257">
        <f>IF(OR(Database!$B257=Screener!$B$5,IF(OR(Screener!$B$17="All",AND(Screener!$B$17="With A-share",(Database!$AL257&lt;&gt;"")),AND(Screener!$B$17="Without A-share",NOT((Database!$AL257&lt;&gt;"")))),1,0)=0),-999999,IF(Screener!$B$15="cornerstone overlap first",H257*100000,0)+W_SUB*B257+W_SEC*C257*(1-B257)+W_SIZE*D257+W_PROF*E257+W_AH*F257+W_REC*G257+W_CS*H257)+ROW()/1000000</f>
        <v/>
      </c>
      <c r="K257">
        <f>Database!B249</f>
        <v/>
      </c>
      <c r="L257">
        <f>Database!D249</f>
        <v/>
      </c>
      <c r="M257">
        <f>Database!E249</f>
        <v/>
      </c>
      <c r="N257">
        <f>Database!H249</f>
        <v/>
      </c>
      <c r="O257">
        <f>Database!AH249</f>
        <v/>
      </c>
      <c r="P257">
        <f>Database!AK249</f>
        <v/>
      </c>
      <c r="Q257">
        <f>Database!G249</f>
        <v/>
      </c>
    </row>
    <row r="258">
      <c r="A258">
        <f>Database!B258</f>
        <v/>
      </c>
      <c r="B258">
        <f>IF(AND(Screener!$D$9&lt;&gt;"",Database!$E258=Screener!$D$9),1,0)</f>
        <v/>
      </c>
      <c r="C258">
        <f>IF(AND(Screener!$D$8&lt;&gt;"",Database!$D258=Screener!$D$8),1,0)</f>
        <v/>
      </c>
      <c r="D258">
        <f>IF(OR(Database!$H258="",N(Screener!$D$10)&lt;=0),0,MAX(0,1-ABS(LOG10(Database!$H258/Screener!$D$10))/W_SIZEHW))</f>
        <v/>
      </c>
      <c r="E258">
        <f>IF(OR(Database!$AH258="",Screener!$D$11=""),0,IF(Database!$AH258=Screener!$D$11,1,0))</f>
        <v/>
      </c>
      <c r="F258">
        <f>IF(OR(Database!$AK258="",Screener!$D$12=""),0,IF(Database!$AK258=Screener!$D$12,1,0))</f>
        <v/>
      </c>
      <c r="G258">
        <f>IF(OR(Database!$G258="",N(Screener!$D$13)&lt;=0),0,MAX(0,1-(N(Screener!$D$13)-Database!$G258)/W_RECD))</f>
        <v/>
      </c>
      <c r="H258">
        <f>IF($K$1="",0,N(ISNUMBER(SEARCH($K$1,Database!$T258&amp;""))))+IF($L$1="",0,N(ISNUMBER(SEARCH($L$1,Database!$T258&amp;""))))+IF($M$1="",0,N(ISNUMBER(SEARCH($M$1,Database!$T258&amp;""))))+IF($N$1="",0,N(ISNUMBER(SEARCH($N$1,Database!$T258&amp;""))))+IF($O$1="",0,N(ISNUMBER(SEARCH($O$1,Database!$T258&amp;""))))+IF(Screener!$B$14="",0,N(ISNUMBER(SEARCH(Screener!$B$14,Database!$T258&amp;""))))</f>
        <v/>
      </c>
      <c r="I258">
        <f>IF(OR(Database!$B258=Screener!$B$5,IF(OR(Screener!$B$17="All",AND(Screener!$B$17="With A-share",(Database!$AL258&lt;&gt;"")),AND(Screener!$B$17="Without A-share",NOT((Database!$AL258&lt;&gt;"")))),1,0)=0),-999999,IF(Screener!$B$15="cornerstone overlap first",H258*100000,0)+W_SUB*B258+W_SEC*C258*(1-B258)+W_SIZE*D258+W_PROF*E258+W_AH*F258+W_REC*G258+W_CS*H258)+ROW()/1000000</f>
        <v/>
      </c>
      <c r="K258">
        <f>Database!B250</f>
        <v/>
      </c>
      <c r="L258">
        <f>Database!D250</f>
        <v/>
      </c>
      <c r="M258">
        <f>Database!E250</f>
        <v/>
      </c>
      <c r="N258">
        <f>Database!H250</f>
        <v/>
      </c>
      <c r="O258">
        <f>Database!AH250</f>
        <v/>
      </c>
      <c r="P258">
        <f>Database!AK250</f>
        <v/>
      </c>
      <c r="Q258">
        <f>Database!G250</f>
        <v/>
      </c>
    </row>
    <row r="259">
      <c r="A259">
        <f>Database!B259</f>
        <v/>
      </c>
      <c r="B259">
        <f>IF(AND(Screener!$D$9&lt;&gt;"",Database!$E259=Screener!$D$9),1,0)</f>
        <v/>
      </c>
      <c r="C259">
        <f>IF(AND(Screener!$D$8&lt;&gt;"",Database!$D259=Screener!$D$8),1,0)</f>
        <v/>
      </c>
      <c r="D259">
        <f>IF(OR(Database!$H259="",N(Screener!$D$10)&lt;=0),0,MAX(0,1-ABS(LOG10(Database!$H259/Screener!$D$10))/W_SIZEHW))</f>
        <v/>
      </c>
      <c r="E259">
        <f>IF(OR(Database!$AH259="",Screener!$D$11=""),0,IF(Database!$AH259=Screener!$D$11,1,0))</f>
        <v/>
      </c>
      <c r="F259">
        <f>IF(OR(Database!$AK259="",Screener!$D$12=""),0,IF(Database!$AK259=Screener!$D$12,1,0))</f>
        <v/>
      </c>
      <c r="G259">
        <f>IF(OR(Database!$G259="",N(Screener!$D$13)&lt;=0),0,MAX(0,1-(N(Screener!$D$13)-Database!$G259)/W_RECD))</f>
        <v/>
      </c>
      <c r="H259">
        <f>IF($K$1="",0,N(ISNUMBER(SEARCH($K$1,Database!$T259&amp;""))))+IF($L$1="",0,N(ISNUMBER(SEARCH($L$1,Database!$T259&amp;""))))+IF($M$1="",0,N(ISNUMBER(SEARCH($M$1,Database!$T259&amp;""))))+IF($N$1="",0,N(ISNUMBER(SEARCH($N$1,Database!$T259&amp;""))))+IF($O$1="",0,N(ISNUMBER(SEARCH($O$1,Database!$T259&amp;""))))+IF(Screener!$B$14="",0,N(ISNUMBER(SEARCH(Screener!$B$14,Database!$T259&amp;""))))</f>
        <v/>
      </c>
      <c r="I259">
        <f>IF(OR(Database!$B259=Screener!$B$5,IF(OR(Screener!$B$17="All",AND(Screener!$B$17="With A-share",(Database!$AL259&lt;&gt;"")),AND(Screener!$B$17="Without A-share",NOT((Database!$AL259&lt;&gt;"")))),1,0)=0),-999999,IF(Screener!$B$15="cornerstone overlap first",H259*100000,0)+W_SUB*B259+W_SEC*C259*(1-B259)+W_SIZE*D259+W_PROF*E259+W_AH*F259+W_REC*G259+W_CS*H259)+ROW()/1000000</f>
        <v/>
      </c>
      <c r="K259">
        <f>Database!B251</f>
        <v/>
      </c>
      <c r="L259">
        <f>Database!D251</f>
        <v/>
      </c>
      <c r="M259">
        <f>Database!E251</f>
        <v/>
      </c>
      <c r="N259">
        <f>Database!H251</f>
        <v/>
      </c>
      <c r="O259">
        <f>Database!AH251</f>
        <v/>
      </c>
      <c r="P259">
        <f>Database!AK251</f>
        <v/>
      </c>
      <c r="Q259">
        <f>Database!G251</f>
        <v/>
      </c>
    </row>
    <row r="260">
      <c r="A260">
        <f>Database!B260</f>
        <v/>
      </c>
      <c r="B260">
        <f>IF(AND(Screener!$D$9&lt;&gt;"",Database!$E260=Screener!$D$9),1,0)</f>
        <v/>
      </c>
      <c r="C260">
        <f>IF(AND(Screener!$D$8&lt;&gt;"",Database!$D260=Screener!$D$8),1,0)</f>
        <v/>
      </c>
      <c r="D260">
        <f>IF(OR(Database!$H260="",N(Screener!$D$10)&lt;=0),0,MAX(0,1-ABS(LOG10(Database!$H260/Screener!$D$10))/W_SIZEHW))</f>
        <v/>
      </c>
      <c r="E260">
        <f>IF(OR(Database!$AH260="",Screener!$D$11=""),0,IF(Database!$AH260=Screener!$D$11,1,0))</f>
        <v/>
      </c>
      <c r="F260">
        <f>IF(OR(Database!$AK260="",Screener!$D$12=""),0,IF(Database!$AK260=Screener!$D$12,1,0))</f>
        <v/>
      </c>
      <c r="G260">
        <f>IF(OR(Database!$G260="",N(Screener!$D$13)&lt;=0),0,MAX(0,1-(N(Screener!$D$13)-Database!$G260)/W_RECD))</f>
        <v/>
      </c>
      <c r="H260">
        <f>IF($K$1="",0,N(ISNUMBER(SEARCH($K$1,Database!$T260&amp;""))))+IF($L$1="",0,N(ISNUMBER(SEARCH($L$1,Database!$T260&amp;""))))+IF($M$1="",0,N(ISNUMBER(SEARCH($M$1,Database!$T260&amp;""))))+IF($N$1="",0,N(ISNUMBER(SEARCH($N$1,Database!$T260&amp;""))))+IF($O$1="",0,N(ISNUMBER(SEARCH($O$1,Database!$T260&amp;""))))+IF(Screener!$B$14="",0,N(ISNUMBER(SEARCH(Screener!$B$14,Database!$T260&amp;""))))</f>
        <v/>
      </c>
      <c r="I260">
        <f>IF(OR(Database!$B260=Screener!$B$5,IF(OR(Screener!$B$17="All",AND(Screener!$B$17="With A-share",(Database!$AL260&lt;&gt;"")),AND(Screener!$B$17="Without A-share",NOT((Database!$AL260&lt;&gt;"")))),1,0)=0),-999999,IF(Screener!$B$15="cornerstone overlap first",H260*100000,0)+W_SUB*B260+W_SEC*C260*(1-B260)+W_SIZE*D260+W_PROF*E260+W_AH*F260+W_REC*G260+W_CS*H260)+ROW()/1000000</f>
        <v/>
      </c>
      <c r="K260">
        <f>Database!B252</f>
        <v/>
      </c>
      <c r="L260">
        <f>Database!D252</f>
        <v/>
      </c>
      <c r="M260">
        <f>Database!E252</f>
        <v/>
      </c>
      <c r="N260">
        <f>Database!H252</f>
        <v/>
      </c>
      <c r="O260">
        <f>Database!AH252</f>
        <v/>
      </c>
      <c r="P260">
        <f>Database!AK252</f>
        <v/>
      </c>
      <c r="Q260">
        <f>Database!G252</f>
        <v/>
      </c>
    </row>
    <row r="261">
      <c r="A261">
        <f>Database!B261</f>
        <v/>
      </c>
      <c r="B261">
        <f>IF(AND(Screener!$D$9&lt;&gt;"",Database!$E261=Screener!$D$9),1,0)</f>
        <v/>
      </c>
      <c r="C261">
        <f>IF(AND(Screener!$D$8&lt;&gt;"",Database!$D261=Screener!$D$8),1,0)</f>
        <v/>
      </c>
      <c r="D261">
        <f>IF(OR(Database!$H261="",N(Screener!$D$10)&lt;=0),0,MAX(0,1-ABS(LOG10(Database!$H261/Screener!$D$10))/W_SIZEHW))</f>
        <v/>
      </c>
      <c r="E261">
        <f>IF(OR(Database!$AH261="",Screener!$D$11=""),0,IF(Database!$AH261=Screener!$D$11,1,0))</f>
        <v/>
      </c>
      <c r="F261">
        <f>IF(OR(Database!$AK261="",Screener!$D$12=""),0,IF(Database!$AK261=Screener!$D$12,1,0))</f>
        <v/>
      </c>
      <c r="G261">
        <f>IF(OR(Database!$G261="",N(Screener!$D$13)&lt;=0),0,MAX(0,1-(N(Screener!$D$13)-Database!$G261)/W_RECD))</f>
        <v/>
      </c>
      <c r="H261">
        <f>IF($K$1="",0,N(ISNUMBER(SEARCH($K$1,Database!$T261&amp;""))))+IF($L$1="",0,N(ISNUMBER(SEARCH($L$1,Database!$T261&amp;""))))+IF($M$1="",0,N(ISNUMBER(SEARCH($M$1,Database!$T261&amp;""))))+IF($N$1="",0,N(ISNUMBER(SEARCH($N$1,Database!$T261&amp;""))))+IF($O$1="",0,N(ISNUMBER(SEARCH($O$1,Database!$T261&amp;""))))+IF(Screener!$B$14="",0,N(ISNUMBER(SEARCH(Screener!$B$14,Database!$T261&amp;""))))</f>
        <v/>
      </c>
      <c r="I261">
        <f>IF(OR(Database!$B261=Screener!$B$5,IF(OR(Screener!$B$17="All",AND(Screener!$B$17="With A-share",(Database!$AL261&lt;&gt;"")),AND(Screener!$B$17="Without A-share",NOT((Database!$AL261&lt;&gt;"")))),1,0)=0),-999999,IF(Screener!$B$15="cornerstone overlap first",H261*100000,0)+W_SUB*B261+W_SEC*C261*(1-B261)+W_SIZE*D261+W_PROF*E261+W_AH*F261+W_REC*G261+W_CS*H261)+ROW()/1000000</f>
        <v/>
      </c>
      <c r="K261">
        <f>Database!B253</f>
        <v/>
      </c>
      <c r="L261">
        <f>Database!D253</f>
        <v/>
      </c>
      <c r="M261">
        <f>Database!E253</f>
        <v/>
      </c>
      <c r="N261">
        <f>Database!H253</f>
        <v/>
      </c>
      <c r="O261">
        <f>Database!AH253</f>
        <v/>
      </c>
      <c r="P261">
        <f>Database!AK253</f>
        <v/>
      </c>
      <c r="Q261">
        <f>Database!G253</f>
        <v/>
      </c>
    </row>
    <row r="262">
      <c r="A262">
        <f>Database!B262</f>
        <v/>
      </c>
      <c r="B262">
        <f>IF(AND(Screener!$D$9&lt;&gt;"",Database!$E262=Screener!$D$9),1,0)</f>
        <v/>
      </c>
      <c r="C262">
        <f>IF(AND(Screener!$D$8&lt;&gt;"",Database!$D262=Screener!$D$8),1,0)</f>
        <v/>
      </c>
      <c r="D262">
        <f>IF(OR(Database!$H262="",N(Screener!$D$10)&lt;=0),0,MAX(0,1-ABS(LOG10(Database!$H262/Screener!$D$10))/W_SIZEHW))</f>
        <v/>
      </c>
      <c r="E262">
        <f>IF(OR(Database!$AH262="",Screener!$D$11=""),0,IF(Database!$AH262=Screener!$D$11,1,0))</f>
        <v/>
      </c>
      <c r="F262">
        <f>IF(OR(Database!$AK262="",Screener!$D$12=""),0,IF(Database!$AK262=Screener!$D$12,1,0))</f>
        <v/>
      </c>
      <c r="G262">
        <f>IF(OR(Database!$G262="",N(Screener!$D$13)&lt;=0),0,MAX(0,1-(N(Screener!$D$13)-Database!$G262)/W_RECD))</f>
        <v/>
      </c>
      <c r="H262">
        <f>IF($K$1="",0,N(ISNUMBER(SEARCH($K$1,Database!$T262&amp;""))))+IF($L$1="",0,N(ISNUMBER(SEARCH($L$1,Database!$T262&amp;""))))+IF($M$1="",0,N(ISNUMBER(SEARCH($M$1,Database!$T262&amp;""))))+IF($N$1="",0,N(ISNUMBER(SEARCH($N$1,Database!$T262&amp;""))))+IF($O$1="",0,N(ISNUMBER(SEARCH($O$1,Database!$T262&amp;""))))+IF(Screener!$B$14="",0,N(ISNUMBER(SEARCH(Screener!$B$14,Database!$T262&amp;""))))</f>
        <v/>
      </c>
      <c r="I262">
        <f>IF(OR(Database!$B262=Screener!$B$5,IF(OR(Screener!$B$17="All",AND(Screener!$B$17="With A-share",(Database!$AL262&lt;&gt;"")),AND(Screener!$B$17="Without A-share",NOT((Database!$AL262&lt;&gt;"")))),1,0)=0),-999999,IF(Screener!$B$15="cornerstone overlap first",H262*100000,0)+W_SUB*B262+W_SEC*C262*(1-B262)+W_SIZE*D262+W_PROF*E262+W_AH*F262+W_REC*G262+W_CS*H262)+ROW()/1000000</f>
        <v/>
      </c>
      <c r="K262">
        <f>Database!B254</f>
        <v/>
      </c>
      <c r="L262">
        <f>Database!D254</f>
        <v/>
      </c>
      <c r="M262">
        <f>Database!E254</f>
        <v/>
      </c>
      <c r="N262">
        <f>Database!H254</f>
        <v/>
      </c>
      <c r="O262">
        <f>Database!AH254</f>
        <v/>
      </c>
      <c r="P262">
        <f>Database!AK254</f>
        <v/>
      </c>
      <c r="Q262">
        <f>Database!G254</f>
        <v/>
      </c>
    </row>
    <row r="263">
      <c r="A263">
        <f>Database!B263</f>
        <v/>
      </c>
      <c r="B263">
        <f>IF(AND(Screener!$D$9&lt;&gt;"",Database!$E263=Screener!$D$9),1,0)</f>
        <v/>
      </c>
      <c r="C263">
        <f>IF(AND(Screener!$D$8&lt;&gt;"",Database!$D263=Screener!$D$8),1,0)</f>
        <v/>
      </c>
      <c r="D263">
        <f>IF(OR(Database!$H263="",N(Screener!$D$10)&lt;=0),0,MAX(0,1-ABS(LOG10(Database!$H263/Screener!$D$10))/W_SIZEHW))</f>
        <v/>
      </c>
      <c r="E263">
        <f>IF(OR(Database!$AH263="",Screener!$D$11=""),0,IF(Database!$AH263=Screener!$D$11,1,0))</f>
        <v/>
      </c>
      <c r="F263">
        <f>IF(OR(Database!$AK263="",Screener!$D$12=""),0,IF(Database!$AK263=Screener!$D$12,1,0))</f>
        <v/>
      </c>
      <c r="G263">
        <f>IF(OR(Database!$G263="",N(Screener!$D$13)&lt;=0),0,MAX(0,1-(N(Screener!$D$13)-Database!$G263)/W_RECD))</f>
        <v/>
      </c>
      <c r="H263">
        <f>IF($K$1="",0,N(ISNUMBER(SEARCH($K$1,Database!$T263&amp;""))))+IF($L$1="",0,N(ISNUMBER(SEARCH($L$1,Database!$T263&amp;""))))+IF($M$1="",0,N(ISNUMBER(SEARCH($M$1,Database!$T263&amp;""))))+IF($N$1="",0,N(ISNUMBER(SEARCH($N$1,Database!$T263&amp;""))))+IF($O$1="",0,N(ISNUMBER(SEARCH($O$1,Database!$T263&amp;""))))+IF(Screener!$B$14="",0,N(ISNUMBER(SEARCH(Screener!$B$14,Database!$T263&amp;""))))</f>
        <v/>
      </c>
      <c r="I263">
        <f>IF(OR(Database!$B263=Screener!$B$5,IF(OR(Screener!$B$17="All",AND(Screener!$B$17="With A-share",(Database!$AL263&lt;&gt;"")),AND(Screener!$B$17="Without A-share",NOT((Database!$AL263&lt;&gt;"")))),1,0)=0),-999999,IF(Screener!$B$15="cornerstone overlap first",H263*100000,0)+W_SUB*B263+W_SEC*C263*(1-B263)+W_SIZE*D263+W_PROF*E263+W_AH*F263+W_REC*G263+W_CS*H263)+ROW()/1000000</f>
        <v/>
      </c>
      <c r="K263">
        <f>Database!B255</f>
        <v/>
      </c>
      <c r="L263">
        <f>Database!D255</f>
        <v/>
      </c>
      <c r="M263">
        <f>Database!E255</f>
        <v/>
      </c>
      <c r="N263">
        <f>Database!H255</f>
        <v/>
      </c>
      <c r="O263">
        <f>Database!AH255</f>
        <v/>
      </c>
      <c r="P263">
        <f>Database!AK255</f>
        <v/>
      </c>
      <c r="Q263">
        <f>Database!G255</f>
        <v/>
      </c>
    </row>
    <row r="264">
      <c r="A264">
        <f>Database!B264</f>
        <v/>
      </c>
      <c r="B264">
        <f>IF(AND(Screener!$D$9&lt;&gt;"",Database!$E264=Screener!$D$9),1,0)</f>
        <v/>
      </c>
      <c r="C264">
        <f>IF(AND(Screener!$D$8&lt;&gt;"",Database!$D264=Screener!$D$8),1,0)</f>
        <v/>
      </c>
      <c r="D264">
        <f>IF(OR(Database!$H264="",N(Screener!$D$10)&lt;=0),0,MAX(0,1-ABS(LOG10(Database!$H264/Screener!$D$10))/W_SIZEHW))</f>
        <v/>
      </c>
      <c r="E264">
        <f>IF(OR(Database!$AH264="",Screener!$D$11=""),0,IF(Database!$AH264=Screener!$D$11,1,0))</f>
        <v/>
      </c>
      <c r="F264">
        <f>IF(OR(Database!$AK264="",Screener!$D$12=""),0,IF(Database!$AK264=Screener!$D$12,1,0))</f>
        <v/>
      </c>
      <c r="G264">
        <f>IF(OR(Database!$G264="",N(Screener!$D$13)&lt;=0),0,MAX(0,1-(N(Screener!$D$13)-Database!$G264)/W_RECD))</f>
        <v/>
      </c>
      <c r="H264">
        <f>IF($K$1="",0,N(ISNUMBER(SEARCH($K$1,Database!$T264&amp;""))))+IF($L$1="",0,N(ISNUMBER(SEARCH($L$1,Database!$T264&amp;""))))+IF($M$1="",0,N(ISNUMBER(SEARCH($M$1,Database!$T264&amp;""))))+IF($N$1="",0,N(ISNUMBER(SEARCH($N$1,Database!$T264&amp;""))))+IF($O$1="",0,N(ISNUMBER(SEARCH($O$1,Database!$T264&amp;""))))+IF(Screener!$B$14="",0,N(ISNUMBER(SEARCH(Screener!$B$14,Database!$T264&amp;""))))</f>
        <v/>
      </c>
      <c r="I264">
        <f>IF(OR(Database!$B264=Screener!$B$5,IF(OR(Screener!$B$17="All",AND(Screener!$B$17="With A-share",(Database!$AL264&lt;&gt;"")),AND(Screener!$B$17="Without A-share",NOT((Database!$AL264&lt;&gt;"")))),1,0)=0),-999999,IF(Screener!$B$15="cornerstone overlap first",H264*100000,0)+W_SUB*B264+W_SEC*C264*(1-B264)+W_SIZE*D264+W_PROF*E264+W_AH*F264+W_REC*G264+W_CS*H264)+ROW()/1000000</f>
        <v/>
      </c>
      <c r="K264">
        <f>Database!B256</f>
        <v/>
      </c>
      <c r="L264">
        <f>Database!D256</f>
        <v/>
      </c>
      <c r="M264">
        <f>Database!E256</f>
        <v/>
      </c>
      <c r="N264">
        <f>Database!H256</f>
        <v/>
      </c>
      <c r="O264">
        <f>Database!AH256</f>
        <v/>
      </c>
      <c r="P264">
        <f>Database!AK256</f>
        <v/>
      </c>
      <c r="Q264">
        <f>Database!G256</f>
        <v/>
      </c>
    </row>
    <row r="265">
      <c r="A265">
        <f>Database!B265</f>
        <v/>
      </c>
      <c r="B265">
        <f>IF(AND(Screener!$D$9&lt;&gt;"",Database!$E265=Screener!$D$9),1,0)</f>
        <v/>
      </c>
      <c r="C265">
        <f>IF(AND(Screener!$D$8&lt;&gt;"",Database!$D265=Screener!$D$8),1,0)</f>
        <v/>
      </c>
      <c r="D265">
        <f>IF(OR(Database!$H265="",N(Screener!$D$10)&lt;=0),0,MAX(0,1-ABS(LOG10(Database!$H265/Screener!$D$10))/W_SIZEHW))</f>
        <v/>
      </c>
      <c r="E265">
        <f>IF(OR(Database!$AH265="",Screener!$D$11=""),0,IF(Database!$AH265=Screener!$D$11,1,0))</f>
        <v/>
      </c>
      <c r="F265">
        <f>IF(OR(Database!$AK265="",Screener!$D$12=""),0,IF(Database!$AK265=Screener!$D$12,1,0))</f>
        <v/>
      </c>
      <c r="G265">
        <f>IF(OR(Database!$G265="",N(Screener!$D$13)&lt;=0),0,MAX(0,1-(N(Screener!$D$13)-Database!$G265)/W_RECD))</f>
        <v/>
      </c>
      <c r="H265">
        <f>IF($K$1="",0,N(ISNUMBER(SEARCH($K$1,Database!$T265&amp;""))))+IF($L$1="",0,N(ISNUMBER(SEARCH($L$1,Database!$T265&amp;""))))+IF($M$1="",0,N(ISNUMBER(SEARCH($M$1,Database!$T265&amp;""))))+IF($N$1="",0,N(ISNUMBER(SEARCH($N$1,Database!$T265&amp;""))))+IF($O$1="",0,N(ISNUMBER(SEARCH($O$1,Database!$T265&amp;""))))+IF(Screener!$B$14="",0,N(ISNUMBER(SEARCH(Screener!$B$14,Database!$T265&amp;""))))</f>
        <v/>
      </c>
      <c r="I265">
        <f>IF(OR(Database!$B265=Screener!$B$5,IF(OR(Screener!$B$17="All",AND(Screener!$B$17="With A-share",(Database!$AL265&lt;&gt;"")),AND(Screener!$B$17="Without A-share",NOT((Database!$AL265&lt;&gt;"")))),1,0)=0),-999999,IF(Screener!$B$15="cornerstone overlap first",H265*100000,0)+W_SUB*B265+W_SEC*C265*(1-B265)+W_SIZE*D265+W_PROF*E265+W_AH*F265+W_REC*G265+W_CS*H265)+ROW()/1000000</f>
        <v/>
      </c>
      <c r="K265">
        <f>Database!B257</f>
        <v/>
      </c>
      <c r="L265">
        <f>Database!D257</f>
        <v/>
      </c>
      <c r="M265">
        <f>Database!E257</f>
        <v/>
      </c>
      <c r="N265">
        <f>Database!H257</f>
        <v/>
      </c>
      <c r="O265">
        <f>Database!AH257</f>
        <v/>
      </c>
      <c r="P265">
        <f>Database!AK257</f>
        <v/>
      </c>
      <c r="Q265">
        <f>Database!G257</f>
        <v/>
      </c>
    </row>
    <row r="266">
      <c r="A266">
        <f>Database!B266</f>
        <v/>
      </c>
      <c r="B266">
        <f>IF(AND(Screener!$D$9&lt;&gt;"",Database!$E266=Screener!$D$9),1,0)</f>
        <v/>
      </c>
      <c r="C266">
        <f>IF(AND(Screener!$D$8&lt;&gt;"",Database!$D266=Screener!$D$8),1,0)</f>
        <v/>
      </c>
      <c r="D266">
        <f>IF(OR(Database!$H266="",N(Screener!$D$10)&lt;=0),0,MAX(0,1-ABS(LOG10(Database!$H266/Screener!$D$10))/W_SIZEHW))</f>
        <v/>
      </c>
      <c r="E266">
        <f>IF(OR(Database!$AH266="",Screener!$D$11=""),0,IF(Database!$AH266=Screener!$D$11,1,0))</f>
        <v/>
      </c>
      <c r="F266">
        <f>IF(OR(Database!$AK266="",Screener!$D$12=""),0,IF(Database!$AK266=Screener!$D$12,1,0))</f>
        <v/>
      </c>
      <c r="G266">
        <f>IF(OR(Database!$G266="",N(Screener!$D$13)&lt;=0),0,MAX(0,1-(N(Screener!$D$13)-Database!$G266)/W_RECD))</f>
        <v/>
      </c>
      <c r="H266">
        <f>IF($K$1="",0,N(ISNUMBER(SEARCH($K$1,Database!$T266&amp;""))))+IF($L$1="",0,N(ISNUMBER(SEARCH($L$1,Database!$T266&amp;""))))+IF($M$1="",0,N(ISNUMBER(SEARCH($M$1,Database!$T266&amp;""))))+IF($N$1="",0,N(ISNUMBER(SEARCH($N$1,Database!$T266&amp;""))))+IF($O$1="",0,N(ISNUMBER(SEARCH($O$1,Database!$T266&amp;""))))+IF(Screener!$B$14="",0,N(ISNUMBER(SEARCH(Screener!$B$14,Database!$T266&amp;""))))</f>
        <v/>
      </c>
      <c r="I266">
        <f>IF(OR(Database!$B266=Screener!$B$5,IF(OR(Screener!$B$17="All",AND(Screener!$B$17="With A-share",(Database!$AL266&lt;&gt;"")),AND(Screener!$B$17="Without A-share",NOT((Database!$AL266&lt;&gt;"")))),1,0)=0),-999999,IF(Screener!$B$15="cornerstone overlap first",H266*100000,0)+W_SUB*B266+W_SEC*C266*(1-B266)+W_SIZE*D266+W_PROF*E266+W_AH*F266+W_REC*G266+W_CS*H266)+ROW()/1000000</f>
        <v/>
      </c>
      <c r="K266">
        <f>Database!B258</f>
        <v/>
      </c>
      <c r="L266">
        <f>Database!D258</f>
        <v/>
      </c>
      <c r="M266">
        <f>Database!E258</f>
        <v/>
      </c>
      <c r="N266">
        <f>Database!H258</f>
        <v/>
      </c>
      <c r="O266">
        <f>Database!AH258</f>
        <v/>
      </c>
      <c r="P266">
        <f>Database!AK258</f>
        <v/>
      </c>
      <c r="Q266">
        <f>Database!G258</f>
        <v/>
      </c>
    </row>
    <row r="267">
      <c r="A267">
        <f>Database!B267</f>
        <v/>
      </c>
      <c r="B267">
        <f>IF(AND(Screener!$D$9&lt;&gt;"",Database!$E267=Screener!$D$9),1,0)</f>
        <v/>
      </c>
      <c r="C267">
        <f>IF(AND(Screener!$D$8&lt;&gt;"",Database!$D267=Screener!$D$8),1,0)</f>
        <v/>
      </c>
      <c r="D267">
        <f>IF(OR(Database!$H267="",N(Screener!$D$10)&lt;=0),0,MAX(0,1-ABS(LOG10(Database!$H267/Screener!$D$10))/W_SIZEHW))</f>
        <v/>
      </c>
      <c r="E267">
        <f>IF(OR(Database!$AH267="",Screener!$D$11=""),0,IF(Database!$AH267=Screener!$D$11,1,0))</f>
        <v/>
      </c>
      <c r="F267">
        <f>IF(OR(Database!$AK267="",Screener!$D$12=""),0,IF(Database!$AK267=Screener!$D$12,1,0))</f>
        <v/>
      </c>
      <c r="G267">
        <f>IF(OR(Database!$G267="",N(Screener!$D$13)&lt;=0),0,MAX(0,1-(N(Screener!$D$13)-Database!$G267)/W_RECD))</f>
        <v/>
      </c>
      <c r="H267">
        <f>IF($K$1="",0,N(ISNUMBER(SEARCH($K$1,Database!$T267&amp;""))))+IF($L$1="",0,N(ISNUMBER(SEARCH($L$1,Database!$T267&amp;""))))+IF($M$1="",0,N(ISNUMBER(SEARCH($M$1,Database!$T267&amp;""))))+IF($N$1="",0,N(ISNUMBER(SEARCH($N$1,Database!$T267&amp;""))))+IF($O$1="",0,N(ISNUMBER(SEARCH($O$1,Database!$T267&amp;""))))+IF(Screener!$B$14="",0,N(ISNUMBER(SEARCH(Screener!$B$14,Database!$T267&amp;""))))</f>
        <v/>
      </c>
      <c r="I267">
        <f>IF(OR(Database!$B267=Screener!$B$5,IF(OR(Screener!$B$17="All",AND(Screener!$B$17="With A-share",(Database!$AL267&lt;&gt;"")),AND(Screener!$B$17="Without A-share",NOT((Database!$AL267&lt;&gt;"")))),1,0)=0),-999999,IF(Screener!$B$15="cornerstone overlap first",H267*100000,0)+W_SUB*B267+W_SEC*C267*(1-B267)+W_SIZE*D267+W_PROF*E267+W_AH*F267+W_REC*G267+W_CS*H267)+ROW()/1000000</f>
        <v/>
      </c>
      <c r="K267">
        <f>Database!B259</f>
        <v/>
      </c>
      <c r="L267">
        <f>Database!D259</f>
        <v/>
      </c>
      <c r="M267">
        <f>Database!E259</f>
        <v/>
      </c>
      <c r="N267">
        <f>Database!H259</f>
        <v/>
      </c>
      <c r="O267">
        <f>Database!AH259</f>
        <v/>
      </c>
      <c r="P267">
        <f>Database!AK259</f>
        <v/>
      </c>
      <c r="Q267">
        <f>Database!G259</f>
        <v/>
      </c>
    </row>
    <row r="268">
      <c r="A268">
        <f>Database!B268</f>
        <v/>
      </c>
      <c r="B268">
        <f>IF(AND(Screener!$D$9&lt;&gt;"",Database!$E268=Screener!$D$9),1,0)</f>
        <v/>
      </c>
      <c r="C268">
        <f>IF(AND(Screener!$D$8&lt;&gt;"",Database!$D268=Screener!$D$8),1,0)</f>
        <v/>
      </c>
      <c r="D268">
        <f>IF(OR(Database!$H268="",N(Screener!$D$10)&lt;=0),0,MAX(0,1-ABS(LOG10(Database!$H268/Screener!$D$10))/W_SIZEHW))</f>
        <v/>
      </c>
      <c r="E268">
        <f>IF(OR(Database!$AH268="",Screener!$D$11=""),0,IF(Database!$AH268=Screener!$D$11,1,0))</f>
        <v/>
      </c>
      <c r="F268">
        <f>IF(OR(Database!$AK268="",Screener!$D$12=""),0,IF(Database!$AK268=Screener!$D$12,1,0))</f>
        <v/>
      </c>
      <c r="G268">
        <f>IF(OR(Database!$G268="",N(Screener!$D$13)&lt;=0),0,MAX(0,1-(N(Screener!$D$13)-Database!$G268)/W_RECD))</f>
        <v/>
      </c>
      <c r="H268">
        <f>IF($K$1="",0,N(ISNUMBER(SEARCH($K$1,Database!$T268&amp;""))))+IF($L$1="",0,N(ISNUMBER(SEARCH($L$1,Database!$T268&amp;""))))+IF($M$1="",0,N(ISNUMBER(SEARCH($M$1,Database!$T268&amp;""))))+IF($N$1="",0,N(ISNUMBER(SEARCH($N$1,Database!$T268&amp;""))))+IF($O$1="",0,N(ISNUMBER(SEARCH($O$1,Database!$T268&amp;""))))+IF(Screener!$B$14="",0,N(ISNUMBER(SEARCH(Screener!$B$14,Database!$T268&amp;""))))</f>
        <v/>
      </c>
      <c r="I268">
        <f>IF(OR(Database!$B268=Screener!$B$5,IF(OR(Screener!$B$17="All",AND(Screener!$B$17="With A-share",(Database!$AL268&lt;&gt;"")),AND(Screener!$B$17="Without A-share",NOT((Database!$AL268&lt;&gt;"")))),1,0)=0),-999999,IF(Screener!$B$15="cornerstone overlap first",H268*100000,0)+W_SUB*B268+W_SEC*C268*(1-B268)+W_SIZE*D268+W_PROF*E268+W_AH*F268+W_REC*G268+W_CS*H268)+ROW()/1000000</f>
        <v/>
      </c>
      <c r="K268">
        <f>Database!B260</f>
        <v/>
      </c>
      <c r="L268">
        <f>Database!D260</f>
        <v/>
      </c>
      <c r="M268">
        <f>Database!E260</f>
        <v/>
      </c>
      <c r="N268">
        <f>Database!H260</f>
        <v/>
      </c>
      <c r="O268">
        <f>Database!AH260</f>
        <v/>
      </c>
      <c r="P268">
        <f>Database!AK260</f>
        <v/>
      </c>
      <c r="Q268">
        <f>Database!G260</f>
        <v/>
      </c>
    </row>
    <row r="269">
      <c r="A269">
        <f>Database!B269</f>
        <v/>
      </c>
      <c r="B269">
        <f>IF(AND(Screener!$D$9&lt;&gt;"",Database!$E269=Screener!$D$9),1,0)</f>
        <v/>
      </c>
      <c r="C269">
        <f>IF(AND(Screener!$D$8&lt;&gt;"",Database!$D269=Screener!$D$8),1,0)</f>
        <v/>
      </c>
      <c r="D269">
        <f>IF(OR(Database!$H269="",N(Screener!$D$10)&lt;=0),0,MAX(0,1-ABS(LOG10(Database!$H269/Screener!$D$10))/W_SIZEHW))</f>
        <v/>
      </c>
      <c r="E269">
        <f>IF(OR(Database!$AH269="",Screener!$D$11=""),0,IF(Database!$AH269=Screener!$D$11,1,0))</f>
        <v/>
      </c>
      <c r="F269">
        <f>IF(OR(Database!$AK269="",Screener!$D$12=""),0,IF(Database!$AK269=Screener!$D$12,1,0))</f>
        <v/>
      </c>
      <c r="G269">
        <f>IF(OR(Database!$G269="",N(Screener!$D$13)&lt;=0),0,MAX(0,1-(N(Screener!$D$13)-Database!$G269)/W_RECD))</f>
        <v/>
      </c>
      <c r="H269">
        <f>IF($K$1="",0,N(ISNUMBER(SEARCH($K$1,Database!$T269&amp;""))))+IF($L$1="",0,N(ISNUMBER(SEARCH($L$1,Database!$T269&amp;""))))+IF($M$1="",0,N(ISNUMBER(SEARCH($M$1,Database!$T269&amp;""))))+IF($N$1="",0,N(ISNUMBER(SEARCH($N$1,Database!$T269&amp;""))))+IF($O$1="",0,N(ISNUMBER(SEARCH($O$1,Database!$T269&amp;""))))+IF(Screener!$B$14="",0,N(ISNUMBER(SEARCH(Screener!$B$14,Database!$T269&amp;""))))</f>
        <v/>
      </c>
      <c r="I269">
        <f>IF(OR(Database!$B269=Screener!$B$5,IF(OR(Screener!$B$17="All",AND(Screener!$B$17="With A-share",(Database!$AL269&lt;&gt;"")),AND(Screener!$B$17="Without A-share",NOT((Database!$AL269&lt;&gt;"")))),1,0)=0),-999999,IF(Screener!$B$15="cornerstone overlap first",H269*100000,0)+W_SUB*B269+W_SEC*C269*(1-B269)+W_SIZE*D269+W_PROF*E269+W_AH*F269+W_REC*G269+W_CS*H269)+ROW()/1000000</f>
        <v/>
      </c>
      <c r="K269">
        <f>Database!B261</f>
        <v/>
      </c>
      <c r="L269">
        <f>Database!D261</f>
        <v/>
      </c>
      <c r="M269">
        <f>Database!E261</f>
        <v/>
      </c>
      <c r="N269">
        <f>Database!H261</f>
        <v/>
      </c>
      <c r="O269">
        <f>Database!AH261</f>
        <v/>
      </c>
      <c r="P269">
        <f>Database!AK261</f>
        <v/>
      </c>
      <c r="Q269">
        <f>Database!G261</f>
        <v/>
      </c>
    </row>
    <row r="270">
      <c r="A270">
        <f>Database!B270</f>
        <v/>
      </c>
      <c r="B270">
        <f>IF(AND(Screener!$D$9&lt;&gt;"",Database!$E270=Screener!$D$9),1,0)</f>
        <v/>
      </c>
      <c r="C270">
        <f>IF(AND(Screener!$D$8&lt;&gt;"",Database!$D270=Screener!$D$8),1,0)</f>
        <v/>
      </c>
      <c r="D270">
        <f>IF(OR(Database!$H270="",N(Screener!$D$10)&lt;=0),0,MAX(0,1-ABS(LOG10(Database!$H270/Screener!$D$10))/W_SIZEHW))</f>
        <v/>
      </c>
      <c r="E270">
        <f>IF(OR(Database!$AH270="",Screener!$D$11=""),0,IF(Database!$AH270=Screener!$D$11,1,0))</f>
        <v/>
      </c>
      <c r="F270">
        <f>IF(OR(Database!$AK270="",Screener!$D$12=""),0,IF(Database!$AK270=Screener!$D$12,1,0))</f>
        <v/>
      </c>
      <c r="G270">
        <f>IF(OR(Database!$G270="",N(Screener!$D$13)&lt;=0),0,MAX(0,1-(N(Screener!$D$13)-Database!$G270)/W_RECD))</f>
        <v/>
      </c>
      <c r="H270">
        <f>IF($K$1="",0,N(ISNUMBER(SEARCH($K$1,Database!$T270&amp;""))))+IF($L$1="",0,N(ISNUMBER(SEARCH($L$1,Database!$T270&amp;""))))+IF($M$1="",0,N(ISNUMBER(SEARCH($M$1,Database!$T270&amp;""))))+IF($N$1="",0,N(ISNUMBER(SEARCH($N$1,Database!$T270&amp;""))))+IF($O$1="",0,N(ISNUMBER(SEARCH($O$1,Database!$T270&amp;""))))+IF(Screener!$B$14="",0,N(ISNUMBER(SEARCH(Screener!$B$14,Database!$T270&amp;""))))</f>
        <v/>
      </c>
      <c r="I270">
        <f>IF(OR(Database!$B270=Screener!$B$5,IF(OR(Screener!$B$17="All",AND(Screener!$B$17="With A-share",(Database!$AL270&lt;&gt;"")),AND(Screener!$B$17="Without A-share",NOT((Database!$AL270&lt;&gt;"")))),1,0)=0),-999999,IF(Screener!$B$15="cornerstone overlap first",H270*100000,0)+W_SUB*B270+W_SEC*C270*(1-B270)+W_SIZE*D270+W_PROF*E270+W_AH*F270+W_REC*G270+W_CS*H270)+ROW()/1000000</f>
        <v/>
      </c>
      <c r="K270">
        <f>Database!B262</f>
        <v/>
      </c>
      <c r="L270">
        <f>Database!D262</f>
        <v/>
      </c>
      <c r="M270">
        <f>Database!E262</f>
        <v/>
      </c>
      <c r="N270">
        <f>Database!H262</f>
        <v/>
      </c>
      <c r="O270">
        <f>Database!AH262</f>
        <v/>
      </c>
      <c r="P270">
        <f>Database!AK262</f>
        <v/>
      </c>
      <c r="Q270">
        <f>Database!G262</f>
        <v/>
      </c>
    </row>
    <row r="271">
      <c r="A271">
        <f>Database!B271</f>
        <v/>
      </c>
      <c r="B271">
        <f>IF(AND(Screener!$D$9&lt;&gt;"",Database!$E271=Screener!$D$9),1,0)</f>
        <v/>
      </c>
      <c r="C271">
        <f>IF(AND(Screener!$D$8&lt;&gt;"",Database!$D271=Screener!$D$8),1,0)</f>
        <v/>
      </c>
      <c r="D271">
        <f>IF(OR(Database!$H271="",N(Screener!$D$10)&lt;=0),0,MAX(0,1-ABS(LOG10(Database!$H271/Screener!$D$10))/W_SIZEHW))</f>
        <v/>
      </c>
      <c r="E271">
        <f>IF(OR(Database!$AH271="",Screener!$D$11=""),0,IF(Database!$AH271=Screener!$D$11,1,0))</f>
        <v/>
      </c>
      <c r="F271">
        <f>IF(OR(Database!$AK271="",Screener!$D$12=""),0,IF(Database!$AK271=Screener!$D$12,1,0))</f>
        <v/>
      </c>
      <c r="G271">
        <f>IF(OR(Database!$G271="",N(Screener!$D$13)&lt;=0),0,MAX(0,1-(N(Screener!$D$13)-Database!$G271)/W_RECD))</f>
        <v/>
      </c>
      <c r="H271">
        <f>IF($K$1="",0,N(ISNUMBER(SEARCH($K$1,Database!$T271&amp;""))))+IF($L$1="",0,N(ISNUMBER(SEARCH($L$1,Database!$T271&amp;""))))+IF($M$1="",0,N(ISNUMBER(SEARCH($M$1,Database!$T271&amp;""))))+IF($N$1="",0,N(ISNUMBER(SEARCH($N$1,Database!$T271&amp;""))))+IF($O$1="",0,N(ISNUMBER(SEARCH($O$1,Database!$T271&amp;""))))+IF(Screener!$B$14="",0,N(ISNUMBER(SEARCH(Screener!$B$14,Database!$T271&amp;""))))</f>
        <v/>
      </c>
      <c r="I271">
        <f>IF(OR(Database!$B271=Screener!$B$5,IF(OR(Screener!$B$17="All",AND(Screener!$B$17="With A-share",(Database!$AL271&lt;&gt;"")),AND(Screener!$B$17="Without A-share",NOT((Database!$AL271&lt;&gt;"")))),1,0)=0),-999999,IF(Screener!$B$15="cornerstone overlap first",H271*100000,0)+W_SUB*B271+W_SEC*C271*(1-B271)+W_SIZE*D271+W_PROF*E271+W_AH*F271+W_REC*G271+W_CS*H271)+ROW()/1000000</f>
        <v/>
      </c>
      <c r="K271">
        <f>Database!B263</f>
        <v/>
      </c>
      <c r="L271">
        <f>Database!D263</f>
        <v/>
      </c>
      <c r="M271">
        <f>Database!E263</f>
        <v/>
      </c>
      <c r="N271">
        <f>Database!H263</f>
        <v/>
      </c>
      <c r="O271">
        <f>Database!AH263</f>
        <v/>
      </c>
      <c r="P271">
        <f>Database!AK263</f>
        <v/>
      </c>
      <c r="Q271">
        <f>Database!G263</f>
        <v/>
      </c>
    </row>
    <row r="272">
      <c r="A272">
        <f>Database!B272</f>
        <v/>
      </c>
      <c r="B272">
        <f>IF(AND(Screener!$D$9&lt;&gt;"",Database!$E272=Screener!$D$9),1,0)</f>
        <v/>
      </c>
      <c r="C272">
        <f>IF(AND(Screener!$D$8&lt;&gt;"",Database!$D272=Screener!$D$8),1,0)</f>
        <v/>
      </c>
      <c r="D272">
        <f>IF(OR(Database!$H272="",N(Screener!$D$10)&lt;=0),0,MAX(0,1-ABS(LOG10(Database!$H272/Screener!$D$10))/W_SIZEHW))</f>
        <v/>
      </c>
      <c r="E272">
        <f>IF(OR(Database!$AH272="",Screener!$D$11=""),0,IF(Database!$AH272=Screener!$D$11,1,0))</f>
        <v/>
      </c>
      <c r="F272">
        <f>IF(OR(Database!$AK272="",Screener!$D$12=""),0,IF(Database!$AK272=Screener!$D$12,1,0))</f>
        <v/>
      </c>
      <c r="G272">
        <f>IF(OR(Database!$G272="",N(Screener!$D$13)&lt;=0),0,MAX(0,1-(N(Screener!$D$13)-Database!$G272)/W_RECD))</f>
        <v/>
      </c>
      <c r="H272">
        <f>IF($K$1="",0,N(ISNUMBER(SEARCH($K$1,Database!$T272&amp;""))))+IF($L$1="",0,N(ISNUMBER(SEARCH($L$1,Database!$T272&amp;""))))+IF($M$1="",0,N(ISNUMBER(SEARCH($M$1,Database!$T272&amp;""))))+IF($N$1="",0,N(ISNUMBER(SEARCH($N$1,Database!$T272&amp;""))))+IF($O$1="",0,N(ISNUMBER(SEARCH($O$1,Database!$T272&amp;""))))+IF(Screener!$B$14="",0,N(ISNUMBER(SEARCH(Screener!$B$14,Database!$T272&amp;""))))</f>
        <v/>
      </c>
      <c r="I272">
        <f>IF(OR(Database!$B272=Screener!$B$5,IF(OR(Screener!$B$17="All",AND(Screener!$B$17="With A-share",(Database!$AL272&lt;&gt;"")),AND(Screener!$B$17="Without A-share",NOT((Database!$AL272&lt;&gt;"")))),1,0)=0),-999999,IF(Screener!$B$15="cornerstone overlap first",H272*100000,0)+W_SUB*B272+W_SEC*C272*(1-B272)+W_SIZE*D272+W_PROF*E272+W_AH*F272+W_REC*G272+W_CS*H272)+ROW()/1000000</f>
        <v/>
      </c>
      <c r="K272">
        <f>Database!B264</f>
        <v/>
      </c>
      <c r="L272">
        <f>Database!D264</f>
        <v/>
      </c>
      <c r="M272">
        <f>Database!E264</f>
        <v/>
      </c>
      <c r="N272">
        <f>Database!H264</f>
        <v/>
      </c>
      <c r="O272">
        <f>Database!AH264</f>
        <v/>
      </c>
      <c r="P272">
        <f>Database!AK264</f>
        <v/>
      </c>
      <c r="Q272">
        <f>Database!G264</f>
        <v/>
      </c>
    </row>
    <row r="273">
      <c r="A273">
        <f>Database!B273</f>
        <v/>
      </c>
      <c r="B273">
        <f>IF(AND(Screener!$D$9&lt;&gt;"",Database!$E273=Screener!$D$9),1,0)</f>
        <v/>
      </c>
      <c r="C273">
        <f>IF(AND(Screener!$D$8&lt;&gt;"",Database!$D273=Screener!$D$8),1,0)</f>
        <v/>
      </c>
      <c r="D273">
        <f>IF(OR(Database!$H273="",N(Screener!$D$10)&lt;=0),0,MAX(0,1-ABS(LOG10(Database!$H273/Screener!$D$10))/W_SIZEHW))</f>
        <v/>
      </c>
      <c r="E273">
        <f>IF(OR(Database!$AH273="",Screener!$D$11=""),0,IF(Database!$AH273=Screener!$D$11,1,0))</f>
        <v/>
      </c>
      <c r="F273">
        <f>IF(OR(Database!$AK273="",Screener!$D$12=""),0,IF(Database!$AK273=Screener!$D$12,1,0))</f>
        <v/>
      </c>
      <c r="G273">
        <f>IF(OR(Database!$G273="",N(Screener!$D$13)&lt;=0),0,MAX(0,1-(N(Screener!$D$13)-Database!$G273)/W_RECD))</f>
        <v/>
      </c>
      <c r="H273">
        <f>IF($K$1="",0,N(ISNUMBER(SEARCH($K$1,Database!$T273&amp;""))))+IF($L$1="",0,N(ISNUMBER(SEARCH($L$1,Database!$T273&amp;""))))+IF($M$1="",0,N(ISNUMBER(SEARCH($M$1,Database!$T273&amp;""))))+IF($N$1="",0,N(ISNUMBER(SEARCH($N$1,Database!$T273&amp;""))))+IF($O$1="",0,N(ISNUMBER(SEARCH($O$1,Database!$T273&amp;""))))+IF(Screener!$B$14="",0,N(ISNUMBER(SEARCH(Screener!$B$14,Database!$T273&amp;""))))</f>
        <v/>
      </c>
      <c r="I273">
        <f>IF(OR(Database!$B273=Screener!$B$5,IF(OR(Screener!$B$17="All",AND(Screener!$B$17="With A-share",(Database!$AL273&lt;&gt;"")),AND(Screener!$B$17="Without A-share",NOT((Database!$AL273&lt;&gt;"")))),1,0)=0),-999999,IF(Screener!$B$15="cornerstone overlap first",H273*100000,0)+W_SUB*B273+W_SEC*C273*(1-B273)+W_SIZE*D273+W_PROF*E273+W_AH*F273+W_REC*G273+W_CS*H273)+ROW()/1000000</f>
        <v/>
      </c>
      <c r="K273">
        <f>Database!B265</f>
        <v/>
      </c>
      <c r="L273">
        <f>Database!D265</f>
        <v/>
      </c>
      <c r="M273">
        <f>Database!E265</f>
        <v/>
      </c>
      <c r="N273">
        <f>Database!H265</f>
        <v/>
      </c>
      <c r="O273">
        <f>Database!AH265</f>
        <v/>
      </c>
      <c r="P273">
        <f>Database!AK265</f>
        <v/>
      </c>
      <c r="Q273">
        <f>Database!G265</f>
        <v/>
      </c>
    </row>
    <row r="274">
      <c r="A274">
        <f>Database!B274</f>
        <v/>
      </c>
      <c r="B274">
        <f>IF(AND(Screener!$D$9&lt;&gt;"",Database!$E274=Screener!$D$9),1,0)</f>
        <v/>
      </c>
      <c r="C274">
        <f>IF(AND(Screener!$D$8&lt;&gt;"",Database!$D274=Screener!$D$8),1,0)</f>
        <v/>
      </c>
      <c r="D274">
        <f>IF(OR(Database!$H274="",N(Screener!$D$10)&lt;=0),0,MAX(0,1-ABS(LOG10(Database!$H274/Screener!$D$10))/W_SIZEHW))</f>
        <v/>
      </c>
      <c r="E274">
        <f>IF(OR(Database!$AH274="",Screener!$D$11=""),0,IF(Database!$AH274=Screener!$D$11,1,0))</f>
        <v/>
      </c>
      <c r="F274">
        <f>IF(OR(Database!$AK274="",Screener!$D$12=""),0,IF(Database!$AK274=Screener!$D$12,1,0))</f>
        <v/>
      </c>
      <c r="G274">
        <f>IF(OR(Database!$G274="",N(Screener!$D$13)&lt;=0),0,MAX(0,1-(N(Screener!$D$13)-Database!$G274)/W_RECD))</f>
        <v/>
      </c>
      <c r="H274">
        <f>IF($K$1="",0,N(ISNUMBER(SEARCH($K$1,Database!$T274&amp;""))))+IF($L$1="",0,N(ISNUMBER(SEARCH($L$1,Database!$T274&amp;""))))+IF($M$1="",0,N(ISNUMBER(SEARCH($M$1,Database!$T274&amp;""))))+IF($N$1="",0,N(ISNUMBER(SEARCH($N$1,Database!$T274&amp;""))))+IF($O$1="",0,N(ISNUMBER(SEARCH($O$1,Database!$T274&amp;""))))+IF(Screener!$B$14="",0,N(ISNUMBER(SEARCH(Screener!$B$14,Database!$T274&amp;""))))</f>
        <v/>
      </c>
      <c r="I274">
        <f>IF(OR(Database!$B274=Screener!$B$5,IF(OR(Screener!$B$17="All",AND(Screener!$B$17="With A-share",(Database!$AL274&lt;&gt;"")),AND(Screener!$B$17="Without A-share",NOT((Database!$AL274&lt;&gt;"")))),1,0)=0),-999999,IF(Screener!$B$15="cornerstone overlap first",H274*100000,0)+W_SUB*B274+W_SEC*C274*(1-B274)+W_SIZE*D274+W_PROF*E274+W_AH*F274+W_REC*G274+W_CS*H274)+ROW()/1000000</f>
        <v/>
      </c>
      <c r="K274">
        <f>Database!B266</f>
        <v/>
      </c>
      <c r="L274">
        <f>Database!D266</f>
        <v/>
      </c>
      <c r="M274">
        <f>Database!E266</f>
        <v/>
      </c>
      <c r="N274">
        <f>Database!H266</f>
        <v/>
      </c>
      <c r="O274">
        <f>Database!AH266</f>
        <v/>
      </c>
      <c r="P274">
        <f>Database!AK266</f>
        <v/>
      </c>
      <c r="Q274">
        <f>Database!G266</f>
        <v/>
      </c>
    </row>
    <row r="275">
      <c r="A275">
        <f>Database!B275</f>
        <v/>
      </c>
      <c r="B275">
        <f>IF(AND(Screener!$D$9&lt;&gt;"",Database!$E275=Screener!$D$9),1,0)</f>
        <v/>
      </c>
      <c r="C275">
        <f>IF(AND(Screener!$D$8&lt;&gt;"",Database!$D275=Screener!$D$8),1,0)</f>
        <v/>
      </c>
      <c r="D275">
        <f>IF(OR(Database!$H275="",N(Screener!$D$10)&lt;=0),0,MAX(0,1-ABS(LOG10(Database!$H275/Screener!$D$10))/W_SIZEHW))</f>
        <v/>
      </c>
      <c r="E275">
        <f>IF(OR(Database!$AH275="",Screener!$D$11=""),0,IF(Database!$AH275=Screener!$D$11,1,0))</f>
        <v/>
      </c>
      <c r="F275">
        <f>IF(OR(Database!$AK275="",Screener!$D$12=""),0,IF(Database!$AK275=Screener!$D$12,1,0))</f>
        <v/>
      </c>
      <c r="G275">
        <f>IF(OR(Database!$G275="",N(Screener!$D$13)&lt;=0),0,MAX(0,1-(N(Screener!$D$13)-Database!$G275)/W_RECD))</f>
        <v/>
      </c>
      <c r="H275">
        <f>IF($K$1="",0,N(ISNUMBER(SEARCH($K$1,Database!$T275&amp;""))))+IF($L$1="",0,N(ISNUMBER(SEARCH($L$1,Database!$T275&amp;""))))+IF($M$1="",0,N(ISNUMBER(SEARCH($M$1,Database!$T275&amp;""))))+IF($N$1="",0,N(ISNUMBER(SEARCH($N$1,Database!$T275&amp;""))))+IF($O$1="",0,N(ISNUMBER(SEARCH($O$1,Database!$T275&amp;""))))+IF(Screener!$B$14="",0,N(ISNUMBER(SEARCH(Screener!$B$14,Database!$T275&amp;""))))</f>
        <v/>
      </c>
      <c r="I275">
        <f>IF(OR(Database!$B275=Screener!$B$5,IF(OR(Screener!$B$17="All",AND(Screener!$B$17="With A-share",(Database!$AL275&lt;&gt;"")),AND(Screener!$B$17="Without A-share",NOT((Database!$AL275&lt;&gt;"")))),1,0)=0),-999999,IF(Screener!$B$15="cornerstone overlap first",H275*100000,0)+W_SUB*B275+W_SEC*C275*(1-B275)+W_SIZE*D275+W_PROF*E275+W_AH*F275+W_REC*G275+W_CS*H275)+ROW()/1000000</f>
        <v/>
      </c>
      <c r="K275">
        <f>Database!B267</f>
        <v/>
      </c>
      <c r="L275">
        <f>Database!D267</f>
        <v/>
      </c>
      <c r="M275">
        <f>Database!E267</f>
        <v/>
      </c>
      <c r="N275">
        <f>Database!H267</f>
        <v/>
      </c>
      <c r="O275">
        <f>Database!AH267</f>
        <v/>
      </c>
      <c r="P275">
        <f>Database!AK267</f>
        <v/>
      </c>
      <c r="Q275">
        <f>Database!G267</f>
        <v/>
      </c>
    </row>
    <row r="276">
      <c r="A276">
        <f>Database!B276</f>
        <v/>
      </c>
      <c r="B276">
        <f>IF(AND(Screener!$D$9&lt;&gt;"",Database!$E276=Screener!$D$9),1,0)</f>
        <v/>
      </c>
      <c r="C276">
        <f>IF(AND(Screener!$D$8&lt;&gt;"",Database!$D276=Screener!$D$8),1,0)</f>
        <v/>
      </c>
      <c r="D276">
        <f>IF(OR(Database!$H276="",N(Screener!$D$10)&lt;=0),0,MAX(0,1-ABS(LOG10(Database!$H276/Screener!$D$10))/W_SIZEHW))</f>
        <v/>
      </c>
      <c r="E276">
        <f>IF(OR(Database!$AH276="",Screener!$D$11=""),0,IF(Database!$AH276=Screener!$D$11,1,0))</f>
        <v/>
      </c>
      <c r="F276">
        <f>IF(OR(Database!$AK276="",Screener!$D$12=""),0,IF(Database!$AK276=Screener!$D$12,1,0))</f>
        <v/>
      </c>
      <c r="G276">
        <f>IF(OR(Database!$G276="",N(Screener!$D$13)&lt;=0),0,MAX(0,1-(N(Screener!$D$13)-Database!$G276)/W_RECD))</f>
        <v/>
      </c>
      <c r="H276">
        <f>IF($K$1="",0,N(ISNUMBER(SEARCH($K$1,Database!$T276&amp;""))))+IF($L$1="",0,N(ISNUMBER(SEARCH($L$1,Database!$T276&amp;""))))+IF($M$1="",0,N(ISNUMBER(SEARCH($M$1,Database!$T276&amp;""))))+IF($N$1="",0,N(ISNUMBER(SEARCH($N$1,Database!$T276&amp;""))))+IF($O$1="",0,N(ISNUMBER(SEARCH($O$1,Database!$T276&amp;""))))+IF(Screener!$B$14="",0,N(ISNUMBER(SEARCH(Screener!$B$14,Database!$T276&amp;""))))</f>
        <v/>
      </c>
      <c r="I276">
        <f>IF(OR(Database!$B276=Screener!$B$5,IF(OR(Screener!$B$17="All",AND(Screener!$B$17="With A-share",(Database!$AL276&lt;&gt;"")),AND(Screener!$B$17="Without A-share",NOT((Database!$AL276&lt;&gt;"")))),1,0)=0),-999999,IF(Screener!$B$15="cornerstone overlap first",H276*100000,0)+W_SUB*B276+W_SEC*C276*(1-B276)+W_SIZE*D276+W_PROF*E276+W_AH*F276+W_REC*G276+W_CS*H276)+ROW()/1000000</f>
        <v/>
      </c>
      <c r="K276">
        <f>Database!B268</f>
        <v/>
      </c>
      <c r="L276">
        <f>Database!D268</f>
        <v/>
      </c>
      <c r="M276">
        <f>Database!E268</f>
        <v/>
      </c>
      <c r="N276">
        <f>Database!H268</f>
        <v/>
      </c>
      <c r="O276">
        <f>Database!AH268</f>
        <v/>
      </c>
      <c r="P276">
        <f>Database!AK268</f>
        <v/>
      </c>
      <c r="Q276">
        <f>Database!G268</f>
        <v/>
      </c>
    </row>
    <row r="277">
      <c r="A277">
        <f>Database!B277</f>
        <v/>
      </c>
      <c r="B277">
        <f>IF(AND(Screener!$D$9&lt;&gt;"",Database!$E277=Screener!$D$9),1,0)</f>
        <v/>
      </c>
      <c r="C277">
        <f>IF(AND(Screener!$D$8&lt;&gt;"",Database!$D277=Screener!$D$8),1,0)</f>
        <v/>
      </c>
      <c r="D277">
        <f>IF(OR(Database!$H277="",N(Screener!$D$10)&lt;=0),0,MAX(0,1-ABS(LOG10(Database!$H277/Screener!$D$10))/W_SIZEHW))</f>
        <v/>
      </c>
      <c r="E277">
        <f>IF(OR(Database!$AH277="",Screener!$D$11=""),0,IF(Database!$AH277=Screener!$D$11,1,0))</f>
        <v/>
      </c>
      <c r="F277">
        <f>IF(OR(Database!$AK277="",Screener!$D$12=""),0,IF(Database!$AK277=Screener!$D$12,1,0))</f>
        <v/>
      </c>
      <c r="G277">
        <f>IF(OR(Database!$G277="",N(Screener!$D$13)&lt;=0),0,MAX(0,1-(N(Screener!$D$13)-Database!$G277)/W_RECD))</f>
        <v/>
      </c>
      <c r="H277">
        <f>IF($K$1="",0,N(ISNUMBER(SEARCH($K$1,Database!$T277&amp;""))))+IF($L$1="",0,N(ISNUMBER(SEARCH($L$1,Database!$T277&amp;""))))+IF($M$1="",0,N(ISNUMBER(SEARCH($M$1,Database!$T277&amp;""))))+IF($N$1="",0,N(ISNUMBER(SEARCH($N$1,Database!$T277&amp;""))))+IF($O$1="",0,N(ISNUMBER(SEARCH($O$1,Database!$T277&amp;""))))+IF(Screener!$B$14="",0,N(ISNUMBER(SEARCH(Screener!$B$14,Database!$T277&amp;""))))</f>
        <v/>
      </c>
      <c r="I277">
        <f>IF(OR(Database!$B277=Screener!$B$5,IF(OR(Screener!$B$17="All",AND(Screener!$B$17="With A-share",(Database!$AL277&lt;&gt;"")),AND(Screener!$B$17="Without A-share",NOT((Database!$AL277&lt;&gt;"")))),1,0)=0),-999999,IF(Screener!$B$15="cornerstone overlap first",H277*100000,0)+W_SUB*B277+W_SEC*C277*(1-B277)+W_SIZE*D277+W_PROF*E277+W_AH*F277+W_REC*G277+W_CS*H277)+ROW()/1000000</f>
        <v/>
      </c>
      <c r="K277">
        <f>Database!B269</f>
        <v/>
      </c>
      <c r="L277">
        <f>Database!D269</f>
        <v/>
      </c>
      <c r="M277">
        <f>Database!E269</f>
        <v/>
      </c>
      <c r="N277">
        <f>Database!H269</f>
        <v/>
      </c>
      <c r="O277">
        <f>Database!AH269</f>
        <v/>
      </c>
      <c r="P277">
        <f>Database!AK269</f>
        <v/>
      </c>
      <c r="Q277">
        <f>Database!G269</f>
        <v/>
      </c>
    </row>
    <row r="278">
      <c r="A278">
        <f>Database!B278</f>
        <v/>
      </c>
      <c r="B278">
        <f>IF(AND(Screener!$D$9&lt;&gt;"",Database!$E278=Screener!$D$9),1,0)</f>
        <v/>
      </c>
      <c r="C278">
        <f>IF(AND(Screener!$D$8&lt;&gt;"",Database!$D278=Screener!$D$8),1,0)</f>
        <v/>
      </c>
      <c r="D278">
        <f>IF(OR(Database!$H278="",N(Screener!$D$10)&lt;=0),0,MAX(0,1-ABS(LOG10(Database!$H278/Screener!$D$10))/W_SIZEHW))</f>
        <v/>
      </c>
      <c r="E278">
        <f>IF(OR(Database!$AH278="",Screener!$D$11=""),0,IF(Database!$AH278=Screener!$D$11,1,0))</f>
        <v/>
      </c>
      <c r="F278">
        <f>IF(OR(Database!$AK278="",Screener!$D$12=""),0,IF(Database!$AK278=Screener!$D$12,1,0))</f>
        <v/>
      </c>
      <c r="G278">
        <f>IF(OR(Database!$G278="",N(Screener!$D$13)&lt;=0),0,MAX(0,1-(N(Screener!$D$13)-Database!$G278)/W_RECD))</f>
        <v/>
      </c>
      <c r="H278">
        <f>IF($K$1="",0,N(ISNUMBER(SEARCH($K$1,Database!$T278&amp;""))))+IF($L$1="",0,N(ISNUMBER(SEARCH($L$1,Database!$T278&amp;""))))+IF($M$1="",0,N(ISNUMBER(SEARCH($M$1,Database!$T278&amp;""))))+IF($N$1="",0,N(ISNUMBER(SEARCH($N$1,Database!$T278&amp;""))))+IF($O$1="",0,N(ISNUMBER(SEARCH($O$1,Database!$T278&amp;""))))+IF(Screener!$B$14="",0,N(ISNUMBER(SEARCH(Screener!$B$14,Database!$T278&amp;""))))</f>
        <v/>
      </c>
      <c r="I278">
        <f>IF(OR(Database!$B278=Screener!$B$5,IF(OR(Screener!$B$17="All",AND(Screener!$B$17="With A-share",(Database!$AL278&lt;&gt;"")),AND(Screener!$B$17="Without A-share",NOT((Database!$AL278&lt;&gt;"")))),1,0)=0),-999999,IF(Screener!$B$15="cornerstone overlap first",H278*100000,0)+W_SUB*B278+W_SEC*C278*(1-B278)+W_SIZE*D278+W_PROF*E278+W_AH*F278+W_REC*G278+W_CS*H278)+ROW()/1000000</f>
        <v/>
      </c>
      <c r="K278">
        <f>Database!B270</f>
        <v/>
      </c>
      <c r="L278">
        <f>Database!D270</f>
        <v/>
      </c>
      <c r="M278">
        <f>Database!E270</f>
        <v/>
      </c>
      <c r="N278">
        <f>Database!H270</f>
        <v/>
      </c>
      <c r="O278">
        <f>Database!AH270</f>
        <v/>
      </c>
      <c r="P278">
        <f>Database!AK270</f>
        <v/>
      </c>
      <c r="Q278">
        <f>Database!G270</f>
        <v/>
      </c>
    </row>
    <row r="279">
      <c r="A279">
        <f>Database!B279</f>
        <v/>
      </c>
      <c r="B279">
        <f>IF(AND(Screener!$D$9&lt;&gt;"",Database!$E279=Screener!$D$9),1,0)</f>
        <v/>
      </c>
      <c r="C279">
        <f>IF(AND(Screener!$D$8&lt;&gt;"",Database!$D279=Screener!$D$8),1,0)</f>
        <v/>
      </c>
      <c r="D279">
        <f>IF(OR(Database!$H279="",N(Screener!$D$10)&lt;=0),0,MAX(0,1-ABS(LOG10(Database!$H279/Screener!$D$10))/W_SIZEHW))</f>
        <v/>
      </c>
      <c r="E279">
        <f>IF(OR(Database!$AH279="",Screener!$D$11=""),0,IF(Database!$AH279=Screener!$D$11,1,0))</f>
        <v/>
      </c>
      <c r="F279">
        <f>IF(OR(Database!$AK279="",Screener!$D$12=""),0,IF(Database!$AK279=Screener!$D$12,1,0))</f>
        <v/>
      </c>
      <c r="G279">
        <f>IF(OR(Database!$G279="",N(Screener!$D$13)&lt;=0),0,MAX(0,1-(N(Screener!$D$13)-Database!$G279)/W_RECD))</f>
        <v/>
      </c>
      <c r="H279">
        <f>IF($K$1="",0,N(ISNUMBER(SEARCH($K$1,Database!$T279&amp;""))))+IF($L$1="",0,N(ISNUMBER(SEARCH($L$1,Database!$T279&amp;""))))+IF($M$1="",0,N(ISNUMBER(SEARCH($M$1,Database!$T279&amp;""))))+IF($N$1="",0,N(ISNUMBER(SEARCH($N$1,Database!$T279&amp;""))))+IF($O$1="",0,N(ISNUMBER(SEARCH($O$1,Database!$T279&amp;""))))+IF(Screener!$B$14="",0,N(ISNUMBER(SEARCH(Screener!$B$14,Database!$T279&amp;""))))</f>
        <v/>
      </c>
      <c r="I279">
        <f>IF(OR(Database!$B279=Screener!$B$5,IF(OR(Screener!$B$17="All",AND(Screener!$B$17="With A-share",(Database!$AL279&lt;&gt;"")),AND(Screener!$B$17="Without A-share",NOT((Database!$AL279&lt;&gt;"")))),1,0)=0),-999999,IF(Screener!$B$15="cornerstone overlap first",H279*100000,0)+W_SUB*B279+W_SEC*C279*(1-B279)+W_SIZE*D279+W_PROF*E279+W_AH*F279+W_REC*G279+W_CS*H279)+ROW()/1000000</f>
        <v/>
      </c>
      <c r="K279">
        <f>Database!B271</f>
        <v/>
      </c>
      <c r="L279">
        <f>Database!D271</f>
        <v/>
      </c>
      <c r="M279">
        <f>Database!E271</f>
        <v/>
      </c>
      <c r="N279">
        <f>Database!H271</f>
        <v/>
      </c>
      <c r="O279">
        <f>Database!AH271</f>
        <v/>
      </c>
      <c r="P279">
        <f>Database!AK271</f>
        <v/>
      </c>
      <c r="Q279">
        <f>Database!G271</f>
        <v/>
      </c>
    </row>
    <row r="280">
      <c r="A280">
        <f>Database!B280</f>
        <v/>
      </c>
      <c r="B280">
        <f>IF(AND(Screener!$D$9&lt;&gt;"",Database!$E280=Screener!$D$9),1,0)</f>
        <v/>
      </c>
      <c r="C280">
        <f>IF(AND(Screener!$D$8&lt;&gt;"",Database!$D280=Screener!$D$8),1,0)</f>
        <v/>
      </c>
      <c r="D280">
        <f>IF(OR(Database!$H280="",N(Screener!$D$10)&lt;=0),0,MAX(0,1-ABS(LOG10(Database!$H280/Screener!$D$10))/W_SIZEHW))</f>
        <v/>
      </c>
      <c r="E280">
        <f>IF(OR(Database!$AH280="",Screener!$D$11=""),0,IF(Database!$AH280=Screener!$D$11,1,0))</f>
        <v/>
      </c>
      <c r="F280">
        <f>IF(OR(Database!$AK280="",Screener!$D$12=""),0,IF(Database!$AK280=Screener!$D$12,1,0))</f>
        <v/>
      </c>
      <c r="G280">
        <f>IF(OR(Database!$G280="",N(Screener!$D$13)&lt;=0),0,MAX(0,1-(N(Screener!$D$13)-Database!$G280)/W_RECD))</f>
        <v/>
      </c>
      <c r="H280">
        <f>IF($K$1="",0,N(ISNUMBER(SEARCH($K$1,Database!$T280&amp;""))))+IF($L$1="",0,N(ISNUMBER(SEARCH($L$1,Database!$T280&amp;""))))+IF($M$1="",0,N(ISNUMBER(SEARCH($M$1,Database!$T280&amp;""))))+IF($N$1="",0,N(ISNUMBER(SEARCH($N$1,Database!$T280&amp;""))))+IF($O$1="",0,N(ISNUMBER(SEARCH($O$1,Database!$T280&amp;""))))+IF(Screener!$B$14="",0,N(ISNUMBER(SEARCH(Screener!$B$14,Database!$T280&amp;""))))</f>
        <v/>
      </c>
      <c r="I280">
        <f>IF(OR(Database!$B280=Screener!$B$5,IF(OR(Screener!$B$17="All",AND(Screener!$B$17="With A-share",(Database!$AL280&lt;&gt;"")),AND(Screener!$B$17="Without A-share",NOT((Database!$AL280&lt;&gt;"")))),1,0)=0),-999999,IF(Screener!$B$15="cornerstone overlap first",H280*100000,0)+W_SUB*B280+W_SEC*C280*(1-B280)+W_SIZE*D280+W_PROF*E280+W_AH*F280+W_REC*G280+W_CS*H280)+ROW()/1000000</f>
        <v/>
      </c>
      <c r="K280">
        <f>Database!B272</f>
        <v/>
      </c>
      <c r="L280">
        <f>Database!D272</f>
        <v/>
      </c>
      <c r="M280">
        <f>Database!E272</f>
        <v/>
      </c>
      <c r="N280">
        <f>Database!H272</f>
        <v/>
      </c>
      <c r="O280">
        <f>Database!AH272</f>
        <v/>
      </c>
      <c r="P280">
        <f>Database!AK272</f>
        <v/>
      </c>
      <c r="Q280">
        <f>Database!G272</f>
        <v/>
      </c>
    </row>
    <row r="281">
      <c r="A281">
        <f>Database!B281</f>
        <v/>
      </c>
      <c r="B281">
        <f>IF(AND(Screener!$D$9&lt;&gt;"",Database!$E281=Screener!$D$9),1,0)</f>
        <v/>
      </c>
      <c r="C281">
        <f>IF(AND(Screener!$D$8&lt;&gt;"",Database!$D281=Screener!$D$8),1,0)</f>
        <v/>
      </c>
      <c r="D281">
        <f>IF(OR(Database!$H281="",N(Screener!$D$10)&lt;=0),0,MAX(0,1-ABS(LOG10(Database!$H281/Screener!$D$10))/W_SIZEHW))</f>
        <v/>
      </c>
      <c r="E281">
        <f>IF(OR(Database!$AH281="",Screener!$D$11=""),0,IF(Database!$AH281=Screener!$D$11,1,0))</f>
        <v/>
      </c>
      <c r="F281">
        <f>IF(OR(Database!$AK281="",Screener!$D$12=""),0,IF(Database!$AK281=Screener!$D$12,1,0))</f>
        <v/>
      </c>
      <c r="G281">
        <f>IF(OR(Database!$G281="",N(Screener!$D$13)&lt;=0),0,MAX(0,1-(N(Screener!$D$13)-Database!$G281)/W_RECD))</f>
        <v/>
      </c>
      <c r="H281">
        <f>IF($K$1="",0,N(ISNUMBER(SEARCH($K$1,Database!$T281&amp;""))))+IF($L$1="",0,N(ISNUMBER(SEARCH($L$1,Database!$T281&amp;""))))+IF($M$1="",0,N(ISNUMBER(SEARCH($M$1,Database!$T281&amp;""))))+IF($N$1="",0,N(ISNUMBER(SEARCH($N$1,Database!$T281&amp;""))))+IF($O$1="",0,N(ISNUMBER(SEARCH($O$1,Database!$T281&amp;""))))+IF(Screener!$B$14="",0,N(ISNUMBER(SEARCH(Screener!$B$14,Database!$T281&amp;""))))</f>
        <v/>
      </c>
      <c r="I281">
        <f>IF(OR(Database!$B281=Screener!$B$5,IF(OR(Screener!$B$17="All",AND(Screener!$B$17="With A-share",(Database!$AL281&lt;&gt;"")),AND(Screener!$B$17="Without A-share",NOT((Database!$AL281&lt;&gt;"")))),1,0)=0),-999999,IF(Screener!$B$15="cornerstone overlap first",H281*100000,0)+W_SUB*B281+W_SEC*C281*(1-B281)+W_SIZE*D281+W_PROF*E281+W_AH*F281+W_REC*G281+W_CS*H281)+ROW()/1000000</f>
        <v/>
      </c>
      <c r="K281">
        <f>Database!B273</f>
        <v/>
      </c>
      <c r="L281">
        <f>Database!D273</f>
        <v/>
      </c>
      <c r="M281">
        <f>Database!E273</f>
        <v/>
      </c>
      <c r="N281">
        <f>Database!H273</f>
        <v/>
      </c>
      <c r="O281">
        <f>Database!AH273</f>
        <v/>
      </c>
      <c r="P281">
        <f>Database!AK273</f>
        <v/>
      </c>
      <c r="Q281">
        <f>Database!G273</f>
        <v/>
      </c>
    </row>
    <row r="282">
      <c r="A282">
        <f>Database!B282</f>
        <v/>
      </c>
      <c r="B282">
        <f>IF(AND(Screener!$D$9&lt;&gt;"",Database!$E282=Screener!$D$9),1,0)</f>
        <v/>
      </c>
      <c r="C282">
        <f>IF(AND(Screener!$D$8&lt;&gt;"",Database!$D282=Screener!$D$8),1,0)</f>
        <v/>
      </c>
      <c r="D282">
        <f>IF(OR(Database!$H282="",N(Screener!$D$10)&lt;=0),0,MAX(0,1-ABS(LOG10(Database!$H282/Screener!$D$10))/W_SIZEHW))</f>
        <v/>
      </c>
      <c r="E282">
        <f>IF(OR(Database!$AH282="",Screener!$D$11=""),0,IF(Database!$AH282=Screener!$D$11,1,0))</f>
        <v/>
      </c>
      <c r="F282">
        <f>IF(OR(Database!$AK282="",Screener!$D$12=""),0,IF(Database!$AK282=Screener!$D$12,1,0))</f>
        <v/>
      </c>
      <c r="G282">
        <f>IF(OR(Database!$G282="",N(Screener!$D$13)&lt;=0),0,MAX(0,1-(N(Screener!$D$13)-Database!$G282)/W_RECD))</f>
        <v/>
      </c>
      <c r="H282">
        <f>IF($K$1="",0,N(ISNUMBER(SEARCH($K$1,Database!$T282&amp;""))))+IF($L$1="",0,N(ISNUMBER(SEARCH($L$1,Database!$T282&amp;""))))+IF($M$1="",0,N(ISNUMBER(SEARCH($M$1,Database!$T282&amp;""))))+IF($N$1="",0,N(ISNUMBER(SEARCH($N$1,Database!$T282&amp;""))))+IF($O$1="",0,N(ISNUMBER(SEARCH($O$1,Database!$T282&amp;""))))+IF(Screener!$B$14="",0,N(ISNUMBER(SEARCH(Screener!$B$14,Database!$T282&amp;""))))</f>
        <v/>
      </c>
      <c r="I282">
        <f>IF(OR(Database!$B282=Screener!$B$5,IF(OR(Screener!$B$17="All",AND(Screener!$B$17="With A-share",(Database!$AL282&lt;&gt;"")),AND(Screener!$B$17="Without A-share",NOT((Database!$AL282&lt;&gt;"")))),1,0)=0),-999999,IF(Screener!$B$15="cornerstone overlap first",H282*100000,0)+W_SUB*B282+W_SEC*C282*(1-B282)+W_SIZE*D282+W_PROF*E282+W_AH*F282+W_REC*G282+W_CS*H282)+ROW()/1000000</f>
        <v/>
      </c>
      <c r="K282">
        <f>Database!B274</f>
        <v/>
      </c>
      <c r="L282">
        <f>Database!D274</f>
        <v/>
      </c>
      <c r="M282">
        <f>Database!E274</f>
        <v/>
      </c>
      <c r="N282">
        <f>Database!H274</f>
        <v/>
      </c>
      <c r="O282">
        <f>Database!AH274</f>
        <v/>
      </c>
      <c r="P282">
        <f>Database!AK274</f>
        <v/>
      </c>
      <c r="Q282">
        <f>Database!G274</f>
        <v/>
      </c>
    </row>
    <row r="283">
      <c r="A283">
        <f>Database!B283</f>
        <v/>
      </c>
      <c r="B283">
        <f>IF(AND(Screener!$D$9&lt;&gt;"",Database!$E283=Screener!$D$9),1,0)</f>
        <v/>
      </c>
      <c r="C283">
        <f>IF(AND(Screener!$D$8&lt;&gt;"",Database!$D283=Screener!$D$8),1,0)</f>
        <v/>
      </c>
      <c r="D283">
        <f>IF(OR(Database!$H283="",N(Screener!$D$10)&lt;=0),0,MAX(0,1-ABS(LOG10(Database!$H283/Screener!$D$10))/W_SIZEHW))</f>
        <v/>
      </c>
      <c r="E283">
        <f>IF(OR(Database!$AH283="",Screener!$D$11=""),0,IF(Database!$AH283=Screener!$D$11,1,0))</f>
        <v/>
      </c>
      <c r="F283">
        <f>IF(OR(Database!$AK283="",Screener!$D$12=""),0,IF(Database!$AK283=Screener!$D$12,1,0))</f>
        <v/>
      </c>
      <c r="G283">
        <f>IF(OR(Database!$G283="",N(Screener!$D$13)&lt;=0),0,MAX(0,1-(N(Screener!$D$13)-Database!$G283)/W_RECD))</f>
        <v/>
      </c>
      <c r="H283">
        <f>IF($K$1="",0,N(ISNUMBER(SEARCH($K$1,Database!$T283&amp;""))))+IF($L$1="",0,N(ISNUMBER(SEARCH($L$1,Database!$T283&amp;""))))+IF($M$1="",0,N(ISNUMBER(SEARCH($M$1,Database!$T283&amp;""))))+IF($N$1="",0,N(ISNUMBER(SEARCH($N$1,Database!$T283&amp;""))))+IF($O$1="",0,N(ISNUMBER(SEARCH($O$1,Database!$T283&amp;""))))+IF(Screener!$B$14="",0,N(ISNUMBER(SEARCH(Screener!$B$14,Database!$T283&amp;""))))</f>
        <v/>
      </c>
      <c r="I283">
        <f>IF(OR(Database!$B283=Screener!$B$5,IF(OR(Screener!$B$17="All",AND(Screener!$B$17="With A-share",(Database!$AL283&lt;&gt;"")),AND(Screener!$B$17="Without A-share",NOT((Database!$AL283&lt;&gt;"")))),1,0)=0),-999999,IF(Screener!$B$15="cornerstone overlap first",H283*100000,0)+W_SUB*B283+W_SEC*C283*(1-B283)+W_SIZE*D283+W_PROF*E283+W_AH*F283+W_REC*G283+W_CS*H283)+ROW()/1000000</f>
        <v/>
      </c>
      <c r="K283">
        <f>Database!B275</f>
        <v/>
      </c>
      <c r="L283">
        <f>Database!D275</f>
        <v/>
      </c>
      <c r="M283">
        <f>Database!E275</f>
        <v/>
      </c>
      <c r="N283">
        <f>Database!H275</f>
        <v/>
      </c>
      <c r="O283">
        <f>Database!AH275</f>
        <v/>
      </c>
      <c r="P283">
        <f>Database!AK275</f>
        <v/>
      </c>
      <c r="Q283">
        <f>Database!G275</f>
        <v/>
      </c>
    </row>
    <row r="284">
      <c r="A284">
        <f>Database!B284</f>
        <v/>
      </c>
      <c r="B284">
        <f>IF(AND(Screener!$D$9&lt;&gt;"",Database!$E284=Screener!$D$9),1,0)</f>
        <v/>
      </c>
      <c r="C284">
        <f>IF(AND(Screener!$D$8&lt;&gt;"",Database!$D284=Screener!$D$8),1,0)</f>
        <v/>
      </c>
      <c r="D284">
        <f>IF(OR(Database!$H284="",N(Screener!$D$10)&lt;=0),0,MAX(0,1-ABS(LOG10(Database!$H284/Screener!$D$10))/W_SIZEHW))</f>
        <v/>
      </c>
      <c r="E284">
        <f>IF(OR(Database!$AH284="",Screener!$D$11=""),0,IF(Database!$AH284=Screener!$D$11,1,0))</f>
        <v/>
      </c>
      <c r="F284">
        <f>IF(OR(Database!$AK284="",Screener!$D$12=""),0,IF(Database!$AK284=Screener!$D$12,1,0))</f>
        <v/>
      </c>
      <c r="G284">
        <f>IF(OR(Database!$G284="",N(Screener!$D$13)&lt;=0),0,MAX(0,1-(N(Screener!$D$13)-Database!$G284)/W_RECD))</f>
        <v/>
      </c>
      <c r="H284">
        <f>IF($K$1="",0,N(ISNUMBER(SEARCH($K$1,Database!$T284&amp;""))))+IF($L$1="",0,N(ISNUMBER(SEARCH($L$1,Database!$T284&amp;""))))+IF($M$1="",0,N(ISNUMBER(SEARCH($M$1,Database!$T284&amp;""))))+IF($N$1="",0,N(ISNUMBER(SEARCH($N$1,Database!$T284&amp;""))))+IF($O$1="",0,N(ISNUMBER(SEARCH($O$1,Database!$T284&amp;""))))+IF(Screener!$B$14="",0,N(ISNUMBER(SEARCH(Screener!$B$14,Database!$T284&amp;""))))</f>
        <v/>
      </c>
      <c r="I284">
        <f>IF(OR(Database!$B284=Screener!$B$5,IF(OR(Screener!$B$17="All",AND(Screener!$B$17="With A-share",(Database!$AL284&lt;&gt;"")),AND(Screener!$B$17="Without A-share",NOT((Database!$AL284&lt;&gt;"")))),1,0)=0),-999999,IF(Screener!$B$15="cornerstone overlap first",H284*100000,0)+W_SUB*B284+W_SEC*C284*(1-B284)+W_SIZE*D284+W_PROF*E284+W_AH*F284+W_REC*G284+W_CS*H284)+ROW()/1000000</f>
        <v/>
      </c>
      <c r="K284">
        <f>Database!B276</f>
        <v/>
      </c>
      <c r="L284">
        <f>Database!D276</f>
        <v/>
      </c>
      <c r="M284">
        <f>Database!E276</f>
        <v/>
      </c>
      <c r="N284">
        <f>Database!H276</f>
        <v/>
      </c>
      <c r="O284">
        <f>Database!AH276</f>
        <v/>
      </c>
      <c r="P284">
        <f>Database!AK276</f>
        <v/>
      </c>
      <c r="Q284">
        <f>Database!G276</f>
        <v/>
      </c>
    </row>
    <row r="285">
      <c r="A285">
        <f>Database!B285</f>
        <v/>
      </c>
      <c r="B285">
        <f>IF(AND(Screener!$D$9&lt;&gt;"",Database!$E285=Screener!$D$9),1,0)</f>
        <v/>
      </c>
      <c r="C285">
        <f>IF(AND(Screener!$D$8&lt;&gt;"",Database!$D285=Screener!$D$8),1,0)</f>
        <v/>
      </c>
      <c r="D285">
        <f>IF(OR(Database!$H285="",N(Screener!$D$10)&lt;=0),0,MAX(0,1-ABS(LOG10(Database!$H285/Screener!$D$10))/W_SIZEHW))</f>
        <v/>
      </c>
      <c r="E285">
        <f>IF(OR(Database!$AH285="",Screener!$D$11=""),0,IF(Database!$AH285=Screener!$D$11,1,0))</f>
        <v/>
      </c>
      <c r="F285">
        <f>IF(OR(Database!$AK285="",Screener!$D$12=""),0,IF(Database!$AK285=Screener!$D$12,1,0))</f>
        <v/>
      </c>
      <c r="G285">
        <f>IF(OR(Database!$G285="",N(Screener!$D$13)&lt;=0),0,MAX(0,1-(N(Screener!$D$13)-Database!$G285)/W_RECD))</f>
        <v/>
      </c>
      <c r="H285">
        <f>IF($K$1="",0,N(ISNUMBER(SEARCH($K$1,Database!$T285&amp;""))))+IF($L$1="",0,N(ISNUMBER(SEARCH($L$1,Database!$T285&amp;""))))+IF($M$1="",0,N(ISNUMBER(SEARCH($M$1,Database!$T285&amp;""))))+IF($N$1="",0,N(ISNUMBER(SEARCH($N$1,Database!$T285&amp;""))))+IF($O$1="",0,N(ISNUMBER(SEARCH($O$1,Database!$T285&amp;""))))+IF(Screener!$B$14="",0,N(ISNUMBER(SEARCH(Screener!$B$14,Database!$T285&amp;""))))</f>
        <v/>
      </c>
      <c r="I285">
        <f>IF(OR(Database!$B285=Screener!$B$5,IF(OR(Screener!$B$17="All",AND(Screener!$B$17="With A-share",(Database!$AL285&lt;&gt;"")),AND(Screener!$B$17="Without A-share",NOT((Database!$AL285&lt;&gt;"")))),1,0)=0),-999999,IF(Screener!$B$15="cornerstone overlap first",H285*100000,0)+W_SUB*B285+W_SEC*C285*(1-B285)+W_SIZE*D285+W_PROF*E285+W_AH*F285+W_REC*G285+W_CS*H285)+ROW()/1000000</f>
        <v/>
      </c>
      <c r="K285">
        <f>Database!B277</f>
        <v/>
      </c>
      <c r="L285">
        <f>Database!D277</f>
        <v/>
      </c>
      <c r="M285">
        <f>Database!E277</f>
        <v/>
      </c>
      <c r="N285">
        <f>Database!H277</f>
        <v/>
      </c>
      <c r="O285">
        <f>Database!AH277</f>
        <v/>
      </c>
      <c r="P285">
        <f>Database!AK277</f>
        <v/>
      </c>
      <c r="Q285">
        <f>Database!G277</f>
        <v/>
      </c>
    </row>
    <row r="286">
      <c r="A286">
        <f>Database!B286</f>
        <v/>
      </c>
      <c r="B286">
        <f>IF(AND(Screener!$D$9&lt;&gt;"",Database!$E286=Screener!$D$9),1,0)</f>
        <v/>
      </c>
      <c r="C286">
        <f>IF(AND(Screener!$D$8&lt;&gt;"",Database!$D286=Screener!$D$8),1,0)</f>
        <v/>
      </c>
      <c r="D286">
        <f>IF(OR(Database!$H286="",N(Screener!$D$10)&lt;=0),0,MAX(0,1-ABS(LOG10(Database!$H286/Screener!$D$10))/W_SIZEHW))</f>
        <v/>
      </c>
      <c r="E286">
        <f>IF(OR(Database!$AH286="",Screener!$D$11=""),0,IF(Database!$AH286=Screener!$D$11,1,0))</f>
        <v/>
      </c>
      <c r="F286">
        <f>IF(OR(Database!$AK286="",Screener!$D$12=""),0,IF(Database!$AK286=Screener!$D$12,1,0))</f>
        <v/>
      </c>
      <c r="G286">
        <f>IF(OR(Database!$G286="",N(Screener!$D$13)&lt;=0),0,MAX(0,1-(N(Screener!$D$13)-Database!$G286)/W_RECD))</f>
        <v/>
      </c>
      <c r="H286">
        <f>IF($K$1="",0,N(ISNUMBER(SEARCH($K$1,Database!$T286&amp;""))))+IF($L$1="",0,N(ISNUMBER(SEARCH($L$1,Database!$T286&amp;""))))+IF($M$1="",0,N(ISNUMBER(SEARCH($M$1,Database!$T286&amp;""))))+IF($N$1="",0,N(ISNUMBER(SEARCH($N$1,Database!$T286&amp;""))))+IF($O$1="",0,N(ISNUMBER(SEARCH($O$1,Database!$T286&amp;""))))+IF(Screener!$B$14="",0,N(ISNUMBER(SEARCH(Screener!$B$14,Database!$T286&amp;""))))</f>
        <v/>
      </c>
      <c r="I286">
        <f>IF(OR(Database!$B286=Screener!$B$5,IF(OR(Screener!$B$17="All",AND(Screener!$B$17="With A-share",(Database!$AL286&lt;&gt;"")),AND(Screener!$B$17="Without A-share",NOT((Database!$AL286&lt;&gt;"")))),1,0)=0),-999999,IF(Screener!$B$15="cornerstone overlap first",H286*100000,0)+W_SUB*B286+W_SEC*C286*(1-B286)+W_SIZE*D286+W_PROF*E286+W_AH*F286+W_REC*G286+W_CS*H286)+ROW()/1000000</f>
        <v/>
      </c>
      <c r="K286">
        <f>Database!B278</f>
        <v/>
      </c>
      <c r="L286">
        <f>Database!D278</f>
        <v/>
      </c>
      <c r="M286">
        <f>Database!E278</f>
        <v/>
      </c>
      <c r="N286">
        <f>Database!H278</f>
        <v/>
      </c>
      <c r="O286">
        <f>Database!AH278</f>
        <v/>
      </c>
      <c r="P286">
        <f>Database!AK278</f>
        <v/>
      </c>
      <c r="Q286">
        <f>Database!G278</f>
        <v/>
      </c>
    </row>
    <row r="287">
      <c r="A287">
        <f>Database!B287</f>
        <v/>
      </c>
      <c r="B287">
        <f>IF(AND(Screener!$D$9&lt;&gt;"",Database!$E287=Screener!$D$9),1,0)</f>
        <v/>
      </c>
      <c r="C287">
        <f>IF(AND(Screener!$D$8&lt;&gt;"",Database!$D287=Screener!$D$8),1,0)</f>
        <v/>
      </c>
      <c r="D287">
        <f>IF(OR(Database!$H287="",N(Screener!$D$10)&lt;=0),0,MAX(0,1-ABS(LOG10(Database!$H287/Screener!$D$10))/W_SIZEHW))</f>
        <v/>
      </c>
      <c r="E287">
        <f>IF(OR(Database!$AH287="",Screener!$D$11=""),0,IF(Database!$AH287=Screener!$D$11,1,0))</f>
        <v/>
      </c>
      <c r="F287">
        <f>IF(OR(Database!$AK287="",Screener!$D$12=""),0,IF(Database!$AK287=Screener!$D$12,1,0))</f>
        <v/>
      </c>
      <c r="G287">
        <f>IF(OR(Database!$G287="",N(Screener!$D$13)&lt;=0),0,MAX(0,1-(N(Screener!$D$13)-Database!$G287)/W_RECD))</f>
        <v/>
      </c>
      <c r="H287">
        <f>IF($K$1="",0,N(ISNUMBER(SEARCH($K$1,Database!$T287&amp;""))))+IF($L$1="",0,N(ISNUMBER(SEARCH($L$1,Database!$T287&amp;""))))+IF($M$1="",0,N(ISNUMBER(SEARCH($M$1,Database!$T287&amp;""))))+IF($N$1="",0,N(ISNUMBER(SEARCH($N$1,Database!$T287&amp;""))))+IF($O$1="",0,N(ISNUMBER(SEARCH($O$1,Database!$T287&amp;""))))+IF(Screener!$B$14="",0,N(ISNUMBER(SEARCH(Screener!$B$14,Database!$T287&amp;""))))</f>
        <v/>
      </c>
      <c r="I287">
        <f>IF(OR(Database!$B287=Screener!$B$5,IF(OR(Screener!$B$17="All",AND(Screener!$B$17="With A-share",(Database!$AL287&lt;&gt;"")),AND(Screener!$B$17="Without A-share",NOT((Database!$AL287&lt;&gt;"")))),1,0)=0),-999999,IF(Screener!$B$15="cornerstone overlap first",H287*100000,0)+W_SUB*B287+W_SEC*C287*(1-B287)+W_SIZE*D287+W_PROF*E287+W_AH*F287+W_REC*G287+W_CS*H287)+ROW()/1000000</f>
        <v/>
      </c>
      <c r="K287">
        <f>Database!B279</f>
        <v/>
      </c>
      <c r="L287">
        <f>Database!D279</f>
        <v/>
      </c>
      <c r="M287">
        <f>Database!E279</f>
        <v/>
      </c>
      <c r="N287">
        <f>Database!H279</f>
        <v/>
      </c>
      <c r="O287">
        <f>Database!AH279</f>
        <v/>
      </c>
      <c r="P287">
        <f>Database!AK279</f>
        <v/>
      </c>
      <c r="Q287">
        <f>Database!G279</f>
        <v/>
      </c>
    </row>
    <row r="288">
      <c r="A288">
        <f>Database!B288</f>
        <v/>
      </c>
      <c r="B288">
        <f>IF(AND(Screener!$D$9&lt;&gt;"",Database!$E288=Screener!$D$9),1,0)</f>
        <v/>
      </c>
      <c r="C288">
        <f>IF(AND(Screener!$D$8&lt;&gt;"",Database!$D288=Screener!$D$8),1,0)</f>
        <v/>
      </c>
      <c r="D288">
        <f>IF(OR(Database!$H288="",N(Screener!$D$10)&lt;=0),0,MAX(0,1-ABS(LOG10(Database!$H288/Screener!$D$10))/W_SIZEHW))</f>
        <v/>
      </c>
      <c r="E288">
        <f>IF(OR(Database!$AH288="",Screener!$D$11=""),0,IF(Database!$AH288=Screener!$D$11,1,0))</f>
        <v/>
      </c>
      <c r="F288">
        <f>IF(OR(Database!$AK288="",Screener!$D$12=""),0,IF(Database!$AK288=Screener!$D$12,1,0))</f>
        <v/>
      </c>
      <c r="G288">
        <f>IF(OR(Database!$G288="",N(Screener!$D$13)&lt;=0),0,MAX(0,1-(N(Screener!$D$13)-Database!$G288)/W_RECD))</f>
        <v/>
      </c>
      <c r="H288">
        <f>IF($K$1="",0,N(ISNUMBER(SEARCH($K$1,Database!$T288&amp;""))))+IF($L$1="",0,N(ISNUMBER(SEARCH($L$1,Database!$T288&amp;""))))+IF($M$1="",0,N(ISNUMBER(SEARCH($M$1,Database!$T288&amp;""))))+IF($N$1="",0,N(ISNUMBER(SEARCH($N$1,Database!$T288&amp;""))))+IF($O$1="",0,N(ISNUMBER(SEARCH($O$1,Database!$T288&amp;""))))+IF(Screener!$B$14="",0,N(ISNUMBER(SEARCH(Screener!$B$14,Database!$T288&amp;""))))</f>
        <v/>
      </c>
      <c r="I288">
        <f>IF(OR(Database!$B288=Screener!$B$5,IF(OR(Screener!$B$17="All",AND(Screener!$B$17="With A-share",(Database!$AL288&lt;&gt;"")),AND(Screener!$B$17="Without A-share",NOT((Database!$AL288&lt;&gt;"")))),1,0)=0),-999999,IF(Screener!$B$15="cornerstone overlap first",H288*100000,0)+W_SUB*B288+W_SEC*C288*(1-B288)+W_SIZE*D288+W_PROF*E288+W_AH*F288+W_REC*G288+W_CS*H288)+ROW()/1000000</f>
        <v/>
      </c>
      <c r="K288">
        <f>Database!B280</f>
        <v/>
      </c>
      <c r="L288">
        <f>Database!D280</f>
        <v/>
      </c>
      <c r="M288">
        <f>Database!E280</f>
        <v/>
      </c>
      <c r="N288">
        <f>Database!H280</f>
        <v/>
      </c>
      <c r="O288">
        <f>Database!AH280</f>
        <v/>
      </c>
      <c r="P288">
        <f>Database!AK280</f>
        <v/>
      </c>
      <c r="Q288">
        <f>Database!G280</f>
        <v/>
      </c>
    </row>
    <row r="289">
      <c r="A289">
        <f>Database!B289</f>
        <v/>
      </c>
      <c r="B289">
        <f>IF(AND(Screener!$D$9&lt;&gt;"",Database!$E289=Screener!$D$9),1,0)</f>
        <v/>
      </c>
      <c r="C289">
        <f>IF(AND(Screener!$D$8&lt;&gt;"",Database!$D289=Screener!$D$8),1,0)</f>
        <v/>
      </c>
      <c r="D289">
        <f>IF(OR(Database!$H289="",N(Screener!$D$10)&lt;=0),0,MAX(0,1-ABS(LOG10(Database!$H289/Screener!$D$10))/W_SIZEHW))</f>
        <v/>
      </c>
      <c r="E289">
        <f>IF(OR(Database!$AH289="",Screener!$D$11=""),0,IF(Database!$AH289=Screener!$D$11,1,0))</f>
        <v/>
      </c>
      <c r="F289">
        <f>IF(OR(Database!$AK289="",Screener!$D$12=""),0,IF(Database!$AK289=Screener!$D$12,1,0))</f>
        <v/>
      </c>
      <c r="G289">
        <f>IF(OR(Database!$G289="",N(Screener!$D$13)&lt;=0),0,MAX(0,1-(N(Screener!$D$13)-Database!$G289)/W_RECD))</f>
        <v/>
      </c>
      <c r="H289">
        <f>IF($K$1="",0,N(ISNUMBER(SEARCH($K$1,Database!$T289&amp;""))))+IF($L$1="",0,N(ISNUMBER(SEARCH($L$1,Database!$T289&amp;""))))+IF($M$1="",0,N(ISNUMBER(SEARCH($M$1,Database!$T289&amp;""))))+IF($N$1="",0,N(ISNUMBER(SEARCH($N$1,Database!$T289&amp;""))))+IF($O$1="",0,N(ISNUMBER(SEARCH($O$1,Database!$T289&amp;""))))+IF(Screener!$B$14="",0,N(ISNUMBER(SEARCH(Screener!$B$14,Database!$T289&amp;""))))</f>
        <v/>
      </c>
      <c r="I289">
        <f>IF(OR(Database!$B289=Screener!$B$5,IF(OR(Screener!$B$17="All",AND(Screener!$B$17="With A-share",(Database!$AL289&lt;&gt;"")),AND(Screener!$B$17="Without A-share",NOT((Database!$AL289&lt;&gt;"")))),1,0)=0),-999999,IF(Screener!$B$15="cornerstone overlap first",H289*100000,0)+W_SUB*B289+W_SEC*C289*(1-B289)+W_SIZE*D289+W_PROF*E289+W_AH*F289+W_REC*G289+W_CS*H289)+ROW()/1000000</f>
        <v/>
      </c>
      <c r="K289">
        <f>Database!B281</f>
        <v/>
      </c>
      <c r="L289">
        <f>Database!D281</f>
        <v/>
      </c>
      <c r="M289">
        <f>Database!E281</f>
        <v/>
      </c>
      <c r="N289">
        <f>Database!H281</f>
        <v/>
      </c>
      <c r="O289">
        <f>Database!AH281</f>
        <v/>
      </c>
      <c r="P289">
        <f>Database!AK281</f>
        <v/>
      </c>
      <c r="Q289">
        <f>Database!G281</f>
        <v/>
      </c>
    </row>
    <row r="290">
      <c r="A290">
        <f>Database!B290</f>
        <v/>
      </c>
      <c r="B290">
        <f>IF(AND(Screener!$D$9&lt;&gt;"",Database!$E290=Screener!$D$9),1,0)</f>
        <v/>
      </c>
      <c r="C290">
        <f>IF(AND(Screener!$D$8&lt;&gt;"",Database!$D290=Screener!$D$8),1,0)</f>
        <v/>
      </c>
      <c r="D290">
        <f>IF(OR(Database!$H290="",N(Screener!$D$10)&lt;=0),0,MAX(0,1-ABS(LOG10(Database!$H290/Screener!$D$10))/W_SIZEHW))</f>
        <v/>
      </c>
      <c r="E290">
        <f>IF(OR(Database!$AH290="",Screener!$D$11=""),0,IF(Database!$AH290=Screener!$D$11,1,0))</f>
        <v/>
      </c>
      <c r="F290">
        <f>IF(OR(Database!$AK290="",Screener!$D$12=""),0,IF(Database!$AK290=Screener!$D$12,1,0))</f>
        <v/>
      </c>
      <c r="G290">
        <f>IF(OR(Database!$G290="",N(Screener!$D$13)&lt;=0),0,MAX(0,1-(N(Screener!$D$13)-Database!$G290)/W_RECD))</f>
        <v/>
      </c>
      <c r="H290">
        <f>IF($K$1="",0,N(ISNUMBER(SEARCH($K$1,Database!$T290&amp;""))))+IF($L$1="",0,N(ISNUMBER(SEARCH($L$1,Database!$T290&amp;""))))+IF($M$1="",0,N(ISNUMBER(SEARCH($M$1,Database!$T290&amp;""))))+IF($N$1="",0,N(ISNUMBER(SEARCH($N$1,Database!$T290&amp;""))))+IF($O$1="",0,N(ISNUMBER(SEARCH($O$1,Database!$T290&amp;""))))+IF(Screener!$B$14="",0,N(ISNUMBER(SEARCH(Screener!$B$14,Database!$T290&amp;""))))</f>
        <v/>
      </c>
      <c r="I290">
        <f>IF(OR(Database!$B290=Screener!$B$5,IF(OR(Screener!$B$17="All",AND(Screener!$B$17="With A-share",(Database!$AL290&lt;&gt;"")),AND(Screener!$B$17="Without A-share",NOT((Database!$AL290&lt;&gt;"")))),1,0)=0),-999999,IF(Screener!$B$15="cornerstone overlap first",H290*100000,0)+W_SUB*B290+W_SEC*C290*(1-B290)+W_SIZE*D290+W_PROF*E290+W_AH*F290+W_REC*G290+W_CS*H290)+ROW()/1000000</f>
        <v/>
      </c>
      <c r="K290">
        <f>Database!B282</f>
        <v/>
      </c>
      <c r="L290">
        <f>Database!D282</f>
        <v/>
      </c>
      <c r="M290">
        <f>Database!E282</f>
        <v/>
      </c>
      <c r="N290">
        <f>Database!H282</f>
        <v/>
      </c>
      <c r="O290">
        <f>Database!AH282</f>
        <v/>
      </c>
      <c r="P290">
        <f>Database!AK282</f>
        <v/>
      </c>
      <c r="Q290">
        <f>Database!G282</f>
        <v/>
      </c>
    </row>
    <row r="291">
      <c r="A291">
        <f>Database!B291</f>
        <v/>
      </c>
      <c r="B291">
        <f>IF(AND(Screener!$D$9&lt;&gt;"",Database!$E291=Screener!$D$9),1,0)</f>
        <v/>
      </c>
      <c r="C291">
        <f>IF(AND(Screener!$D$8&lt;&gt;"",Database!$D291=Screener!$D$8),1,0)</f>
        <v/>
      </c>
      <c r="D291">
        <f>IF(OR(Database!$H291="",N(Screener!$D$10)&lt;=0),0,MAX(0,1-ABS(LOG10(Database!$H291/Screener!$D$10))/W_SIZEHW))</f>
        <v/>
      </c>
      <c r="E291">
        <f>IF(OR(Database!$AH291="",Screener!$D$11=""),0,IF(Database!$AH291=Screener!$D$11,1,0))</f>
        <v/>
      </c>
      <c r="F291">
        <f>IF(OR(Database!$AK291="",Screener!$D$12=""),0,IF(Database!$AK291=Screener!$D$12,1,0))</f>
        <v/>
      </c>
      <c r="G291">
        <f>IF(OR(Database!$G291="",N(Screener!$D$13)&lt;=0),0,MAX(0,1-(N(Screener!$D$13)-Database!$G291)/W_RECD))</f>
        <v/>
      </c>
      <c r="H291">
        <f>IF($K$1="",0,N(ISNUMBER(SEARCH($K$1,Database!$T291&amp;""))))+IF($L$1="",0,N(ISNUMBER(SEARCH($L$1,Database!$T291&amp;""))))+IF($M$1="",0,N(ISNUMBER(SEARCH($M$1,Database!$T291&amp;""))))+IF($N$1="",0,N(ISNUMBER(SEARCH($N$1,Database!$T291&amp;""))))+IF($O$1="",0,N(ISNUMBER(SEARCH($O$1,Database!$T291&amp;""))))+IF(Screener!$B$14="",0,N(ISNUMBER(SEARCH(Screener!$B$14,Database!$T291&amp;""))))</f>
        <v/>
      </c>
      <c r="I291">
        <f>IF(OR(Database!$B291=Screener!$B$5,IF(OR(Screener!$B$17="All",AND(Screener!$B$17="With A-share",(Database!$AL291&lt;&gt;"")),AND(Screener!$B$17="Without A-share",NOT((Database!$AL291&lt;&gt;"")))),1,0)=0),-999999,IF(Screener!$B$15="cornerstone overlap first",H291*100000,0)+W_SUB*B291+W_SEC*C291*(1-B291)+W_SIZE*D291+W_PROF*E291+W_AH*F291+W_REC*G291+W_CS*H291)+ROW()/1000000</f>
        <v/>
      </c>
      <c r="K291">
        <f>Database!B283</f>
        <v/>
      </c>
      <c r="L291">
        <f>Database!D283</f>
        <v/>
      </c>
      <c r="M291">
        <f>Database!E283</f>
        <v/>
      </c>
      <c r="N291">
        <f>Database!H283</f>
        <v/>
      </c>
      <c r="O291">
        <f>Database!AH283</f>
        <v/>
      </c>
      <c r="P291">
        <f>Database!AK283</f>
        <v/>
      </c>
      <c r="Q291">
        <f>Database!G283</f>
        <v/>
      </c>
    </row>
    <row r="292">
      <c r="A292">
        <f>Database!B292</f>
        <v/>
      </c>
      <c r="B292">
        <f>IF(AND(Screener!$D$9&lt;&gt;"",Database!$E292=Screener!$D$9),1,0)</f>
        <v/>
      </c>
      <c r="C292">
        <f>IF(AND(Screener!$D$8&lt;&gt;"",Database!$D292=Screener!$D$8),1,0)</f>
        <v/>
      </c>
      <c r="D292">
        <f>IF(OR(Database!$H292="",N(Screener!$D$10)&lt;=0),0,MAX(0,1-ABS(LOG10(Database!$H292/Screener!$D$10))/W_SIZEHW))</f>
        <v/>
      </c>
      <c r="E292">
        <f>IF(OR(Database!$AH292="",Screener!$D$11=""),0,IF(Database!$AH292=Screener!$D$11,1,0))</f>
        <v/>
      </c>
      <c r="F292">
        <f>IF(OR(Database!$AK292="",Screener!$D$12=""),0,IF(Database!$AK292=Screener!$D$12,1,0))</f>
        <v/>
      </c>
      <c r="G292">
        <f>IF(OR(Database!$G292="",N(Screener!$D$13)&lt;=0),0,MAX(0,1-(N(Screener!$D$13)-Database!$G292)/W_RECD))</f>
        <v/>
      </c>
      <c r="H292">
        <f>IF($K$1="",0,N(ISNUMBER(SEARCH($K$1,Database!$T292&amp;""))))+IF($L$1="",0,N(ISNUMBER(SEARCH($L$1,Database!$T292&amp;""))))+IF($M$1="",0,N(ISNUMBER(SEARCH($M$1,Database!$T292&amp;""))))+IF($N$1="",0,N(ISNUMBER(SEARCH($N$1,Database!$T292&amp;""))))+IF($O$1="",0,N(ISNUMBER(SEARCH($O$1,Database!$T292&amp;""))))+IF(Screener!$B$14="",0,N(ISNUMBER(SEARCH(Screener!$B$14,Database!$T292&amp;""))))</f>
        <v/>
      </c>
      <c r="I292">
        <f>IF(OR(Database!$B292=Screener!$B$5,IF(OR(Screener!$B$17="All",AND(Screener!$B$17="With A-share",(Database!$AL292&lt;&gt;"")),AND(Screener!$B$17="Without A-share",NOT((Database!$AL292&lt;&gt;"")))),1,0)=0),-999999,IF(Screener!$B$15="cornerstone overlap first",H292*100000,0)+W_SUB*B292+W_SEC*C292*(1-B292)+W_SIZE*D292+W_PROF*E292+W_AH*F292+W_REC*G292+W_CS*H292)+ROW()/1000000</f>
        <v/>
      </c>
      <c r="K292">
        <f>Database!B284</f>
        <v/>
      </c>
      <c r="L292">
        <f>Database!D284</f>
        <v/>
      </c>
      <c r="M292">
        <f>Database!E284</f>
        <v/>
      </c>
      <c r="N292">
        <f>Database!H284</f>
        <v/>
      </c>
      <c r="O292">
        <f>Database!AH284</f>
        <v/>
      </c>
      <c r="P292">
        <f>Database!AK284</f>
        <v/>
      </c>
      <c r="Q292">
        <f>Database!G284</f>
        <v/>
      </c>
    </row>
    <row r="293">
      <c r="A293">
        <f>Database!B293</f>
        <v/>
      </c>
      <c r="B293">
        <f>IF(AND(Screener!$D$9&lt;&gt;"",Database!$E293=Screener!$D$9),1,0)</f>
        <v/>
      </c>
      <c r="C293">
        <f>IF(AND(Screener!$D$8&lt;&gt;"",Database!$D293=Screener!$D$8),1,0)</f>
        <v/>
      </c>
      <c r="D293">
        <f>IF(OR(Database!$H293="",N(Screener!$D$10)&lt;=0),0,MAX(0,1-ABS(LOG10(Database!$H293/Screener!$D$10))/W_SIZEHW))</f>
        <v/>
      </c>
      <c r="E293">
        <f>IF(OR(Database!$AH293="",Screener!$D$11=""),0,IF(Database!$AH293=Screener!$D$11,1,0))</f>
        <v/>
      </c>
      <c r="F293">
        <f>IF(OR(Database!$AK293="",Screener!$D$12=""),0,IF(Database!$AK293=Screener!$D$12,1,0))</f>
        <v/>
      </c>
      <c r="G293">
        <f>IF(OR(Database!$G293="",N(Screener!$D$13)&lt;=0),0,MAX(0,1-(N(Screener!$D$13)-Database!$G293)/W_RECD))</f>
        <v/>
      </c>
      <c r="H293">
        <f>IF($K$1="",0,N(ISNUMBER(SEARCH($K$1,Database!$T293&amp;""))))+IF($L$1="",0,N(ISNUMBER(SEARCH($L$1,Database!$T293&amp;""))))+IF($M$1="",0,N(ISNUMBER(SEARCH($M$1,Database!$T293&amp;""))))+IF($N$1="",0,N(ISNUMBER(SEARCH($N$1,Database!$T293&amp;""))))+IF($O$1="",0,N(ISNUMBER(SEARCH($O$1,Database!$T293&amp;""))))+IF(Screener!$B$14="",0,N(ISNUMBER(SEARCH(Screener!$B$14,Database!$T293&amp;""))))</f>
        <v/>
      </c>
      <c r="I293">
        <f>IF(OR(Database!$B293=Screener!$B$5,IF(OR(Screener!$B$17="All",AND(Screener!$B$17="With A-share",(Database!$AL293&lt;&gt;"")),AND(Screener!$B$17="Without A-share",NOT((Database!$AL293&lt;&gt;"")))),1,0)=0),-999999,IF(Screener!$B$15="cornerstone overlap first",H293*100000,0)+W_SUB*B293+W_SEC*C293*(1-B293)+W_SIZE*D293+W_PROF*E293+W_AH*F293+W_REC*G293+W_CS*H293)+ROW()/1000000</f>
        <v/>
      </c>
      <c r="K293">
        <f>Database!B285</f>
        <v/>
      </c>
      <c r="L293">
        <f>Database!D285</f>
        <v/>
      </c>
      <c r="M293">
        <f>Database!E285</f>
        <v/>
      </c>
      <c r="N293">
        <f>Database!H285</f>
        <v/>
      </c>
      <c r="O293">
        <f>Database!AH285</f>
        <v/>
      </c>
      <c r="P293">
        <f>Database!AK285</f>
        <v/>
      </c>
      <c r="Q293">
        <f>Database!G285</f>
        <v/>
      </c>
    </row>
    <row r="294">
      <c r="A294">
        <f>Database!B294</f>
        <v/>
      </c>
      <c r="B294">
        <f>IF(AND(Screener!$D$9&lt;&gt;"",Database!$E294=Screener!$D$9),1,0)</f>
        <v/>
      </c>
      <c r="C294">
        <f>IF(AND(Screener!$D$8&lt;&gt;"",Database!$D294=Screener!$D$8),1,0)</f>
        <v/>
      </c>
      <c r="D294">
        <f>IF(OR(Database!$H294="",N(Screener!$D$10)&lt;=0),0,MAX(0,1-ABS(LOG10(Database!$H294/Screener!$D$10))/W_SIZEHW))</f>
        <v/>
      </c>
      <c r="E294">
        <f>IF(OR(Database!$AH294="",Screener!$D$11=""),0,IF(Database!$AH294=Screener!$D$11,1,0))</f>
        <v/>
      </c>
      <c r="F294">
        <f>IF(OR(Database!$AK294="",Screener!$D$12=""),0,IF(Database!$AK294=Screener!$D$12,1,0))</f>
        <v/>
      </c>
      <c r="G294">
        <f>IF(OR(Database!$G294="",N(Screener!$D$13)&lt;=0),0,MAX(0,1-(N(Screener!$D$13)-Database!$G294)/W_RECD))</f>
        <v/>
      </c>
      <c r="H294">
        <f>IF($K$1="",0,N(ISNUMBER(SEARCH($K$1,Database!$T294&amp;""))))+IF($L$1="",0,N(ISNUMBER(SEARCH($L$1,Database!$T294&amp;""))))+IF($M$1="",0,N(ISNUMBER(SEARCH($M$1,Database!$T294&amp;""))))+IF($N$1="",0,N(ISNUMBER(SEARCH($N$1,Database!$T294&amp;""))))+IF($O$1="",0,N(ISNUMBER(SEARCH($O$1,Database!$T294&amp;""))))+IF(Screener!$B$14="",0,N(ISNUMBER(SEARCH(Screener!$B$14,Database!$T294&amp;""))))</f>
        <v/>
      </c>
      <c r="I294">
        <f>IF(OR(Database!$B294=Screener!$B$5,IF(OR(Screener!$B$17="All",AND(Screener!$B$17="With A-share",(Database!$AL294&lt;&gt;"")),AND(Screener!$B$17="Without A-share",NOT((Database!$AL294&lt;&gt;"")))),1,0)=0),-999999,IF(Screener!$B$15="cornerstone overlap first",H294*100000,0)+W_SUB*B294+W_SEC*C294*(1-B294)+W_SIZE*D294+W_PROF*E294+W_AH*F294+W_REC*G294+W_CS*H294)+ROW()/1000000</f>
        <v/>
      </c>
      <c r="K294">
        <f>Database!B286</f>
        <v/>
      </c>
      <c r="L294">
        <f>Database!D286</f>
        <v/>
      </c>
      <c r="M294">
        <f>Database!E286</f>
        <v/>
      </c>
      <c r="N294">
        <f>Database!H286</f>
        <v/>
      </c>
      <c r="O294">
        <f>Database!AH286</f>
        <v/>
      </c>
      <c r="P294">
        <f>Database!AK286</f>
        <v/>
      </c>
      <c r="Q294">
        <f>Database!G286</f>
        <v/>
      </c>
    </row>
    <row r="295">
      <c r="A295">
        <f>Database!B295</f>
        <v/>
      </c>
      <c r="B295">
        <f>IF(AND(Screener!$D$9&lt;&gt;"",Database!$E295=Screener!$D$9),1,0)</f>
        <v/>
      </c>
      <c r="C295">
        <f>IF(AND(Screener!$D$8&lt;&gt;"",Database!$D295=Screener!$D$8),1,0)</f>
        <v/>
      </c>
      <c r="D295">
        <f>IF(OR(Database!$H295="",N(Screener!$D$10)&lt;=0),0,MAX(0,1-ABS(LOG10(Database!$H295/Screener!$D$10))/W_SIZEHW))</f>
        <v/>
      </c>
      <c r="E295">
        <f>IF(OR(Database!$AH295="",Screener!$D$11=""),0,IF(Database!$AH295=Screener!$D$11,1,0))</f>
        <v/>
      </c>
      <c r="F295">
        <f>IF(OR(Database!$AK295="",Screener!$D$12=""),0,IF(Database!$AK295=Screener!$D$12,1,0))</f>
        <v/>
      </c>
      <c r="G295">
        <f>IF(OR(Database!$G295="",N(Screener!$D$13)&lt;=0),0,MAX(0,1-(N(Screener!$D$13)-Database!$G295)/W_RECD))</f>
        <v/>
      </c>
      <c r="H295">
        <f>IF($K$1="",0,N(ISNUMBER(SEARCH($K$1,Database!$T295&amp;""))))+IF($L$1="",0,N(ISNUMBER(SEARCH($L$1,Database!$T295&amp;""))))+IF($M$1="",0,N(ISNUMBER(SEARCH($M$1,Database!$T295&amp;""))))+IF($N$1="",0,N(ISNUMBER(SEARCH($N$1,Database!$T295&amp;""))))+IF($O$1="",0,N(ISNUMBER(SEARCH($O$1,Database!$T295&amp;""))))+IF(Screener!$B$14="",0,N(ISNUMBER(SEARCH(Screener!$B$14,Database!$T295&amp;""))))</f>
        <v/>
      </c>
      <c r="I295">
        <f>IF(OR(Database!$B295=Screener!$B$5,IF(OR(Screener!$B$17="All",AND(Screener!$B$17="With A-share",(Database!$AL295&lt;&gt;"")),AND(Screener!$B$17="Without A-share",NOT((Database!$AL295&lt;&gt;"")))),1,0)=0),-999999,IF(Screener!$B$15="cornerstone overlap first",H295*100000,0)+W_SUB*B295+W_SEC*C295*(1-B295)+W_SIZE*D295+W_PROF*E295+W_AH*F295+W_REC*G295+W_CS*H295)+ROW()/1000000</f>
        <v/>
      </c>
      <c r="K295">
        <f>Database!B287</f>
        <v/>
      </c>
      <c r="L295">
        <f>Database!D287</f>
        <v/>
      </c>
      <c r="M295">
        <f>Database!E287</f>
        <v/>
      </c>
      <c r="N295">
        <f>Database!H287</f>
        <v/>
      </c>
      <c r="O295">
        <f>Database!AH287</f>
        <v/>
      </c>
      <c r="P295">
        <f>Database!AK287</f>
        <v/>
      </c>
      <c r="Q295">
        <f>Database!G287</f>
        <v/>
      </c>
    </row>
    <row r="296">
      <c r="A296">
        <f>Database!B296</f>
        <v/>
      </c>
      <c r="B296">
        <f>IF(AND(Screener!$D$9&lt;&gt;"",Database!$E296=Screener!$D$9),1,0)</f>
        <v/>
      </c>
      <c r="C296">
        <f>IF(AND(Screener!$D$8&lt;&gt;"",Database!$D296=Screener!$D$8),1,0)</f>
        <v/>
      </c>
      <c r="D296">
        <f>IF(OR(Database!$H296="",N(Screener!$D$10)&lt;=0),0,MAX(0,1-ABS(LOG10(Database!$H296/Screener!$D$10))/W_SIZEHW))</f>
        <v/>
      </c>
      <c r="E296">
        <f>IF(OR(Database!$AH296="",Screener!$D$11=""),0,IF(Database!$AH296=Screener!$D$11,1,0))</f>
        <v/>
      </c>
      <c r="F296">
        <f>IF(OR(Database!$AK296="",Screener!$D$12=""),0,IF(Database!$AK296=Screener!$D$12,1,0))</f>
        <v/>
      </c>
      <c r="G296">
        <f>IF(OR(Database!$G296="",N(Screener!$D$13)&lt;=0),0,MAX(0,1-(N(Screener!$D$13)-Database!$G296)/W_RECD))</f>
        <v/>
      </c>
      <c r="H296">
        <f>IF($K$1="",0,N(ISNUMBER(SEARCH($K$1,Database!$T296&amp;""))))+IF($L$1="",0,N(ISNUMBER(SEARCH($L$1,Database!$T296&amp;""))))+IF($M$1="",0,N(ISNUMBER(SEARCH($M$1,Database!$T296&amp;""))))+IF($N$1="",0,N(ISNUMBER(SEARCH($N$1,Database!$T296&amp;""))))+IF($O$1="",0,N(ISNUMBER(SEARCH($O$1,Database!$T296&amp;""))))+IF(Screener!$B$14="",0,N(ISNUMBER(SEARCH(Screener!$B$14,Database!$T296&amp;""))))</f>
        <v/>
      </c>
      <c r="I296">
        <f>IF(OR(Database!$B296=Screener!$B$5,IF(OR(Screener!$B$17="All",AND(Screener!$B$17="With A-share",(Database!$AL296&lt;&gt;"")),AND(Screener!$B$17="Without A-share",NOT((Database!$AL296&lt;&gt;"")))),1,0)=0),-999999,IF(Screener!$B$15="cornerstone overlap first",H296*100000,0)+W_SUB*B296+W_SEC*C296*(1-B296)+W_SIZE*D296+W_PROF*E296+W_AH*F296+W_REC*G296+W_CS*H296)+ROW()/1000000</f>
        <v/>
      </c>
      <c r="K296">
        <f>Database!B288</f>
        <v/>
      </c>
      <c r="L296">
        <f>Database!D288</f>
        <v/>
      </c>
      <c r="M296">
        <f>Database!E288</f>
        <v/>
      </c>
      <c r="N296">
        <f>Database!H288</f>
        <v/>
      </c>
      <c r="O296">
        <f>Database!AH288</f>
        <v/>
      </c>
      <c r="P296">
        <f>Database!AK288</f>
        <v/>
      </c>
      <c r="Q296">
        <f>Database!G288</f>
        <v/>
      </c>
    </row>
    <row r="297">
      <c r="A297">
        <f>Database!B297</f>
        <v/>
      </c>
      <c r="B297">
        <f>IF(AND(Screener!$D$9&lt;&gt;"",Database!$E297=Screener!$D$9),1,0)</f>
        <v/>
      </c>
      <c r="C297">
        <f>IF(AND(Screener!$D$8&lt;&gt;"",Database!$D297=Screener!$D$8),1,0)</f>
        <v/>
      </c>
      <c r="D297">
        <f>IF(OR(Database!$H297="",N(Screener!$D$10)&lt;=0),0,MAX(0,1-ABS(LOG10(Database!$H297/Screener!$D$10))/W_SIZEHW))</f>
        <v/>
      </c>
      <c r="E297">
        <f>IF(OR(Database!$AH297="",Screener!$D$11=""),0,IF(Database!$AH297=Screener!$D$11,1,0))</f>
        <v/>
      </c>
      <c r="F297">
        <f>IF(OR(Database!$AK297="",Screener!$D$12=""),0,IF(Database!$AK297=Screener!$D$12,1,0))</f>
        <v/>
      </c>
      <c r="G297">
        <f>IF(OR(Database!$G297="",N(Screener!$D$13)&lt;=0),0,MAX(0,1-(N(Screener!$D$13)-Database!$G297)/W_RECD))</f>
        <v/>
      </c>
      <c r="H297">
        <f>IF($K$1="",0,N(ISNUMBER(SEARCH($K$1,Database!$T297&amp;""))))+IF($L$1="",0,N(ISNUMBER(SEARCH($L$1,Database!$T297&amp;""))))+IF($M$1="",0,N(ISNUMBER(SEARCH($M$1,Database!$T297&amp;""))))+IF($N$1="",0,N(ISNUMBER(SEARCH($N$1,Database!$T297&amp;""))))+IF($O$1="",0,N(ISNUMBER(SEARCH($O$1,Database!$T297&amp;""))))+IF(Screener!$B$14="",0,N(ISNUMBER(SEARCH(Screener!$B$14,Database!$T297&amp;""))))</f>
        <v/>
      </c>
      <c r="I297">
        <f>IF(OR(Database!$B297=Screener!$B$5,IF(OR(Screener!$B$17="All",AND(Screener!$B$17="With A-share",(Database!$AL297&lt;&gt;"")),AND(Screener!$B$17="Without A-share",NOT((Database!$AL297&lt;&gt;"")))),1,0)=0),-999999,IF(Screener!$B$15="cornerstone overlap first",H297*100000,0)+W_SUB*B297+W_SEC*C297*(1-B297)+W_SIZE*D297+W_PROF*E297+W_AH*F297+W_REC*G297+W_CS*H297)+ROW()/1000000</f>
        <v/>
      </c>
      <c r="K297">
        <f>Database!B289</f>
        <v/>
      </c>
      <c r="L297">
        <f>Database!D289</f>
        <v/>
      </c>
      <c r="M297">
        <f>Database!E289</f>
        <v/>
      </c>
      <c r="N297">
        <f>Database!H289</f>
        <v/>
      </c>
      <c r="O297">
        <f>Database!AH289</f>
        <v/>
      </c>
      <c r="P297">
        <f>Database!AK289</f>
        <v/>
      </c>
      <c r="Q297">
        <f>Database!G289</f>
        <v/>
      </c>
    </row>
    <row r="298">
      <c r="A298">
        <f>Database!B298</f>
        <v/>
      </c>
      <c r="B298">
        <f>IF(AND(Screener!$D$9&lt;&gt;"",Database!$E298=Screener!$D$9),1,0)</f>
        <v/>
      </c>
      <c r="C298">
        <f>IF(AND(Screener!$D$8&lt;&gt;"",Database!$D298=Screener!$D$8),1,0)</f>
        <v/>
      </c>
      <c r="D298">
        <f>IF(OR(Database!$H298="",N(Screener!$D$10)&lt;=0),0,MAX(0,1-ABS(LOG10(Database!$H298/Screener!$D$10))/W_SIZEHW))</f>
        <v/>
      </c>
      <c r="E298">
        <f>IF(OR(Database!$AH298="",Screener!$D$11=""),0,IF(Database!$AH298=Screener!$D$11,1,0))</f>
        <v/>
      </c>
      <c r="F298">
        <f>IF(OR(Database!$AK298="",Screener!$D$12=""),0,IF(Database!$AK298=Screener!$D$12,1,0))</f>
        <v/>
      </c>
      <c r="G298">
        <f>IF(OR(Database!$G298="",N(Screener!$D$13)&lt;=0),0,MAX(0,1-(N(Screener!$D$13)-Database!$G298)/W_RECD))</f>
        <v/>
      </c>
      <c r="H298">
        <f>IF($K$1="",0,N(ISNUMBER(SEARCH($K$1,Database!$T298&amp;""))))+IF($L$1="",0,N(ISNUMBER(SEARCH($L$1,Database!$T298&amp;""))))+IF($M$1="",0,N(ISNUMBER(SEARCH($M$1,Database!$T298&amp;""))))+IF($N$1="",0,N(ISNUMBER(SEARCH($N$1,Database!$T298&amp;""))))+IF($O$1="",0,N(ISNUMBER(SEARCH($O$1,Database!$T298&amp;""))))+IF(Screener!$B$14="",0,N(ISNUMBER(SEARCH(Screener!$B$14,Database!$T298&amp;""))))</f>
        <v/>
      </c>
      <c r="I298">
        <f>IF(OR(Database!$B298=Screener!$B$5,IF(OR(Screener!$B$17="All",AND(Screener!$B$17="With A-share",(Database!$AL298&lt;&gt;"")),AND(Screener!$B$17="Without A-share",NOT((Database!$AL298&lt;&gt;"")))),1,0)=0),-999999,IF(Screener!$B$15="cornerstone overlap first",H298*100000,0)+W_SUB*B298+W_SEC*C298*(1-B298)+W_SIZE*D298+W_PROF*E298+W_AH*F298+W_REC*G298+W_CS*H298)+ROW()/1000000</f>
        <v/>
      </c>
      <c r="K298">
        <f>Database!B290</f>
        <v/>
      </c>
      <c r="L298">
        <f>Database!D290</f>
        <v/>
      </c>
      <c r="M298">
        <f>Database!E290</f>
        <v/>
      </c>
      <c r="N298">
        <f>Database!H290</f>
        <v/>
      </c>
      <c r="O298">
        <f>Database!AH290</f>
        <v/>
      </c>
      <c r="P298">
        <f>Database!AK290</f>
        <v/>
      </c>
      <c r="Q298">
        <f>Database!G290</f>
        <v/>
      </c>
    </row>
    <row r="299">
      <c r="A299">
        <f>Database!B299</f>
        <v/>
      </c>
      <c r="B299">
        <f>IF(AND(Screener!$D$9&lt;&gt;"",Database!$E299=Screener!$D$9),1,0)</f>
        <v/>
      </c>
      <c r="C299">
        <f>IF(AND(Screener!$D$8&lt;&gt;"",Database!$D299=Screener!$D$8),1,0)</f>
        <v/>
      </c>
      <c r="D299">
        <f>IF(OR(Database!$H299="",N(Screener!$D$10)&lt;=0),0,MAX(0,1-ABS(LOG10(Database!$H299/Screener!$D$10))/W_SIZEHW))</f>
        <v/>
      </c>
      <c r="E299">
        <f>IF(OR(Database!$AH299="",Screener!$D$11=""),0,IF(Database!$AH299=Screener!$D$11,1,0))</f>
        <v/>
      </c>
      <c r="F299">
        <f>IF(OR(Database!$AK299="",Screener!$D$12=""),0,IF(Database!$AK299=Screener!$D$12,1,0))</f>
        <v/>
      </c>
      <c r="G299">
        <f>IF(OR(Database!$G299="",N(Screener!$D$13)&lt;=0),0,MAX(0,1-(N(Screener!$D$13)-Database!$G299)/W_RECD))</f>
        <v/>
      </c>
      <c r="H299">
        <f>IF($K$1="",0,N(ISNUMBER(SEARCH($K$1,Database!$T299&amp;""))))+IF($L$1="",0,N(ISNUMBER(SEARCH($L$1,Database!$T299&amp;""))))+IF($M$1="",0,N(ISNUMBER(SEARCH($M$1,Database!$T299&amp;""))))+IF($N$1="",0,N(ISNUMBER(SEARCH($N$1,Database!$T299&amp;""))))+IF($O$1="",0,N(ISNUMBER(SEARCH($O$1,Database!$T299&amp;""))))+IF(Screener!$B$14="",0,N(ISNUMBER(SEARCH(Screener!$B$14,Database!$T299&amp;""))))</f>
        <v/>
      </c>
      <c r="I299">
        <f>IF(OR(Database!$B299=Screener!$B$5,IF(OR(Screener!$B$17="All",AND(Screener!$B$17="With A-share",(Database!$AL299&lt;&gt;"")),AND(Screener!$B$17="Without A-share",NOT((Database!$AL299&lt;&gt;"")))),1,0)=0),-999999,IF(Screener!$B$15="cornerstone overlap first",H299*100000,0)+W_SUB*B299+W_SEC*C299*(1-B299)+W_SIZE*D299+W_PROF*E299+W_AH*F299+W_REC*G299+W_CS*H299)+ROW()/1000000</f>
        <v/>
      </c>
      <c r="K299">
        <f>Database!B291</f>
        <v/>
      </c>
      <c r="L299">
        <f>Database!D291</f>
        <v/>
      </c>
      <c r="M299">
        <f>Database!E291</f>
        <v/>
      </c>
      <c r="N299">
        <f>Database!H291</f>
        <v/>
      </c>
      <c r="O299">
        <f>Database!AH291</f>
        <v/>
      </c>
      <c r="P299">
        <f>Database!AK291</f>
        <v/>
      </c>
      <c r="Q299">
        <f>Database!G291</f>
        <v/>
      </c>
    </row>
    <row r="300">
      <c r="A300">
        <f>Database!B300</f>
        <v/>
      </c>
      <c r="B300">
        <f>IF(AND(Screener!$D$9&lt;&gt;"",Database!$E300=Screener!$D$9),1,0)</f>
        <v/>
      </c>
      <c r="C300">
        <f>IF(AND(Screener!$D$8&lt;&gt;"",Database!$D300=Screener!$D$8),1,0)</f>
        <v/>
      </c>
      <c r="D300">
        <f>IF(OR(Database!$H300="",N(Screener!$D$10)&lt;=0),0,MAX(0,1-ABS(LOG10(Database!$H300/Screener!$D$10))/W_SIZEHW))</f>
        <v/>
      </c>
      <c r="E300">
        <f>IF(OR(Database!$AH300="",Screener!$D$11=""),0,IF(Database!$AH300=Screener!$D$11,1,0))</f>
        <v/>
      </c>
      <c r="F300">
        <f>IF(OR(Database!$AK300="",Screener!$D$12=""),0,IF(Database!$AK300=Screener!$D$12,1,0))</f>
        <v/>
      </c>
      <c r="G300">
        <f>IF(OR(Database!$G300="",N(Screener!$D$13)&lt;=0),0,MAX(0,1-(N(Screener!$D$13)-Database!$G300)/W_RECD))</f>
        <v/>
      </c>
      <c r="H300">
        <f>IF($K$1="",0,N(ISNUMBER(SEARCH($K$1,Database!$T300&amp;""))))+IF($L$1="",0,N(ISNUMBER(SEARCH($L$1,Database!$T300&amp;""))))+IF($M$1="",0,N(ISNUMBER(SEARCH($M$1,Database!$T300&amp;""))))+IF($N$1="",0,N(ISNUMBER(SEARCH($N$1,Database!$T300&amp;""))))+IF($O$1="",0,N(ISNUMBER(SEARCH($O$1,Database!$T300&amp;""))))+IF(Screener!$B$14="",0,N(ISNUMBER(SEARCH(Screener!$B$14,Database!$T300&amp;""))))</f>
        <v/>
      </c>
      <c r="I300">
        <f>IF(OR(Database!$B300=Screener!$B$5,IF(OR(Screener!$B$17="All",AND(Screener!$B$17="With A-share",(Database!$AL300&lt;&gt;"")),AND(Screener!$B$17="Without A-share",NOT((Database!$AL300&lt;&gt;"")))),1,0)=0),-999999,IF(Screener!$B$15="cornerstone overlap first",H300*100000,0)+W_SUB*B300+W_SEC*C300*(1-B300)+W_SIZE*D300+W_PROF*E300+W_AH*F300+W_REC*G300+W_CS*H300)+ROW()/1000000</f>
        <v/>
      </c>
      <c r="K300">
        <f>Database!B292</f>
        <v/>
      </c>
      <c r="L300">
        <f>Database!D292</f>
        <v/>
      </c>
      <c r="M300">
        <f>Database!E292</f>
        <v/>
      </c>
      <c r="N300">
        <f>Database!H292</f>
        <v/>
      </c>
      <c r="O300">
        <f>Database!AH292</f>
        <v/>
      </c>
      <c r="P300">
        <f>Database!AK292</f>
        <v/>
      </c>
      <c r="Q300">
        <f>Database!G292</f>
        <v/>
      </c>
    </row>
    <row r="301">
      <c r="A301">
        <f>Database!B301</f>
        <v/>
      </c>
      <c r="B301">
        <f>IF(AND(Screener!$D$9&lt;&gt;"",Database!$E301=Screener!$D$9),1,0)</f>
        <v/>
      </c>
      <c r="C301">
        <f>IF(AND(Screener!$D$8&lt;&gt;"",Database!$D301=Screener!$D$8),1,0)</f>
        <v/>
      </c>
      <c r="D301">
        <f>IF(OR(Database!$H301="",N(Screener!$D$10)&lt;=0),0,MAX(0,1-ABS(LOG10(Database!$H301/Screener!$D$10))/W_SIZEHW))</f>
        <v/>
      </c>
      <c r="E301">
        <f>IF(OR(Database!$AH301="",Screener!$D$11=""),0,IF(Database!$AH301=Screener!$D$11,1,0))</f>
        <v/>
      </c>
      <c r="F301">
        <f>IF(OR(Database!$AK301="",Screener!$D$12=""),0,IF(Database!$AK301=Screener!$D$12,1,0))</f>
        <v/>
      </c>
      <c r="G301">
        <f>IF(OR(Database!$G301="",N(Screener!$D$13)&lt;=0),0,MAX(0,1-(N(Screener!$D$13)-Database!$G301)/W_RECD))</f>
        <v/>
      </c>
      <c r="H301">
        <f>IF($K$1="",0,N(ISNUMBER(SEARCH($K$1,Database!$T301&amp;""))))+IF($L$1="",0,N(ISNUMBER(SEARCH($L$1,Database!$T301&amp;""))))+IF($M$1="",0,N(ISNUMBER(SEARCH($M$1,Database!$T301&amp;""))))+IF($N$1="",0,N(ISNUMBER(SEARCH($N$1,Database!$T301&amp;""))))+IF($O$1="",0,N(ISNUMBER(SEARCH($O$1,Database!$T301&amp;""))))+IF(Screener!$B$14="",0,N(ISNUMBER(SEARCH(Screener!$B$14,Database!$T301&amp;""))))</f>
        <v/>
      </c>
      <c r="I301">
        <f>IF(OR(Database!$B301=Screener!$B$5,IF(OR(Screener!$B$17="All",AND(Screener!$B$17="With A-share",(Database!$AL301&lt;&gt;"")),AND(Screener!$B$17="Without A-share",NOT((Database!$AL301&lt;&gt;"")))),1,0)=0),-999999,IF(Screener!$B$15="cornerstone overlap first",H301*100000,0)+W_SUB*B301+W_SEC*C301*(1-B301)+W_SIZE*D301+W_PROF*E301+W_AH*F301+W_REC*G301+W_CS*H301)+ROW()/1000000</f>
        <v/>
      </c>
      <c r="K301">
        <f>Database!B293</f>
        <v/>
      </c>
      <c r="L301">
        <f>Database!D293</f>
        <v/>
      </c>
      <c r="M301">
        <f>Database!E293</f>
        <v/>
      </c>
      <c r="N301">
        <f>Database!H293</f>
        <v/>
      </c>
      <c r="O301">
        <f>Database!AH293</f>
        <v/>
      </c>
      <c r="P301">
        <f>Database!AK293</f>
        <v/>
      </c>
      <c r="Q301">
        <f>Database!G293</f>
        <v/>
      </c>
    </row>
    <row r="302">
      <c r="A302">
        <f>Database!B302</f>
        <v/>
      </c>
      <c r="B302">
        <f>IF(AND(Screener!$D$9&lt;&gt;"",Database!$E302=Screener!$D$9),1,0)</f>
        <v/>
      </c>
      <c r="C302">
        <f>IF(AND(Screener!$D$8&lt;&gt;"",Database!$D302=Screener!$D$8),1,0)</f>
        <v/>
      </c>
      <c r="D302">
        <f>IF(OR(Database!$H302="",N(Screener!$D$10)&lt;=0),0,MAX(0,1-ABS(LOG10(Database!$H302/Screener!$D$10))/W_SIZEHW))</f>
        <v/>
      </c>
      <c r="E302">
        <f>IF(OR(Database!$AH302="",Screener!$D$11=""),0,IF(Database!$AH302=Screener!$D$11,1,0))</f>
        <v/>
      </c>
      <c r="F302">
        <f>IF(OR(Database!$AK302="",Screener!$D$12=""),0,IF(Database!$AK302=Screener!$D$12,1,0))</f>
        <v/>
      </c>
      <c r="G302">
        <f>IF(OR(Database!$G302="",N(Screener!$D$13)&lt;=0),0,MAX(0,1-(N(Screener!$D$13)-Database!$G302)/W_RECD))</f>
        <v/>
      </c>
      <c r="H302">
        <f>IF($K$1="",0,N(ISNUMBER(SEARCH($K$1,Database!$T302&amp;""))))+IF($L$1="",0,N(ISNUMBER(SEARCH($L$1,Database!$T302&amp;""))))+IF($M$1="",0,N(ISNUMBER(SEARCH($M$1,Database!$T302&amp;""))))+IF($N$1="",0,N(ISNUMBER(SEARCH($N$1,Database!$T302&amp;""))))+IF($O$1="",0,N(ISNUMBER(SEARCH($O$1,Database!$T302&amp;""))))+IF(Screener!$B$14="",0,N(ISNUMBER(SEARCH(Screener!$B$14,Database!$T302&amp;""))))</f>
        <v/>
      </c>
      <c r="I302">
        <f>IF(OR(Database!$B302=Screener!$B$5,IF(OR(Screener!$B$17="All",AND(Screener!$B$17="With A-share",(Database!$AL302&lt;&gt;"")),AND(Screener!$B$17="Without A-share",NOT((Database!$AL302&lt;&gt;"")))),1,0)=0),-999999,IF(Screener!$B$15="cornerstone overlap first",H302*100000,0)+W_SUB*B302+W_SEC*C302*(1-B302)+W_SIZE*D302+W_PROF*E302+W_AH*F302+W_REC*G302+W_CS*H302)+ROW()/1000000</f>
        <v/>
      </c>
      <c r="K302">
        <f>Database!B294</f>
        <v/>
      </c>
      <c r="L302">
        <f>Database!D294</f>
        <v/>
      </c>
      <c r="M302">
        <f>Database!E294</f>
        <v/>
      </c>
      <c r="N302">
        <f>Database!H294</f>
        <v/>
      </c>
      <c r="O302">
        <f>Database!AH294</f>
        <v/>
      </c>
      <c r="P302">
        <f>Database!AK294</f>
        <v/>
      </c>
      <c r="Q302">
        <f>Database!G294</f>
        <v/>
      </c>
    </row>
    <row r="303">
      <c r="A303">
        <f>Database!B303</f>
        <v/>
      </c>
      <c r="B303">
        <f>IF(AND(Screener!$D$9&lt;&gt;"",Database!$E303=Screener!$D$9),1,0)</f>
        <v/>
      </c>
      <c r="C303">
        <f>IF(AND(Screener!$D$8&lt;&gt;"",Database!$D303=Screener!$D$8),1,0)</f>
        <v/>
      </c>
      <c r="D303">
        <f>IF(OR(Database!$H303="",N(Screener!$D$10)&lt;=0),0,MAX(0,1-ABS(LOG10(Database!$H303/Screener!$D$10))/W_SIZEHW))</f>
        <v/>
      </c>
      <c r="E303">
        <f>IF(OR(Database!$AH303="",Screener!$D$11=""),0,IF(Database!$AH303=Screener!$D$11,1,0))</f>
        <v/>
      </c>
      <c r="F303">
        <f>IF(OR(Database!$AK303="",Screener!$D$12=""),0,IF(Database!$AK303=Screener!$D$12,1,0))</f>
        <v/>
      </c>
      <c r="G303">
        <f>IF(OR(Database!$G303="",N(Screener!$D$13)&lt;=0),0,MAX(0,1-(N(Screener!$D$13)-Database!$G303)/W_RECD))</f>
        <v/>
      </c>
      <c r="H303">
        <f>IF($K$1="",0,N(ISNUMBER(SEARCH($K$1,Database!$T303&amp;""))))+IF($L$1="",0,N(ISNUMBER(SEARCH($L$1,Database!$T303&amp;""))))+IF($M$1="",0,N(ISNUMBER(SEARCH($M$1,Database!$T303&amp;""))))+IF($N$1="",0,N(ISNUMBER(SEARCH($N$1,Database!$T303&amp;""))))+IF($O$1="",0,N(ISNUMBER(SEARCH($O$1,Database!$T303&amp;""))))+IF(Screener!$B$14="",0,N(ISNUMBER(SEARCH(Screener!$B$14,Database!$T303&amp;""))))</f>
        <v/>
      </c>
      <c r="I303">
        <f>IF(OR(Database!$B303=Screener!$B$5,IF(OR(Screener!$B$17="All",AND(Screener!$B$17="With A-share",(Database!$AL303&lt;&gt;"")),AND(Screener!$B$17="Without A-share",NOT((Database!$AL303&lt;&gt;"")))),1,0)=0),-999999,IF(Screener!$B$15="cornerstone overlap first",H303*100000,0)+W_SUB*B303+W_SEC*C303*(1-B303)+W_SIZE*D303+W_PROF*E303+W_AH*F303+W_REC*G303+W_CS*H303)+ROW()/1000000</f>
        <v/>
      </c>
      <c r="K303">
        <f>Database!B295</f>
        <v/>
      </c>
      <c r="L303">
        <f>Database!D295</f>
        <v/>
      </c>
      <c r="M303">
        <f>Database!E295</f>
        <v/>
      </c>
      <c r="N303">
        <f>Database!H295</f>
        <v/>
      </c>
      <c r="O303">
        <f>Database!AH295</f>
        <v/>
      </c>
      <c r="P303">
        <f>Database!AK295</f>
        <v/>
      </c>
      <c r="Q303">
        <f>Database!G295</f>
        <v/>
      </c>
    </row>
    <row r="304">
      <c r="A304">
        <f>Database!B304</f>
        <v/>
      </c>
      <c r="B304">
        <f>IF(AND(Screener!$D$9&lt;&gt;"",Database!$E304=Screener!$D$9),1,0)</f>
        <v/>
      </c>
      <c r="C304">
        <f>IF(AND(Screener!$D$8&lt;&gt;"",Database!$D304=Screener!$D$8),1,0)</f>
        <v/>
      </c>
      <c r="D304">
        <f>IF(OR(Database!$H304="",N(Screener!$D$10)&lt;=0),0,MAX(0,1-ABS(LOG10(Database!$H304/Screener!$D$10))/W_SIZEHW))</f>
        <v/>
      </c>
      <c r="E304">
        <f>IF(OR(Database!$AH304="",Screener!$D$11=""),0,IF(Database!$AH304=Screener!$D$11,1,0))</f>
        <v/>
      </c>
      <c r="F304">
        <f>IF(OR(Database!$AK304="",Screener!$D$12=""),0,IF(Database!$AK304=Screener!$D$12,1,0))</f>
        <v/>
      </c>
      <c r="G304">
        <f>IF(OR(Database!$G304="",N(Screener!$D$13)&lt;=0),0,MAX(0,1-(N(Screener!$D$13)-Database!$G304)/W_RECD))</f>
        <v/>
      </c>
      <c r="H304">
        <f>IF($K$1="",0,N(ISNUMBER(SEARCH($K$1,Database!$T304&amp;""))))+IF($L$1="",0,N(ISNUMBER(SEARCH($L$1,Database!$T304&amp;""))))+IF($M$1="",0,N(ISNUMBER(SEARCH($M$1,Database!$T304&amp;""))))+IF($N$1="",0,N(ISNUMBER(SEARCH($N$1,Database!$T304&amp;""))))+IF($O$1="",0,N(ISNUMBER(SEARCH($O$1,Database!$T304&amp;""))))+IF(Screener!$B$14="",0,N(ISNUMBER(SEARCH(Screener!$B$14,Database!$T304&amp;""))))</f>
        <v/>
      </c>
      <c r="I304">
        <f>IF(OR(Database!$B304=Screener!$B$5,IF(OR(Screener!$B$17="All",AND(Screener!$B$17="With A-share",(Database!$AL304&lt;&gt;"")),AND(Screener!$B$17="Without A-share",NOT((Database!$AL304&lt;&gt;"")))),1,0)=0),-999999,IF(Screener!$B$15="cornerstone overlap first",H304*100000,0)+W_SUB*B304+W_SEC*C304*(1-B304)+W_SIZE*D304+W_PROF*E304+W_AH*F304+W_REC*G304+W_CS*H304)+ROW()/1000000</f>
        <v/>
      </c>
      <c r="K304">
        <f>Database!B296</f>
        <v/>
      </c>
      <c r="L304">
        <f>Database!D296</f>
        <v/>
      </c>
      <c r="M304">
        <f>Database!E296</f>
        <v/>
      </c>
      <c r="N304">
        <f>Database!H296</f>
        <v/>
      </c>
      <c r="O304">
        <f>Database!AH296</f>
        <v/>
      </c>
      <c r="P304">
        <f>Database!AK296</f>
        <v/>
      </c>
      <c r="Q304">
        <f>Database!G296</f>
        <v/>
      </c>
    </row>
    <row r="305">
      <c r="A305">
        <f>Database!B305</f>
        <v/>
      </c>
      <c r="B305">
        <f>IF(AND(Screener!$D$9&lt;&gt;"",Database!$E305=Screener!$D$9),1,0)</f>
        <v/>
      </c>
      <c r="C305">
        <f>IF(AND(Screener!$D$8&lt;&gt;"",Database!$D305=Screener!$D$8),1,0)</f>
        <v/>
      </c>
      <c r="D305">
        <f>IF(OR(Database!$H305="",N(Screener!$D$10)&lt;=0),0,MAX(0,1-ABS(LOG10(Database!$H305/Screener!$D$10))/W_SIZEHW))</f>
        <v/>
      </c>
      <c r="E305">
        <f>IF(OR(Database!$AH305="",Screener!$D$11=""),0,IF(Database!$AH305=Screener!$D$11,1,0))</f>
        <v/>
      </c>
      <c r="F305">
        <f>IF(OR(Database!$AK305="",Screener!$D$12=""),0,IF(Database!$AK305=Screener!$D$12,1,0))</f>
        <v/>
      </c>
      <c r="G305">
        <f>IF(OR(Database!$G305="",N(Screener!$D$13)&lt;=0),0,MAX(0,1-(N(Screener!$D$13)-Database!$G305)/W_RECD))</f>
        <v/>
      </c>
      <c r="H305">
        <f>IF($K$1="",0,N(ISNUMBER(SEARCH($K$1,Database!$T305&amp;""))))+IF($L$1="",0,N(ISNUMBER(SEARCH($L$1,Database!$T305&amp;""))))+IF($M$1="",0,N(ISNUMBER(SEARCH($M$1,Database!$T305&amp;""))))+IF($N$1="",0,N(ISNUMBER(SEARCH($N$1,Database!$T305&amp;""))))+IF($O$1="",0,N(ISNUMBER(SEARCH($O$1,Database!$T305&amp;""))))+IF(Screener!$B$14="",0,N(ISNUMBER(SEARCH(Screener!$B$14,Database!$T305&amp;""))))</f>
        <v/>
      </c>
      <c r="I305">
        <f>IF(OR(Database!$B305=Screener!$B$5,IF(OR(Screener!$B$17="All",AND(Screener!$B$17="With A-share",(Database!$AL305&lt;&gt;"")),AND(Screener!$B$17="Without A-share",NOT((Database!$AL305&lt;&gt;"")))),1,0)=0),-999999,IF(Screener!$B$15="cornerstone overlap first",H305*100000,0)+W_SUB*B305+W_SEC*C305*(1-B305)+W_SIZE*D305+W_PROF*E305+W_AH*F305+W_REC*G305+W_CS*H305)+ROW()/1000000</f>
        <v/>
      </c>
      <c r="K305">
        <f>Database!B297</f>
        <v/>
      </c>
      <c r="L305">
        <f>Database!D297</f>
        <v/>
      </c>
      <c r="M305">
        <f>Database!E297</f>
        <v/>
      </c>
      <c r="N305">
        <f>Database!H297</f>
        <v/>
      </c>
      <c r="O305">
        <f>Database!AH297</f>
        <v/>
      </c>
      <c r="P305">
        <f>Database!AK297</f>
        <v/>
      </c>
      <c r="Q305">
        <f>Database!G297</f>
        <v/>
      </c>
    </row>
    <row r="306">
      <c r="A306">
        <f>Database!B306</f>
        <v/>
      </c>
      <c r="B306">
        <f>IF(AND(Screener!$D$9&lt;&gt;"",Database!$E306=Screener!$D$9),1,0)</f>
        <v/>
      </c>
      <c r="C306">
        <f>IF(AND(Screener!$D$8&lt;&gt;"",Database!$D306=Screener!$D$8),1,0)</f>
        <v/>
      </c>
      <c r="D306">
        <f>IF(OR(Database!$H306="",N(Screener!$D$10)&lt;=0),0,MAX(0,1-ABS(LOG10(Database!$H306/Screener!$D$10))/W_SIZEHW))</f>
        <v/>
      </c>
      <c r="E306">
        <f>IF(OR(Database!$AH306="",Screener!$D$11=""),0,IF(Database!$AH306=Screener!$D$11,1,0))</f>
        <v/>
      </c>
      <c r="F306">
        <f>IF(OR(Database!$AK306="",Screener!$D$12=""),0,IF(Database!$AK306=Screener!$D$12,1,0))</f>
        <v/>
      </c>
      <c r="G306">
        <f>IF(OR(Database!$G306="",N(Screener!$D$13)&lt;=0),0,MAX(0,1-(N(Screener!$D$13)-Database!$G306)/W_RECD))</f>
        <v/>
      </c>
      <c r="H306">
        <f>IF($K$1="",0,N(ISNUMBER(SEARCH($K$1,Database!$T306&amp;""))))+IF($L$1="",0,N(ISNUMBER(SEARCH($L$1,Database!$T306&amp;""))))+IF($M$1="",0,N(ISNUMBER(SEARCH($M$1,Database!$T306&amp;""))))+IF($N$1="",0,N(ISNUMBER(SEARCH($N$1,Database!$T306&amp;""))))+IF($O$1="",0,N(ISNUMBER(SEARCH($O$1,Database!$T306&amp;""))))+IF(Screener!$B$14="",0,N(ISNUMBER(SEARCH(Screener!$B$14,Database!$T306&amp;""))))</f>
        <v/>
      </c>
      <c r="I306">
        <f>IF(OR(Database!$B306=Screener!$B$5,IF(OR(Screener!$B$17="All",AND(Screener!$B$17="With A-share",(Database!$AL306&lt;&gt;"")),AND(Screener!$B$17="Without A-share",NOT((Database!$AL306&lt;&gt;"")))),1,0)=0),-999999,IF(Screener!$B$15="cornerstone overlap first",H306*100000,0)+W_SUB*B306+W_SEC*C306*(1-B306)+W_SIZE*D306+W_PROF*E306+W_AH*F306+W_REC*G306+W_CS*H306)+ROW()/1000000</f>
        <v/>
      </c>
      <c r="K306">
        <f>Database!B298</f>
        <v/>
      </c>
      <c r="L306">
        <f>Database!D298</f>
        <v/>
      </c>
      <c r="M306">
        <f>Database!E298</f>
        <v/>
      </c>
      <c r="N306">
        <f>Database!H298</f>
        <v/>
      </c>
      <c r="O306">
        <f>Database!AH298</f>
        <v/>
      </c>
      <c r="P306">
        <f>Database!AK298</f>
        <v/>
      </c>
      <c r="Q306">
        <f>Database!G298</f>
        <v/>
      </c>
    </row>
    <row r="307">
      <c r="A307">
        <f>Database!B307</f>
        <v/>
      </c>
      <c r="B307">
        <f>IF(AND(Screener!$D$9&lt;&gt;"",Database!$E307=Screener!$D$9),1,0)</f>
        <v/>
      </c>
      <c r="C307">
        <f>IF(AND(Screener!$D$8&lt;&gt;"",Database!$D307=Screener!$D$8),1,0)</f>
        <v/>
      </c>
      <c r="D307">
        <f>IF(OR(Database!$H307="",N(Screener!$D$10)&lt;=0),0,MAX(0,1-ABS(LOG10(Database!$H307/Screener!$D$10))/W_SIZEHW))</f>
        <v/>
      </c>
      <c r="E307">
        <f>IF(OR(Database!$AH307="",Screener!$D$11=""),0,IF(Database!$AH307=Screener!$D$11,1,0))</f>
        <v/>
      </c>
      <c r="F307">
        <f>IF(OR(Database!$AK307="",Screener!$D$12=""),0,IF(Database!$AK307=Screener!$D$12,1,0))</f>
        <v/>
      </c>
      <c r="G307">
        <f>IF(OR(Database!$G307="",N(Screener!$D$13)&lt;=0),0,MAX(0,1-(N(Screener!$D$13)-Database!$G307)/W_RECD))</f>
        <v/>
      </c>
      <c r="H307">
        <f>IF($K$1="",0,N(ISNUMBER(SEARCH($K$1,Database!$T307&amp;""))))+IF($L$1="",0,N(ISNUMBER(SEARCH($L$1,Database!$T307&amp;""))))+IF($M$1="",0,N(ISNUMBER(SEARCH($M$1,Database!$T307&amp;""))))+IF($N$1="",0,N(ISNUMBER(SEARCH($N$1,Database!$T307&amp;""))))+IF($O$1="",0,N(ISNUMBER(SEARCH($O$1,Database!$T307&amp;""))))+IF(Screener!$B$14="",0,N(ISNUMBER(SEARCH(Screener!$B$14,Database!$T307&amp;""))))</f>
        <v/>
      </c>
      <c r="I307">
        <f>IF(OR(Database!$B307=Screener!$B$5,IF(OR(Screener!$B$17="All",AND(Screener!$B$17="With A-share",(Database!$AL307&lt;&gt;"")),AND(Screener!$B$17="Without A-share",NOT((Database!$AL307&lt;&gt;"")))),1,0)=0),-999999,IF(Screener!$B$15="cornerstone overlap first",H307*100000,0)+W_SUB*B307+W_SEC*C307*(1-B307)+W_SIZE*D307+W_PROF*E307+W_AH*F307+W_REC*G307+W_CS*H307)+ROW()/1000000</f>
        <v/>
      </c>
      <c r="K307">
        <f>Database!B299</f>
        <v/>
      </c>
      <c r="L307">
        <f>Database!D299</f>
        <v/>
      </c>
      <c r="M307">
        <f>Database!E299</f>
        <v/>
      </c>
      <c r="N307">
        <f>Database!H299</f>
        <v/>
      </c>
      <c r="O307">
        <f>Database!AH299</f>
        <v/>
      </c>
      <c r="P307">
        <f>Database!AK299</f>
        <v/>
      </c>
      <c r="Q307">
        <f>Database!G299</f>
        <v/>
      </c>
    </row>
    <row r="308">
      <c r="A308">
        <f>Database!B308</f>
        <v/>
      </c>
      <c r="B308">
        <f>IF(AND(Screener!$D$9&lt;&gt;"",Database!$E308=Screener!$D$9),1,0)</f>
        <v/>
      </c>
      <c r="C308">
        <f>IF(AND(Screener!$D$8&lt;&gt;"",Database!$D308=Screener!$D$8),1,0)</f>
        <v/>
      </c>
      <c r="D308">
        <f>IF(OR(Database!$H308="",N(Screener!$D$10)&lt;=0),0,MAX(0,1-ABS(LOG10(Database!$H308/Screener!$D$10))/W_SIZEHW))</f>
        <v/>
      </c>
      <c r="E308">
        <f>IF(OR(Database!$AH308="",Screener!$D$11=""),0,IF(Database!$AH308=Screener!$D$11,1,0))</f>
        <v/>
      </c>
      <c r="F308">
        <f>IF(OR(Database!$AK308="",Screener!$D$12=""),0,IF(Database!$AK308=Screener!$D$12,1,0))</f>
        <v/>
      </c>
      <c r="G308">
        <f>IF(OR(Database!$G308="",N(Screener!$D$13)&lt;=0),0,MAX(0,1-(N(Screener!$D$13)-Database!$G308)/W_RECD))</f>
        <v/>
      </c>
      <c r="H308">
        <f>IF($K$1="",0,N(ISNUMBER(SEARCH($K$1,Database!$T308&amp;""))))+IF($L$1="",0,N(ISNUMBER(SEARCH($L$1,Database!$T308&amp;""))))+IF($M$1="",0,N(ISNUMBER(SEARCH($M$1,Database!$T308&amp;""))))+IF($N$1="",0,N(ISNUMBER(SEARCH($N$1,Database!$T308&amp;""))))+IF($O$1="",0,N(ISNUMBER(SEARCH($O$1,Database!$T308&amp;""))))+IF(Screener!$B$14="",0,N(ISNUMBER(SEARCH(Screener!$B$14,Database!$T308&amp;""))))</f>
        <v/>
      </c>
      <c r="I308">
        <f>IF(OR(Database!$B308=Screener!$B$5,IF(OR(Screener!$B$17="All",AND(Screener!$B$17="With A-share",(Database!$AL308&lt;&gt;"")),AND(Screener!$B$17="Without A-share",NOT((Database!$AL308&lt;&gt;"")))),1,0)=0),-999999,IF(Screener!$B$15="cornerstone overlap first",H308*100000,0)+W_SUB*B308+W_SEC*C308*(1-B308)+W_SIZE*D308+W_PROF*E308+W_AH*F308+W_REC*G308+W_CS*H308)+ROW()/1000000</f>
        <v/>
      </c>
      <c r="K308">
        <f>Database!B300</f>
        <v/>
      </c>
      <c r="L308">
        <f>Database!D300</f>
        <v/>
      </c>
      <c r="M308">
        <f>Database!E300</f>
        <v/>
      </c>
      <c r="N308">
        <f>Database!H300</f>
        <v/>
      </c>
      <c r="O308">
        <f>Database!AH300</f>
        <v/>
      </c>
      <c r="P308">
        <f>Database!AK300</f>
        <v/>
      </c>
      <c r="Q308">
        <f>Database!G300</f>
        <v/>
      </c>
    </row>
    <row r="309">
      <c r="A309">
        <f>Database!B309</f>
        <v/>
      </c>
      <c r="B309">
        <f>IF(AND(Screener!$D$9&lt;&gt;"",Database!$E309=Screener!$D$9),1,0)</f>
        <v/>
      </c>
      <c r="C309">
        <f>IF(AND(Screener!$D$8&lt;&gt;"",Database!$D309=Screener!$D$8),1,0)</f>
        <v/>
      </c>
      <c r="D309">
        <f>IF(OR(Database!$H309="",N(Screener!$D$10)&lt;=0),0,MAX(0,1-ABS(LOG10(Database!$H309/Screener!$D$10))/W_SIZEHW))</f>
        <v/>
      </c>
      <c r="E309">
        <f>IF(OR(Database!$AH309="",Screener!$D$11=""),0,IF(Database!$AH309=Screener!$D$11,1,0))</f>
        <v/>
      </c>
      <c r="F309">
        <f>IF(OR(Database!$AK309="",Screener!$D$12=""),0,IF(Database!$AK309=Screener!$D$12,1,0))</f>
        <v/>
      </c>
      <c r="G309">
        <f>IF(OR(Database!$G309="",N(Screener!$D$13)&lt;=0),0,MAX(0,1-(N(Screener!$D$13)-Database!$G309)/W_RECD))</f>
        <v/>
      </c>
      <c r="H309">
        <f>IF($K$1="",0,N(ISNUMBER(SEARCH($K$1,Database!$T309&amp;""))))+IF($L$1="",0,N(ISNUMBER(SEARCH($L$1,Database!$T309&amp;""))))+IF($M$1="",0,N(ISNUMBER(SEARCH($M$1,Database!$T309&amp;""))))+IF($N$1="",0,N(ISNUMBER(SEARCH($N$1,Database!$T309&amp;""))))+IF($O$1="",0,N(ISNUMBER(SEARCH($O$1,Database!$T309&amp;""))))+IF(Screener!$B$14="",0,N(ISNUMBER(SEARCH(Screener!$B$14,Database!$T309&amp;""))))</f>
        <v/>
      </c>
      <c r="I309">
        <f>IF(OR(Database!$B309=Screener!$B$5,IF(OR(Screener!$B$17="All",AND(Screener!$B$17="With A-share",(Database!$AL309&lt;&gt;"")),AND(Screener!$B$17="Without A-share",NOT((Database!$AL309&lt;&gt;"")))),1,0)=0),-999999,IF(Screener!$B$15="cornerstone overlap first",H309*100000,0)+W_SUB*B309+W_SEC*C309*(1-B309)+W_SIZE*D309+W_PROF*E309+W_AH*F309+W_REC*G309+W_CS*H309)+ROW()/1000000</f>
        <v/>
      </c>
      <c r="K309">
        <f>Database!B301</f>
        <v/>
      </c>
      <c r="L309">
        <f>Database!D301</f>
        <v/>
      </c>
      <c r="M309">
        <f>Database!E301</f>
        <v/>
      </c>
      <c r="N309">
        <f>Database!H301</f>
        <v/>
      </c>
      <c r="O309">
        <f>Database!AH301</f>
        <v/>
      </c>
      <c r="P309">
        <f>Database!AK301</f>
        <v/>
      </c>
      <c r="Q309">
        <f>Database!G301</f>
        <v/>
      </c>
    </row>
    <row r="310">
      <c r="A310">
        <f>Database!B310</f>
        <v/>
      </c>
      <c r="B310">
        <f>IF(AND(Screener!$D$9&lt;&gt;"",Database!$E310=Screener!$D$9),1,0)</f>
        <v/>
      </c>
      <c r="C310">
        <f>IF(AND(Screener!$D$8&lt;&gt;"",Database!$D310=Screener!$D$8),1,0)</f>
        <v/>
      </c>
      <c r="D310">
        <f>IF(OR(Database!$H310="",N(Screener!$D$10)&lt;=0),0,MAX(0,1-ABS(LOG10(Database!$H310/Screener!$D$10))/W_SIZEHW))</f>
        <v/>
      </c>
      <c r="E310">
        <f>IF(OR(Database!$AH310="",Screener!$D$11=""),0,IF(Database!$AH310=Screener!$D$11,1,0))</f>
        <v/>
      </c>
      <c r="F310">
        <f>IF(OR(Database!$AK310="",Screener!$D$12=""),0,IF(Database!$AK310=Screener!$D$12,1,0))</f>
        <v/>
      </c>
      <c r="G310">
        <f>IF(OR(Database!$G310="",N(Screener!$D$13)&lt;=0),0,MAX(0,1-(N(Screener!$D$13)-Database!$G310)/W_RECD))</f>
        <v/>
      </c>
      <c r="H310">
        <f>IF($K$1="",0,N(ISNUMBER(SEARCH($K$1,Database!$T310&amp;""))))+IF($L$1="",0,N(ISNUMBER(SEARCH($L$1,Database!$T310&amp;""))))+IF($M$1="",0,N(ISNUMBER(SEARCH($M$1,Database!$T310&amp;""))))+IF($N$1="",0,N(ISNUMBER(SEARCH($N$1,Database!$T310&amp;""))))+IF($O$1="",0,N(ISNUMBER(SEARCH($O$1,Database!$T310&amp;""))))+IF(Screener!$B$14="",0,N(ISNUMBER(SEARCH(Screener!$B$14,Database!$T310&amp;""))))</f>
        <v/>
      </c>
      <c r="I310">
        <f>IF(OR(Database!$B310=Screener!$B$5,IF(OR(Screener!$B$17="All",AND(Screener!$B$17="With A-share",(Database!$AL310&lt;&gt;"")),AND(Screener!$B$17="Without A-share",NOT((Database!$AL310&lt;&gt;"")))),1,0)=0),-999999,IF(Screener!$B$15="cornerstone overlap first",H310*100000,0)+W_SUB*B310+W_SEC*C310*(1-B310)+W_SIZE*D310+W_PROF*E310+W_AH*F310+W_REC*G310+W_CS*H310)+ROW()/1000000</f>
        <v/>
      </c>
      <c r="K310">
        <f>Database!B302</f>
        <v/>
      </c>
      <c r="L310">
        <f>Database!D302</f>
        <v/>
      </c>
      <c r="M310">
        <f>Database!E302</f>
        <v/>
      </c>
      <c r="N310">
        <f>Database!H302</f>
        <v/>
      </c>
      <c r="O310">
        <f>Database!AH302</f>
        <v/>
      </c>
      <c r="P310">
        <f>Database!AK302</f>
        <v/>
      </c>
      <c r="Q310">
        <f>Database!G302</f>
        <v/>
      </c>
    </row>
    <row r="311">
      <c r="A311">
        <f>Database!B311</f>
        <v/>
      </c>
      <c r="B311">
        <f>IF(AND(Screener!$D$9&lt;&gt;"",Database!$E311=Screener!$D$9),1,0)</f>
        <v/>
      </c>
      <c r="C311">
        <f>IF(AND(Screener!$D$8&lt;&gt;"",Database!$D311=Screener!$D$8),1,0)</f>
        <v/>
      </c>
      <c r="D311">
        <f>IF(OR(Database!$H311="",N(Screener!$D$10)&lt;=0),0,MAX(0,1-ABS(LOG10(Database!$H311/Screener!$D$10))/W_SIZEHW))</f>
        <v/>
      </c>
      <c r="E311">
        <f>IF(OR(Database!$AH311="",Screener!$D$11=""),0,IF(Database!$AH311=Screener!$D$11,1,0))</f>
        <v/>
      </c>
      <c r="F311">
        <f>IF(OR(Database!$AK311="",Screener!$D$12=""),0,IF(Database!$AK311=Screener!$D$12,1,0))</f>
        <v/>
      </c>
      <c r="G311">
        <f>IF(OR(Database!$G311="",N(Screener!$D$13)&lt;=0),0,MAX(0,1-(N(Screener!$D$13)-Database!$G311)/W_RECD))</f>
        <v/>
      </c>
      <c r="H311">
        <f>IF($K$1="",0,N(ISNUMBER(SEARCH($K$1,Database!$T311&amp;""))))+IF($L$1="",0,N(ISNUMBER(SEARCH($L$1,Database!$T311&amp;""))))+IF($M$1="",0,N(ISNUMBER(SEARCH($M$1,Database!$T311&amp;""))))+IF($N$1="",0,N(ISNUMBER(SEARCH($N$1,Database!$T311&amp;""))))+IF($O$1="",0,N(ISNUMBER(SEARCH($O$1,Database!$T311&amp;""))))+IF(Screener!$B$14="",0,N(ISNUMBER(SEARCH(Screener!$B$14,Database!$T311&amp;""))))</f>
        <v/>
      </c>
      <c r="I311">
        <f>IF(OR(Database!$B311=Screener!$B$5,IF(OR(Screener!$B$17="All",AND(Screener!$B$17="With A-share",(Database!$AL311&lt;&gt;"")),AND(Screener!$B$17="Without A-share",NOT((Database!$AL311&lt;&gt;"")))),1,0)=0),-999999,IF(Screener!$B$15="cornerstone overlap first",H311*100000,0)+W_SUB*B311+W_SEC*C311*(1-B311)+W_SIZE*D311+W_PROF*E311+W_AH*F311+W_REC*G311+W_CS*H311)+ROW()/1000000</f>
        <v/>
      </c>
      <c r="K311">
        <f>Database!B303</f>
        <v/>
      </c>
      <c r="L311">
        <f>Database!D303</f>
        <v/>
      </c>
      <c r="M311">
        <f>Database!E303</f>
        <v/>
      </c>
      <c r="N311">
        <f>Database!H303</f>
        <v/>
      </c>
      <c r="O311">
        <f>Database!AH303</f>
        <v/>
      </c>
      <c r="P311">
        <f>Database!AK303</f>
        <v/>
      </c>
      <c r="Q311">
        <f>Database!G303</f>
        <v/>
      </c>
    </row>
    <row r="312">
      <c r="A312">
        <f>Database!B312</f>
        <v/>
      </c>
      <c r="B312">
        <f>IF(AND(Screener!$D$9&lt;&gt;"",Database!$E312=Screener!$D$9),1,0)</f>
        <v/>
      </c>
      <c r="C312">
        <f>IF(AND(Screener!$D$8&lt;&gt;"",Database!$D312=Screener!$D$8),1,0)</f>
        <v/>
      </c>
      <c r="D312">
        <f>IF(OR(Database!$H312="",N(Screener!$D$10)&lt;=0),0,MAX(0,1-ABS(LOG10(Database!$H312/Screener!$D$10))/W_SIZEHW))</f>
        <v/>
      </c>
      <c r="E312">
        <f>IF(OR(Database!$AH312="",Screener!$D$11=""),0,IF(Database!$AH312=Screener!$D$11,1,0))</f>
        <v/>
      </c>
      <c r="F312">
        <f>IF(OR(Database!$AK312="",Screener!$D$12=""),0,IF(Database!$AK312=Screener!$D$12,1,0))</f>
        <v/>
      </c>
      <c r="G312">
        <f>IF(OR(Database!$G312="",N(Screener!$D$13)&lt;=0),0,MAX(0,1-(N(Screener!$D$13)-Database!$G312)/W_RECD))</f>
        <v/>
      </c>
      <c r="H312">
        <f>IF($K$1="",0,N(ISNUMBER(SEARCH($K$1,Database!$T312&amp;""))))+IF($L$1="",0,N(ISNUMBER(SEARCH($L$1,Database!$T312&amp;""))))+IF($M$1="",0,N(ISNUMBER(SEARCH($M$1,Database!$T312&amp;""))))+IF($N$1="",0,N(ISNUMBER(SEARCH($N$1,Database!$T312&amp;""))))+IF($O$1="",0,N(ISNUMBER(SEARCH($O$1,Database!$T312&amp;""))))+IF(Screener!$B$14="",0,N(ISNUMBER(SEARCH(Screener!$B$14,Database!$T312&amp;""))))</f>
        <v/>
      </c>
      <c r="I312">
        <f>IF(OR(Database!$B312=Screener!$B$5,IF(OR(Screener!$B$17="All",AND(Screener!$B$17="With A-share",(Database!$AL312&lt;&gt;"")),AND(Screener!$B$17="Without A-share",NOT((Database!$AL312&lt;&gt;"")))),1,0)=0),-999999,IF(Screener!$B$15="cornerstone overlap first",H312*100000,0)+W_SUB*B312+W_SEC*C312*(1-B312)+W_SIZE*D312+W_PROF*E312+W_AH*F312+W_REC*G312+W_CS*H312)+ROW()/1000000</f>
        <v/>
      </c>
      <c r="K312">
        <f>Database!B304</f>
        <v/>
      </c>
      <c r="L312">
        <f>Database!D304</f>
        <v/>
      </c>
      <c r="M312">
        <f>Database!E304</f>
        <v/>
      </c>
      <c r="N312">
        <f>Database!H304</f>
        <v/>
      </c>
      <c r="O312">
        <f>Database!AH304</f>
        <v/>
      </c>
      <c r="P312">
        <f>Database!AK304</f>
        <v/>
      </c>
      <c r="Q312">
        <f>Database!G304</f>
        <v/>
      </c>
    </row>
    <row r="313">
      <c r="A313">
        <f>Database!B313</f>
        <v/>
      </c>
      <c r="B313">
        <f>IF(AND(Screener!$D$9&lt;&gt;"",Database!$E313=Screener!$D$9),1,0)</f>
        <v/>
      </c>
      <c r="C313">
        <f>IF(AND(Screener!$D$8&lt;&gt;"",Database!$D313=Screener!$D$8),1,0)</f>
        <v/>
      </c>
      <c r="D313">
        <f>IF(OR(Database!$H313="",N(Screener!$D$10)&lt;=0),0,MAX(0,1-ABS(LOG10(Database!$H313/Screener!$D$10))/W_SIZEHW))</f>
        <v/>
      </c>
      <c r="E313">
        <f>IF(OR(Database!$AH313="",Screener!$D$11=""),0,IF(Database!$AH313=Screener!$D$11,1,0))</f>
        <v/>
      </c>
      <c r="F313">
        <f>IF(OR(Database!$AK313="",Screener!$D$12=""),0,IF(Database!$AK313=Screener!$D$12,1,0))</f>
        <v/>
      </c>
      <c r="G313">
        <f>IF(OR(Database!$G313="",N(Screener!$D$13)&lt;=0),0,MAX(0,1-(N(Screener!$D$13)-Database!$G313)/W_RECD))</f>
        <v/>
      </c>
      <c r="H313">
        <f>IF($K$1="",0,N(ISNUMBER(SEARCH($K$1,Database!$T313&amp;""))))+IF($L$1="",0,N(ISNUMBER(SEARCH($L$1,Database!$T313&amp;""))))+IF($M$1="",0,N(ISNUMBER(SEARCH($M$1,Database!$T313&amp;""))))+IF($N$1="",0,N(ISNUMBER(SEARCH($N$1,Database!$T313&amp;""))))+IF($O$1="",0,N(ISNUMBER(SEARCH($O$1,Database!$T313&amp;""))))+IF(Screener!$B$14="",0,N(ISNUMBER(SEARCH(Screener!$B$14,Database!$T313&amp;""))))</f>
        <v/>
      </c>
      <c r="I313">
        <f>IF(OR(Database!$B313=Screener!$B$5,IF(OR(Screener!$B$17="All",AND(Screener!$B$17="With A-share",(Database!$AL313&lt;&gt;"")),AND(Screener!$B$17="Without A-share",NOT((Database!$AL313&lt;&gt;"")))),1,0)=0),-999999,IF(Screener!$B$15="cornerstone overlap first",H313*100000,0)+W_SUB*B313+W_SEC*C313*(1-B313)+W_SIZE*D313+W_PROF*E313+W_AH*F313+W_REC*G313+W_CS*H313)+ROW()/1000000</f>
        <v/>
      </c>
      <c r="K313">
        <f>Database!B305</f>
        <v/>
      </c>
      <c r="L313">
        <f>Database!D305</f>
        <v/>
      </c>
      <c r="M313">
        <f>Database!E305</f>
        <v/>
      </c>
      <c r="N313">
        <f>Database!H305</f>
        <v/>
      </c>
      <c r="O313">
        <f>Database!AH305</f>
        <v/>
      </c>
      <c r="P313">
        <f>Database!AK305</f>
        <v/>
      </c>
      <c r="Q313">
        <f>Database!G305</f>
        <v/>
      </c>
    </row>
    <row r="314">
      <c r="A314">
        <f>Database!B314</f>
        <v/>
      </c>
      <c r="B314">
        <f>IF(AND(Screener!$D$9&lt;&gt;"",Database!$E314=Screener!$D$9),1,0)</f>
        <v/>
      </c>
      <c r="C314">
        <f>IF(AND(Screener!$D$8&lt;&gt;"",Database!$D314=Screener!$D$8),1,0)</f>
        <v/>
      </c>
      <c r="D314">
        <f>IF(OR(Database!$H314="",N(Screener!$D$10)&lt;=0),0,MAX(0,1-ABS(LOG10(Database!$H314/Screener!$D$10))/W_SIZEHW))</f>
        <v/>
      </c>
      <c r="E314">
        <f>IF(OR(Database!$AH314="",Screener!$D$11=""),0,IF(Database!$AH314=Screener!$D$11,1,0))</f>
        <v/>
      </c>
      <c r="F314">
        <f>IF(OR(Database!$AK314="",Screener!$D$12=""),0,IF(Database!$AK314=Screener!$D$12,1,0))</f>
        <v/>
      </c>
      <c r="G314">
        <f>IF(OR(Database!$G314="",N(Screener!$D$13)&lt;=0),0,MAX(0,1-(N(Screener!$D$13)-Database!$G314)/W_RECD))</f>
        <v/>
      </c>
      <c r="H314">
        <f>IF($K$1="",0,N(ISNUMBER(SEARCH($K$1,Database!$T314&amp;""))))+IF($L$1="",0,N(ISNUMBER(SEARCH($L$1,Database!$T314&amp;""))))+IF($M$1="",0,N(ISNUMBER(SEARCH($M$1,Database!$T314&amp;""))))+IF($N$1="",0,N(ISNUMBER(SEARCH($N$1,Database!$T314&amp;""))))+IF($O$1="",0,N(ISNUMBER(SEARCH($O$1,Database!$T314&amp;""))))+IF(Screener!$B$14="",0,N(ISNUMBER(SEARCH(Screener!$B$14,Database!$T314&amp;""))))</f>
        <v/>
      </c>
      <c r="I314">
        <f>IF(OR(Database!$B314=Screener!$B$5,IF(OR(Screener!$B$17="All",AND(Screener!$B$17="With A-share",(Database!$AL314&lt;&gt;"")),AND(Screener!$B$17="Without A-share",NOT((Database!$AL314&lt;&gt;"")))),1,0)=0),-999999,IF(Screener!$B$15="cornerstone overlap first",H314*100000,0)+W_SUB*B314+W_SEC*C314*(1-B314)+W_SIZE*D314+W_PROF*E314+W_AH*F314+W_REC*G314+W_CS*H314)+ROW()/1000000</f>
        <v/>
      </c>
      <c r="K314">
        <f>Database!B306</f>
        <v/>
      </c>
      <c r="L314">
        <f>Database!D306</f>
        <v/>
      </c>
      <c r="M314">
        <f>Database!E306</f>
        <v/>
      </c>
      <c r="N314">
        <f>Database!H306</f>
        <v/>
      </c>
      <c r="O314">
        <f>Database!AH306</f>
        <v/>
      </c>
      <c r="P314">
        <f>Database!AK306</f>
        <v/>
      </c>
      <c r="Q314">
        <f>Database!G306</f>
        <v/>
      </c>
    </row>
    <row r="315">
      <c r="A315">
        <f>Database!B315</f>
        <v/>
      </c>
      <c r="B315">
        <f>IF(AND(Screener!$D$9&lt;&gt;"",Database!$E315=Screener!$D$9),1,0)</f>
        <v/>
      </c>
      <c r="C315">
        <f>IF(AND(Screener!$D$8&lt;&gt;"",Database!$D315=Screener!$D$8),1,0)</f>
        <v/>
      </c>
      <c r="D315">
        <f>IF(OR(Database!$H315="",N(Screener!$D$10)&lt;=0),0,MAX(0,1-ABS(LOG10(Database!$H315/Screener!$D$10))/W_SIZEHW))</f>
        <v/>
      </c>
      <c r="E315">
        <f>IF(OR(Database!$AH315="",Screener!$D$11=""),0,IF(Database!$AH315=Screener!$D$11,1,0))</f>
        <v/>
      </c>
      <c r="F315">
        <f>IF(OR(Database!$AK315="",Screener!$D$12=""),0,IF(Database!$AK315=Screener!$D$12,1,0))</f>
        <v/>
      </c>
      <c r="G315">
        <f>IF(OR(Database!$G315="",N(Screener!$D$13)&lt;=0),0,MAX(0,1-(N(Screener!$D$13)-Database!$G315)/W_RECD))</f>
        <v/>
      </c>
      <c r="H315">
        <f>IF($K$1="",0,N(ISNUMBER(SEARCH($K$1,Database!$T315&amp;""))))+IF($L$1="",0,N(ISNUMBER(SEARCH($L$1,Database!$T315&amp;""))))+IF($M$1="",0,N(ISNUMBER(SEARCH($M$1,Database!$T315&amp;""))))+IF($N$1="",0,N(ISNUMBER(SEARCH($N$1,Database!$T315&amp;""))))+IF($O$1="",0,N(ISNUMBER(SEARCH($O$1,Database!$T315&amp;""))))+IF(Screener!$B$14="",0,N(ISNUMBER(SEARCH(Screener!$B$14,Database!$T315&amp;""))))</f>
        <v/>
      </c>
      <c r="I315">
        <f>IF(OR(Database!$B315=Screener!$B$5,IF(OR(Screener!$B$17="All",AND(Screener!$B$17="With A-share",(Database!$AL315&lt;&gt;"")),AND(Screener!$B$17="Without A-share",NOT((Database!$AL315&lt;&gt;"")))),1,0)=0),-999999,IF(Screener!$B$15="cornerstone overlap first",H315*100000,0)+W_SUB*B315+W_SEC*C315*(1-B315)+W_SIZE*D315+W_PROF*E315+W_AH*F315+W_REC*G315+W_CS*H315)+ROW()/1000000</f>
        <v/>
      </c>
      <c r="K315">
        <f>Database!B307</f>
        <v/>
      </c>
      <c r="L315">
        <f>Database!D307</f>
        <v/>
      </c>
      <c r="M315">
        <f>Database!E307</f>
        <v/>
      </c>
      <c r="N315">
        <f>Database!H307</f>
        <v/>
      </c>
      <c r="O315">
        <f>Database!AH307</f>
        <v/>
      </c>
      <c r="P315">
        <f>Database!AK307</f>
        <v/>
      </c>
      <c r="Q315">
        <f>Database!G307</f>
        <v/>
      </c>
    </row>
    <row r="316">
      <c r="A316">
        <f>Database!B316</f>
        <v/>
      </c>
      <c r="B316">
        <f>IF(AND(Screener!$D$9&lt;&gt;"",Database!$E316=Screener!$D$9),1,0)</f>
        <v/>
      </c>
      <c r="C316">
        <f>IF(AND(Screener!$D$8&lt;&gt;"",Database!$D316=Screener!$D$8),1,0)</f>
        <v/>
      </c>
      <c r="D316">
        <f>IF(OR(Database!$H316="",N(Screener!$D$10)&lt;=0),0,MAX(0,1-ABS(LOG10(Database!$H316/Screener!$D$10))/W_SIZEHW))</f>
        <v/>
      </c>
      <c r="E316">
        <f>IF(OR(Database!$AH316="",Screener!$D$11=""),0,IF(Database!$AH316=Screener!$D$11,1,0))</f>
        <v/>
      </c>
      <c r="F316">
        <f>IF(OR(Database!$AK316="",Screener!$D$12=""),0,IF(Database!$AK316=Screener!$D$12,1,0))</f>
        <v/>
      </c>
      <c r="G316">
        <f>IF(OR(Database!$G316="",N(Screener!$D$13)&lt;=0),0,MAX(0,1-(N(Screener!$D$13)-Database!$G316)/W_RECD))</f>
        <v/>
      </c>
      <c r="H316">
        <f>IF($K$1="",0,N(ISNUMBER(SEARCH($K$1,Database!$T316&amp;""))))+IF($L$1="",0,N(ISNUMBER(SEARCH($L$1,Database!$T316&amp;""))))+IF($M$1="",0,N(ISNUMBER(SEARCH($M$1,Database!$T316&amp;""))))+IF($N$1="",0,N(ISNUMBER(SEARCH($N$1,Database!$T316&amp;""))))+IF($O$1="",0,N(ISNUMBER(SEARCH($O$1,Database!$T316&amp;""))))+IF(Screener!$B$14="",0,N(ISNUMBER(SEARCH(Screener!$B$14,Database!$T316&amp;""))))</f>
        <v/>
      </c>
      <c r="I316">
        <f>IF(OR(Database!$B316=Screener!$B$5,IF(OR(Screener!$B$17="All",AND(Screener!$B$17="With A-share",(Database!$AL316&lt;&gt;"")),AND(Screener!$B$17="Without A-share",NOT((Database!$AL316&lt;&gt;"")))),1,0)=0),-999999,IF(Screener!$B$15="cornerstone overlap first",H316*100000,0)+W_SUB*B316+W_SEC*C316*(1-B316)+W_SIZE*D316+W_PROF*E316+W_AH*F316+W_REC*G316+W_CS*H316)+ROW()/1000000</f>
        <v/>
      </c>
      <c r="K316">
        <f>Database!B308</f>
        <v/>
      </c>
      <c r="L316">
        <f>Database!D308</f>
        <v/>
      </c>
      <c r="M316">
        <f>Database!E308</f>
        <v/>
      </c>
      <c r="N316">
        <f>Database!H308</f>
        <v/>
      </c>
      <c r="O316">
        <f>Database!AH308</f>
        <v/>
      </c>
      <c r="P316">
        <f>Database!AK308</f>
        <v/>
      </c>
      <c r="Q316">
        <f>Database!G308</f>
        <v/>
      </c>
    </row>
    <row r="317">
      <c r="A317">
        <f>Database!B317</f>
        <v/>
      </c>
      <c r="B317">
        <f>IF(AND(Screener!$D$9&lt;&gt;"",Database!$E317=Screener!$D$9),1,0)</f>
        <v/>
      </c>
      <c r="C317">
        <f>IF(AND(Screener!$D$8&lt;&gt;"",Database!$D317=Screener!$D$8),1,0)</f>
        <v/>
      </c>
      <c r="D317">
        <f>IF(OR(Database!$H317="",N(Screener!$D$10)&lt;=0),0,MAX(0,1-ABS(LOG10(Database!$H317/Screener!$D$10))/W_SIZEHW))</f>
        <v/>
      </c>
      <c r="E317">
        <f>IF(OR(Database!$AH317="",Screener!$D$11=""),0,IF(Database!$AH317=Screener!$D$11,1,0))</f>
        <v/>
      </c>
      <c r="F317">
        <f>IF(OR(Database!$AK317="",Screener!$D$12=""),0,IF(Database!$AK317=Screener!$D$12,1,0))</f>
        <v/>
      </c>
      <c r="G317">
        <f>IF(OR(Database!$G317="",N(Screener!$D$13)&lt;=0),0,MAX(0,1-(N(Screener!$D$13)-Database!$G317)/W_RECD))</f>
        <v/>
      </c>
      <c r="H317">
        <f>IF($K$1="",0,N(ISNUMBER(SEARCH($K$1,Database!$T317&amp;""))))+IF($L$1="",0,N(ISNUMBER(SEARCH($L$1,Database!$T317&amp;""))))+IF($M$1="",0,N(ISNUMBER(SEARCH($M$1,Database!$T317&amp;""))))+IF($N$1="",0,N(ISNUMBER(SEARCH($N$1,Database!$T317&amp;""))))+IF($O$1="",0,N(ISNUMBER(SEARCH($O$1,Database!$T317&amp;""))))+IF(Screener!$B$14="",0,N(ISNUMBER(SEARCH(Screener!$B$14,Database!$T317&amp;""))))</f>
        <v/>
      </c>
      <c r="I317">
        <f>IF(OR(Database!$B317=Screener!$B$5,IF(OR(Screener!$B$17="All",AND(Screener!$B$17="With A-share",(Database!$AL317&lt;&gt;"")),AND(Screener!$B$17="Without A-share",NOT((Database!$AL317&lt;&gt;"")))),1,0)=0),-999999,IF(Screener!$B$15="cornerstone overlap first",H317*100000,0)+W_SUB*B317+W_SEC*C317*(1-B317)+W_SIZE*D317+W_PROF*E317+W_AH*F317+W_REC*G317+W_CS*H317)+ROW()/1000000</f>
        <v/>
      </c>
      <c r="K317">
        <f>Database!B309</f>
        <v/>
      </c>
      <c r="L317">
        <f>Database!D309</f>
        <v/>
      </c>
      <c r="M317">
        <f>Database!E309</f>
        <v/>
      </c>
      <c r="N317">
        <f>Database!H309</f>
        <v/>
      </c>
      <c r="O317">
        <f>Database!AH309</f>
        <v/>
      </c>
      <c r="P317">
        <f>Database!AK309</f>
        <v/>
      </c>
      <c r="Q317">
        <f>Database!G309</f>
        <v/>
      </c>
    </row>
    <row r="318">
      <c r="A318">
        <f>Database!B318</f>
        <v/>
      </c>
      <c r="B318">
        <f>IF(AND(Screener!$D$9&lt;&gt;"",Database!$E318=Screener!$D$9),1,0)</f>
        <v/>
      </c>
      <c r="C318">
        <f>IF(AND(Screener!$D$8&lt;&gt;"",Database!$D318=Screener!$D$8),1,0)</f>
        <v/>
      </c>
      <c r="D318">
        <f>IF(OR(Database!$H318="",N(Screener!$D$10)&lt;=0),0,MAX(0,1-ABS(LOG10(Database!$H318/Screener!$D$10))/W_SIZEHW))</f>
        <v/>
      </c>
      <c r="E318">
        <f>IF(OR(Database!$AH318="",Screener!$D$11=""),0,IF(Database!$AH318=Screener!$D$11,1,0))</f>
        <v/>
      </c>
      <c r="F318">
        <f>IF(OR(Database!$AK318="",Screener!$D$12=""),0,IF(Database!$AK318=Screener!$D$12,1,0))</f>
        <v/>
      </c>
      <c r="G318">
        <f>IF(OR(Database!$G318="",N(Screener!$D$13)&lt;=0),0,MAX(0,1-(N(Screener!$D$13)-Database!$G318)/W_RECD))</f>
        <v/>
      </c>
      <c r="H318">
        <f>IF($K$1="",0,N(ISNUMBER(SEARCH($K$1,Database!$T318&amp;""))))+IF($L$1="",0,N(ISNUMBER(SEARCH($L$1,Database!$T318&amp;""))))+IF($M$1="",0,N(ISNUMBER(SEARCH($M$1,Database!$T318&amp;""))))+IF($N$1="",0,N(ISNUMBER(SEARCH($N$1,Database!$T318&amp;""))))+IF($O$1="",0,N(ISNUMBER(SEARCH($O$1,Database!$T318&amp;""))))+IF(Screener!$B$14="",0,N(ISNUMBER(SEARCH(Screener!$B$14,Database!$T318&amp;""))))</f>
        <v/>
      </c>
      <c r="I318">
        <f>IF(OR(Database!$B318=Screener!$B$5,IF(OR(Screener!$B$17="All",AND(Screener!$B$17="With A-share",(Database!$AL318&lt;&gt;"")),AND(Screener!$B$17="Without A-share",NOT((Database!$AL318&lt;&gt;"")))),1,0)=0),-999999,IF(Screener!$B$15="cornerstone overlap first",H318*100000,0)+W_SUB*B318+W_SEC*C318*(1-B318)+W_SIZE*D318+W_PROF*E318+W_AH*F318+W_REC*G318+W_CS*H318)+ROW()/1000000</f>
        <v/>
      </c>
      <c r="K318">
        <f>Database!B310</f>
        <v/>
      </c>
      <c r="L318">
        <f>Database!D310</f>
        <v/>
      </c>
      <c r="M318">
        <f>Database!E310</f>
        <v/>
      </c>
      <c r="N318">
        <f>Database!H310</f>
        <v/>
      </c>
      <c r="O318">
        <f>Database!AH310</f>
        <v/>
      </c>
      <c r="P318">
        <f>Database!AK310</f>
        <v/>
      </c>
      <c r="Q318">
        <f>Database!G310</f>
        <v/>
      </c>
    </row>
    <row r="319">
      <c r="A319">
        <f>Database!B319</f>
        <v/>
      </c>
      <c r="B319">
        <f>IF(AND(Screener!$D$9&lt;&gt;"",Database!$E319=Screener!$D$9),1,0)</f>
        <v/>
      </c>
      <c r="C319">
        <f>IF(AND(Screener!$D$8&lt;&gt;"",Database!$D319=Screener!$D$8),1,0)</f>
        <v/>
      </c>
      <c r="D319">
        <f>IF(OR(Database!$H319="",N(Screener!$D$10)&lt;=0),0,MAX(0,1-ABS(LOG10(Database!$H319/Screener!$D$10))/W_SIZEHW))</f>
        <v/>
      </c>
      <c r="E319">
        <f>IF(OR(Database!$AH319="",Screener!$D$11=""),0,IF(Database!$AH319=Screener!$D$11,1,0))</f>
        <v/>
      </c>
      <c r="F319">
        <f>IF(OR(Database!$AK319="",Screener!$D$12=""),0,IF(Database!$AK319=Screener!$D$12,1,0))</f>
        <v/>
      </c>
      <c r="G319">
        <f>IF(OR(Database!$G319="",N(Screener!$D$13)&lt;=0),0,MAX(0,1-(N(Screener!$D$13)-Database!$G319)/W_RECD))</f>
        <v/>
      </c>
      <c r="H319">
        <f>IF($K$1="",0,N(ISNUMBER(SEARCH($K$1,Database!$T319&amp;""))))+IF($L$1="",0,N(ISNUMBER(SEARCH($L$1,Database!$T319&amp;""))))+IF($M$1="",0,N(ISNUMBER(SEARCH($M$1,Database!$T319&amp;""))))+IF($N$1="",0,N(ISNUMBER(SEARCH($N$1,Database!$T319&amp;""))))+IF($O$1="",0,N(ISNUMBER(SEARCH($O$1,Database!$T319&amp;""))))+IF(Screener!$B$14="",0,N(ISNUMBER(SEARCH(Screener!$B$14,Database!$T319&amp;""))))</f>
        <v/>
      </c>
      <c r="I319">
        <f>IF(OR(Database!$B319=Screener!$B$5,IF(OR(Screener!$B$17="All",AND(Screener!$B$17="With A-share",(Database!$AL319&lt;&gt;"")),AND(Screener!$B$17="Without A-share",NOT((Database!$AL319&lt;&gt;"")))),1,0)=0),-999999,IF(Screener!$B$15="cornerstone overlap first",H319*100000,0)+W_SUB*B319+W_SEC*C319*(1-B319)+W_SIZE*D319+W_PROF*E319+W_AH*F319+W_REC*G319+W_CS*H319)+ROW()/1000000</f>
        <v/>
      </c>
      <c r="K319">
        <f>Database!B311</f>
        <v/>
      </c>
      <c r="L319">
        <f>Database!D311</f>
        <v/>
      </c>
      <c r="M319">
        <f>Database!E311</f>
        <v/>
      </c>
      <c r="N319">
        <f>Database!H311</f>
        <v/>
      </c>
      <c r="O319">
        <f>Database!AH311</f>
        <v/>
      </c>
      <c r="P319">
        <f>Database!AK311</f>
        <v/>
      </c>
      <c r="Q319">
        <f>Database!G311</f>
        <v/>
      </c>
    </row>
    <row r="320">
      <c r="A320">
        <f>Database!B320</f>
        <v/>
      </c>
      <c r="B320">
        <f>IF(AND(Screener!$D$9&lt;&gt;"",Database!$E320=Screener!$D$9),1,0)</f>
        <v/>
      </c>
      <c r="C320">
        <f>IF(AND(Screener!$D$8&lt;&gt;"",Database!$D320=Screener!$D$8),1,0)</f>
        <v/>
      </c>
      <c r="D320">
        <f>IF(OR(Database!$H320="",N(Screener!$D$10)&lt;=0),0,MAX(0,1-ABS(LOG10(Database!$H320/Screener!$D$10))/W_SIZEHW))</f>
        <v/>
      </c>
      <c r="E320">
        <f>IF(OR(Database!$AH320="",Screener!$D$11=""),0,IF(Database!$AH320=Screener!$D$11,1,0))</f>
        <v/>
      </c>
      <c r="F320">
        <f>IF(OR(Database!$AK320="",Screener!$D$12=""),0,IF(Database!$AK320=Screener!$D$12,1,0))</f>
        <v/>
      </c>
      <c r="G320">
        <f>IF(OR(Database!$G320="",N(Screener!$D$13)&lt;=0),0,MAX(0,1-(N(Screener!$D$13)-Database!$G320)/W_RECD))</f>
        <v/>
      </c>
      <c r="H320">
        <f>IF($K$1="",0,N(ISNUMBER(SEARCH($K$1,Database!$T320&amp;""))))+IF($L$1="",0,N(ISNUMBER(SEARCH($L$1,Database!$T320&amp;""))))+IF($M$1="",0,N(ISNUMBER(SEARCH($M$1,Database!$T320&amp;""))))+IF($N$1="",0,N(ISNUMBER(SEARCH($N$1,Database!$T320&amp;""))))+IF($O$1="",0,N(ISNUMBER(SEARCH($O$1,Database!$T320&amp;""))))+IF(Screener!$B$14="",0,N(ISNUMBER(SEARCH(Screener!$B$14,Database!$T320&amp;""))))</f>
        <v/>
      </c>
      <c r="I320">
        <f>IF(OR(Database!$B320=Screener!$B$5,IF(OR(Screener!$B$17="All",AND(Screener!$B$17="With A-share",(Database!$AL320&lt;&gt;"")),AND(Screener!$B$17="Without A-share",NOT((Database!$AL320&lt;&gt;"")))),1,0)=0),-999999,IF(Screener!$B$15="cornerstone overlap first",H320*100000,0)+W_SUB*B320+W_SEC*C320*(1-B320)+W_SIZE*D320+W_PROF*E320+W_AH*F320+W_REC*G320+W_CS*H320)+ROW()/1000000</f>
        <v/>
      </c>
      <c r="K320">
        <f>Database!B312</f>
        <v/>
      </c>
      <c r="L320">
        <f>Database!D312</f>
        <v/>
      </c>
      <c r="M320">
        <f>Database!E312</f>
        <v/>
      </c>
      <c r="N320">
        <f>Database!H312</f>
        <v/>
      </c>
      <c r="O320">
        <f>Database!AH312</f>
        <v/>
      </c>
      <c r="P320">
        <f>Database!AK312</f>
        <v/>
      </c>
      <c r="Q320">
        <f>Database!G312</f>
        <v/>
      </c>
    </row>
    <row r="321">
      <c r="A321">
        <f>Database!B321</f>
        <v/>
      </c>
      <c r="B321">
        <f>IF(AND(Screener!$D$9&lt;&gt;"",Database!$E321=Screener!$D$9),1,0)</f>
        <v/>
      </c>
      <c r="C321">
        <f>IF(AND(Screener!$D$8&lt;&gt;"",Database!$D321=Screener!$D$8),1,0)</f>
        <v/>
      </c>
      <c r="D321">
        <f>IF(OR(Database!$H321="",N(Screener!$D$10)&lt;=0),0,MAX(0,1-ABS(LOG10(Database!$H321/Screener!$D$10))/W_SIZEHW))</f>
        <v/>
      </c>
      <c r="E321">
        <f>IF(OR(Database!$AH321="",Screener!$D$11=""),0,IF(Database!$AH321=Screener!$D$11,1,0))</f>
        <v/>
      </c>
      <c r="F321">
        <f>IF(OR(Database!$AK321="",Screener!$D$12=""),0,IF(Database!$AK321=Screener!$D$12,1,0))</f>
        <v/>
      </c>
      <c r="G321">
        <f>IF(OR(Database!$G321="",N(Screener!$D$13)&lt;=0),0,MAX(0,1-(N(Screener!$D$13)-Database!$G321)/W_RECD))</f>
        <v/>
      </c>
      <c r="H321">
        <f>IF($K$1="",0,N(ISNUMBER(SEARCH($K$1,Database!$T321&amp;""))))+IF($L$1="",0,N(ISNUMBER(SEARCH($L$1,Database!$T321&amp;""))))+IF($M$1="",0,N(ISNUMBER(SEARCH($M$1,Database!$T321&amp;""))))+IF($N$1="",0,N(ISNUMBER(SEARCH($N$1,Database!$T321&amp;""))))+IF($O$1="",0,N(ISNUMBER(SEARCH($O$1,Database!$T321&amp;""))))+IF(Screener!$B$14="",0,N(ISNUMBER(SEARCH(Screener!$B$14,Database!$T321&amp;""))))</f>
        <v/>
      </c>
      <c r="I321">
        <f>IF(OR(Database!$B321=Screener!$B$5,IF(OR(Screener!$B$17="All",AND(Screener!$B$17="With A-share",(Database!$AL321&lt;&gt;"")),AND(Screener!$B$17="Without A-share",NOT((Database!$AL321&lt;&gt;"")))),1,0)=0),-999999,IF(Screener!$B$15="cornerstone overlap first",H321*100000,0)+W_SUB*B321+W_SEC*C321*(1-B321)+W_SIZE*D321+W_PROF*E321+W_AH*F321+W_REC*G321+W_CS*H321)+ROW()/1000000</f>
        <v/>
      </c>
      <c r="K321">
        <f>Database!B313</f>
        <v/>
      </c>
      <c r="L321">
        <f>Database!D313</f>
        <v/>
      </c>
      <c r="M321">
        <f>Database!E313</f>
        <v/>
      </c>
      <c r="N321">
        <f>Database!H313</f>
        <v/>
      </c>
      <c r="O321">
        <f>Database!AH313</f>
        <v/>
      </c>
      <c r="P321">
        <f>Database!AK313</f>
        <v/>
      </c>
      <c r="Q321">
        <f>Database!G313</f>
        <v/>
      </c>
    </row>
    <row r="322">
      <c r="A322">
        <f>Database!B322</f>
        <v/>
      </c>
      <c r="B322">
        <f>IF(AND(Screener!$D$9&lt;&gt;"",Database!$E322=Screener!$D$9),1,0)</f>
        <v/>
      </c>
      <c r="C322">
        <f>IF(AND(Screener!$D$8&lt;&gt;"",Database!$D322=Screener!$D$8),1,0)</f>
        <v/>
      </c>
      <c r="D322">
        <f>IF(OR(Database!$H322="",N(Screener!$D$10)&lt;=0),0,MAX(0,1-ABS(LOG10(Database!$H322/Screener!$D$10))/W_SIZEHW))</f>
        <v/>
      </c>
      <c r="E322">
        <f>IF(OR(Database!$AH322="",Screener!$D$11=""),0,IF(Database!$AH322=Screener!$D$11,1,0))</f>
        <v/>
      </c>
      <c r="F322">
        <f>IF(OR(Database!$AK322="",Screener!$D$12=""),0,IF(Database!$AK322=Screener!$D$12,1,0))</f>
        <v/>
      </c>
      <c r="G322">
        <f>IF(OR(Database!$G322="",N(Screener!$D$13)&lt;=0),0,MAX(0,1-(N(Screener!$D$13)-Database!$G322)/W_RECD))</f>
        <v/>
      </c>
      <c r="H322">
        <f>IF($K$1="",0,N(ISNUMBER(SEARCH($K$1,Database!$T322&amp;""))))+IF($L$1="",0,N(ISNUMBER(SEARCH($L$1,Database!$T322&amp;""))))+IF($M$1="",0,N(ISNUMBER(SEARCH($M$1,Database!$T322&amp;""))))+IF($N$1="",0,N(ISNUMBER(SEARCH($N$1,Database!$T322&amp;""))))+IF($O$1="",0,N(ISNUMBER(SEARCH($O$1,Database!$T322&amp;""))))+IF(Screener!$B$14="",0,N(ISNUMBER(SEARCH(Screener!$B$14,Database!$T322&amp;""))))</f>
        <v/>
      </c>
      <c r="I322">
        <f>IF(OR(Database!$B322=Screener!$B$5,IF(OR(Screener!$B$17="All",AND(Screener!$B$17="With A-share",(Database!$AL322&lt;&gt;"")),AND(Screener!$B$17="Without A-share",NOT((Database!$AL322&lt;&gt;"")))),1,0)=0),-999999,IF(Screener!$B$15="cornerstone overlap first",H322*100000,0)+W_SUB*B322+W_SEC*C322*(1-B322)+W_SIZE*D322+W_PROF*E322+W_AH*F322+W_REC*G322+W_CS*H322)+ROW()/1000000</f>
        <v/>
      </c>
      <c r="K322">
        <f>Database!B314</f>
        <v/>
      </c>
      <c r="L322">
        <f>Database!D314</f>
        <v/>
      </c>
      <c r="M322">
        <f>Database!E314</f>
        <v/>
      </c>
      <c r="N322">
        <f>Database!H314</f>
        <v/>
      </c>
      <c r="O322">
        <f>Database!AH314</f>
        <v/>
      </c>
      <c r="P322">
        <f>Database!AK314</f>
        <v/>
      </c>
      <c r="Q322">
        <f>Database!G314</f>
        <v/>
      </c>
    </row>
    <row r="323">
      <c r="A323">
        <f>Database!B323</f>
        <v/>
      </c>
      <c r="B323">
        <f>IF(AND(Screener!$D$9&lt;&gt;"",Database!$E323=Screener!$D$9),1,0)</f>
        <v/>
      </c>
      <c r="C323">
        <f>IF(AND(Screener!$D$8&lt;&gt;"",Database!$D323=Screener!$D$8),1,0)</f>
        <v/>
      </c>
      <c r="D323">
        <f>IF(OR(Database!$H323="",N(Screener!$D$10)&lt;=0),0,MAX(0,1-ABS(LOG10(Database!$H323/Screener!$D$10))/W_SIZEHW))</f>
        <v/>
      </c>
      <c r="E323">
        <f>IF(OR(Database!$AH323="",Screener!$D$11=""),0,IF(Database!$AH323=Screener!$D$11,1,0))</f>
        <v/>
      </c>
      <c r="F323">
        <f>IF(OR(Database!$AK323="",Screener!$D$12=""),0,IF(Database!$AK323=Screener!$D$12,1,0))</f>
        <v/>
      </c>
      <c r="G323">
        <f>IF(OR(Database!$G323="",N(Screener!$D$13)&lt;=0),0,MAX(0,1-(N(Screener!$D$13)-Database!$G323)/W_RECD))</f>
        <v/>
      </c>
      <c r="H323">
        <f>IF($K$1="",0,N(ISNUMBER(SEARCH($K$1,Database!$T323&amp;""))))+IF($L$1="",0,N(ISNUMBER(SEARCH($L$1,Database!$T323&amp;""))))+IF($M$1="",0,N(ISNUMBER(SEARCH($M$1,Database!$T323&amp;""))))+IF($N$1="",0,N(ISNUMBER(SEARCH($N$1,Database!$T323&amp;""))))+IF($O$1="",0,N(ISNUMBER(SEARCH($O$1,Database!$T323&amp;""))))+IF(Screener!$B$14="",0,N(ISNUMBER(SEARCH(Screener!$B$14,Database!$T323&amp;""))))</f>
        <v/>
      </c>
      <c r="I323">
        <f>IF(OR(Database!$B323=Screener!$B$5,IF(OR(Screener!$B$17="All",AND(Screener!$B$17="With A-share",(Database!$AL323&lt;&gt;"")),AND(Screener!$B$17="Without A-share",NOT((Database!$AL323&lt;&gt;"")))),1,0)=0),-999999,IF(Screener!$B$15="cornerstone overlap first",H323*100000,0)+W_SUB*B323+W_SEC*C323*(1-B323)+W_SIZE*D323+W_PROF*E323+W_AH*F323+W_REC*G323+W_CS*H323)+ROW()/1000000</f>
        <v/>
      </c>
      <c r="K323">
        <f>Database!B315</f>
        <v/>
      </c>
      <c r="L323">
        <f>Database!D315</f>
        <v/>
      </c>
      <c r="M323">
        <f>Database!E315</f>
        <v/>
      </c>
      <c r="N323">
        <f>Database!H315</f>
        <v/>
      </c>
      <c r="O323">
        <f>Database!AH315</f>
        <v/>
      </c>
      <c r="P323">
        <f>Database!AK315</f>
        <v/>
      </c>
      <c r="Q323">
        <f>Database!G315</f>
        <v/>
      </c>
    </row>
    <row r="324">
      <c r="A324">
        <f>Database!B324</f>
        <v/>
      </c>
      <c r="B324">
        <f>IF(AND(Screener!$D$9&lt;&gt;"",Database!$E324=Screener!$D$9),1,0)</f>
        <v/>
      </c>
      <c r="C324">
        <f>IF(AND(Screener!$D$8&lt;&gt;"",Database!$D324=Screener!$D$8),1,0)</f>
        <v/>
      </c>
      <c r="D324">
        <f>IF(OR(Database!$H324="",N(Screener!$D$10)&lt;=0),0,MAX(0,1-ABS(LOG10(Database!$H324/Screener!$D$10))/W_SIZEHW))</f>
        <v/>
      </c>
      <c r="E324">
        <f>IF(OR(Database!$AH324="",Screener!$D$11=""),0,IF(Database!$AH324=Screener!$D$11,1,0))</f>
        <v/>
      </c>
      <c r="F324">
        <f>IF(OR(Database!$AK324="",Screener!$D$12=""),0,IF(Database!$AK324=Screener!$D$12,1,0))</f>
        <v/>
      </c>
      <c r="G324">
        <f>IF(OR(Database!$G324="",N(Screener!$D$13)&lt;=0),0,MAX(0,1-(N(Screener!$D$13)-Database!$G324)/W_RECD))</f>
        <v/>
      </c>
      <c r="H324">
        <f>IF($K$1="",0,N(ISNUMBER(SEARCH($K$1,Database!$T324&amp;""))))+IF($L$1="",0,N(ISNUMBER(SEARCH($L$1,Database!$T324&amp;""))))+IF($M$1="",0,N(ISNUMBER(SEARCH($M$1,Database!$T324&amp;""))))+IF($N$1="",0,N(ISNUMBER(SEARCH($N$1,Database!$T324&amp;""))))+IF($O$1="",0,N(ISNUMBER(SEARCH($O$1,Database!$T324&amp;""))))+IF(Screener!$B$14="",0,N(ISNUMBER(SEARCH(Screener!$B$14,Database!$T324&amp;""))))</f>
        <v/>
      </c>
      <c r="I324">
        <f>IF(OR(Database!$B324=Screener!$B$5,IF(OR(Screener!$B$17="All",AND(Screener!$B$17="With A-share",(Database!$AL324&lt;&gt;"")),AND(Screener!$B$17="Without A-share",NOT((Database!$AL324&lt;&gt;"")))),1,0)=0),-999999,IF(Screener!$B$15="cornerstone overlap first",H324*100000,0)+W_SUB*B324+W_SEC*C324*(1-B324)+W_SIZE*D324+W_PROF*E324+W_AH*F324+W_REC*G324+W_CS*H324)+ROW()/1000000</f>
        <v/>
      </c>
      <c r="K324">
        <f>Database!B316</f>
        <v/>
      </c>
      <c r="L324">
        <f>Database!D316</f>
        <v/>
      </c>
      <c r="M324">
        <f>Database!E316</f>
        <v/>
      </c>
      <c r="N324">
        <f>Database!H316</f>
        <v/>
      </c>
      <c r="O324">
        <f>Database!AH316</f>
        <v/>
      </c>
      <c r="P324">
        <f>Database!AK316</f>
        <v/>
      </c>
      <c r="Q324">
        <f>Database!G316</f>
        <v/>
      </c>
    </row>
    <row r="325">
      <c r="A325">
        <f>Database!B325</f>
        <v/>
      </c>
      <c r="B325">
        <f>IF(AND(Screener!$D$9&lt;&gt;"",Database!$E325=Screener!$D$9),1,0)</f>
        <v/>
      </c>
      <c r="C325">
        <f>IF(AND(Screener!$D$8&lt;&gt;"",Database!$D325=Screener!$D$8),1,0)</f>
        <v/>
      </c>
      <c r="D325">
        <f>IF(OR(Database!$H325="",N(Screener!$D$10)&lt;=0),0,MAX(0,1-ABS(LOG10(Database!$H325/Screener!$D$10))/W_SIZEHW))</f>
        <v/>
      </c>
      <c r="E325">
        <f>IF(OR(Database!$AH325="",Screener!$D$11=""),0,IF(Database!$AH325=Screener!$D$11,1,0))</f>
        <v/>
      </c>
      <c r="F325">
        <f>IF(OR(Database!$AK325="",Screener!$D$12=""),0,IF(Database!$AK325=Screener!$D$12,1,0))</f>
        <v/>
      </c>
      <c r="G325">
        <f>IF(OR(Database!$G325="",N(Screener!$D$13)&lt;=0),0,MAX(0,1-(N(Screener!$D$13)-Database!$G325)/W_RECD))</f>
        <v/>
      </c>
      <c r="H325">
        <f>IF($K$1="",0,N(ISNUMBER(SEARCH($K$1,Database!$T325&amp;""))))+IF($L$1="",0,N(ISNUMBER(SEARCH($L$1,Database!$T325&amp;""))))+IF($M$1="",0,N(ISNUMBER(SEARCH($M$1,Database!$T325&amp;""))))+IF($N$1="",0,N(ISNUMBER(SEARCH($N$1,Database!$T325&amp;""))))+IF($O$1="",0,N(ISNUMBER(SEARCH($O$1,Database!$T325&amp;""))))+IF(Screener!$B$14="",0,N(ISNUMBER(SEARCH(Screener!$B$14,Database!$T325&amp;""))))</f>
        <v/>
      </c>
      <c r="I325">
        <f>IF(OR(Database!$B325=Screener!$B$5,IF(OR(Screener!$B$17="All",AND(Screener!$B$17="With A-share",(Database!$AL325&lt;&gt;"")),AND(Screener!$B$17="Without A-share",NOT((Database!$AL325&lt;&gt;"")))),1,0)=0),-999999,IF(Screener!$B$15="cornerstone overlap first",H325*100000,0)+W_SUB*B325+W_SEC*C325*(1-B325)+W_SIZE*D325+W_PROF*E325+W_AH*F325+W_REC*G325+W_CS*H325)+ROW()/1000000</f>
        <v/>
      </c>
      <c r="K325">
        <f>Database!B317</f>
        <v/>
      </c>
      <c r="L325">
        <f>Database!D317</f>
        <v/>
      </c>
      <c r="M325">
        <f>Database!E317</f>
        <v/>
      </c>
      <c r="N325">
        <f>Database!H317</f>
        <v/>
      </c>
      <c r="O325">
        <f>Database!AH317</f>
        <v/>
      </c>
      <c r="P325">
        <f>Database!AK317</f>
        <v/>
      </c>
      <c r="Q325">
        <f>Database!G317</f>
        <v/>
      </c>
    </row>
    <row r="326">
      <c r="A326">
        <f>Database!B326</f>
        <v/>
      </c>
      <c r="B326">
        <f>IF(AND(Screener!$D$9&lt;&gt;"",Database!$E326=Screener!$D$9),1,0)</f>
        <v/>
      </c>
      <c r="C326">
        <f>IF(AND(Screener!$D$8&lt;&gt;"",Database!$D326=Screener!$D$8),1,0)</f>
        <v/>
      </c>
      <c r="D326">
        <f>IF(OR(Database!$H326="",N(Screener!$D$10)&lt;=0),0,MAX(0,1-ABS(LOG10(Database!$H326/Screener!$D$10))/W_SIZEHW))</f>
        <v/>
      </c>
      <c r="E326">
        <f>IF(OR(Database!$AH326="",Screener!$D$11=""),0,IF(Database!$AH326=Screener!$D$11,1,0))</f>
        <v/>
      </c>
      <c r="F326">
        <f>IF(OR(Database!$AK326="",Screener!$D$12=""),0,IF(Database!$AK326=Screener!$D$12,1,0))</f>
        <v/>
      </c>
      <c r="G326">
        <f>IF(OR(Database!$G326="",N(Screener!$D$13)&lt;=0),0,MAX(0,1-(N(Screener!$D$13)-Database!$G326)/W_RECD))</f>
        <v/>
      </c>
      <c r="H326">
        <f>IF($K$1="",0,N(ISNUMBER(SEARCH($K$1,Database!$T326&amp;""))))+IF($L$1="",0,N(ISNUMBER(SEARCH($L$1,Database!$T326&amp;""))))+IF($M$1="",0,N(ISNUMBER(SEARCH($M$1,Database!$T326&amp;""))))+IF($N$1="",0,N(ISNUMBER(SEARCH($N$1,Database!$T326&amp;""))))+IF($O$1="",0,N(ISNUMBER(SEARCH($O$1,Database!$T326&amp;""))))+IF(Screener!$B$14="",0,N(ISNUMBER(SEARCH(Screener!$B$14,Database!$T326&amp;""))))</f>
        <v/>
      </c>
      <c r="I326">
        <f>IF(OR(Database!$B326=Screener!$B$5,IF(OR(Screener!$B$17="All",AND(Screener!$B$17="With A-share",(Database!$AL326&lt;&gt;"")),AND(Screener!$B$17="Without A-share",NOT((Database!$AL326&lt;&gt;"")))),1,0)=0),-999999,IF(Screener!$B$15="cornerstone overlap first",H326*100000,0)+W_SUB*B326+W_SEC*C326*(1-B326)+W_SIZE*D326+W_PROF*E326+W_AH*F326+W_REC*G326+W_CS*H326)+ROW()/1000000</f>
        <v/>
      </c>
      <c r="K326">
        <f>Database!B318</f>
        <v/>
      </c>
      <c r="L326">
        <f>Database!D318</f>
        <v/>
      </c>
      <c r="M326">
        <f>Database!E318</f>
        <v/>
      </c>
      <c r="N326">
        <f>Database!H318</f>
        <v/>
      </c>
      <c r="O326">
        <f>Database!AH318</f>
        <v/>
      </c>
      <c r="P326">
        <f>Database!AK318</f>
        <v/>
      </c>
      <c r="Q326">
        <f>Database!G318</f>
        <v/>
      </c>
    </row>
    <row r="327">
      <c r="A327">
        <f>Database!B327</f>
        <v/>
      </c>
      <c r="B327">
        <f>IF(AND(Screener!$D$9&lt;&gt;"",Database!$E327=Screener!$D$9),1,0)</f>
        <v/>
      </c>
      <c r="C327">
        <f>IF(AND(Screener!$D$8&lt;&gt;"",Database!$D327=Screener!$D$8),1,0)</f>
        <v/>
      </c>
      <c r="D327">
        <f>IF(OR(Database!$H327="",N(Screener!$D$10)&lt;=0),0,MAX(0,1-ABS(LOG10(Database!$H327/Screener!$D$10))/W_SIZEHW))</f>
        <v/>
      </c>
      <c r="E327">
        <f>IF(OR(Database!$AH327="",Screener!$D$11=""),0,IF(Database!$AH327=Screener!$D$11,1,0))</f>
        <v/>
      </c>
      <c r="F327">
        <f>IF(OR(Database!$AK327="",Screener!$D$12=""),0,IF(Database!$AK327=Screener!$D$12,1,0))</f>
        <v/>
      </c>
      <c r="G327">
        <f>IF(OR(Database!$G327="",N(Screener!$D$13)&lt;=0),0,MAX(0,1-(N(Screener!$D$13)-Database!$G327)/W_RECD))</f>
        <v/>
      </c>
      <c r="H327">
        <f>IF($K$1="",0,N(ISNUMBER(SEARCH($K$1,Database!$T327&amp;""))))+IF($L$1="",0,N(ISNUMBER(SEARCH($L$1,Database!$T327&amp;""))))+IF($M$1="",0,N(ISNUMBER(SEARCH($M$1,Database!$T327&amp;""))))+IF($N$1="",0,N(ISNUMBER(SEARCH($N$1,Database!$T327&amp;""))))+IF($O$1="",0,N(ISNUMBER(SEARCH($O$1,Database!$T327&amp;""))))+IF(Screener!$B$14="",0,N(ISNUMBER(SEARCH(Screener!$B$14,Database!$T327&amp;""))))</f>
        <v/>
      </c>
      <c r="I327">
        <f>IF(OR(Database!$B327=Screener!$B$5,IF(OR(Screener!$B$17="All",AND(Screener!$B$17="With A-share",(Database!$AL327&lt;&gt;"")),AND(Screener!$B$17="Without A-share",NOT((Database!$AL327&lt;&gt;"")))),1,0)=0),-999999,IF(Screener!$B$15="cornerstone overlap first",H327*100000,0)+W_SUB*B327+W_SEC*C327*(1-B327)+W_SIZE*D327+W_PROF*E327+W_AH*F327+W_REC*G327+W_CS*H327)+ROW()/1000000</f>
        <v/>
      </c>
      <c r="K327">
        <f>Database!B319</f>
        <v/>
      </c>
      <c r="L327">
        <f>Database!D319</f>
        <v/>
      </c>
      <c r="M327">
        <f>Database!E319</f>
        <v/>
      </c>
      <c r="N327">
        <f>Database!H319</f>
        <v/>
      </c>
      <c r="O327">
        <f>Database!AH319</f>
        <v/>
      </c>
      <c r="P327">
        <f>Database!AK319</f>
        <v/>
      </c>
      <c r="Q327">
        <f>Database!G319</f>
        <v/>
      </c>
    </row>
    <row r="328">
      <c r="A328">
        <f>Database!B328</f>
        <v/>
      </c>
      <c r="B328">
        <f>IF(AND(Screener!$D$9&lt;&gt;"",Database!$E328=Screener!$D$9),1,0)</f>
        <v/>
      </c>
      <c r="C328">
        <f>IF(AND(Screener!$D$8&lt;&gt;"",Database!$D328=Screener!$D$8),1,0)</f>
        <v/>
      </c>
      <c r="D328">
        <f>IF(OR(Database!$H328="",N(Screener!$D$10)&lt;=0),0,MAX(0,1-ABS(LOG10(Database!$H328/Screener!$D$10))/W_SIZEHW))</f>
        <v/>
      </c>
      <c r="E328">
        <f>IF(OR(Database!$AH328="",Screener!$D$11=""),0,IF(Database!$AH328=Screener!$D$11,1,0))</f>
        <v/>
      </c>
      <c r="F328">
        <f>IF(OR(Database!$AK328="",Screener!$D$12=""),0,IF(Database!$AK328=Screener!$D$12,1,0))</f>
        <v/>
      </c>
      <c r="G328">
        <f>IF(OR(Database!$G328="",N(Screener!$D$13)&lt;=0),0,MAX(0,1-(N(Screener!$D$13)-Database!$G328)/W_RECD))</f>
        <v/>
      </c>
      <c r="H328">
        <f>IF($K$1="",0,N(ISNUMBER(SEARCH($K$1,Database!$T328&amp;""))))+IF($L$1="",0,N(ISNUMBER(SEARCH($L$1,Database!$T328&amp;""))))+IF($M$1="",0,N(ISNUMBER(SEARCH($M$1,Database!$T328&amp;""))))+IF($N$1="",0,N(ISNUMBER(SEARCH($N$1,Database!$T328&amp;""))))+IF($O$1="",0,N(ISNUMBER(SEARCH($O$1,Database!$T328&amp;""))))+IF(Screener!$B$14="",0,N(ISNUMBER(SEARCH(Screener!$B$14,Database!$T328&amp;""))))</f>
        <v/>
      </c>
      <c r="I328">
        <f>IF(OR(Database!$B328=Screener!$B$5,IF(OR(Screener!$B$17="All",AND(Screener!$B$17="With A-share",(Database!$AL328&lt;&gt;"")),AND(Screener!$B$17="Without A-share",NOT((Database!$AL328&lt;&gt;"")))),1,0)=0),-999999,IF(Screener!$B$15="cornerstone overlap first",H328*100000,0)+W_SUB*B328+W_SEC*C328*(1-B328)+W_SIZE*D328+W_PROF*E328+W_AH*F328+W_REC*G328+W_CS*H328)+ROW()/1000000</f>
        <v/>
      </c>
      <c r="K328">
        <f>Database!B320</f>
        <v/>
      </c>
      <c r="L328">
        <f>Database!D320</f>
        <v/>
      </c>
      <c r="M328">
        <f>Database!E320</f>
        <v/>
      </c>
      <c r="N328">
        <f>Database!H320</f>
        <v/>
      </c>
      <c r="O328">
        <f>Database!AH320</f>
        <v/>
      </c>
      <c r="P328">
        <f>Database!AK320</f>
        <v/>
      </c>
      <c r="Q328">
        <f>Database!G320</f>
        <v/>
      </c>
    </row>
    <row r="329">
      <c r="A329">
        <f>Database!B329</f>
        <v/>
      </c>
      <c r="B329">
        <f>IF(AND(Screener!$D$9&lt;&gt;"",Database!$E329=Screener!$D$9),1,0)</f>
        <v/>
      </c>
      <c r="C329">
        <f>IF(AND(Screener!$D$8&lt;&gt;"",Database!$D329=Screener!$D$8),1,0)</f>
        <v/>
      </c>
      <c r="D329">
        <f>IF(OR(Database!$H329="",N(Screener!$D$10)&lt;=0),0,MAX(0,1-ABS(LOG10(Database!$H329/Screener!$D$10))/W_SIZEHW))</f>
        <v/>
      </c>
      <c r="E329">
        <f>IF(OR(Database!$AH329="",Screener!$D$11=""),0,IF(Database!$AH329=Screener!$D$11,1,0))</f>
        <v/>
      </c>
      <c r="F329">
        <f>IF(OR(Database!$AK329="",Screener!$D$12=""),0,IF(Database!$AK329=Screener!$D$12,1,0))</f>
        <v/>
      </c>
      <c r="G329">
        <f>IF(OR(Database!$G329="",N(Screener!$D$13)&lt;=0),0,MAX(0,1-(N(Screener!$D$13)-Database!$G329)/W_RECD))</f>
        <v/>
      </c>
      <c r="H329">
        <f>IF($K$1="",0,N(ISNUMBER(SEARCH($K$1,Database!$T329&amp;""))))+IF($L$1="",0,N(ISNUMBER(SEARCH($L$1,Database!$T329&amp;""))))+IF($M$1="",0,N(ISNUMBER(SEARCH($M$1,Database!$T329&amp;""))))+IF($N$1="",0,N(ISNUMBER(SEARCH($N$1,Database!$T329&amp;""))))+IF($O$1="",0,N(ISNUMBER(SEARCH($O$1,Database!$T329&amp;""))))+IF(Screener!$B$14="",0,N(ISNUMBER(SEARCH(Screener!$B$14,Database!$T329&amp;""))))</f>
        <v/>
      </c>
      <c r="I329">
        <f>IF(OR(Database!$B329=Screener!$B$5,IF(OR(Screener!$B$17="All",AND(Screener!$B$17="With A-share",(Database!$AL329&lt;&gt;"")),AND(Screener!$B$17="Without A-share",NOT((Database!$AL329&lt;&gt;"")))),1,0)=0),-999999,IF(Screener!$B$15="cornerstone overlap first",H329*100000,0)+W_SUB*B329+W_SEC*C329*(1-B329)+W_SIZE*D329+W_PROF*E329+W_AH*F329+W_REC*G329+W_CS*H329)+ROW()/1000000</f>
        <v/>
      </c>
      <c r="K329">
        <f>Database!B321</f>
        <v/>
      </c>
      <c r="L329">
        <f>Database!D321</f>
        <v/>
      </c>
      <c r="M329">
        <f>Database!E321</f>
        <v/>
      </c>
      <c r="N329">
        <f>Database!H321</f>
        <v/>
      </c>
      <c r="O329">
        <f>Database!AH321</f>
        <v/>
      </c>
      <c r="P329">
        <f>Database!AK321</f>
        <v/>
      </c>
      <c r="Q329">
        <f>Database!G321</f>
        <v/>
      </c>
    </row>
    <row r="330">
      <c r="A330">
        <f>Database!B330</f>
        <v/>
      </c>
      <c r="B330">
        <f>IF(AND(Screener!$D$9&lt;&gt;"",Database!$E330=Screener!$D$9),1,0)</f>
        <v/>
      </c>
      <c r="C330">
        <f>IF(AND(Screener!$D$8&lt;&gt;"",Database!$D330=Screener!$D$8),1,0)</f>
        <v/>
      </c>
      <c r="D330">
        <f>IF(OR(Database!$H330="",N(Screener!$D$10)&lt;=0),0,MAX(0,1-ABS(LOG10(Database!$H330/Screener!$D$10))/W_SIZEHW))</f>
        <v/>
      </c>
      <c r="E330">
        <f>IF(OR(Database!$AH330="",Screener!$D$11=""),0,IF(Database!$AH330=Screener!$D$11,1,0))</f>
        <v/>
      </c>
      <c r="F330">
        <f>IF(OR(Database!$AK330="",Screener!$D$12=""),0,IF(Database!$AK330=Screener!$D$12,1,0))</f>
        <v/>
      </c>
      <c r="G330">
        <f>IF(OR(Database!$G330="",N(Screener!$D$13)&lt;=0),0,MAX(0,1-(N(Screener!$D$13)-Database!$G330)/W_RECD))</f>
        <v/>
      </c>
      <c r="H330">
        <f>IF($K$1="",0,N(ISNUMBER(SEARCH($K$1,Database!$T330&amp;""))))+IF($L$1="",0,N(ISNUMBER(SEARCH($L$1,Database!$T330&amp;""))))+IF($M$1="",0,N(ISNUMBER(SEARCH($M$1,Database!$T330&amp;""))))+IF($N$1="",0,N(ISNUMBER(SEARCH($N$1,Database!$T330&amp;""))))+IF($O$1="",0,N(ISNUMBER(SEARCH($O$1,Database!$T330&amp;""))))+IF(Screener!$B$14="",0,N(ISNUMBER(SEARCH(Screener!$B$14,Database!$T330&amp;""))))</f>
        <v/>
      </c>
      <c r="I330">
        <f>IF(OR(Database!$B330=Screener!$B$5,IF(OR(Screener!$B$17="All",AND(Screener!$B$17="With A-share",(Database!$AL330&lt;&gt;"")),AND(Screener!$B$17="Without A-share",NOT((Database!$AL330&lt;&gt;"")))),1,0)=0),-999999,IF(Screener!$B$15="cornerstone overlap first",H330*100000,0)+W_SUB*B330+W_SEC*C330*(1-B330)+W_SIZE*D330+W_PROF*E330+W_AH*F330+W_REC*G330+W_CS*H330)+ROW()/1000000</f>
        <v/>
      </c>
      <c r="K330">
        <f>Database!B322</f>
        <v/>
      </c>
      <c r="L330">
        <f>Database!D322</f>
        <v/>
      </c>
      <c r="M330">
        <f>Database!E322</f>
        <v/>
      </c>
      <c r="N330">
        <f>Database!H322</f>
        <v/>
      </c>
      <c r="O330">
        <f>Database!AH322</f>
        <v/>
      </c>
      <c r="P330">
        <f>Database!AK322</f>
        <v/>
      </c>
      <c r="Q330">
        <f>Database!G322</f>
        <v/>
      </c>
    </row>
    <row r="331">
      <c r="A331">
        <f>Database!B331</f>
        <v/>
      </c>
      <c r="B331">
        <f>IF(AND(Screener!$D$9&lt;&gt;"",Database!$E331=Screener!$D$9),1,0)</f>
        <v/>
      </c>
      <c r="C331">
        <f>IF(AND(Screener!$D$8&lt;&gt;"",Database!$D331=Screener!$D$8),1,0)</f>
        <v/>
      </c>
      <c r="D331">
        <f>IF(OR(Database!$H331="",N(Screener!$D$10)&lt;=0),0,MAX(0,1-ABS(LOG10(Database!$H331/Screener!$D$10))/W_SIZEHW))</f>
        <v/>
      </c>
      <c r="E331">
        <f>IF(OR(Database!$AH331="",Screener!$D$11=""),0,IF(Database!$AH331=Screener!$D$11,1,0))</f>
        <v/>
      </c>
      <c r="F331">
        <f>IF(OR(Database!$AK331="",Screener!$D$12=""),0,IF(Database!$AK331=Screener!$D$12,1,0))</f>
        <v/>
      </c>
      <c r="G331">
        <f>IF(OR(Database!$G331="",N(Screener!$D$13)&lt;=0),0,MAX(0,1-(N(Screener!$D$13)-Database!$G331)/W_RECD))</f>
        <v/>
      </c>
      <c r="H331">
        <f>IF($K$1="",0,N(ISNUMBER(SEARCH($K$1,Database!$T331&amp;""))))+IF($L$1="",0,N(ISNUMBER(SEARCH($L$1,Database!$T331&amp;""))))+IF($M$1="",0,N(ISNUMBER(SEARCH($M$1,Database!$T331&amp;""))))+IF($N$1="",0,N(ISNUMBER(SEARCH($N$1,Database!$T331&amp;""))))+IF($O$1="",0,N(ISNUMBER(SEARCH($O$1,Database!$T331&amp;""))))+IF(Screener!$B$14="",0,N(ISNUMBER(SEARCH(Screener!$B$14,Database!$T331&amp;""))))</f>
        <v/>
      </c>
      <c r="I331">
        <f>IF(OR(Database!$B331=Screener!$B$5,IF(OR(Screener!$B$17="All",AND(Screener!$B$17="With A-share",(Database!$AL331&lt;&gt;"")),AND(Screener!$B$17="Without A-share",NOT((Database!$AL331&lt;&gt;"")))),1,0)=0),-999999,IF(Screener!$B$15="cornerstone overlap first",H331*100000,0)+W_SUB*B331+W_SEC*C331*(1-B331)+W_SIZE*D331+W_PROF*E331+W_AH*F331+W_REC*G331+W_CS*H331)+ROW()/1000000</f>
        <v/>
      </c>
      <c r="K331">
        <f>Database!B323</f>
        <v/>
      </c>
      <c r="L331">
        <f>Database!D323</f>
        <v/>
      </c>
      <c r="M331">
        <f>Database!E323</f>
        <v/>
      </c>
      <c r="N331">
        <f>Database!H323</f>
        <v/>
      </c>
      <c r="O331">
        <f>Database!AH323</f>
        <v/>
      </c>
      <c r="P331">
        <f>Database!AK323</f>
        <v/>
      </c>
      <c r="Q331">
        <f>Database!G323</f>
        <v/>
      </c>
    </row>
    <row r="332">
      <c r="A332">
        <f>Database!B332</f>
        <v/>
      </c>
      <c r="B332">
        <f>IF(AND(Screener!$D$9&lt;&gt;"",Database!$E332=Screener!$D$9),1,0)</f>
        <v/>
      </c>
      <c r="C332">
        <f>IF(AND(Screener!$D$8&lt;&gt;"",Database!$D332=Screener!$D$8),1,0)</f>
        <v/>
      </c>
      <c r="D332">
        <f>IF(OR(Database!$H332="",N(Screener!$D$10)&lt;=0),0,MAX(0,1-ABS(LOG10(Database!$H332/Screener!$D$10))/W_SIZEHW))</f>
        <v/>
      </c>
      <c r="E332">
        <f>IF(OR(Database!$AH332="",Screener!$D$11=""),0,IF(Database!$AH332=Screener!$D$11,1,0))</f>
        <v/>
      </c>
      <c r="F332">
        <f>IF(OR(Database!$AK332="",Screener!$D$12=""),0,IF(Database!$AK332=Screener!$D$12,1,0))</f>
        <v/>
      </c>
      <c r="G332">
        <f>IF(OR(Database!$G332="",N(Screener!$D$13)&lt;=0),0,MAX(0,1-(N(Screener!$D$13)-Database!$G332)/W_RECD))</f>
        <v/>
      </c>
      <c r="H332">
        <f>IF($K$1="",0,N(ISNUMBER(SEARCH($K$1,Database!$T332&amp;""))))+IF($L$1="",0,N(ISNUMBER(SEARCH($L$1,Database!$T332&amp;""))))+IF($M$1="",0,N(ISNUMBER(SEARCH($M$1,Database!$T332&amp;""))))+IF($N$1="",0,N(ISNUMBER(SEARCH($N$1,Database!$T332&amp;""))))+IF($O$1="",0,N(ISNUMBER(SEARCH($O$1,Database!$T332&amp;""))))+IF(Screener!$B$14="",0,N(ISNUMBER(SEARCH(Screener!$B$14,Database!$T332&amp;""))))</f>
        <v/>
      </c>
      <c r="I332">
        <f>IF(OR(Database!$B332=Screener!$B$5,IF(OR(Screener!$B$17="All",AND(Screener!$B$17="With A-share",(Database!$AL332&lt;&gt;"")),AND(Screener!$B$17="Without A-share",NOT((Database!$AL332&lt;&gt;"")))),1,0)=0),-999999,IF(Screener!$B$15="cornerstone overlap first",H332*100000,0)+W_SUB*B332+W_SEC*C332*(1-B332)+W_SIZE*D332+W_PROF*E332+W_AH*F332+W_REC*G332+W_CS*H332)+ROW()/1000000</f>
        <v/>
      </c>
      <c r="K332">
        <f>Database!B324</f>
        <v/>
      </c>
      <c r="L332">
        <f>Database!D324</f>
        <v/>
      </c>
      <c r="M332">
        <f>Database!E324</f>
        <v/>
      </c>
      <c r="N332">
        <f>Database!H324</f>
        <v/>
      </c>
      <c r="O332">
        <f>Database!AH324</f>
        <v/>
      </c>
      <c r="P332">
        <f>Database!AK324</f>
        <v/>
      </c>
      <c r="Q332">
        <f>Database!G324</f>
        <v/>
      </c>
    </row>
    <row r="333">
      <c r="A333">
        <f>Database!B333</f>
        <v/>
      </c>
      <c r="B333">
        <f>IF(AND(Screener!$D$9&lt;&gt;"",Database!$E333=Screener!$D$9),1,0)</f>
        <v/>
      </c>
      <c r="C333">
        <f>IF(AND(Screener!$D$8&lt;&gt;"",Database!$D333=Screener!$D$8),1,0)</f>
        <v/>
      </c>
      <c r="D333">
        <f>IF(OR(Database!$H333="",N(Screener!$D$10)&lt;=0),0,MAX(0,1-ABS(LOG10(Database!$H333/Screener!$D$10))/W_SIZEHW))</f>
        <v/>
      </c>
      <c r="E333">
        <f>IF(OR(Database!$AH333="",Screener!$D$11=""),0,IF(Database!$AH333=Screener!$D$11,1,0))</f>
        <v/>
      </c>
      <c r="F333">
        <f>IF(OR(Database!$AK333="",Screener!$D$12=""),0,IF(Database!$AK333=Screener!$D$12,1,0))</f>
        <v/>
      </c>
      <c r="G333">
        <f>IF(OR(Database!$G333="",N(Screener!$D$13)&lt;=0),0,MAX(0,1-(N(Screener!$D$13)-Database!$G333)/W_RECD))</f>
        <v/>
      </c>
      <c r="H333">
        <f>IF($K$1="",0,N(ISNUMBER(SEARCH($K$1,Database!$T333&amp;""))))+IF($L$1="",0,N(ISNUMBER(SEARCH($L$1,Database!$T333&amp;""))))+IF($M$1="",0,N(ISNUMBER(SEARCH($M$1,Database!$T333&amp;""))))+IF($N$1="",0,N(ISNUMBER(SEARCH($N$1,Database!$T333&amp;""))))+IF($O$1="",0,N(ISNUMBER(SEARCH($O$1,Database!$T333&amp;""))))+IF(Screener!$B$14="",0,N(ISNUMBER(SEARCH(Screener!$B$14,Database!$T333&amp;""))))</f>
        <v/>
      </c>
      <c r="I333">
        <f>IF(OR(Database!$B333=Screener!$B$5,IF(OR(Screener!$B$17="All",AND(Screener!$B$17="With A-share",(Database!$AL333&lt;&gt;"")),AND(Screener!$B$17="Without A-share",NOT((Database!$AL333&lt;&gt;"")))),1,0)=0),-999999,IF(Screener!$B$15="cornerstone overlap first",H333*100000,0)+W_SUB*B333+W_SEC*C333*(1-B333)+W_SIZE*D333+W_PROF*E333+W_AH*F333+W_REC*G333+W_CS*H333)+ROW()/1000000</f>
        <v/>
      </c>
      <c r="K333">
        <f>Database!B325</f>
        <v/>
      </c>
      <c r="L333">
        <f>Database!D325</f>
        <v/>
      </c>
      <c r="M333">
        <f>Database!E325</f>
        <v/>
      </c>
      <c r="N333">
        <f>Database!H325</f>
        <v/>
      </c>
      <c r="O333">
        <f>Database!AH325</f>
        <v/>
      </c>
      <c r="P333">
        <f>Database!AK325</f>
        <v/>
      </c>
      <c r="Q333">
        <f>Database!G325</f>
        <v/>
      </c>
    </row>
    <row r="334">
      <c r="A334">
        <f>Database!B334</f>
        <v/>
      </c>
      <c r="B334">
        <f>IF(AND(Screener!$D$9&lt;&gt;"",Database!$E334=Screener!$D$9),1,0)</f>
        <v/>
      </c>
      <c r="C334">
        <f>IF(AND(Screener!$D$8&lt;&gt;"",Database!$D334=Screener!$D$8),1,0)</f>
        <v/>
      </c>
      <c r="D334">
        <f>IF(OR(Database!$H334="",N(Screener!$D$10)&lt;=0),0,MAX(0,1-ABS(LOG10(Database!$H334/Screener!$D$10))/W_SIZEHW))</f>
        <v/>
      </c>
      <c r="E334">
        <f>IF(OR(Database!$AH334="",Screener!$D$11=""),0,IF(Database!$AH334=Screener!$D$11,1,0))</f>
        <v/>
      </c>
      <c r="F334">
        <f>IF(OR(Database!$AK334="",Screener!$D$12=""),0,IF(Database!$AK334=Screener!$D$12,1,0))</f>
        <v/>
      </c>
      <c r="G334">
        <f>IF(OR(Database!$G334="",N(Screener!$D$13)&lt;=0),0,MAX(0,1-(N(Screener!$D$13)-Database!$G334)/W_RECD))</f>
        <v/>
      </c>
      <c r="H334">
        <f>IF($K$1="",0,N(ISNUMBER(SEARCH($K$1,Database!$T334&amp;""))))+IF($L$1="",0,N(ISNUMBER(SEARCH($L$1,Database!$T334&amp;""))))+IF($M$1="",0,N(ISNUMBER(SEARCH($M$1,Database!$T334&amp;""))))+IF($N$1="",0,N(ISNUMBER(SEARCH($N$1,Database!$T334&amp;""))))+IF($O$1="",0,N(ISNUMBER(SEARCH($O$1,Database!$T334&amp;""))))+IF(Screener!$B$14="",0,N(ISNUMBER(SEARCH(Screener!$B$14,Database!$T334&amp;""))))</f>
        <v/>
      </c>
      <c r="I334">
        <f>IF(OR(Database!$B334=Screener!$B$5,IF(OR(Screener!$B$17="All",AND(Screener!$B$17="With A-share",(Database!$AL334&lt;&gt;"")),AND(Screener!$B$17="Without A-share",NOT((Database!$AL334&lt;&gt;"")))),1,0)=0),-999999,IF(Screener!$B$15="cornerstone overlap first",H334*100000,0)+W_SUB*B334+W_SEC*C334*(1-B334)+W_SIZE*D334+W_PROF*E334+W_AH*F334+W_REC*G334+W_CS*H334)+ROW()/1000000</f>
        <v/>
      </c>
      <c r="K334">
        <f>Database!B326</f>
        <v/>
      </c>
      <c r="L334">
        <f>Database!D326</f>
        <v/>
      </c>
      <c r="M334">
        <f>Database!E326</f>
        <v/>
      </c>
      <c r="N334">
        <f>Database!H326</f>
        <v/>
      </c>
      <c r="O334">
        <f>Database!AH326</f>
        <v/>
      </c>
      <c r="P334">
        <f>Database!AK326</f>
        <v/>
      </c>
      <c r="Q334">
        <f>Database!G326</f>
        <v/>
      </c>
    </row>
    <row r="335">
      <c r="A335">
        <f>Database!B335</f>
        <v/>
      </c>
      <c r="B335">
        <f>IF(AND(Screener!$D$9&lt;&gt;"",Database!$E335=Screener!$D$9),1,0)</f>
        <v/>
      </c>
      <c r="C335">
        <f>IF(AND(Screener!$D$8&lt;&gt;"",Database!$D335=Screener!$D$8),1,0)</f>
        <v/>
      </c>
      <c r="D335">
        <f>IF(OR(Database!$H335="",N(Screener!$D$10)&lt;=0),0,MAX(0,1-ABS(LOG10(Database!$H335/Screener!$D$10))/W_SIZEHW))</f>
        <v/>
      </c>
      <c r="E335">
        <f>IF(OR(Database!$AH335="",Screener!$D$11=""),0,IF(Database!$AH335=Screener!$D$11,1,0))</f>
        <v/>
      </c>
      <c r="F335">
        <f>IF(OR(Database!$AK335="",Screener!$D$12=""),0,IF(Database!$AK335=Screener!$D$12,1,0))</f>
        <v/>
      </c>
      <c r="G335">
        <f>IF(OR(Database!$G335="",N(Screener!$D$13)&lt;=0),0,MAX(0,1-(N(Screener!$D$13)-Database!$G335)/W_RECD))</f>
        <v/>
      </c>
      <c r="H335">
        <f>IF($K$1="",0,N(ISNUMBER(SEARCH($K$1,Database!$T335&amp;""))))+IF($L$1="",0,N(ISNUMBER(SEARCH($L$1,Database!$T335&amp;""))))+IF($M$1="",0,N(ISNUMBER(SEARCH($M$1,Database!$T335&amp;""))))+IF($N$1="",0,N(ISNUMBER(SEARCH($N$1,Database!$T335&amp;""))))+IF($O$1="",0,N(ISNUMBER(SEARCH($O$1,Database!$T335&amp;""))))+IF(Screener!$B$14="",0,N(ISNUMBER(SEARCH(Screener!$B$14,Database!$T335&amp;""))))</f>
        <v/>
      </c>
      <c r="I335">
        <f>IF(OR(Database!$B335=Screener!$B$5,IF(OR(Screener!$B$17="All",AND(Screener!$B$17="With A-share",(Database!$AL335&lt;&gt;"")),AND(Screener!$B$17="Without A-share",NOT((Database!$AL335&lt;&gt;"")))),1,0)=0),-999999,IF(Screener!$B$15="cornerstone overlap first",H335*100000,0)+W_SUB*B335+W_SEC*C335*(1-B335)+W_SIZE*D335+W_PROF*E335+W_AH*F335+W_REC*G335+W_CS*H335)+ROW()/1000000</f>
        <v/>
      </c>
      <c r="K335">
        <f>Database!B327</f>
        <v/>
      </c>
      <c r="L335">
        <f>Database!D327</f>
        <v/>
      </c>
      <c r="M335">
        <f>Database!E327</f>
        <v/>
      </c>
      <c r="N335">
        <f>Database!H327</f>
        <v/>
      </c>
      <c r="O335">
        <f>Database!AH327</f>
        <v/>
      </c>
      <c r="P335">
        <f>Database!AK327</f>
        <v/>
      </c>
      <c r="Q335">
        <f>Database!G327</f>
        <v/>
      </c>
    </row>
    <row r="336">
      <c r="A336">
        <f>Database!B336</f>
        <v/>
      </c>
      <c r="B336">
        <f>IF(AND(Screener!$D$9&lt;&gt;"",Database!$E336=Screener!$D$9),1,0)</f>
        <v/>
      </c>
      <c r="C336">
        <f>IF(AND(Screener!$D$8&lt;&gt;"",Database!$D336=Screener!$D$8),1,0)</f>
        <v/>
      </c>
      <c r="D336">
        <f>IF(OR(Database!$H336="",N(Screener!$D$10)&lt;=0),0,MAX(0,1-ABS(LOG10(Database!$H336/Screener!$D$10))/W_SIZEHW))</f>
        <v/>
      </c>
      <c r="E336">
        <f>IF(OR(Database!$AH336="",Screener!$D$11=""),0,IF(Database!$AH336=Screener!$D$11,1,0))</f>
        <v/>
      </c>
      <c r="F336">
        <f>IF(OR(Database!$AK336="",Screener!$D$12=""),0,IF(Database!$AK336=Screener!$D$12,1,0))</f>
        <v/>
      </c>
      <c r="G336">
        <f>IF(OR(Database!$G336="",N(Screener!$D$13)&lt;=0),0,MAX(0,1-(N(Screener!$D$13)-Database!$G336)/W_RECD))</f>
        <v/>
      </c>
      <c r="H336">
        <f>IF($K$1="",0,N(ISNUMBER(SEARCH($K$1,Database!$T336&amp;""))))+IF($L$1="",0,N(ISNUMBER(SEARCH($L$1,Database!$T336&amp;""))))+IF($M$1="",0,N(ISNUMBER(SEARCH($M$1,Database!$T336&amp;""))))+IF($N$1="",0,N(ISNUMBER(SEARCH($N$1,Database!$T336&amp;""))))+IF($O$1="",0,N(ISNUMBER(SEARCH($O$1,Database!$T336&amp;""))))+IF(Screener!$B$14="",0,N(ISNUMBER(SEARCH(Screener!$B$14,Database!$T336&amp;""))))</f>
        <v/>
      </c>
      <c r="I336">
        <f>IF(OR(Database!$B336=Screener!$B$5,IF(OR(Screener!$B$17="All",AND(Screener!$B$17="With A-share",(Database!$AL336&lt;&gt;"")),AND(Screener!$B$17="Without A-share",NOT((Database!$AL336&lt;&gt;"")))),1,0)=0),-999999,IF(Screener!$B$15="cornerstone overlap first",H336*100000,0)+W_SUB*B336+W_SEC*C336*(1-B336)+W_SIZE*D336+W_PROF*E336+W_AH*F336+W_REC*G336+W_CS*H336)+ROW()/1000000</f>
        <v/>
      </c>
      <c r="K336">
        <f>Database!B328</f>
        <v/>
      </c>
      <c r="L336">
        <f>Database!D328</f>
        <v/>
      </c>
      <c r="M336">
        <f>Database!E328</f>
        <v/>
      </c>
      <c r="N336">
        <f>Database!H328</f>
        <v/>
      </c>
      <c r="O336">
        <f>Database!AH328</f>
        <v/>
      </c>
      <c r="P336">
        <f>Database!AK328</f>
        <v/>
      </c>
      <c r="Q336">
        <f>Database!G328</f>
        <v/>
      </c>
    </row>
    <row r="337">
      <c r="A337">
        <f>Database!B337</f>
        <v/>
      </c>
      <c r="B337">
        <f>IF(AND(Screener!$D$9&lt;&gt;"",Database!$E337=Screener!$D$9),1,0)</f>
        <v/>
      </c>
      <c r="C337">
        <f>IF(AND(Screener!$D$8&lt;&gt;"",Database!$D337=Screener!$D$8),1,0)</f>
        <v/>
      </c>
      <c r="D337">
        <f>IF(OR(Database!$H337="",N(Screener!$D$10)&lt;=0),0,MAX(0,1-ABS(LOG10(Database!$H337/Screener!$D$10))/W_SIZEHW))</f>
        <v/>
      </c>
      <c r="E337">
        <f>IF(OR(Database!$AH337="",Screener!$D$11=""),0,IF(Database!$AH337=Screener!$D$11,1,0))</f>
        <v/>
      </c>
      <c r="F337">
        <f>IF(OR(Database!$AK337="",Screener!$D$12=""),0,IF(Database!$AK337=Screener!$D$12,1,0))</f>
        <v/>
      </c>
      <c r="G337">
        <f>IF(OR(Database!$G337="",N(Screener!$D$13)&lt;=0),0,MAX(0,1-(N(Screener!$D$13)-Database!$G337)/W_RECD))</f>
        <v/>
      </c>
      <c r="H337">
        <f>IF($K$1="",0,N(ISNUMBER(SEARCH($K$1,Database!$T337&amp;""))))+IF($L$1="",0,N(ISNUMBER(SEARCH($L$1,Database!$T337&amp;""))))+IF($M$1="",0,N(ISNUMBER(SEARCH($M$1,Database!$T337&amp;""))))+IF($N$1="",0,N(ISNUMBER(SEARCH($N$1,Database!$T337&amp;""))))+IF($O$1="",0,N(ISNUMBER(SEARCH($O$1,Database!$T337&amp;""))))+IF(Screener!$B$14="",0,N(ISNUMBER(SEARCH(Screener!$B$14,Database!$T337&amp;""))))</f>
        <v/>
      </c>
      <c r="I337">
        <f>IF(OR(Database!$B337=Screener!$B$5,IF(OR(Screener!$B$17="All",AND(Screener!$B$17="With A-share",(Database!$AL337&lt;&gt;"")),AND(Screener!$B$17="Without A-share",NOT((Database!$AL337&lt;&gt;"")))),1,0)=0),-999999,IF(Screener!$B$15="cornerstone overlap first",H337*100000,0)+W_SUB*B337+W_SEC*C337*(1-B337)+W_SIZE*D337+W_PROF*E337+W_AH*F337+W_REC*G337+W_CS*H337)+ROW()/1000000</f>
        <v/>
      </c>
      <c r="K337">
        <f>Database!B329</f>
        <v/>
      </c>
      <c r="L337">
        <f>Database!D329</f>
        <v/>
      </c>
      <c r="M337">
        <f>Database!E329</f>
        <v/>
      </c>
      <c r="N337">
        <f>Database!H329</f>
        <v/>
      </c>
      <c r="O337">
        <f>Database!AH329</f>
        <v/>
      </c>
      <c r="P337">
        <f>Database!AK329</f>
        <v/>
      </c>
      <c r="Q337">
        <f>Database!G329</f>
        <v/>
      </c>
    </row>
    <row r="338">
      <c r="A338">
        <f>Database!B338</f>
        <v/>
      </c>
      <c r="B338">
        <f>IF(AND(Screener!$D$9&lt;&gt;"",Database!$E338=Screener!$D$9),1,0)</f>
        <v/>
      </c>
      <c r="C338">
        <f>IF(AND(Screener!$D$8&lt;&gt;"",Database!$D338=Screener!$D$8),1,0)</f>
        <v/>
      </c>
      <c r="D338">
        <f>IF(OR(Database!$H338="",N(Screener!$D$10)&lt;=0),0,MAX(0,1-ABS(LOG10(Database!$H338/Screener!$D$10))/W_SIZEHW))</f>
        <v/>
      </c>
      <c r="E338">
        <f>IF(OR(Database!$AH338="",Screener!$D$11=""),0,IF(Database!$AH338=Screener!$D$11,1,0))</f>
        <v/>
      </c>
      <c r="F338">
        <f>IF(OR(Database!$AK338="",Screener!$D$12=""),0,IF(Database!$AK338=Screener!$D$12,1,0))</f>
        <v/>
      </c>
      <c r="G338">
        <f>IF(OR(Database!$G338="",N(Screener!$D$13)&lt;=0),0,MAX(0,1-(N(Screener!$D$13)-Database!$G338)/W_RECD))</f>
        <v/>
      </c>
      <c r="H338">
        <f>IF($K$1="",0,N(ISNUMBER(SEARCH($K$1,Database!$T338&amp;""))))+IF($L$1="",0,N(ISNUMBER(SEARCH($L$1,Database!$T338&amp;""))))+IF($M$1="",0,N(ISNUMBER(SEARCH($M$1,Database!$T338&amp;""))))+IF($N$1="",0,N(ISNUMBER(SEARCH($N$1,Database!$T338&amp;""))))+IF($O$1="",0,N(ISNUMBER(SEARCH($O$1,Database!$T338&amp;""))))+IF(Screener!$B$14="",0,N(ISNUMBER(SEARCH(Screener!$B$14,Database!$T338&amp;""))))</f>
        <v/>
      </c>
      <c r="I338">
        <f>IF(OR(Database!$B338=Screener!$B$5,IF(OR(Screener!$B$17="All",AND(Screener!$B$17="With A-share",(Database!$AL338&lt;&gt;"")),AND(Screener!$B$17="Without A-share",NOT((Database!$AL338&lt;&gt;"")))),1,0)=0),-999999,IF(Screener!$B$15="cornerstone overlap first",H338*100000,0)+W_SUB*B338+W_SEC*C338*(1-B338)+W_SIZE*D338+W_PROF*E338+W_AH*F338+W_REC*G338+W_CS*H338)+ROW()/1000000</f>
        <v/>
      </c>
      <c r="K338">
        <f>Database!B330</f>
        <v/>
      </c>
      <c r="L338">
        <f>Database!D330</f>
        <v/>
      </c>
      <c r="M338">
        <f>Database!E330</f>
        <v/>
      </c>
      <c r="N338">
        <f>Database!H330</f>
        <v/>
      </c>
      <c r="O338">
        <f>Database!AH330</f>
        <v/>
      </c>
      <c r="P338">
        <f>Database!AK330</f>
        <v/>
      </c>
      <c r="Q338">
        <f>Database!G330</f>
        <v/>
      </c>
    </row>
    <row r="339">
      <c r="A339">
        <f>Database!B339</f>
        <v/>
      </c>
      <c r="B339">
        <f>IF(AND(Screener!$D$9&lt;&gt;"",Database!$E339=Screener!$D$9),1,0)</f>
        <v/>
      </c>
      <c r="C339">
        <f>IF(AND(Screener!$D$8&lt;&gt;"",Database!$D339=Screener!$D$8),1,0)</f>
        <v/>
      </c>
      <c r="D339">
        <f>IF(OR(Database!$H339="",N(Screener!$D$10)&lt;=0),0,MAX(0,1-ABS(LOG10(Database!$H339/Screener!$D$10))/W_SIZEHW))</f>
        <v/>
      </c>
      <c r="E339">
        <f>IF(OR(Database!$AH339="",Screener!$D$11=""),0,IF(Database!$AH339=Screener!$D$11,1,0))</f>
        <v/>
      </c>
      <c r="F339">
        <f>IF(OR(Database!$AK339="",Screener!$D$12=""),0,IF(Database!$AK339=Screener!$D$12,1,0))</f>
        <v/>
      </c>
      <c r="G339">
        <f>IF(OR(Database!$G339="",N(Screener!$D$13)&lt;=0),0,MAX(0,1-(N(Screener!$D$13)-Database!$G339)/W_RECD))</f>
        <v/>
      </c>
      <c r="H339">
        <f>IF($K$1="",0,N(ISNUMBER(SEARCH($K$1,Database!$T339&amp;""))))+IF($L$1="",0,N(ISNUMBER(SEARCH($L$1,Database!$T339&amp;""))))+IF($M$1="",0,N(ISNUMBER(SEARCH($M$1,Database!$T339&amp;""))))+IF($N$1="",0,N(ISNUMBER(SEARCH($N$1,Database!$T339&amp;""))))+IF($O$1="",0,N(ISNUMBER(SEARCH($O$1,Database!$T339&amp;""))))+IF(Screener!$B$14="",0,N(ISNUMBER(SEARCH(Screener!$B$14,Database!$T339&amp;""))))</f>
        <v/>
      </c>
      <c r="I339">
        <f>IF(OR(Database!$B339=Screener!$B$5,IF(OR(Screener!$B$17="All",AND(Screener!$B$17="With A-share",(Database!$AL339&lt;&gt;"")),AND(Screener!$B$17="Without A-share",NOT((Database!$AL339&lt;&gt;"")))),1,0)=0),-999999,IF(Screener!$B$15="cornerstone overlap first",H339*100000,0)+W_SUB*B339+W_SEC*C339*(1-B339)+W_SIZE*D339+W_PROF*E339+W_AH*F339+W_REC*G339+W_CS*H339)+ROW()/1000000</f>
        <v/>
      </c>
      <c r="K339">
        <f>Database!B331</f>
        <v/>
      </c>
      <c r="L339">
        <f>Database!D331</f>
        <v/>
      </c>
      <c r="M339">
        <f>Database!E331</f>
        <v/>
      </c>
      <c r="N339">
        <f>Database!H331</f>
        <v/>
      </c>
      <c r="O339">
        <f>Database!AH331</f>
        <v/>
      </c>
      <c r="P339">
        <f>Database!AK331</f>
        <v/>
      </c>
      <c r="Q339">
        <f>Database!G331</f>
        <v/>
      </c>
    </row>
    <row r="340">
      <c r="A340">
        <f>Database!B340</f>
        <v/>
      </c>
      <c r="B340">
        <f>IF(AND(Screener!$D$9&lt;&gt;"",Database!$E340=Screener!$D$9),1,0)</f>
        <v/>
      </c>
      <c r="C340">
        <f>IF(AND(Screener!$D$8&lt;&gt;"",Database!$D340=Screener!$D$8),1,0)</f>
        <v/>
      </c>
      <c r="D340">
        <f>IF(OR(Database!$H340="",N(Screener!$D$10)&lt;=0),0,MAX(0,1-ABS(LOG10(Database!$H340/Screener!$D$10))/W_SIZEHW))</f>
        <v/>
      </c>
      <c r="E340">
        <f>IF(OR(Database!$AH340="",Screener!$D$11=""),0,IF(Database!$AH340=Screener!$D$11,1,0))</f>
        <v/>
      </c>
      <c r="F340">
        <f>IF(OR(Database!$AK340="",Screener!$D$12=""),0,IF(Database!$AK340=Screener!$D$12,1,0))</f>
        <v/>
      </c>
      <c r="G340">
        <f>IF(OR(Database!$G340="",N(Screener!$D$13)&lt;=0),0,MAX(0,1-(N(Screener!$D$13)-Database!$G340)/W_RECD))</f>
        <v/>
      </c>
      <c r="H340">
        <f>IF($K$1="",0,N(ISNUMBER(SEARCH($K$1,Database!$T340&amp;""))))+IF($L$1="",0,N(ISNUMBER(SEARCH($L$1,Database!$T340&amp;""))))+IF($M$1="",0,N(ISNUMBER(SEARCH($M$1,Database!$T340&amp;""))))+IF($N$1="",0,N(ISNUMBER(SEARCH($N$1,Database!$T340&amp;""))))+IF($O$1="",0,N(ISNUMBER(SEARCH($O$1,Database!$T340&amp;""))))+IF(Screener!$B$14="",0,N(ISNUMBER(SEARCH(Screener!$B$14,Database!$T340&amp;""))))</f>
        <v/>
      </c>
      <c r="I340">
        <f>IF(OR(Database!$B340=Screener!$B$5,IF(OR(Screener!$B$17="All",AND(Screener!$B$17="With A-share",(Database!$AL340&lt;&gt;"")),AND(Screener!$B$17="Without A-share",NOT((Database!$AL340&lt;&gt;"")))),1,0)=0),-999999,IF(Screener!$B$15="cornerstone overlap first",H340*100000,0)+W_SUB*B340+W_SEC*C340*(1-B340)+W_SIZE*D340+W_PROF*E340+W_AH*F340+W_REC*G340+W_CS*H340)+ROW()/1000000</f>
        <v/>
      </c>
      <c r="K340">
        <f>Database!B332</f>
        <v/>
      </c>
      <c r="L340">
        <f>Database!D332</f>
        <v/>
      </c>
      <c r="M340">
        <f>Database!E332</f>
        <v/>
      </c>
      <c r="N340">
        <f>Database!H332</f>
        <v/>
      </c>
      <c r="O340">
        <f>Database!AH332</f>
        <v/>
      </c>
      <c r="P340">
        <f>Database!AK332</f>
        <v/>
      </c>
      <c r="Q340">
        <f>Database!G332</f>
        <v/>
      </c>
    </row>
    <row r="341">
      <c r="A341">
        <f>Database!B341</f>
        <v/>
      </c>
      <c r="B341">
        <f>IF(AND(Screener!$D$9&lt;&gt;"",Database!$E341=Screener!$D$9),1,0)</f>
        <v/>
      </c>
      <c r="C341">
        <f>IF(AND(Screener!$D$8&lt;&gt;"",Database!$D341=Screener!$D$8),1,0)</f>
        <v/>
      </c>
      <c r="D341">
        <f>IF(OR(Database!$H341="",N(Screener!$D$10)&lt;=0),0,MAX(0,1-ABS(LOG10(Database!$H341/Screener!$D$10))/W_SIZEHW))</f>
        <v/>
      </c>
      <c r="E341">
        <f>IF(OR(Database!$AH341="",Screener!$D$11=""),0,IF(Database!$AH341=Screener!$D$11,1,0))</f>
        <v/>
      </c>
      <c r="F341">
        <f>IF(OR(Database!$AK341="",Screener!$D$12=""),0,IF(Database!$AK341=Screener!$D$12,1,0))</f>
        <v/>
      </c>
      <c r="G341">
        <f>IF(OR(Database!$G341="",N(Screener!$D$13)&lt;=0),0,MAX(0,1-(N(Screener!$D$13)-Database!$G341)/W_RECD))</f>
        <v/>
      </c>
      <c r="H341">
        <f>IF($K$1="",0,N(ISNUMBER(SEARCH($K$1,Database!$T341&amp;""))))+IF($L$1="",0,N(ISNUMBER(SEARCH($L$1,Database!$T341&amp;""))))+IF($M$1="",0,N(ISNUMBER(SEARCH($M$1,Database!$T341&amp;""))))+IF($N$1="",0,N(ISNUMBER(SEARCH($N$1,Database!$T341&amp;""))))+IF($O$1="",0,N(ISNUMBER(SEARCH($O$1,Database!$T341&amp;""))))+IF(Screener!$B$14="",0,N(ISNUMBER(SEARCH(Screener!$B$14,Database!$T341&amp;""))))</f>
        <v/>
      </c>
      <c r="I341">
        <f>IF(OR(Database!$B341=Screener!$B$5,IF(OR(Screener!$B$17="All",AND(Screener!$B$17="With A-share",(Database!$AL341&lt;&gt;"")),AND(Screener!$B$17="Without A-share",NOT((Database!$AL341&lt;&gt;"")))),1,0)=0),-999999,IF(Screener!$B$15="cornerstone overlap first",H341*100000,0)+W_SUB*B341+W_SEC*C341*(1-B341)+W_SIZE*D341+W_PROF*E341+W_AH*F341+W_REC*G341+W_CS*H341)+ROW()/1000000</f>
        <v/>
      </c>
      <c r="K341">
        <f>Database!B333</f>
        <v/>
      </c>
      <c r="L341">
        <f>Database!D333</f>
        <v/>
      </c>
      <c r="M341">
        <f>Database!E333</f>
        <v/>
      </c>
      <c r="N341">
        <f>Database!H333</f>
        <v/>
      </c>
      <c r="O341">
        <f>Database!AH333</f>
        <v/>
      </c>
      <c r="P341">
        <f>Database!AK333</f>
        <v/>
      </c>
      <c r="Q341">
        <f>Database!G333</f>
        <v/>
      </c>
    </row>
    <row r="342">
      <c r="A342">
        <f>Database!B342</f>
        <v/>
      </c>
      <c r="B342">
        <f>IF(AND(Screener!$D$9&lt;&gt;"",Database!$E342=Screener!$D$9),1,0)</f>
        <v/>
      </c>
      <c r="C342">
        <f>IF(AND(Screener!$D$8&lt;&gt;"",Database!$D342=Screener!$D$8),1,0)</f>
        <v/>
      </c>
      <c r="D342">
        <f>IF(OR(Database!$H342="",N(Screener!$D$10)&lt;=0),0,MAX(0,1-ABS(LOG10(Database!$H342/Screener!$D$10))/W_SIZEHW))</f>
        <v/>
      </c>
      <c r="E342">
        <f>IF(OR(Database!$AH342="",Screener!$D$11=""),0,IF(Database!$AH342=Screener!$D$11,1,0))</f>
        <v/>
      </c>
      <c r="F342">
        <f>IF(OR(Database!$AK342="",Screener!$D$12=""),0,IF(Database!$AK342=Screener!$D$12,1,0))</f>
        <v/>
      </c>
      <c r="G342">
        <f>IF(OR(Database!$G342="",N(Screener!$D$13)&lt;=0),0,MAX(0,1-(N(Screener!$D$13)-Database!$G342)/W_RECD))</f>
        <v/>
      </c>
      <c r="H342">
        <f>IF($K$1="",0,N(ISNUMBER(SEARCH($K$1,Database!$T342&amp;""))))+IF($L$1="",0,N(ISNUMBER(SEARCH($L$1,Database!$T342&amp;""))))+IF($M$1="",0,N(ISNUMBER(SEARCH($M$1,Database!$T342&amp;""))))+IF($N$1="",0,N(ISNUMBER(SEARCH($N$1,Database!$T342&amp;""))))+IF($O$1="",0,N(ISNUMBER(SEARCH($O$1,Database!$T342&amp;""))))+IF(Screener!$B$14="",0,N(ISNUMBER(SEARCH(Screener!$B$14,Database!$T342&amp;""))))</f>
        <v/>
      </c>
      <c r="I342">
        <f>IF(OR(Database!$B342=Screener!$B$5,IF(OR(Screener!$B$17="All",AND(Screener!$B$17="With A-share",(Database!$AL342&lt;&gt;"")),AND(Screener!$B$17="Without A-share",NOT((Database!$AL342&lt;&gt;"")))),1,0)=0),-999999,IF(Screener!$B$15="cornerstone overlap first",H342*100000,0)+W_SUB*B342+W_SEC*C342*(1-B342)+W_SIZE*D342+W_PROF*E342+W_AH*F342+W_REC*G342+W_CS*H342)+ROW()/1000000</f>
        <v/>
      </c>
      <c r="K342">
        <f>Database!B334</f>
        <v/>
      </c>
      <c r="L342">
        <f>Database!D334</f>
        <v/>
      </c>
      <c r="M342">
        <f>Database!E334</f>
        <v/>
      </c>
      <c r="N342">
        <f>Database!H334</f>
        <v/>
      </c>
      <c r="O342">
        <f>Database!AH334</f>
        <v/>
      </c>
      <c r="P342">
        <f>Database!AK334</f>
        <v/>
      </c>
      <c r="Q342">
        <f>Database!G334</f>
        <v/>
      </c>
    </row>
    <row r="343">
      <c r="A343">
        <f>Database!B343</f>
        <v/>
      </c>
      <c r="B343">
        <f>IF(AND(Screener!$D$9&lt;&gt;"",Database!$E343=Screener!$D$9),1,0)</f>
        <v/>
      </c>
      <c r="C343">
        <f>IF(AND(Screener!$D$8&lt;&gt;"",Database!$D343=Screener!$D$8),1,0)</f>
        <v/>
      </c>
      <c r="D343">
        <f>IF(OR(Database!$H343="",N(Screener!$D$10)&lt;=0),0,MAX(0,1-ABS(LOG10(Database!$H343/Screener!$D$10))/W_SIZEHW))</f>
        <v/>
      </c>
      <c r="E343">
        <f>IF(OR(Database!$AH343="",Screener!$D$11=""),0,IF(Database!$AH343=Screener!$D$11,1,0))</f>
        <v/>
      </c>
      <c r="F343">
        <f>IF(OR(Database!$AK343="",Screener!$D$12=""),0,IF(Database!$AK343=Screener!$D$12,1,0))</f>
        <v/>
      </c>
      <c r="G343">
        <f>IF(OR(Database!$G343="",N(Screener!$D$13)&lt;=0),0,MAX(0,1-(N(Screener!$D$13)-Database!$G343)/W_RECD))</f>
        <v/>
      </c>
      <c r="H343">
        <f>IF($K$1="",0,N(ISNUMBER(SEARCH($K$1,Database!$T343&amp;""))))+IF($L$1="",0,N(ISNUMBER(SEARCH($L$1,Database!$T343&amp;""))))+IF($M$1="",0,N(ISNUMBER(SEARCH($M$1,Database!$T343&amp;""))))+IF($N$1="",0,N(ISNUMBER(SEARCH($N$1,Database!$T343&amp;""))))+IF($O$1="",0,N(ISNUMBER(SEARCH($O$1,Database!$T343&amp;""))))+IF(Screener!$B$14="",0,N(ISNUMBER(SEARCH(Screener!$B$14,Database!$T343&amp;""))))</f>
        <v/>
      </c>
      <c r="I343">
        <f>IF(OR(Database!$B343=Screener!$B$5,IF(OR(Screener!$B$17="All",AND(Screener!$B$17="With A-share",(Database!$AL343&lt;&gt;"")),AND(Screener!$B$17="Without A-share",NOT((Database!$AL343&lt;&gt;"")))),1,0)=0),-999999,IF(Screener!$B$15="cornerstone overlap first",H343*100000,0)+W_SUB*B343+W_SEC*C343*(1-B343)+W_SIZE*D343+W_PROF*E343+W_AH*F343+W_REC*G343+W_CS*H343)+ROW()/1000000</f>
        <v/>
      </c>
      <c r="K343">
        <f>Database!B335</f>
        <v/>
      </c>
      <c r="L343">
        <f>Database!D335</f>
        <v/>
      </c>
      <c r="M343">
        <f>Database!E335</f>
        <v/>
      </c>
      <c r="N343">
        <f>Database!H335</f>
        <v/>
      </c>
      <c r="O343">
        <f>Database!AH335</f>
        <v/>
      </c>
      <c r="P343">
        <f>Database!AK335</f>
        <v/>
      </c>
      <c r="Q343">
        <f>Database!G335</f>
        <v/>
      </c>
    </row>
    <row r="344">
      <c r="A344">
        <f>Database!B344</f>
        <v/>
      </c>
      <c r="B344">
        <f>IF(AND(Screener!$D$9&lt;&gt;"",Database!$E344=Screener!$D$9),1,0)</f>
        <v/>
      </c>
      <c r="C344">
        <f>IF(AND(Screener!$D$8&lt;&gt;"",Database!$D344=Screener!$D$8),1,0)</f>
        <v/>
      </c>
      <c r="D344">
        <f>IF(OR(Database!$H344="",N(Screener!$D$10)&lt;=0),0,MAX(0,1-ABS(LOG10(Database!$H344/Screener!$D$10))/W_SIZEHW))</f>
        <v/>
      </c>
      <c r="E344">
        <f>IF(OR(Database!$AH344="",Screener!$D$11=""),0,IF(Database!$AH344=Screener!$D$11,1,0))</f>
        <v/>
      </c>
      <c r="F344">
        <f>IF(OR(Database!$AK344="",Screener!$D$12=""),0,IF(Database!$AK344=Screener!$D$12,1,0))</f>
        <v/>
      </c>
      <c r="G344">
        <f>IF(OR(Database!$G344="",N(Screener!$D$13)&lt;=0),0,MAX(0,1-(N(Screener!$D$13)-Database!$G344)/W_RECD))</f>
        <v/>
      </c>
      <c r="H344">
        <f>IF($K$1="",0,N(ISNUMBER(SEARCH($K$1,Database!$T344&amp;""))))+IF($L$1="",0,N(ISNUMBER(SEARCH($L$1,Database!$T344&amp;""))))+IF($M$1="",0,N(ISNUMBER(SEARCH($M$1,Database!$T344&amp;""))))+IF($N$1="",0,N(ISNUMBER(SEARCH($N$1,Database!$T344&amp;""))))+IF($O$1="",0,N(ISNUMBER(SEARCH($O$1,Database!$T344&amp;""))))+IF(Screener!$B$14="",0,N(ISNUMBER(SEARCH(Screener!$B$14,Database!$T344&amp;""))))</f>
        <v/>
      </c>
      <c r="I344">
        <f>IF(OR(Database!$B344=Screener!$B$5,IF(OR(Screener!$B$17="All",AND(Screener!$B$17="With A-share",(Database!$AL344&lt;&gt;"")),AND(Screener!$B$17="Without A-share",NOT((Database!$AL344&lt;&gt;"")))),1,0)=0),-999999,IF(Screener!$B$15="cornerstone overlap first",H344*100000,0)+W_SUB*B344+W_SEC*C344*(1-B344)+W_SIZE*D344+W_PROF*E344+W_AH*F344+W_REC*G344+W_CS*H344)+ROW()/1000000</f>
        <v/>
      </c>
      <c r="K344">
        <f>Database!B336</f>
        <v/>
      </c>
      <c r="L344">
        <f>Database!D336</f>
        <v/>
      </c>
      <c r="M344">
        <f>Database!E336</f>
        <v/>
      </c>
      <c r="N344">
        <f>Database!H336</f>
        <v/>
      </c>
      <c r="O344">
        <f>Database!AH336</f>
        <v/>
      </c>
      <c r="P344">
        <f>Database!AK336</f>
        <v/>
      </c>
      <c r="Q344">
        <f>Database!G336</f>
        <v/>
      </c>
    </row>
    <row r="345">
      <c r="A345">
        <f>Database!B345</f>
        <v/>
      </c>
      <c r="B345">
        <f>IF(AND(Screener!$D$9&lt;&gt;"",Database!$E345=Screener!$D$9),1,0)</f>
        <v/>
      </c>
      <c r="C345">
        <f>IF(AND(Screener!$D$8&lt;&gt;"",Database!$D345=Screener!$D$8),1,0)</f>
        <v/>
      </c>
      <c r="D345">
        <f>IF(OR(Database!$H345="",N(Screener!$D$10)&lt;=0),0,MAX(0,1-ABS(LOG10(Database!$H345/Screener!$D$10))/W_SIZEHW))</f>
        <v/>
      </c>
      <c r="E345">
        <f>IF(OR(Database!$AH345="",Screener!$D$11=""),0,IF(Database!$AH345=Screener!$D$11,1,0))</f>
        <v/>
      </c>
      <c r="F345">
        <f>IF(OR(Database!$AK345="",Screener!$D$12=""),0,IF(Database!$AK345=Screener!$D$12,1,0))</f>
        <v/>
      </c>
      <c r="G345">
        <f>IF(OR(Database!$G345="",N(Screener!$D$13)&lt;=0),0,MAX(0,1-(N(Screener!$D$13)-Database!$G345)/W_RECD))</f>
        <v/>
      </c>
      <c r="H345">
        <f>IF($K$1="",0,N(ISNUMBER(SEARCH($K$1,Database!$T345&amp;""))))+IF($L$1="",0,N(ISNUMBER(SEARCH($L$1,Database!$T345&amp;""))))+IF($M$1="",0,N(ISNUMBER(SEARCH($M$1,Database!$T345&amp;""))))+IF($N$1="",0,N(ISNUMBER(SEARCH($N$1,Database!$T345&amp;""))))+IF($O$1="",0,N(ISNUMBER(SEARCH($O$1,Database!$T345&amp;""))))+IF(Screener!$B$14="",0,N(ISNUMBER(SEARCH(Screener!$B$14,Database!$T345&amp;""))))</f>
        <v/>
      </c>
      <c r="I345">
        <f>IF(OR(Database!$B345=Screener!$B$5,IF(OR(Screener!$B$17="All",AND(Screener!$B$17="With A-share",(Database!$AL345&lt;&gt;"")),AND(Screener!$B$17="Without A-share",NOT((Database!$AL345&lt;&gt;"")))),1,0)=0),-999999,IF(Screener!$B$15="cornerstone overlap first",H345*100000,0)+W_SUB*B345+W_SEC*C345*(1-B345)+W_SIZE*D345+W_PROF*E345+W_AH*F345+W_REC*G345+W_CS*H345)+ROW()/1000000</f>
        <v/>
      </c>
      <c r="K345">
        <f>Database!B337</f>
        <v/>
      </c>
      <c r="L345">
        <f>Database!D337</f>
        <v/>
      </c>
      <c r="M345">
        <f>Database!E337</f>
        <v/>
      </c>
      <c r="N345">
        <f>Database!H337</f>
        <v/>
      </c>
      <c r="O345">
        <f>Database!AH337</f>
        <v/>
      </c>
      <c r="P345">
        <f>Database!AK337</f>
        <v/>
      </c>
      <c r="Q345">
        <f>Database!G337</f>
        <v/>
      </c>
    </row>
    <row r="346">
      <c r="A346">
        <f>Database!B346</f>
        <v/>
      </c>
      <c r="B346">
        <f>IF(AND(Screener!$D$9&lt;&gt;"",Database!$E346=Screener!$D$9),1,0)</f>
        <v/>
      </c>
      <c r="C346">
        <f>IF(AND(Screener!$D$8&lt;&gt;"",Database!$D346=Screener!$D$8),1,0)</f>
        <v/>
      </c>
      <c r="D346">
        <f>IF(OR(Database!$H346="",N(Screener!$D$10)&lt;=0),0,MAX(0,1-ABS(LOG10(Database!$H346/Screener!$D$10))/W_SIZEHW))</f>
        <v/>
      </c>
      <c r="E346">
        <f>IF(OR(Database!$AH346="",Screener!$D$11=""),0,IF(Database!$AH346=Screener!$D$11,1,0))</f>
        <v/>
      </c>
      <c r="F346">
        <f>IF(OR(Database!$AK346="",Screener!$D$12=""),0,IF(Database!$AK346=Screener!$D$12,1,0))</f>
        <v/>
      </c>
      <c r="G346">
        <f>IF(OR(Database!$G346="",N(Screener!$D$13)&lt;=0),0,MAX(0,1-(N(Screener!$D$13)-Database!$G346)/W_RECD))</f>
        <v/>
      </c>
      <c r="H346">
        <f>IF($K$1="",0,N(ISNUMBER(SEARCH($K$1,Database!$T346&amp;""))))+IF($L$1="",0,N(ISNUMBER(SEARCH($L$1,Database!$T346&amp;""))))+IF($M$1="",0,N(ISNUMBER(SEARCH($M$1,Database!$T346&amp;""))))+IF($N$1="",0,N(ISNUMBER(SEARCH($N$1,Database!$T346&amp;""))))+IF($O$1="",0,N(ISNUMBER(SEARCH($O$1,Database!$T346&amp;""))))+IF(Screener!$B$14="",0,N(ISNUMBER(SEARCH(Screener!$B$14,Database!$T346&amp;""))))</f>
        <v/>
      </c>
      <c r="I346">
        <f>IF(OR(Database!$B346=Screener!$B$5,IF(OR(Screener!$B$17="All",AND(Screener!$B$17="With A-share",(Database!$AL346&lt;&gt;"")),AND(Screener!$B$17="Without A-share",NOT((Database!$AL346&lt;&gt;"")))),1,0)=0),-999999,IF(Screener!$B$15="cornerstone overlap first",H346*100000,0)+W_SUB*B346+W_SEC*C346*(1-B346)+W_SIZE*D346+W_PROF*E346+W_AH*F346+W_REC*G346+W_CS*H346)+ROW()/1000000</f>
        <v/>
      </c>
      <c r="K346">
        <f>Database!B338</f>
        <v/>
      </c>
      <c r="L346">
        <f>Database!D338</f>
        <v/>
      </c>
      <c r="M346">
        <f>Database!E338</f>
        <v/>
      </c>
      <c r="N346">
        <f>Database!H338</f>
        <v/>
      </c>
      <c r="O346">
        <f>Database!AH338</f>
        <v/>
      </c>
      <c r="P346">
        <f>Database!AK338</f>
        <v/>
      </c>
      <c r="Q346">
        <f>Database!G338</f>
        <v/>
      </c>
    </row>
    <row r="347">
      <c r="A347">
        <f>Database!B347</f>
        <v/>
      </c>
      <c r="B347">
        <f>IF(AND(Screener!$D$9&lt;&gt;"",Database!$E347=Screener!$D$9),1,0)</f>
        <v/>
      </c>
      <c r="C347">
        <f>IF(AND(Screener!$D$8&lt;&gt;"",Database!$D347=Screener!$D$8),1,0)</f>
        <v/>
      </c>
      <c r="D347">
        <f>IF(OR(Database!$H347="",N(Screener!$D$10)&lt;=0),0,MAX(0,1-ABS(LOG10(Database!$H347/Screener!$D$10))/W_SIZEHW))</f>
        <v/>
      </c>
      <c r="E347">
        <f>IF(OR(Database!$AH347="",Screener!$D$11=""),0,IF(Database!$AH347=Screener!$D$11,1,0))</f>
        <v/>
      </c>
      <c r="F347">
        <f>IF(OR(Database!$AK347="",Screener!$D$12=""),0,IF(Database!$AK347=Screener!$D$12,1,0))</f>
        <v/>
      </c>
      <c r="G347">
        <f>IF(OR(Database!$G347="",N(Screener!$D$13)&lt;=0),0,MAX(0,1-(N(Screener!$D$13)-Database!$G347)/W_RECD))</f>
        <v/>
      </c>
      <c r="H347">
        <f>IF($K$1="",0,N(ISNUMBER(SEARCH($K$1,Database!$T347&amp;""))))+IF($L$1="",0,N(ISNUMBER(SEARCH($L$1,Database!$T347&amp;""))))+IF($M$1="",0,N(ISNUMBER(SEARCH($M$1,Database!$T347&amp;""))))+IF($N$1="",0,N(ISNUMBER(SEARCH($N$1,Database!$T347&amp;""))))+IF($O$1="",0,N(ISNUMBER(SEARCH($O$1,Database!$T347&amp;""))))+IF(Screener!$B$14="",0,N(ISNUMBER(SEARCH(Screener!$B$14,Database!$T347&amp;""))))</f>
        <v/>
      </c>
      <c r="I347">
        <f>IF(OR(Database!$B347=Screener!$B$5,IF(OR(Screener!$B$17="All",AND(Screener!$B$17="With A-share",(Database!$AL347&lt;&gt;"")),AND(Screener!$B$17="Without A-share",NOT((Database!$AL347&lt;&gt;"")))),1,0)=0),-999999,IF(Screener!$B$15="cornerstone overlap first",H347*100000,0)+W_SUB*B347+W_SEC*C347*(1-B347)+W_SIZE*D347+W_PROF*E347+W_AH*F347+W_REC*G347+W_CS*H347)+ROW()/1000000</f>
        <v/>
      </c>
      <c r="K347">
        <f>Database!B339</f>
        <v/>
      </c>
      <c r="L347">
        <f>Database!D339</f>
        <v/>
      </c>
      <c r="M347">
        <f>Database!E339</f>
        <v/>
      </c>
      <c r="N347">
        <f>Database!H339</f>
        <v/>
      </c>
      <c r="O347">
        <f>Database!AH339</f>
        <v/>
      </c>
      <c r="P347">
        <f>Database!AK339</f>
        <v/>
      </c>
      <c r="Q347">
        <f>Database!G339</f>
        <v/>
      </c>
    </row>
    <row r="348">
      <c r="A348">
        <f>Database!B348</f>
        <v/>
      </c>
      <c r="B348">
        <f>IF(AND(Screener!$D$9&lt;&gt;"",Database!$E348=Screener!$D$9),1,0)</f>
        <v/>
      </c>
      <c r="C348">
        <f>IF(AND(Screener!$D$8&lt;&gt;"",Database!$D348=Screener!$D$8),1,0)</f>
        <v/>
      </c>
      <c r="D348">
        <f>IF(OR(Database!$H348="",N(Screener!$D$10)&lt;=0),0,MAX(0,1-ABS(LOG10(Database!$H348/Screener!$D$10))/W_SIZEHW))</f>
        <v/>
      </c>
      <c r="E348">
        <f>IF(OR(Database!$AH348="",Screener!$D$11=""),0,IF(Database!$AH348=Screener!$D$11,1,0))</f>
        <v/>
      </c>
      <c r="F348">
        <f>IF(OR(Database!$AK348="",Screener!$D$12=""),0,IF(Database!$AK348=Screener!$D$12,1,0))</f>
        <v/>
      </c>
      <c r="G348">
        <f>IF(OR(Database!$G348="",N(Screener!$D$13)&lt;=0),0,MAX(0,1-(N(Screener!$D$13)-Database!$G348)/W_RECD))</f>
        <v/>
      </c>
      <c r="H348">
        <f>IF($K$1="",0,N(ISNUMBER(SEARCH($K$1,Database!$T348&amp;""))))+IF($L$1="",0,N(ISNUMBER(SEARCH($L$1,Database!$T348&amp;""))))+IF($M$1="",0,N(ISNUMBER(SEARCH($M$1,Database!$T348&amp;""))))+IF($N$1="",0,N(ISNUMBER(SEARCH($N$1,Database!$T348&amp;""))))+IF($O$1="",0,N(ISNUMBER(SEARCH($O$1,Database!$T348&amp;""))))+IF(Screener!$B$14="",0,N(ISNUMBER(SEARCH(Screener!$B$14,Database!$T348&amp;""))))</f>
        <v/>
      </c>
      <c r="I348">
        <f>IF(OR(Database!$B348=Screener!$B$5,IF(OR(Screener!$B$17="All",AND(Screener!$B$17="With A-share",(Database!$AL348&lt;&gt;"")),AND(Screener!$B$17="Without A-share",NOT((Database!$AL348&lt;&gt;"")))),1,0)=0),-999999,IF(Screener!$B$15="cornerstone overlap first",H348*100000,0)+W_SUB*B348+W_SEC*C348*(1-B348)+W_SIZE*D348+W_PROF*E348+W_AH*F348+W_REC*G348+W_CS*H348)+ROW()/1000000</f>
        <v/>
      </c>
      <c r="K348">
        <f>Database!B340</f>
        <v/>
      </c>
      <c r="L348">
        <f>Database!D340</f>
        <v/>
      </c>
      <c r="M348">
        <f>Database!E340</f>
        <v/>
      </c>
      <c r="N348">
        <f>Database!H340</f>
        <v/>
      </c>
      <c r="O348">
        <f>Database!AH340</f>
        <v/>
      </c>
      <c r="P348">
        <f>Database!AK340</f>
        <v/>
      </c>
      <c r="Q348">
        <f>Database!G340</f>
        <v/>
      </c>
    </row>
    <row r="349">
      <c r="A349">
        <f>Database!B349</f>
        <v/>
      </c>
      <c r="B349">
        <f>IF(AND(Screener!$D$9&lt;&gt;"",Database!$E349=Screener!$D$9),1,0)</f>
        <v/>
      </c>
      <c r="C349">
        <f>IF(AND(Screener!$D$8&lt;&gt;"",Database!$D349=Screener!$D$8),1,0)</f>
        <v/>
      </c>
      <c r="D349">
        <f>IF(OR(Database!$H349="",N(Screener!$D$10)&lt;=0),0,MAX(0,1-ABS(LOG10(Database!$H349/Screener!$D$10))/W_SIZEHW))</f>
        <v/>
      </c>
      <c r="E349">
        <f>IF(OR(Database!$AH349="",Screener!$D$11=""),0,IF(Database!$AH349=Screener!$D$11,1,0))</f>
        <v/>
      </c>
      <c r="F349">
        <f>IF(OR(Database!$AK349="",Screener!$D$12=""),0,IF(Database!$AK349=Screener!$D$12,1,0))</f>
        <v/>
      </c>
      <c r="G349">
        <f>IF(OR(Database!$G349="",N(Screener!$D$13)&lt;=0),0,MAX(0,1-(N(Screener!$D$13)-Database!$G349)/W_RECD))</f>
        <v/>
      </c>
      <c r="H349">
        <f>IF($K$1="",0,N(ISNUMBER(SEARCH($K$1,Database!$T349&amp;""))))+IF($L$1="",0,N(ISNUMBER(SEARCH($L$1,Database!$T349&amp;""))))+IF($M$1="",0,N(ISNUMBER(SEARCH($M$1,Database!$T349&amp;""))))+IF($N$1="",0,N(ISNUMBER(SEARCH($N$1,Database!$T349&amp;""))))+IF($O$1="",0,N(ISNUMBER(SEARCH($O$1,Database!$T349&amp;""))))+IF(Screener!$B$14="",0,N(ISNUMBER(SEARCH(Screener!$B$14,Database!$T349&amp;""))))</f>
        <v/>
      </c>
      <c r="I349">
        <f>IF(OR(Database!$B349=Screener!$B$5,IF(OR(Screener!$B$17="All",AND(Screener!$B$17="With A-share",(Database!$AL349&lt;&gt;"")),AND(Screener!$B$17="Without A-share",NOT((Database!$AL349&lt;&gt;"")))),1,0)=0),-999999,IF(Screener!$B$15="cornerstone overlap first",H349*100000,0)+W_SUB*B349+W_SEC*C349*(1-B349)+W_SIZE*D349+W_PROF*E349+W_AH*F349+W_REC*G349+W_CS*H349)+ROW()/1000000</f>
        <v/>
      </c>
      <c r="K349">
        <f>Database!B341</f>
        <v/>
      </c>
      <c r="L349">
        <f>Database!D341</f>
        <v/>
      </c>
      <c r="M349">
        <f>Database!E341</f>
        <v/>
      </c>
      <c r="N349">
        <f>Database!H341</f>
        <v/>
      </c>
      <c r="O349">
        <f>Database!AH341</f>
        <v/>
      </c>
      <c r="P349">
        <f>Database!AK341</f>
        <v/>
      </c>
      <c r="Q349">
        <f>Database!G341</f>
        <v/>
      </c>
    </row>
    <row r="350">
      <c r="A350">
        <f>Database!B350</f>
        <v/>
      </c>
      <c r="B350">
        <f>IF(AND(Screener!$D$9&lt;&gt;"",Database!$E350=Screener!$D$9),1,0)</f>
        <v/>
      </c>
      <c r="C350">
        <f>IF(AND(Screener!$D$8&lt;&gt;"",Database!$D350=Screener!$D$8),1,0)</f>
        <v/>
      </c>
      <c r="D350">
        <f>IF(OR(Database!$H350="",N(Screener!$D$10)&lt;=0),0,MAX(0,1-ABS(LOG10(Database!$H350/Screener!$D$10))/W_SIZEHW))</f>
        <v/>
      </c>
      <c r="E350">
        <f>IF(OR(Database!$AH350="",Screener!$D$11=""),0,IF(Database!$AH350=Screener!$D$11,1,0))</f>
        <v/>
      </c>
      <c r="F350">
        <f>IF(OR(Database!$AK350="",Screener!$D$12=""),0,IF(Database!$AK350=Screener!$D$12,1,0))</f>
        <v/>
      </c>
      <c r="G350">
        <f>IF(OR(Database!$G350="",N(Screener!$D$13)&lt;=0),0,MAX(0,1-(N(Screener!$D$13)-Database!$G350)/W_RECD))</f>
        <v/>
      </c>
      <c r="H350">
        <f>IF($K$1="",0,N(ISNUMBER(SEARCH($K$1,Database!$T350&amp;""))))+IF($L$1="",0,N(ISNUMBER(SEARCH($L$1,Database!$T350&amp;""))))+IF($M$1="",0,N(ISNUMBER(SEARCH($M$1,Database!$T350&amp;""))))+IF($N$1="",0,N(ISNUMBER(SEARCH($N$1,Database!$T350&amp;""))))+IF($O$1="",0,N(ISNUMBER(SEARCH($O$1,Database!$T350&amp;""))))+IF(Screener!$B$14="",0,N(ISNUMBER(SEARCH(Screener!$B$14,Database!$T350&amp;""))))</f>
        <v/>
      </c>
      <c r="I350">
        <f>IF(OR(Database!$B350=Screener!$B$5,IF(OR(Screener!$B$17="All",AND(Screener!$B$17="With A-share",(Database!$AL350&lt;&gt;"")),AND(Screener!$B$17="Without A-share",NOT((Database!$AL350&lt;&gt;"")))),1,0)=0),-999999,IF(Screener!$B$15="cornerstone overlap first",H350*100000,0)+W_SUB*B350+W_SEC*C350*(1-B350)+W_SIZE*D350+W_PROF*E350+W_AH*F350+W_REC*G350+W_CS*H350)+ROW()/1000000</f>
        <v/>
      </c>
      <c r="K350">
        <f>Database!B342</f>
        <v/>
      </c>
      <c r="L350">
        <f>Database!D342</f>
        <v/>
      </c>
      <c r="M350">
        <f>Database!E342</f>
        <v/>
      </c>
      <c r="N350">
        <f>Database!H342</f>
        <v/>
      </c>
      <c r="O350">
        <f>Database!AH342</f>
        <v/>
      </c>
      <c r="P350">
        <f>Database!AK342</f>
        <v/>
      </c>
      <c r="Q350">
        <f>Database!G342</f>
        <v/>
      </c>
    </row>
    <row r="351">
      <c r="A351">
        <f>Database!B351</f>
        <v/>
      </c>
      <c r="B351">
        <f>IF(AND(Screener!$D$9&lt;&gt;"",Database!$E351=Screener!$D$9),1,0)</f>
        <v/>
      </c>
      <c r="C351">
        <f>IF(AND(Screener!$D$8&lt;&gt;"",Database!$D351=Screener!$D$8),1,0)</f>
        <v/>
      </c>
      <c r="D351">
        <f>IF(OR(Database!$H351="",N(Screener!$D$10)&lt;=0),0,MAX(0,1-ABS(LOG10(Database!$H351/Screener!$D$10))/W_SIZEHW))</f>
        <v/>
      </c>
      <c r="E351">
        <f>IF(OR(Database!$AH351="",Screener!$D$11=""),0,IF(Database!$AH351=Screener!$D$11,1,0))</f>
        <v/>
      </c>
      <c r="F351">
        <f>IF(OR(Database!$AK351="",Screener!$D$12=""),0,IF(Database!$AK351=Screener!$D$12,1,0))</f>
        <v/>
      </c>
      <c r="G351">
        <f>IF(OR(Database!$G351="",N(Screener!$D$13)&lt;=0),0,MAX(0,1-(N(Screener!$D$13)-Database!$G351)/W_RECD))</f>
        <v/>
      </c>
      <c r="H351">
        <f>IF($K$1="",0,N(ISNUMBER(SEARCH($K$1,Database!$T351&amp;""))))+IF($L$1="",0,N(ISNUMBER(SEARCH($L$1,Database!$T351&amp;""))))+IF($M$1="",0,N(ISNUMBER(SEARCH($M$1,Database!$T351&amp;""))))+IF($N$1="",0,N(ISNUMBER(SEARCH($N$1,Database!$T351&amp;""))))+IF($O$1="",0,N(ISNUMBER(SEARCH($O$1,Database!$T351&amp;""))))+IF(Screener!$B$14="",0,N(ISNUMBER(SEARCH(Screener!$B$14,Database!$T351&amp;""))))</f>
        <v/>
      </c>
      <c r="I351">
        <f>IF(OR(Database!$B351=Screener!$B$5,IF(OR(Screener!$B$17="All",AND(Screener!$B$17="With A-share",(Database!$AL351&lt;&gt;"")),AND(Screener!$B$17="Without A-share",NOT((Database!$AL351&lt;&gt;"")))),1,0)=0),-999999,IF(Screener!$B$15="cornerstone overlap first",H351*100000,0)+W_SUB*B351+W_SEC*C351*(1-B351)+W_SIZE*D351+W_PROF*E351+W_AH*F351+W_REC*G351+W_CS*H351)+ROW()/1000000</f>
        <v/>
      </c>
      <c r="K351">
        <f>Database!B343</f>
        <v/>
      </c>
      <c r="L351">
        <f>Database!D343</f>
        <v/>
      </c>
      <c r="M351">
        <f>Database!E343</f>
        <v/>
      </c>
      <c r="N351">
        <f>Database!H343</f>
        <v/>
      </c>
      <c r="O351">
        <f>Database!AH343</f>
        <v/>
      </c>
      <c r="P351">
        <f>Database!AK343</f>
        <v/>
      </c>
      <c r="Q351">
        <f>Database!G343</f>
        <v/>
      </c>
    </row>
    <row r="352">
      <c r="A352">
        <f>Database!B352</f>
        <v/>
      </c>
      <c r="B352">
        <f>IF(AND(Screener!$D$9&lt;&gt;"",Database!$E352=Screener!$D$9),1,0)</f>
        <v/>
      </c>
      <c r="C352">
        <f>IF(AND(Screener!$D$8&lt;&gt;"",Database!$D352=Screener!$D$8),1,0)</f>
        <v/>
      </c>
      <c r="D352">
        <f>IF(OR(Database!$H352="",N(Screener!$D$10)&lt;=0),0,MAX(0,1-ABS(LOG10(Database!$H352/Screener!$D$10))/W_SIZEHW))</f>
        <v/>
      </c>
      <c r="E352">
        <f>IF(OR(Database!$AH352="",Screener!$D$11=""),0,IF(Database!$AH352=Screener!$D$11,1,0))</f>
        <v/>
      </c>
      <c r="F352">
        <f>IF(OR(Database!$AK352="",Screener!$D$12=""),0,IF(Database!$AK352=Screener!$D$12,1,0))</f>
        <v/>
      </c>
      <c r="G352">
        <f>IF(OR(Database!$G352="",N(Screener!$D$13)&lt;=0),0,MAX(0,1-(N(Screener!$D$13)-Database!$G352)/W_RECD))</f>
        <v/>
      </c>
      <c r="H352">
        <f>IF($K$1="",0,N(ISNUMBER(SEARCH($K$1,Database!$T352&amp;""))))+IF($L$1="",0,N(ISNUMBER(SEARCH($L$1,Database!$T352&amp;""))))+IF($M$1="",0,N(ISNUMBER(SEARCH($M$1,Database!$T352&amp;""))))+IF($N$1="",0,N(ISNUMBER(SEARCH($N$1,Database!$T352&amp;""))))+IF($O$1="",0,N(ISNUMBER(SEARCH($O$1,Database!$T352&amp;""))))+IF(Screener!$B$14="",0,N(ISNUMBER(SEARCH(Screener!$B$14,Database!$T352&amp;""))))</f>
        <v/>
      </c>
      <c r="I352">
        <f>IF(OR(Database!$B352=Screener!$B$5,IF(OR(Screener!$B$17="All",AND(Screener!$B$17="With A-share",(Database!$AL352&lt;&gt;"")),AND(Screener!$B$17="Without A-share",NOT((Database!$AL352&lt;&gt;"")))),1,0)=0),-999999,IF(Screener!$B$15="cornerstone overlap first",H352*100000,0)+W_SUB*B352+W_SEC*C352*(1-B352)+W_SIZE*D352+W_PROF*E352+W_AH*F352+W_REC*G352+W_CS*H352)+ROW()/1000000</f>
        <v/>
      </c>
      <c r="K352">
        <f>Database!B344</f>
        <v/>
      </c>
      <c r="L352">
        <f>Database!D344</f>
        <v/>
      </c>
      <c r="M352">
        <f>Database!E344</f>
        <v/>
      </c>
      <c r="N352">
        <f>Database!H344</f>
        <v/>
      </c>
      <c r="O352">
        <f>Database!AH344</f>
        <v/>
      </c>
      <c r="P352">
        <f>Database!AK344</f>
        <v/>
      </c>
      <c r="Q352">
        <f>Database!G344</f>
        <v/>
      </c>
    </row>
    <row r="353">
      <c r="A353">
        <f>Database!B353</f>
        <v/>
      </c>
      <c r="B353">
        <f>IF(AND(Screener!$D$9&lt;&gt;"",Database!$E353=Screener!$D$9),1,0)</f>
        <v/>
      </c>
      <c r="C353">
        <f>IF(AND(Screener!$D$8&lt;&gt;"",Database!$D353=Screener!$D$8),1,0)</f>
        <v/>
      </c>
      <c r="D353">
        <f>IF(OR(Database!$H353="",N(Screener!$D$10)&lt;=0),0,MAX(0,1-ABS(LOG10(Database!$H353/Screener!$D$10))/W_SIZEHW))</f>
        <v/>
      </c>
      <c r="E353">
        <f>IF(OR(Database!$AH353="",Screener!$D$11=""),0,IF(Database!$AH353=Screener!$D$11,1,0))</f>
        <v/>
      </c>
      <c r="F353">
        <f>IF(OR(Database!$AK353="",Screener!$D$12=""),0,IF(Database!$AK353=Screener!$D$12,1,0))</f>
        <v/>
      </c>
      <c r="G353">
        <f>IF(OR(Database!$G353="",N(Screener!$D$13)&lt;=0),0,MAX(0,1-(N(Screener!$D$13)-Database!$G353)/W_RECD))</f>
        <v/>
      </c>
      <c r="H353">
        <f>IF($K$1="",0,N(ISNUMBER(SEARCH($K$1,Database!$T353&amp;""))))+IF($L$1="",0,N(ISNUMBER(SEARCH($L$1,Database!$T353&amp;""))))+IF($M$1="",0,N(ISNUMBER(SEARCH($M$1,Database!$T353&amp;""))))+IF($N$1="",0,N(ISNUMBER(SEARCH($N$1,Database!$T353&amp;""))))+IF($O$1="",0,N(ISNUMBER(SEARCH($O$1,Database!$T353&amp;""))))+IF(Screener!$B$14="",0,N(ISNUMBER(SEARCH(Screener!$B$14,Database!$T353&amp;""))))</f>
        <v/>
      </c>
      <c r="I353">
        <f>IF(OR(Database!$B353=Screener!$B$5,IF(OR(Screener!$B$17="All",AND(Screener!$B$17="With A-share",(Database!$AL353&lt;&gt;"")),AND(Screener!$B$17="Without A-share",NOT((Database!$AL353&lt;&gt;"")))),1,0)=0),-999999,IF(Screener!$B$15="cornerstone overlap first",H353*100000,0)+W_SUB*B353+W_SEC*C353*(1-B353)+W_SIZE*D353+W_PROF*E353+W_AH*F353+W_REC*G353+W_CS*H353)+ROW()/1000000</f>
        <v/>
      </c>
      <c r="K353">
        <f>Database!B345</f>
        <v/>
      </c>
      <c r="L353">
        <f>Database!D345</f>
        <v/>
      </c>
      <c r="M353">
        <f>Database!E345</f>
        <v/>
      </c>
      <c r="N353">
        <f>Database!H345</f>
        <v/>
      </c>
      <c r="O353">
        <f>Database!AH345</f>
        <v/>
      </c>
      <c r="P353">
        <f>Database!AK345</f>
        <v/>
      </c>
      <c r="Q353">
        <f>Database!G345</f>
        <v/>
      </c>
    </row>
    <row r="354">
      <c r="A354">
        <f>Database!B354</f>
        <v/>
      </c>
      <c r="B354">
        <f>IF(AND(Screener!$D$9&lt;&gt;"",Database!$E354=Screener!$D$9),1,0)</f>
        <v/>
      </c>
      <c r="C354">
        <f>IF(AND(Screener!$D$8&lt;&gt;"",Database!$D354=Screener!$D$8),1,0)</f>
        <v/>
      </c>
      <c r="D354">
        <f>IF(OR(Database!$H354="",N(Screener!$D$10)&lt;=0),0,MAX(0,1-ABS(LOG10(Database!$H354/Screener!$D$10))/W_SIZEHW))</f>
        <v/>
      </c>
      <c r="E354">
        <f>IF(OR(Database!$AH354="",Screener!$D$11=""),0,IF(Database!$AH354=Screener!$D$11,1,0))</f>
        <v/>
      </c>
      <c r="F354">
        <f>IF(OR(Database!$AK354="",Screener!$D$12=""),0,IF(Database!$AK354=Screener!$D$12,1,0))</f>
        <v/>
      </c>
      <c r="G354">
        <f>IF(OR(Database!$G354="",N(Screener!$D$13)&lt;=0),0,MAX(0,1-(N(Screener!$D$13)-Database!$G354)/W_RECD))</f>
        <v/>
      </c>
      <c r="H354">
        <f>IF($K$1="",0,N(ISNUMBER(SEARCH($K$1,Database!$T354&amp;""))))+IF($L$1="",0,N(ISNUMBER(SEARCH($L$1,Database!$T354&amp;""))))+IF($M$1="",0,N(ISNUMBER(SEARCH($M$1,Database!$T354&amp;""))))+IF($N$1="",0,N(ISNUMBER(SEARCH($N$1,Database!$T354&amp;""))))+IF($O$1="",0,N(ISNUMBER(SEARCH($O$1,Database!$T354&amp;""))))+IF(Screener!$B$14="",0,N(ISNUMBER(SEARCH(Screener!$B$14,Database!$T354&amp;""))))</f>
        <v/>
      </c>
      <c r="I354">
        <f>IF(OR(Database!$B354=Screener!$B$5,IF(OR(Screener!$B$17="All",AND(Screener!$B$17="With A-share",(Database!$AL354&lt;&gt;"")),AND(Screener!$B$17="Without A-share",NOT((Database!$AL354&lt;&gt;"")))),1,0)=0),-999999,IF(Screener!$B$15="cornerstone overlap first",H354*100000,0)+W_SUB*B354+W_SEC*C354*(1-B354)+W_SIZE*D354+W_PROF*E354+W_AH*F354+W_REC*G354+W_CS*H354)+ROW()/1000000</f>
        <v/>
      </c>
      <c r="K354">
        <f>Database!B346</f>
        <v/>
      </c>
      <c r="L354">
        <f>Database!D346</f>
        <v/>
      </c>
      <c r="M354">
        <f>Database!E346</f>
        <v/>
      </c>
      <c r="N354">
        <f>Database!H346</f>
        <v/>
      </c>
      <c r="O354">
        <f>Database!AH346</f>
        <v/>
      </c>
      <c r="P354">
        <f>Database!AK346</f>
        <v/>
      </c>
      <c r="Q354">
        <f>Database!G346</f>
        <v/>
      </c>
    </row>
    <row r="355">
      <c r="A355">
        <f>Database!B355</f>
        <v/>
      </c>
      <c r="B355">
        <f>IF(AND(Screener!$D$9&lt;&gt;"",Database!$E355=Screener!$D$9),1,0)</f>
        <v/>
      </c>
      <c r="C355">
        <f>IF(AND(Screener!$D$8&lt;&gt;"",Database!$D355=Screener!$D$8),1,0)</f>
        <v/>
      </c>
      <c r="D355">
        <f>IF(OR(Database!$H355="",N(Screener!$D$10)&lt;=0),0,MAX(0,1-ABS(LOG10(Database!$H355/Screener!$D$10))/W_SIZEHW))</f>
        <v/>
      </c>
      <c r="E355">
        <f>IF(OR(Database!$AH355="",Screener!$D$11=""),0,IF(Database!$AH355=Screener!$D$11,1,0))</f>
        <v/>
      </c>
      <c r="F355">
        <f>IF(OR(Database!$AK355="",Screener!$D$12=""),0,IF(Database!$AK355=Screener!$D$12,1,0))</f>
        <v/>
      </c>
      <c r="G355">
        <f>IF(OR(Database!$G355="",N(Screener!$D$13)&lt;=0),0,MAX(0,1-(N(Screener!$D$13)-Database!$G355)/W_RECD))</f>
        <v/>
      </c>
      <c r="H355">
        <f>IF($K$1="",0,N(ISNUMBER(SEARCH($K$1,Database!$T355&amp;""))))+IF($L$1="",0,N(ISNUMBER(SEARCH($L$1,Database!$T355&amp;""))))+IF($M$1="",0,N(ISNUMBER(SEARCH($M$1,Database!$T355&amp;""))))+IF($N$1="",0,N(ISNUMBER(SEARCH($N$1,Database!$T355&amp;""))))+IF($O$1="",0,N(ISNUMBER(SEARCH($O$1,Database!$T355&amp;""))))+IF(Screener!$B$14="",0,N(ISNUMBER(SEARCH(Screener!$B$14,Database!$T355&amp;""))))</f>
        <v/>
      </c>
      <c r="I355">
        <f>IF(OR(Database!$B355=Screener!$B$5,IF(OR(Screener!$B$17="All",AND(Screener!$B$17="With A-share",(Database!$AL355&lt;&gt;"")),AND(Screener!$B$17="Without A-share",NOT((Database!$AL355&lt;&gt;"")))),1,0)=0),-999999,IF(Screener!$B$15="cornerstone overlap first",H355*100000,0)+W_SUB*B355+W_SEC*C355*(1-B355)+W_SIZE*D355+W_PROF*E355+W_AH*F355+W_REC*G355+W_CS*H355)+ROW()/1000000</f>
        <v/>
      </c>
      <c r="K355">
        <f>Database!B347</f>
        <v/>
      </c>
      <c r="L355">
        <f>Database!D347</f>
        <v/>
      </c>
      <c r="M355">
        <f>Database!E347</f>
        <v/>
      </c>
      <c r="N355">
        <f>Database!H347</f>
        <v/>
      </c>
      <c r="O355">
        <f>Database!AH347</f>
        <v/>
      </c>
      <c r="P355">
        <f>Database!AK347</f>
        <v/>
      </c>
      <c r="Q355">
        <f>Database!G347</f>
        <v/>
      </c>
    </row>
    <row r="356">
      <c r="A356">
        <f>Database!B356</f>
        <v/>
      </c>
      <c r="B356">
        <f>IF(AND(Screener!$D$9&lt;&gt;"",Database!$E356=Screener!$D$9),1,0)</f>
        <v/>
      </c>
      <c r="C356">
        <f>IF(AND(Screener!$D$8&lt;&gt;"",Database!$D356=Screener!$D$8),1,0)</f>
        <v/>
      </c>
      <c r="D356">
        <f>IF(OR(Database!$H356="",N(Screener!$D$10)&lt;=0),0,MAX(0,1-ABS(LOG10(Database!$H356/Screener!$D$10))/W_SIZEHW))</f>
        <v/>
      </c>
      <c r="E356">
        <f>IF(OR(Database!$AH356="",Screener!$D$11=""),0,IF(Database!$AH356=Screener!$D$11,1,0))</f>
        <v/>
      </c>
      <c r="F356">
        <f>IF(OR(Database!$AK356="",Screener!$D$12=""),0,IF(Database!$AK356=Screener!$D$12,1,0))</f>
        <v/>
      </c>
      <c r="G356">
        <f>IF(OR(Database!$G356="",N(Screener!$D$13)&lt;=0),0,MAX(0,1-(N(Screener!$D$13)-Database!$G356)/W_RECD))</f>
        <v/>
      </c>
      <c r="H356">
        <f>IF($K$1="",0,N(ISNUMBER(SEARCH($K$1,Database!$T356&amp;""))))+IF($L$1="",0,N(ISNUMBER(SEARCH($L$1,Database!$T356&amp;""))))+IF($M$1="",0,N(ISNUMBER(SEARCH($M$1,Database!$T356&amp;""))))+IF($N$1="",0,N(ISNUMBER(SEARCH($N$1,Database!$T356&amp;""))))+IF($O$1="",0,N(ISNUMBER(SEARCH($O$1,Database!$T356&amp;""))))+IF(Screener!$B$14="",0,N(ISNUMBER(SEARCH(Screener!$B$14,Database!$T356&amp;""))))</f>
        <v/>
      </c>
      <c r="I356">
        <f>IF(OR(Database!$B356=Screener!$B$5,IF(OR(Screener!$B$17="All",AND(Screener!$B$17="With A-share",(Database!$AL356&lt;&gt;"")),AND(Screener!$B$17="Without A-share",NOT((Database!$AL356&lt;&gt;"")))),1,0)=0),-999999,IF(Screener!$B$15="cornerstone overlap first",H356*100000,0)+W_SUB*B356+W_SEC*C356*(1-B356)+W_SIZE*D356+W_PROF*E356+W_AH*F356+W_REC*G356+W_CS*H356)+ROW()/1000000</f>
        <v/>
      </c>
      <c r="K356">
        <f>Database!B348</f>
        <v/>
      </c>
      <c r="L356">
        <f>Database!D348</f>
        <v/>
      </c>
      <c r="M356">
        <f>Database!E348</f>
        <v/>
      </c>
      <c r="N356">
        <f>Database!H348</f>
        <v/>
      </c>
      <c r="O356">
        <f>Database!AH348</f>
        <v/>
      </c>
      <c r="P356">
        <f>Database!AK348</f>
        <v/>
      </c>
      <c r="Q356">
        <f>Database!G348</f>
        <v/>
      </c>
    </row>
    <row r="357">
      <c r="A357">
        <f>Database!B357</f>
        <v/>
      </c>
      <c r="B357">
        <f>IF(AND(Screener!$D$9&lt;&gt;"",Database!$E357=Screener!$D$9),1,0)</f>
        <v/>
      </c>
      <c r="C357">
        <f>IF(AND(Screener!$D$8&lt;&gt;"",Database!$D357=Screener!$D$8),1,0)</f>
        <v/>
      </c>
      <c r="D357">
        <f>IF(OR(Database!$H357="",N(Screener!$D$10)&lt;=0),0,MAX(0,1-ABS(LOG10(Database!$H357/Screener!$D$10))/W_SIZEHW))</f>
        <v/>
      </c>
      <c r="E357">
        <f>IF(OR(Database!$AH357="",Screener!$D$11=""),0,IF(Database!$AH357=Screener!$D$11,1,0))</f>
        <v/>
      </c>
      <c r="F357">
        <f>IF(OR(Database!$AK357="",Screener!$D$12=""),0,IF(Database!$AK357=Screener!$D$12,1,0))</f>
        <v/>
      </c>
      <c r="G357">
        <f>IF(OR(Database!$G357="",N(Screener!$D$13)&lt;=0),0,MAX(0,1-(N(Screener!$D$13)-Database!$G357)/W_RECD))</f>
        <v/>
      </c>
      <c r="H357">
        <f>IF($K$1="",0,N(ISNUMBER(SEARCH($K$1,Database!$T357&amp;""))))+IF($L$1="",0,N(ISNUMBER(SEARCH($L$1,Database!$T357&amp;""))))+IF($M$1="",0,N(ISNUMBER(SEARCH($M$1,Database!$T357&amp;""))))+IF($N$1="",0,N(ISNUMBER(SEARCH($N$1,Database!$T357&amp;""))))+IF($O$1="",0,N(ISNUMBER(SEARCH($O$1,Database!$T357&amp;""))))+IF(Screener!$B$14="",0,N(ISNUMBER(SEARCH(Screener!$B$14,Database!$T357&amp;""))))</f>
        <v/>
      </c>
      <c r="I357">
        <f>IF(OR(Database!$B357=Screener!$B$5,IF(OR(Screener!$B$17="All",AND(Screener!$B$17="With A-share",(Database!$AL357&lt;&gt;"")),AND(Screener!$B$17="Without A-share",NOT((Database!$AL357&lt;&gt;"")))),1,0)=0),-999999,IF(Screener!$B$15="cornerstone overlap first",H357*100000,0)+W_SUB*B357+W_SEC*C357*(1-B357)+W_SIZE*D357+W_PROF*E357+W_AH*F357+W_REC*G357+W_CS*H357)+ROW()/1000000</f>
        <v/>
      </c>
      <c r="K357">
        <f>Database!B349</f>
        <v/>
      </c>
      <c r="L357">
        <f>Database!D349</f>
        <v/>
      </c>
      <c r="M357">
        <f>Database!E349</f>
        <v/>
      </c>
      <c r="N357">
        <f>Database!H349</f>
        <v/>
      </c>
      <c r="O357">
        <f>Database!AH349</f>
        <v/>
      </c>
      <c r="P357">
        <f>Database!AK349</f>
        <v/>
      </c>
      <c r="Q357">
        <f>Database!G349</f>
        <v/>
      </c>
    </row>
    <row r="358">
      <c r="A358">
        <f>Database!B358</f>
        <v/>
      </c>
      <c r="B358">
        <f>IF(AND(Screener!$D$9&lt;&gt;"",Database!$E358=Screener!$D$9),1,0)</f>
        <v/>
      </c>
      <c r="C358">
        <f>IF(AND(Screener!$D$8&lt;&gt;"",Database!$D358=Screener!$D$8),1,0)</f>
        <v/>
      </c>
      <c r="D358">
        <f>IF(OR(Database!$H358="",N(Screener!$D$10)&lt;=0),0,MAX(0,1-ABS(LOG10(Database!$H358/Screener!$D$10))/W_SIZEHW))</f>
        <v/>
      </c>
      <c r="E358">
        <f>IF(OR(Database!$AH358="",Screener!$D$11=""),0,IF(Database!$AH358=Screener!$D$11,1,0))</f>
        <v/>
      </c>
      <c r="F358">
        <f>IF(OR(Database!$AK358="",Screener!$D$12=""),0,IF(Database!$AK358=Screener!$D$12,1,0))</f>
        <v/>
      </c>
      <c r="G358">
        <f>IF(OR(Database!$G358="",N(Screener!$D$13)&lt;=0),0,MAX(0,1-(N(Screener!$D$13)-Database!$G358)/W_RECD))</f>
        <v/>
      </c>
      <c r="H358">
        <f>IF($K$1="",0,N(ISNUMBER(SEARCH($K$1,Database!$T358&amp;""))))+IF($L$1="",0,N(ISNUMBER(SEARCH($L$1,Database!$T358&amp;""))))+IF($M$1="",0,N(ISNUMBER(SEARCH($M$1,Database!$T358&amp;""))))+IF($N$1="",0,N(ISNUMBER(SEARCH($N$1,Database!$T358&amp;""))))+IF($O$1="",0,N(ISNUMBER(SEARCH($O$1,Database!$T358&amp;""))))+IF(Screener!$B$14="",0,N(ISNUMBER(SEARCH(Screener!$B$14,Database!$T358&amp;""))))</f>
        <v/>
      </c>
      <c r="I358">
        <f>IF(OR(Database!$B358=Screener!$B$5,IF(OR(Screener!$B$17="All",AND(Screener!$B$17="With A-share",(Database!$AL358&lt;&gt;"")),AND(Screener!$B$17="Without A-share",NOT((Database!$AL358&lt;&gt;"")))),1,0)=0),-999999,IF(Screener!$B$15="cornerstone overlap first",H358*100000,0)+W_SUB*B358+W_SEC*C358*(1-B358)+W_SIZE*D358+W_PROF*E358+W_AH*F358+W_REC*G358+W_CS*H358)+ROW()/1000000</f>
        <v/>
      </c>
      <c r="K358">
        <f>Database!B350</f>
        <v/>
      </c>
      <c r="L358">
        <f>Database!D350</f>
        <v/>
      </c>
      <c r="M358">
        <f>Database!E350</f>
        <v/>
      </c>
      <c r="N358">
        <f>Database!H350</f>
        <v/>
      </c>
      <c r="O358">
        <f>Database!AH350</f>
        <v/>
      </c>
      <c r="P358">
        <f>Database!AK350</f>
        <v/>
      </c>
      <c r="Q358">
        <f>Database!G350</f>
        <v/>
      </c>
    </row>
    <row r="359">
      <c r="A359">
        <f>Database!B359</f>
        <v/>
      </c>
      <c r="B359">
        <f>IF(AND(Screener!$D$9&lt;&gt;"",Database!$E359=Screener!$D$9),1,0)</f>
        <v/>
      </c>
      <c r="C359">
        <f>IF(AND(Screener!$D$8&lt;&gt;"",Database!$D359=Screener!$D$8),1,0)</f>
        <v/>
      </c>
      <c r="D359">
        <f>IF(OR(Database!$H359="",N(Screener!$D$10)&lt;=0),0,MAX(0,1-ABS(LOG10(Database!$H359/Screener!$D$10))/W_SIZEHW))</f>
        <v/>
      </c>
      <c r="E359">
        <f>IF(OR(Database!$AH359="",Screener!$D$11=""),0,IF(Database!$AH359=Screener!$D$11,1,0))</f>
        <v/>
      </c>
      <c r="F359">
        <f>IF(OR(Database!$AK359="",Screener!$D$12=""),0,IF(Database!$AK359=Screener!$D$12,1,0))</f>
        <v/>
      </c>
      <c r="G359">
        <f>IF(OR(Database!$G359="",N(Screener!$D$13)&lt;=0),0,MAX(0,1-(N(Screener!$D$13)-Database!$G359)/W_RECD))</f>
        <v/>
      </c>
      <c r="H359">
        <f>IF($K$1="",0,N(ISNUMBER(SEARCH($K$1,Database!$T359&amp;""))))+IF($L$1="",0,N(ISNUMBER(SEARCH($L$1,Database!$T359&amp;""))))+IF($M$1="",0,N(ISNUMBER(SEARCH($M$1,Database!$T359&amp;""))))+IF($N$1="",0,N(ISNUMBER(SEARCH($N$1,Database!$T359&amp;""))))+IF($O$1="",0,N(ISNUMBER(SEARCH($O$1,Database!$T359&amp;""))))+IF(Screener!$B$14="",0,N(ISNUMBER(SEARCH(Screener!$B$14,Database!$T359&amp;""))))</f>
        <v/>
      </c>
      <c r="I359">
        <f>IF(OR(Database!$B359=Screener!$B$5,IF(OR(Screener!$B$17="All",AND(Screener!$B$17="With A-share",(Database!$AL359&lt;&gt;"")),AND(Screener!$B$17="Without A-share",NOT((Database!$AL359&lt;&gt;"")))),1,0)=0),-999999,IF(Screener!$B$15="cornerstone overlap first",H359*100000,0)+W_SUB*B359+W_SEC*C359*(1-B359)+W_SIZE*D359+W_PROF*E359+W_AH*F359+W_REC*G359+W_CS*H359)+ROW()/1000000</f>
        <v/>
      </c>
      <c r="K359">
        <f>Database!B351</f>
        <v/>
      </c>
      <c r="L359">
        <f>Database!D351</f>
        <v/>
      </c>
      <c r="M359">
        <f>Database!E351</f>
        <v/>
      </c>
      <c r="N359">
        <f>Database!H351</f>
        <v/>
      </c>
      <c r="O359">
        <f>Database!AH351</f>
        <v/>
      </c>
      <c r="P359">
        <f>Database!AK351</f>
        <v/>
      </c>
      <c r="Q359">
        <f>Database!G351</f>
        <v/>
      </c>
    </row>
    <row r="360">
      <c r="A360">
        <f>Database!B360</f>
        <v/>
      </c>
      <c r="B360">
        <f>IF(AND(Screener!$D$9&lt;&gt;"",Database!$E360=Screener!$D$9),1,0)</f>
        <v/>
      </c>
      <c r="C360">
        <f>IF(AND(Screener!$D$8&lt;&gt;"",Database!$D360=Screener!$D$8),1,0)</f>
        <v/>
      </c>
      <c r="D360">
        <f>IF(OR(Database!$H360="",N(Screener!$D$10)&lt;=0),0,MAX(0,1-ABS(LOG10(Database!$H360/Screener!$D$10))/W_SIZEHW))</f>
        <v/>
      </c>
      <c r="E360">
        <f>IF(OR(Database!$AH360="",Screener!$D$11=""),0,IF(Database!$AH360=Screener!$D$11,1,0))</f>
        <v/>
      </c>
      <c r="F360">
        <f>IF(OR(Database!$AK360="",Screener!$D$12=""),0,IF(Database!$AK360=Screener!$D$12,1,0))</f>
        <v/>
      </c>
      <c r="G360">
        <f>IF(OR(Database!$G360="",N(Screener!$D$13)&lt;=0),0,MAX(0,1-(N(Screener!$D$13)-Database!$G360)/W_RECD))</f>
        <v/>
      </c>
      <c r="H360">
        <f>IF($K$1="",0,N(ISNUMBER(SEARCH($K$1,Database!$T360&amp;""))))+IF($L$1="",0,N(ISNUMBER(SEARCH($L$1,Database!$T360&amp;""))))+IF($M$1="",0,N(ISNUMBER(SEARCH($M$1,Database!$T360&amp;""))))+IF($N$1="",0,N(ISNUMBER(SEARCH($N$1,Database!$T360&amp;""))))+IF($O$1="",0,N(ISNUMBER(SEARCH($O$1,Database!$T360&amp;""))))+IF(Screener!$B$14="",0,N(ISNUMBER(SEARCH(Screener!$B$14,Database!$T360&amp;""))))</f>
        <v/>
      </c>
      <c r="I360">
        <f>IF(OR(Database!$B360=Screener!$B$5,IF(OR(Screener!$B$17="All",AND(Screener!$B$17="With A-share",(Database!$AL360&lt;&gt;"")),AND(Screener!$B$17="Without A-share",NOT((Database!$AL360&lt;&gt;"")))),1,0)=0),-999999,IF(Screener!$B$15="cornerstone overlap first",H360*100000,0)+W_SUB*B360+W_SEC*C360*(1-B360)+W_SIZE*D360+W_PROF*E360+W_AH*F360+W_REC*G360+W_CS*H360)+ROW()/1000000</f>
        <v/>
      </c>
      <c r="K360">
        <f>Database!B352</f>
        <v/>
      </c>
      <c r="L360">
        <f>Database!D352</f>
        <v/>
      </c>
      <c r="M360">
        <f>Database!E352</f>
        <v/>
      </c>
      <c r="N360">
        <f>Database!H352</f>
        <v/>
      </c>
      <c r="O360">
        <f>Database!AH352</f>
        <v/>
      </c>
      <c r="P360">
        <f>Database!AK352</f>
        <v/>
      </c>
      <c r="Q360">
        <f>Database!G352</f>
        <v/>
      </c>
    </row>
    <row r="361">
      <c r="A361">
        <f>Database!B361</f>
        <v/>
      </c>
      <c r="B361">
        <f>IF(AND(Screener!$D$9&lt;&gt;"",Database!$E361=Screener!$D$9),1,0)</f>
        <v/>
      </c>
      <c r="C361">
        <f>IF(AND(Screener!$D$8&lt;&gt;"",Database!$D361=Screener!$D$8),1,0)</f>
        <v/>
      </c>
      <c r="D361">
        <f>IF(OR(Database!$H361="",N(Screener!$D$10)&lt;=0),0,MAX(0,1-ABS(LOG10(Database!$H361/Screener!$D$10))/W_SIZEHW))</f>
        <v/>
      </c>
      <c r="E361">
        <f>IF(OR(Database!$AH361="",Screener!$D$11=""),0,IF(Database!$AH361=Screener!$D$11,1,0))</f>
        <v/>
      </c>
      <c r="F361">
        <f>IF(OR(Database!$AK361="",Screener!$D$12=""),0,IF(Database!$AK361=Screener!$D$12,1,0))</f>
        <v/>
      </c>
      <c r="G361">
        <f>IF(OR(Database!$G361="",N(Screener!$D$13)&lt;=0),0,MAX(0,1-(N(Screener!$D$13)-Database!$G361)/W_RECD))</f>
        <v/>
      </c>
      <c r="H361">
        <f>IF($K$1="",0,N(ISNUMBER(SEARCH($K$1,Database!$T361&amp;""))))+IF($L$1="",0,N(ISNUMBER(SEARCH($L$1,Database!$T361&amp;""))))+IF($M$1="",0,N(ISNUMBER(SEARCH($M$1,Database!$T361&amp;""))))+IF($N$1="",0,N(ISNUMBER(SEARCH($N$1,Database!$T361&amp;""))))+IF($O$1="",0,N(ISNUMBER(SEARCH($O$1,Database!$T361&amp;""))))+IF(Screener!$B$14="",0,N(ISNUMBER(SEARCH(Screener!$B$14,Database!$T361&amp;""))))</f>
        <v/>
      </c>
      <c r="I361">
        <f>IF(OR(Database!$B361=Screener!$B$5,IF(OR(Screener!$B$17="All",AND(Screener!$B$17="With A-share",(Database!$AL361&lt;&gt;"")),AND(Screener!$B$17="Without A-share",NOT((Database!$AL361&lt;&gt;"")))),1,0)=0),-999999,IF(Screener!$B$15="cornerstone overlap first",H361*100000,0)+W_SUB*B361+W_SEC*C361*(1-B361)+W_SIZE*D361+W_PROF*E361+W_AH*F361+W_REC*G361+W_CS*H361)+ROW()/1000000</f>
        <v/>
      </c>
      <c r="K361">
        <f>Database!B353</f>
        <v/>
      </c>
      <c r="L361">
        <f>Database!D353</f>
        <v/>
      </c>
      <c r="M361">
        <f>Database!E353</f>
        <v/>
      </c>
      <c r="N361">
        <f>Database!H353</f>
        <v/>
      </c>
      <c r="O361">
        <f>Database!AH353</f>
        <v/>
      </c>
      <c r="P361">
        <f>Database!AK353</f>
        <v/>
      </c>
      <c r="Q361">
        <f>Database!G353</f>
        <v/>
      </c>
    </row>
    <row r="362">
      <c r="A362">
        <f>Database!B362</f>
        <v/>
      </c>
      <c r="B362">
        <f>IF(AND(Screener!$D$9&lt;&gt;"",Database!$E362=Screener!$D$9),1,0)</f>
        <v/>
      </c>
      <c r="C362">
        <f>IF(AND(Screener!$D$8&lt;&gt;"",Database!$D362=Screener!$D$8),1,0)</f>
        <v/>
      </c>
      <c r="D362">
        <f>IF(OR(Database!$H362="",N(Screener!$D$10)&lt;=0),0,MAX(0,1-ABS(LOG10(Database!$H362/Screener!$D$10))/W_SIZEHW))</f>
        <v/>
      </c>
      <c r="E362">
        <f>IF(OR(Database!$AH362="",Screener!$D$11=""),0,IF(Database!$AH362=Screener!$D$11,1,0))</f>
        <v/>
      </c>
      <c r="F362">
        <f>IF(OR(Database!$AK362="",Screener!$D$12=""),0,IF(Database!$AK362=Screener!$D$12,1,0))</f>
        <v/>
      </c>
      <c r="G362">
        <f>IF(OR(Database!$G362="",N(Screener!$D$13)&lt;=0),0,MAX(0,1-(N(Screener!$D$13)-Database!$G362)/W_RECD))</f>
        <v/>
      </c>
      <c r="H362">
        <f>IF($K$1="",0,N(ISNUMBER(SEARCH($K$1,Database!$T362&amp;""))))+IF($L$1="",0,N(ISNUMBER(SEARCH($L$1,Database!$T362&amp;""))))+IF($M$1="",0,N(ISNUMBER(SEARCH($M$1,Database!$T362&amp;""))))+IF($N$1="",0,N(ISNUMBER(SEARCH($N$1,Database!$T362&amp;""))))+IF($O$1="",0,N(ISNUMBER(SEARCH($O$1,Database!$T362&amp;""))))+IF(Screener!$B$14="",0,N(ISNUMBER(SEARCH(Screener!$B$14,Database!$T362&amp;""))))</f>
        <v/>
      </c>
      <c r="I362">
        <f>IF(OR(Database!$B362=Screener!$B$5,IF(OR(Screener!$B$17="All",AND(Screener!$B$17="With A-share",(Database!$AL362&lt;&gt;"")),AND(Screener!$B$17="Without A-share",NOT((Database!$AL362&lt;&gt;"")))),1,0)=0),-999999,IF(Screener!$B$15="cornerstone overlap first",H362*100000,0)+W_SUB*B362+W_SEC*C362*(1-B362)+W_SIZE*D362+W_PROF*E362+W_AH*F362+W_REC*G362+W_CS*H362)+ROW()/1000000</f>
        <v/>
      </c>
      <c r="K362">
        <f>Database!B354</f>
        <v/>
      </c>
      <c r="L362">
        <f>Database!D354</f>
        <v/>
      </c>
      <c r="M362">
        <f>Database!E354</f>
        <v/>
      </c>
      <c r="N362">
        <f>Database!H354</f>
        <v/>
      </c>
      <c r="O362">
        <f>Database!AH354</f>
        <v/>
      </c>
      <c r="P362">
        <f>Database!AK354</f>
        <v/>
      </c>
      <c r="Q362">
        <f>Database!G354</f>
        <v/>
      </c>
    </row>
    <row r="363">
      <c r="A363">
        <f>Database!B363</f>
        <v/>
      </c>
      <c r="B363">
        <f>IF(AND(Screener!$D$9&lt;&gt;"",Database!$E363=Screener!$D$9),1,0)</f>
        <v/>
      </c>
      <c r="C363">
        <f>IF(AND(Screener!$D$8&lt;&gt;"",Database!$D363=Screener!$D$8),1,0)</f>
        <v/>
      </c>
      <c r="D363">
        <f>IF(OR(Database!$H363="",N(Screener!$D$10)&lt;=0),0,MAX(0,1-ABS(LOG10(Database!$H363/Screener!$D$10))/W_SIZEHW))</f>
        <v/>
      </c>
      <c r="E363">
        <f>IF(OR(Database!$AH363="",Screener!$D$11=""),0,IF(Database!$AH363=Screener!$D$11,1,0))</f>
        <v/>
      </c>
      <c r="F363">
        <f>IF(OR(Database!$AK363="",Screener!$D$12=""),0,IF(Database!$AK363=Screener!$D$12,1,0))</f>
        <v/>
      </c>
      <c r="G363">
        <f>IF(OR(Database!$G363="",N(Screener!$D$13)&lt;=0),0,MAX(0,1-(N(Screener!$D$13)-Database!$G363)/W_RECD))</f>
        <v/>
      </c>
      <c r="H363">
        <f>IF($K$1="",0,N(ISNUMBER(SEARCH($K$1,Database!$T363&amp;""))))+IF($L$1="",0,N(ISNUMBER(SEARCH($L$1,Database!$T363&amp;""))))+IF($M$1="",0,N(ISNUMBER(SEARCH($M$1,Database!$T363&amp;""))))+IF($N$1="",0,N(ISNUMBER(SEARCH($N$1,Database!$T363&amp;""))))+IF($O$1="",0,N(ISNUMBER(SEARCH($O$1,Database!$T363&amp;""))))+IF(Screener!$B$14="",0,N(ISNUMBER(SEARCH(Screener!$B$14,Database!$T363&amp;""))))</f>
        <v/>
      </c>
      <c r="I363">
        <f>IF(OR(Database!$B363=Screener!$B$5,IF(OR(Screener!$B$17="All",AND(Screener!$B$17="With A-share",(Database!$AL363&lt;&gt;"")),AND(Screener!$B$17="Without A-share",NOT((Database!$AL363&lt;&gt;"")))),1,0)=0),-999999,IF(Screener!$B$15="cornerstone overlap first",H363*100000,0)+W_SUB*B363+W_SEC*C363*(1-B363)+W_SIZE*D363+W_PROF*E363+W_AH*F363+W_REC*G363+W_CS*H363)+ROW()/1000000</f>
        <v/>
      </c>
      <c r="K363">
        <f>Database!B355</f>
        <v/>
      </c>
      <c r="L363">
        <f>Database!D355</f>
        <v/>
      </c>
      <c r="M363">
        <f>Database!E355</f>
        <v/>
      </c>
      <c r="N363">
        <f>Database!H355</f>
        <v/>
      </c>
      <c r="O363">
        <f>Database!AH355</f>
        <v/>
      </c>
      <c r="P363">
        <f>Database!AK355</f>
        <v/>
      </c>
      <c r="Q363">
        <f>Database!G355</f>
        <v/>
      </c>
    </row>
    <row r="364">
      <c r="A364">
        <f>Database!B364</f>
        <v/>
      </c>
      <c r="B364">
        <f>IF(AND(Screener!$D$9&lt;&gt;"",Database!$E364=Screener!$D$9),1,0)</f>
        <v/>
      </c>
      <c r="C364">
        <f>IF(AND(Screener!$D$8&lt;&gt;"",Database!$D364=Screener!$D$8),1,0)</f>
        <v/>
      </c>
      <c r="D364">
        <f>IF(OR(Database!$H364="",N(Screener!$D$10)&lt;=0),0,MAX(0,1-ABS(LOG10(Database!$H364/Screener!$D$10))/W_SIZEHW))</f>
        <v/>
      </c>
      <c r="E364">
        <f>IF(OR(Database!$AH364="",Screener!$D$11=""),0,IF(Database!$AH364=Screener!$D$11,1,0))</f>
        <v/>
      </c>
      <c r="F364">
        <f>IF(OR(Database!$AK364="",Screener!$D$12=""),0,IF(Database!$AK364=Screener!$D$12,1,0))</f>
        <v/>
      </c>
      <c r="G364">
        <f>IF(OR(Database!$G364="",N(Screener!$D$13)&lt;=0),0,MAX(0,1-(N(Screener!$D$13)-Database!$G364)/W_RECD))</f>
        <v/>
      </c>
      <c r="H364">
        <f>IF($K$1="",0,N(ISNUMBER(SEARCH($K$1,Database!$T364&amp;""))))+IF($L$1="",0,N(ISNUMBER(SEARCH($L$1,Database!$T364&amp;""))))+IF($M$1="",0,N(ISNUMBER(SEARCH($M$1,Database!$T364&amp;""))))+IF($N$1="",0,N(ISNUMBER(SEARCH($N$1,Database!$T364&amp;""))))+IF($O$1="",0,N(ISNUMBER(SEARCH($O$1,Database!$T364&amp;""))))+IF(Screener!$B$14="",0,N(ISNUMBER(SEARCH(Screener!$B$14,Database!$T364&amp;""))))</f>
        <v/>
      </c>
      <c r="I364">
        <f>IF(OR(Database!$B364=Screener!$B$5,IF(OR(Screener!$B$17="All",AND(Screener!$B$17="With A-share",(Database!$AL364&lt;&gt;"")),AND(Screener!$B$17="Without A-share",NOT((Database!$AL364&lt;&gt;"")))),1,0)=0),-999999,IF(Screener!$B$15="cornerstone overlap first",H364*100000,0)+W_SUB*B364+W_SEC*C364*(1-B364)+W_SIZE*D364+W_PROF*E364+W_AH*F364+W_REC*G364+W_CS*H364)+ROW()/1000000</f>
        <v/>
      </c>
      <c r="K364">
        <f>Database!B356</f>
        <v/>
      </c>
      <c r="L364">
        <f>Database!D356</f>
        <v/>
      </c>
      <c r="M364">
        <f>Database!E356</f>
        <v/>
      </c>
      <c r="N364">
        <f>Database!H356</f>
        <v/>
      </c>
      <c r="O364">
        <f>Database!AH356</f>
        <v/>
      </c>
      <c r="P364">
        <f>Database!AK356</f>
        <v/>
      </c>
      <c r="Q364">
        <f>Database!G356</f>
        <v/>
      </c>
    </row>
    <row r="365">
      <c r="A365">
        <f>Database!B365</f>
        <v/>
      </c>
      <c r="B365">
        <f>IF(AND(Screener!$D$9&lt;&gt;"",Database!$E365=Screener!$D$9),1,0)</f>
        <v/>
      </c>
      <c r="C365">
        <f>IF(AND(Screener!$D$8&lt;&gt;"",Database!$D365=Screener!$D$8),1,0)</f>
        <v/>
      </c>
      <c r="D365">
        <f>IF(OR(Database!$H365="",N(Screener!$D$10)&lt;=0),0,MAX(0,1-ABS(LOG10(Database!$H365/Screener!$D$10))/W_SIZEHW))</f>
        <v/>
      </c>
      <c r="E365">
        <f>IF(OR(Database!$AH365="",Screener!$D$11=""),0,IF(Database!$AH365=Screener!$D$11,1,0))</f>
        <v/>
      </c>
      <c r="F365">
        <f>IF(OR(Database!$AK365="",Screener!$D$12=""),0,IF(Database!$AK365=Screener!$D$12,1,0))</f>
        <v/>
      </c>
      <c r="G365">
        <f>IF(OR(Database!$G365="",N(Screener!$D$13)&lt;=0),0,MAX(0,1-(N(Screener!$D$13)-Database!$G365)/W_RECD))</f>
        <v/>
      </c>
      <c r="H365">
        <f>IF($K$1="",0,N(ISNUMBER(SEARCH($K$1,Database!$T365&amp;""))))+IF($L$1="",0,N(ISNUMBER(SEARCH($L$1,Database!$T365&amp;""))))+IF($M$1="",0,N(ISNUMBER(SEARCH($M$1,Database!$T365&amp;""))))+IF($N$1="",0,N(ISNUMBER(SEARCH($N$1,Database!$T365&amp;""))))+IF($O$1="",0,N(ISNUMBER(SEARCH($O$1,Database!$T365&amp;""))))+IF(Screener!$B$14="",0,N(ISNUMBER(SEARCH(Screener!$B$14,Database!$T365&amp;""))))</f>
        <v/>
      </c>
      <c r="I365">
        <f>IF(OR(Database!$B365=Screener!$B$5,IF(OR(Screener!$B$17="All",AND(Screener!$B$17="With A-share",(Database!$AL365&lt;&gt;"")),AND(Screener!$B$17="Without A-share",NOT((Database!$AL365&lt;&gt;"")))),1,0)=0),-999999,IF(Screener!$B$15="cornerstone overlap first",H365*100000,0)+W_SUB*B365+W_SEC*C365*(1-B365)+W_SIZE*D365+W_PROF*E365+W_AH*F365+W_REC*G365+W_CS*H365)+ROW()/1000000</f>
        <v/>
      </c>
      <c r="K365">
        <f>Database!B357</f>
        <v/>
      </c>
      <c r="L365">
        <f>Database!D357</f>
        <v/>
      </c>
      <c r="M365">
        <f>Database!E357</f>
        <v/>
      </c>
      <c r="N365">
        <f>Database!H357</f>
        <v/>
      </c>
      <c r="O365">
        <f>Database!AH357</f>
        <v/>
      </c>
      <c r="P365">
        <f>Database!AK357</f>
        <v/>
      </c>
      <c r="Q365">
        <f>Database!G357</f>
        <v/>
      </c>
    </row>
    <row r="366">
      <c r="A366">
        <f>Database!B366</f>
        <v/>
      </c>
      <c r="B366">
        <f>IF(AND(Screener!$D$9&lt;&gt;"",Database!$E366=Screener!$D$9),1,0)</f>
        <v/>
      </c>
      <c r="C366">
        <f>IF(AND(Screener!$D$8&lt;&gt;"",Database!$D366=Screener!$D$8),1,0)</f>
        <v/>
      </c>
      <c r="D366">
        <f>IF(OR(Database!$H366="",N(Screener!$D$10)&lt;=0),0,MAX(0,1-ABS(LOG10(Database!$H366/Screener!$D$10))/W_SIZEHW))</f>
        <v/>
      </c>
      <c r="E366">
        <f>IF(OR(Database!$AH366="",Screener!$D$11=""),0,IF(Database!$AH366=Screener!$D$11,1,0))</f>
        <v/>
      </c>
      <c r="F366">
        <f>IF(OR(Database!$AK366="",Screener!$D$12=""),0,IF(Database!$AK366=Screener!$D$12,1,0))</f>
        <v/>
      </c>
      <c r="G366">
        <f>IF(OR(Database!$G366="",N(Screener!$D$13)&lt;=0),0,MAX(0,1-(N(Screener!$D$13)-Database!$G366)/W_RECD))</f>
        <v/>
      </c>
      <c r="H366">
        <f>IF($K$1="",0,N(ISNUMBER(SEARCH($K$1,Database!$T366&amp;""))))+IF($L$1="",0,N(ISNUMBER(SEARCH($L$1,Database!$T366&amp;""))))+IF($M$1="",0,N(ISNUMBER(SEARCH($M$1,Database!$T366&amp;""))))+IF($N$1="",0,N(ISNUMBER(SEARCH($N$1,Database!$T366&amp;""))))+IF($O$1="",0,N(ISNUMBER(SEARCH($O$1,Database!$T366&amp;""))))+IF(Screener!$B$14="",0,N(ISNUMBER(SEARCH(Screener!$B$14,Database!$T366&amp;""))))</f>
        <v/>
      </c>
      <c r="I366">
        <f>IF(OR(Database!$B366=Screener!$B$5,IF(OR(Screener!$B$17="All",AND(Screener!$B$17="With A-share",(Database!$AL366&lt;&gt;"")),AND(Screener!$B$17="Without A-share",NOT((Database!$AL366&lt;&gt;"")))),1,0)=0),-999999,IF(Screener!$B$15="cornerstone overlap first",H366*100000,0)+W_SUB*B366+W_SEC*C366*(1-B366)+W_SIZE*D366+W_PROF*E366+W_AH*F366+W_REC*G366+W_CS*H366)+ROW()/1000000</f>
        <v/>
      </c>
      <c r="K366">
        <f>Database!B358</f>
        <v/>
      </c>
      <c r="L366">
        <f>Database!D358</f>
        <v/>
      </c>
      <c r="M366">
        <f>Database!E358</f>
        <v/>
      </c>
      <c r="N366">
        <f>Database!H358</f>
        <v/>
      </c>
      <c r="O366">
        <f>Database!AH358</f>
        <v/>
      </c>
      <c r="P366">
        <f>Database!AK358</f>
        <v/>
      </c>
      <c r="Q366">
        <f>Database!G358</f>
        <v/>
      </c>
    </row>
    <row r="367">
      <c r="A367">
        <f>Database!B367</f>
        <v/>
      </c>
      <c r="B367">
        <f>IF(AND(Screener!$D$9&lt;&gt;"",Database!$E367=Screener!$D$9),1,0)</f>
        <v/>
      </c>
      <c r="C367">
        <f>IF(AND(Screener!$D$8&lt;&gt;"",Database!$D367=Screener!$D$8),1,0)</f>
        <v/>
      </c>
      <c r="D367">
        <f>IF(OR(Database!$H367="",N(Screener!$D$10)&lt;=0),0,MAX(0,1-ABS(LOG10(Database!$H367/Screener!$D$10))/W_SIZEHW))</f>
        <v/>
      </c>
      <c r="E367">
        <f>IF(OR(Database!$AH367="",Screener!$D$11=""),0,IF(Database!$AH367=Screener!$D$11,1,0))</f>
        <v/>
      </c>
      <c r="F367">
        <f>IF(OR(Database!$AK367="",Screener!$D$12=""),0,IF(Database!$AK367=Screener!$D$12,1,0))</f>
        <v/>
      </c>
      <c r="G367">
        <f>IF(OR(Database!$G367="",N(Screener!$D$13)&lt;=0),0,MAX(0,1-(N(Screener!$D$13)-Database!$G367)/W_RECD))</f>
        <v/>
      </c>
      <c r="H367">
        <f>IF($K$1="",0,N(ISNUMBER(SEARCH($K$1,Database!$T367&amp;""))))+IF($L$1="",0,N(ISNUMBER(SEARCH($L$1,Database!$T367&amp;""))))+IF($M$1="",0,N(ISNUMBER(SEARCH($M$1,Database!$T367&amp;""))))+IF($N$1="",0,N(ISNUMBER(SEARCH($N$1,Database!$T367&amp;""))))+IF($O$1="",0,N(ISNUMBER(SEARCH($O$1,Database!$T367&amp;""))))+IF(Screener!$B$14="",0,N(ISNUMBER(SEARCH(Screener!$B$14,Database!$T367&amp;""))))</f>
        <v/>
      </c>
      <c r="I367">
        <f>IF(OR(Database!$B367=Screener!$B$5,IF(OR(Screener!$B$17="All",AND(Screener!$B$17="With A-share",(Database!$AL367&lt;&gt;"")),AND(Screener!$B$17="Without A-share",NOT((Database!$AL367&lt;&gt;"")))),1,0)=0),-999999,IF(Screener!$B$15="cornerstone overlap first",H367*100000,0)+W_SUB*B367+W_SEC*C367*(1-B367)+W_SIZE*D367+W_PROF*E367+W_AH*F367+W_REC*G367+W_CS*H367)+ROW()/1000000</f>
        <v/>
      </c>
      <c r="K367">
        <f>Database!B359</f>
        <v/>
      </c>
      <c r="L367">
        <f>Database!D359</f>
        <v/>
      </c>
      <c r="M367">
        <f>Database!E359</f>
        <v/>
      </c>
      <c r="N367">
        <f>Database!H359</f>
        <v/>
      </c>
      <c r="O367">
        <f>Database!AH359</f>
        <v/>
      </c>
      <c r="P367">
        <f>Database!AK359</f>
        <v/>
      </c>
      <c r="Q367">
        <f>Database!G359</f>
        <v/>
      </c>
    </row>
    <row r="368">
      <c r="A368">
        <f>Database!B368</f>
        <v/>
      </c>
      <c r="B368">
        <f>IF(AND(Screener!$D$9&lt;&gt;"",Database!$E368=Screener!$D$9),1,0)</f>
        <v/>
      </c>
      <c r="C368">
        <f>IF(AND(Screener!$D$8&lt;&gt;"",Database!$D368=Screener!$D$8),1,0)</f>
        <v/>
      </c>
      <c r="D368">
        <f>IF(OR(Database!$H368="",N(Screener!$D$10)&lt;=0),0,MAX(0,1-ABS(LOG10(Database!$H368/Screener!$D$10))/W_SIZEHW))</f>
        <v/>
      </c>
      <c r="E368">
        <f>IF(OR(Database!$AH368="",Screener!$D$11=""),0,IF(Database!$AH368=Screener!$D$11,1,0))</f>
        <v/>
      </c>
      <c r="F368">
        <f>IF(OR(Database!$AK368="",Screener!$D$12=""),0,IF(Database!$AK368=Screener!$D$12,1,0))</f>
        <v/>
      </c>
      <c r="G368">
        <f>IF(OR(Database!$G368="",N(Screener!$D$13)&lt;=0),0,MAX(0,1-(N(Screener!$D$13)-Database!$G368)/W_RECD))</f>
        <v/>
      </c>
      <c r="H368">
        <f>IF($K$1="",0,N(ISNUMBER(SEARCH($K$1,Database!$T368&amp;""))))+IF($L$1="",0,N(ISNUMBER(SEARCH($L$1,Database!$T368&amp;""))))+IF($M$1="",0,N(ISNUMBER(SEARCH($M$1,Database!$T368&amp;""))))+IF($N$1="",0,N(ISNUMBER(SEARCH($N$1,Database!$T368&amp;""))))+IF($O$1="",0,N(ISNUMBER(SEARCH($O$1,Database!$T368&amp;""))))+IF(Screener!$B$14="",0,N(ISNUMBER(SEARCH(Screener!$B$14,Database!$T368&amp;""))))</f>
        <v/>
      </c>
      <c r="I368">
        <f>IF(OR(Database!$B368=Screener!$B$5,IF(OR(Screener!$B$17="All",AND(Screener!$B$17="With A-share",(Database!$AL368&lt;&gt;"")),AND(Screener!$B$17="Without A-share",NOT((Database!$AL368&lt;&gt;"")))),1,0)=0),-999999,IF(Screener!$B$15="cornerstone overlap first",H368*100000,0)+W_SUB*B368+W_SEC*C368*(1-B368)+W_SIZE*D368+W_PROF*E368+W_AH*F368+W_REC*G368+W_CS*H368)+ROW()/1000000</f>
        <v/>
      </c>
      <c r="K368">
        <f>Database!B360</f>
        <v/>
      </c>
      <c r="L368">
        <f>Database!D360</f>
        <v/>
      </c>
      <c r="M368">
        <f>Database!E360</f>
        <v/>
      </c>
      <c r="N368">
        <f>Database!H360</f>
        <v/>
      </c>
      <c r="O368">
        <f>Database!AH360</f>
        <v/>
      </c>
      <c r="P368">
        <f>Database!AK360</f>
        <v/>
      </c>
      <c r="Q368">
        <f>Database!G360</f>
        <v/>
      </c>
    </row>
    <row r="369">
      <c r="A369">
        <f>Database!B369</f>
        <v/>
      </c>
      <c r="B369">
        <f>IF(AND(Screener!$D$9&lt;&gt;"",Database!$E369=Screener!$D$9),1,0)</f>
        <v/>
      </c>
      <c r="C369">
        <f>IF(AND(Screener!$D$8&lt;&gt;"",Database!$D369=Screener!$D$8),1,0)</f>
        <v/>
      </c>
      <c r="D369">
        <f>IF(OR(Database!$H369="",N(Screener!$D$10)&lt;=0),0,MAX(0,1-ABS(LOG10(Database!$H369/Screener!$D$10))/W_SIZEHW))</f>
        <v/>
      </c>
      <c r="E369">
        <f>IF(OR(Database!$AH369="",Screener!$D$11=""),0,IF(Database!$AH369=Screener!$D$11,1,0))</f>
        <v/>
      </c>
      <c r="F369">
        <f>IF(OR(Database!$AK369="",Screener!$D$12=""),0,IF(Database!$AK369=Screener!$D$12,1,0))</f>
        <v/>
      </c>
      <c r="G369">
        <f>IF(OR(Database!$G369="",N(Screener!$D$13)&lt;=0),0,MAX(0,1-(N(Screener!$D$13)-Database!$G369)/W_RECD))</f>
        <v/>
      </c>
      <c r="H369">
        <f>IF($K$1="",0,N(ISNUMBER(SEARCH($K$1,Database!$T369&amp;""))))+IF($L$1="",0,N(ISNUMBER(SEARCH($L$1,Database!$T369&amp;""))))+IF($M$1="",0,N(ISNUMBER(SEARCH($M$1,Database!$T369&amp;""))))+IF($N$1="",0,N(ISNUMBER(SEARCH($N$1,Database!$T369&amp;""))))+IF($O$1="",0,N(ISNUMBER(SEARCH($O$1,Database!$T369&amp;""))))+IF(Screener!$B$14="",0,N(ISNUMBER(SEARCH(Screener!$B$14,Database!$T369&amp;""))))</f>
        <v/>
      </c>
      <c r="I369">
        <f>IF(OR(Database!$B369=Screener!$B$5,IF(OR(Screener!$B$17="All",AND(Screener!$B$17="With A-share",(Database!$AL369&lt;&gt;"")),AND(Screener!$B$17="Without A-share",NOT((Database!$AL369&lt;&gt;"")))),1,0)=0),-999999,IF(Screener!$B$15="cornerstone overlap first",H369*100000,0)+W_SUB*B369+W_SEC*C369*(1-B369)+W_SIZE*D369+W_PROF*E369+W_AH*F369+W_REC*G369+W_CS*H369)+ROW()/1000000</f>
        <v/>
      </c>
      <c r="K369">
        <f>Database!B361</f>
        <v/>
      </c>
      <c r="L369">
        <f>Database!D361</f>
        <v/>
      </c>
      <c r="M369">
        <f>Database!E361</f>
        <v/>
      </c>
      <c r="N369">
        <f>Database!H361</f>
        <v/>
      </c>
      <c r="O369">
        <f>Database!AH361</f>
        <v/>
      </c>
      <c r="P369">
        <f>Database!AK361</f>
        <v/>
      </c>
      <c r="Q369">
        <f>Database!G361</f>
        <v/>
      </c>
    </row>
    <row r="370">
      <c r="A370">
        <f>Database!B370</f>
        <v/>
      </c>
      <c r="B370">
        <f>IF(AND(Screener!$D$9&lt;&gt;"",Database!$E370=Screener!$D$9),1,0)</f>
        <v/>
      </c>
      <c r="C370">
        <f>IF(AND(Screener!$D$8&lt;&gt;"",Database!$D370=Screener!$D$8),1,0)</f>
        <v/>
      </c>
      <c r="D370">
        <f>IF(OR(Database!$H370="",N(Screener!$D$10)&lt;=0),0,MAX(0,1-ABS(LOG10(Database!$H370/Screener!$D$10))/W_SIZEHW))</f>
        <v/>
      </c>
      <c r="E370">
        <f>IF(OR(Database!$AH370="",Screener!$D$11=""),0,IF(Database!$AH370=Screener!$D$11,1,0))</f>
        <v/>
      </c>
      <c r="F370">
        <f>IF(OR(Database!$AK370="",Screener!$D$12=""),0,IF(Database!$AK370=Screener!$D$12,1,0))</f>
        <v/>
      </c>
      <c r="G370">
        <f>IF(OR(Database!$G370="",N(Screener!$D$13)&lt;=0),0,MAX(0,1-(N(Screener!$D$13)-Database!$G370)/W_RECD))</f>
        <v/>
      </c>
      <c r="H370">
        <f>IF($K$1="",0,N(ISNUMBER(SEARCH($K$1,Database!$T370&amp;""))))+IF($L$1="",0,N(ISNUMBER(SEARCH($L$1,Database!$T370&amp;""))))+IF($M$1="",0,N(ISNUMBER(SEARCH($M$1,Database!$T370&amp;""))))+IF($N$1="",0,N(ISNUMBER(SEARCH($N$1,Database!$T370&amp;""))))+IF($O$1="",0,N(ISNUMBER(SEARCH($O$1,Database!$T370&amp;""))))+IF(Screener!$B$14="",0,N(ISNUMBER(SEARCH(Screener!$B$14,Database!$T370&amp;""))))</f>
        <v/>
      </c>
      <c r="I370">
        <f>IF(OR(Database!$B370=Screener!$B$5,IF(OR(Screener!$B$17="All",AND(Screener!$B$17="With A-share",(Database!$AL370&lt;&gt;"")),AND(Screener!$B$17="Without A-share",NOT((Database!$AL370&lt;&gt;"")))),1,0)=0),-999999,IF(Screener!$B$15="cornerstone overlap first",H370*100000,0)+W_SUB*B370+W_SEC*C370*(1-B370)+W_SIZE*D370+W_PROF*E370+W_AH*F370+W_REC*G370+W_CS*H370)+ROW()/1000000</f>
        <v/>
      </c>
      <c r="K370">
        <f>Database!B362</f>
        <v/>
      </c>
      <c r="L370">
        <f>Database!D362</f>
        <v/>
      </c>
      <c r="M370">
        <f>Database!E362</f>
        <v/>
      </c>
      <c r="N370">
        <f>Database!H362</f>
        <v/>
      </c>
      <c r="O370">
        <f>Database!AH362</f>
        <v/>
      </c>
      <c r="P370">
        <f>Database!AK362</f>
        <v/>
      </c>
      <c r="Q370">
        <f>Database!G362</f>
        <v/>
      </c>
    </row>
    <row r="371">
      <c r="A371">
        <f>Database!B371</f>
        <v/>
      </c>
      <c r="B371">
        <f>IF(AND(Screener!$D$9&lt;&gt;"",Database!$E371=Screener!$D$9),1,0)</f>
        <v/>
      </c>
      <c r="C371">
        <f>IF(AND(Screener!$D$8&lt;&gt;"",Database!$D371=Screener!$D$8),1,0)</f>
        <v/>
      </c>
      <c r="D371">
        <f>IF(OR(Database!$H371="",N(Screener!$D$10)&lt;=0),0,MAX(0,1-ABS(LOG10(Database!$H371/Screener!$D$10))/W_SIZEHW))</f>
        <v/>
      </c>
      <c r="E371">
        <f>IF(OR(Database!$AH371="",Screener!$D$11=""),0,IF(Database!$AH371=Screener!$D$11,1,0))</f>
        <v/>
      </c>
      <c r="F371">
        <f>IF(OR(Database!$AK371="",Screener!$D$12=""),0,IF(Database!$AK371=Screener!$D$12,1,0))</f>
        <v/>
      </c>
      <c r="G371">
        <f>IF(OR(Database!$G371="",N(Screener!$D$13)&lt;=0),0,MAX(0,1-(N(Screener!$D$13)-Database!$G371)/W_RECD))</f>
        <v/>
      </c>
      <c r="H371">
        <f>IF($K$1="",0,N(ISNUMBER(SEARCH($K$1,Database!$T371&amp;""))))+IF($L$1="",0,N(ISNUMBER(SEARCH($L$1,Database!$T371&amp;""))))+IF($M$1="",0,N(ISNUMBER(SEARCH($M$1,Database!$T371&amp;""))))+IF($N$1="",0,N(ISNUMBER(SEARCH($N$1,Database!$T371&amp;""))))+IF($O$1="",0,N(ISNUMBER(SEARCH($O$1,Database!$T371&amp;""))))+IF(Screener!$B$14="",0,N(ISNUMBER(SEARCH(Screener!$B$14,Database!$T371&amp;""))))</f>
        <v/>
      </c>
      <c r="I371">
        <f>IF(OR(Database!$B371=Screener!$B$5,IF(OR(Screener!$B$17="All",AND(Screener!$B$17="With A-share",(Database!$AL371&lt;&gt;"")),AND(Screener!$B$17="Without A-share",NOT((Database!$AL371&lt;&gt;"")))),1,0)=0),-999999,IF(Screener!$B$15="cornerstone overlap first",H371*100000,0)+W_SUB*B371+W_SEC*C371*(1-B371)+W_SIZE*D371+W_PROF*E371+W_AH*F371+W_REC*G371+W_CS*H371)+ROW()/1000000</f>
        <v/>
      </c>
      <c r="K371">
        <f>Database!B363</f>
        <v/>
      </c>
      <c r="L371">
        <f>Database!D363</f>
        <v/>
      </c>
      <c r="M371">
        <f>Database!E363</f>
        <v/>
      </c>
      <c r="N371">
        <f>Database!H363</f>
        <v/>
      </c>
      <c r="O371">
        <f>Database!AH363</f>
        <v/>
      </c>
      <c r="P371">
        <f>Database!AK363</f>
        <v/>
      </c>
      <c r="Q371">
        <f>Database!G363</f>
        <v/>
      </c>
    </row>
    <row r="372">
      <c r="A372">
        <f>Database!B372</f>
        <v/>
      </c>
      <c r="B372">
        <f>IF(AND(Screener!$D$9&lt;&gt;"",Database!$E372=Screener!$D$9),1,0)</f>
        <v/>
      </c>
      <c r="C372">
        <f>IF(AND(Screener!$D$8&lt;&gt;"",Database!$D372=Screener!$D$8),1,0)</f>
        <v/>
      </c>
      <c r="D372">
        <f>IF(OR(Database!$H372="",N(Screener!$D$10)&lt;=0),0,MAX(0,1-ABS(LOG10(Database!$H372/Screener!$D$10))/W_SIZEHW))</f>
        <v/>
      </c>
      <c r="E372">
        <f>IF(OR(Database!$AH372="",Screener!$D$11=""),0,IF(Database!$AH372=Screener!$D$11,1,0))</f>
        <v/>
      </c>
      <c r="F372">
        <f>IF(OR(Database!$AK372="",Screener!$D$12=""),0,IF(Database!$AK372=Screener!$D$12,1,0))</f>
        <v/>
      </c>
      <c r="G372">
        <f>IF(OR(Database!$G372="",N(Screener!$D$13)&lt;=0),0,MAX(0,1-(N(Screener!$D$13)-Database!$G372)/W_RECD))</f>
        <v/>
      </c>
      <c r="H372">
        <f>IF($K$1="",0,N(ISNUMBER(SEARCH($K$1,Database!$T372&amp;""))))+IF($L$1="",0,N(ISNUMBER(SEARCH($L$1,Database!$T372&amp;""))))+IF($M$1="",0,N(ISNUMBER(SEARCH($M$1,Database!$T372&amp;""))))+IF($N$1="",0,N(ISNUMBER(SEARCH($N$1,Database!$T372&amp;""))))+IF($O$1="",0,N(ISNUMBER(SEARCH($O$1,Database!$T372&amp;""))))+IF(Screener!$B$14="",0,N(ISNUMBER(SEARCH(Screener!$B$14,Database!$T372&amp;""))))</f>
        <v/>
      </c>
      <c r="I372">
        <f>IF(OR(Database!$B372=Screener!$B$5,IF(OR(Screener!$B$17="All",AND(Screener!$B$17="With A-share",(Database!$AL372&lt;&gt;"")),AND(Screener!$B$17="Without A-share",NOT((Database!$AL372&lt;&gt;"")))),1,0)=0),-999999,IF(Screener!$B$15="cornerstone overlap first",H372*100000,0)+W_SUB*B372+W_SEC*C372*(1-B372)+W_SIZE*D372+W_PROF*E372+W_AH*F372+W_REC*G372+W_CS*H372)+ROW()/1000000</f>
        <v/>
      </c>
      <c r="K372">
        <f>Database!B364</f>
        <v/>
      </c>
      <c r="L372">
        <f>Database!D364</f>
        <v/>
      </c>
      <c r="M372">
        <f>Database!E364</f>
        <v/>
      </c>
      <c r="N372">
        <f>Database!H364</f>
        <v/>
      </c>
      <c r="O372">
        <f>Database!AH364</f>
        <v/>
      </c>
      <c r="P372">
        <f>Database!AK364</f>
        <v/>
      </c>
      <c r="Q372">
        <f>Database!G364</f>
        <v/>
      </c>
    </row>
    <row r="373">
      <c r="A373">
        <f>Database!B373</f>
        <v/>
      </c>
      <c r="B373">
        <f>IF(AND(Screener!$D$9&lt;&gt;"",Database!$E373=Screener!$D$9),1,0)</f>
        <v/>
      </c>
      <c r="C373">
        <f>IF(AND(Screener!$D$8&lt;&gt;"",Database!$D373=Screener!$D$8),1,0)</f>
        <v/>
      </c>
      <c r="D373">
        <f>IF(OR(Database!$H373="",N(Screener!$D$10)&lt;=0),0,MAX(0,1-ABS(LOG10(Database!$H373/Screener!$D$10))/W_SIZEHW))</f>
        <v/>
      </c>
      <c r="E373">
        <f>IF(OR(Database!$AH373="",Screener!$D$11=""),0,IF(Database!$AH373=Screener!$D$11,1,0))</f>
        <v/>
      </c>
      <c r="F373">
        <f>IF(OR(Database!$AK373="",Screener!$D$12=""),0,IF(Database!$AK373=Screener!$D$12,1,0))</f>
        <v/>
      </c>
      <c r="G373">
        <f>IF(OR(Database!$G373="",N(Screener!$D$13)&lt;=0),0,MAX(0,1-(N(Screener!$D$13)-Database!$G373)/W_RECD))</f>
        <v/>
      </c>
      <c r="H373">
        <f>IF($K$1="",0,N(ISNUMBER(SEARCH($K$1,Database!$T373&amp;""))))+IF($L$1="",0,N(ISNUMBER(SEARCH($L$1,Database!$T373&amp;""))))+IF($M$1="",0,N(ISNUMBER(SEARCH($M$1,Database!$T373&amp;""))))+IF($N$1="",0,N(ISNUMBER(SEARCH($N$1,Database!$T373&amp;""))))+IF($O$1="",0,N(ISNUMBER(SEARCH($O$1,Database!$T373&amp;""))))+IF(Screener!$B$14="",0,N(ISNUMBER(SEARCH(Screener!$B$14,Database!$T373&amp;""))))</f>
        <v/>
      </c>
      <c r="I373">
        <f>IF(OR(Database!$B373=Screener!$B$5,IF(OR(Screener!$B$17="All",AND(Screener!$B$17="With A-share",(Database!$AL373&lt;&gt;"")),AND(Screener!$B$17="Without A-share",NOT((Database!$AL373&lt;&gt;"")))),1,0)=0),-999999,IF(Screener!$B$15="cornerstone overlap first",H373*100000,0)+W_SUB*B373+W_SEC*C373*(1-B373)+W_SIZE*D373+W_PROF*E373+W_AH*F373+W_REC*G373+W_CS*H373)+ROW()/1000000</f>
        <v/>
      </c>
      <c r="K373">
        <f>Database!B365</f>
        <v/>
      </c>
      <c r="L373">
        <f>Database!D365</f>
        <v/>
      </c>
      <c r="M373">
        <f>Database!E365</f>
        <v/>
      </c>
      <c r="N373">
        <f>Database!H365</f>
        <v/>
      </c>
      <c r="O373">
        <f>Database!AH365</f>
        <v/>
      </c>
      <c r="P373">
        <f>Database!AK365</f>
        <v/>
      </c>
      <c r="Q373">
        <f>Database!G365</f>
        <v/>
      </c>
    </row>
    <row r="374">
      <c r="A374">
        <f>Database!B374</f>
        <v/>
      </c>
      <c r="B374">
        <f>IF(AND(Screener!$D$9&lt;&gt;"",Database!$E374=Screener!$D$9),1,0)</f>
        <v/>
      </c>
      <c r="C374">
        <f>IF(AND(Screener!$D$8&lt;&gt;"",Database!$D374=Screener!$D$8),1,0)</f>
        <v/>
      </c>
      <c r="D374">
        <f>IF(OR(Database!$H374="",N(Screener!$D$10)&lt;=0),0,MAX(0,1-ABS(LOG10(Database!$H374/Screener!$D$10))/W_SIZEHW))</f>
        <v/>
      </c>
      <c r="E374">
        <f>IF(OR(Database!$AH374="",Screener!$D$11=""),0,IF(Database!$AH374=Screener!$D$11,1,0))</f>
        <v/>
      </c>
      <c r="F374">
        <f>IF(OR(Database!$AK374="",Screener!$D$12=""),0,IF(Database!$AK374=Screener!$D$12,1,0))</f>
        <v/>
      </c>
      <c r="G374">
        <f>IF(OR(Database!$G374="",N(Screener!$D$13)&lt;=0),0,MAX(0,1-(N(Screener!$D$13)-Database!$G374)/W_RECD))</f>
        <v/>
      </c>
      <c r="H374">
        <f>IF($K$1="",0,N(ISNUMBER(SEARCH($K$1,Database!$T374&amp;""))))+IF($L$1="",0,N(ISNUMBER(SEARCH($L$1,Database!$T374&amp;""))))+IF($M$1="",0,N(ISNUMBER(SEARCH($M$1,Database!$T374&amp;""))))+IF($N$1="",0,N(ISNUMBER(SEARCH($N$1,Database!$T374&amp;""))))+IF($O$1="",0,N(ISNUMBER(SEARCH($O$1,Database!$T374&amp;""))))+IF(Screener!$B$14="",0,N(ISNUMBER(SEARCH(Screener!$B$14,Database!$T374&amp;""))))</f>
        <v/>
      </c>
      <c r="I374">
        <f>IF(OR(Database!$B374=Screener!$B$5,IF(OR(Screener!$B$17="All",AND(Screener!$B$17="With A-share",(Database!$AL374&lt;&gt;"")),AND(Screener!$B$17="Without A-share",NOT((Database!$AL374&lt;&gt;"")))),1,0)=0),-999999,IF(Screener!$B$15="cornerstone overlap first",H374*100000,0)+W_SUB*B374+W_SEC*C374*(1-B374)+W_SIZE*D374+W_PROF*E374+W_AH*F374+W_REC*G374+W_CS*H374)+ROW()/1000000</f>
        <v/>
      </c>
      <c r="K374">
        <f>Database!B366</f>
        <v/>
      </c>
      <c r="L374">
        <f>Database!D366</f>
        <v/>
      </c>
      <c r="M374">
        <f>Database!E366</f>
        <v/>
      </c>
      <c r="N374">
        <f>Database!H366</f>
        <v/>
      </c>
      <c r="O374">
        <f>Database!AH366</f>
        <v/>
      </c>
      <c r="P374">
        <f>Database!AK366</f>
        <v/>
      </c>
      <c r="Q374">
        <f>Database!G366</f>
        <v/>
      </c>
    </row>
    <row r="375">
      <c r="A375">
        <f>Database!B375</f>
        <v/>
      </c>
      <c r="B375">
        <f>IF(AND(Screener!$D$9&lt;&gt;"",Database!$E375=Screener!$D$9),1,0)</f>
        <v/>
      </c>
      <c r="C375">
        <f>IF(AND(Screener!$D$8&lt;&gt;"",Database!$D375=Screener!$D$8),1,0)</f>
        <v/>
      </c>
      <c r="D375">
        <f>IF(OR(Database!$H375="",N(Screener!$D$10)&lt;=0),0,MAX(0,1-ABS(LOG10(Database!$H375/Screener!$D$10))/W_SIZEHW))</f>
        <v/>
      </c>
      <c r="E375">
        <f>IF(OR(Database!$AH375="",Screener!$D$11=""),0,IF(Database!$AH375=Screener!$D$11,1,0))</f>
        <v/>
      </c>
      <c r="F375">
        <f>IF(OR(Database!$AK375="",Screener!$D$12=""),0,IF(Database!$AK375=Screener!$D$12,1,0))</f>
        <v/>
      </c>
      <c r="G375">
        <f>IF(OR(Database!$G375="",N(Screener!$D$13)&lt;=0),0,MAX(0,1-(N(Screener!$D$13)-Database!$G375)/W_RECD))</f>
        <v/>
      </c>
      <c r="H375">
        <f>IF($K$1="",0,N(ISNUMBER(SEARCH($K$1,Database!$T375&amp;""))))+IF($L$1="",0,N(ISNUMBER(SEARCH($L$1,Database!$T375&amp;""))))+IF($M$1="",0,N(ISNUMBER(SEARCH($M$1,Database!$T375&amp;""))))+IF($N$1="",0,N(ISNUMBER(SEARCH($N$1,Database!$T375&amp;""))))+IF($O$1="",0,N(ISNUMBER(SEARCH($O$1,Database!$T375&amp;""))))+IF(Screener!$B$14="",0,N(ISNUMBER(SEARCH(Screener!$B$14,Database!$T375&amp;""))))</f>
        <v/>
      </c>
      <c r="I375">
        <f>IF(OR(Database!$B375=Screener!$B$5,IF(OR(Screener!$B$17="All",AND(Screener!$B$17="With A-share",(Database!$AL375&lt;&gt;"")),AND(Screener!$B$17="Without A-share",NOT((Database!$AL375&lt;&gt;"")))),1,0)=0),-999999,IF(Screener!$B$15="cornerstone overlap first",H375*100000,0)+W_SUB*B375+W_SEC*C375*(1-B375)+W_SIZE*D375+W_PROF*E375+W_AH*F375+W_REC*G375+W_CS*H375)+ROW()/1000000</f>
        <v/>
      </c>
      <c r="K375">
        <f>Database!B367</f>
        <v/>
      </c>
      <c r="L375">
        <f>Database!D367</f>
        <v/>
      </c>
      <c r="M375">
        <f>Database!E367</f>
        <v/>
      </c>
      <c r="N375">
        <f>Database!H367</f>
        <v/>
      </c>
      <c r="O375">
        <f>Database!AH367</f>
        <v/>
      </c>
      <c r="P375">
        <f>Database!AK367</f>
        <v/>
      </c>
      <c r="Q375">
        <f>Database!G367</f>
        <v/>
      </c>
    </row>
    <row r="376">
      <c r="A376">
        <f>Database!B376</f>
        <v/>
      </c>
      <c r="B376">
        <f>IF(AND(Screener!$D$9&lt;&gt;"",Database!$E376=Screener!$D$9),1,0)</f>
        <v/>
      </c>
      <c r="C376">
        <f>IF(AND(Screener!$D$8&lt;&gt;"",Database!$D376=Screener!$D$8),1,0)</f>
        <v/>
      </c>
      <c r="D376">
        <f>IF(OR(Database!$H376="",N(Screener!$D$10)&lt;=0),0,MAX(0,1-ABS(LOG10(Database!$H376/Screener!$D$10))/W_SIZEHW))</f>
        <v/>
      </c>
      <c r="E376">
        <f>IF(OR(Database!$AH376="",Screener!$D$11=""),0,IF(Database!$AH376=Screener!$D$11,1,0))</f>
        <v/>
      </c>
      <c r="F376">
        <f>IF(OR(Database!$AK376="",Screener!$D$12=""),0,IF(Database!$AK376=Screener!$D$12,1,0))</f>
        <v/>
      </c>
      <c r="G376">
        <f>IF(OR(Database!$G376="",N(Screener!$D$13)&lt;=0),0,MAX(0,1-(N(Screener!$D$13)-Database!$G376)/W_RECD))</f>
        <v/>
      </c>
      <c r="H376">
        <f>IF($K$1="",0,N(ISNUMBER(SEARCH($K$1,Database!$T376&amp;""))))+IF($L$1="",0,N(ISNUMBER(SEARCH($L$1,Database!$T376&amp;""))))+IF($M$1="",0,N(ISNUMBER(SEARCH($M$1,Database!$T376&amp;""))))+IF($N$1="",0,N(ISNUMBER(SEARCH($N$1,Database!$T376&amp;""))))+IF($O$1="",0,N(ISNUMBER(SEARCH($O$1,Database!$T376&amp;""))))+IF(Screener!$B$14="",0,N(ISNUMBER(SEARCH(Screener!$B$14,Database!$T376&amp;""))))</f>
        <v/>
      </c>
      <c r="I376">
        <f>IF(OR(Database!$B376=Screener!$B$5,IF(OR(Screener!$B$17="All",AND(Screener!$B$17="With A-share",(Database!$AL376&lt;&gt;"")),AND(Screener!$B$17="Without A-share",NOT((Database!$AL376&lt;&gt;"")))),1,0)=0),-999999,IF(Screener!$B$15="cornerstone overlap first",H376*100000,0)+W_SUB*B376+W_SEC*C376*(1-B376)+W_SIZE*D376+W_PROF*E376+W_AH*F376+W_REC*G376+W_CS*H376)+ROW()/1000000</f>
        <v/>
      </c>
      <c r="K376">
        <f>Database!B368</f>
        <v/>
      </c>
      <c r="L376">
        <f>Database!D368</f>
        <v/>
      </c>
      <c r="M376">
        <f>Database!E368</f>
        <v/>
      </c>
      <c r="N376">
        <f>Database!H368</f>
        <v/>
      </c>
      <c r="O376">
        <f>Database!AH368</f>
        <v/>
      </c>
      <c r="P376">
        <f>Database!AK368</f>
        <v/>
      </c>
      <c r="Q376">
        <f>Database!G368</f>
        <v/>
      </c>
    </row>
    <row r="377">
      <c r="A377">
        <f>Database!B377</f>
        <v/>
      </c>
      <c r="B377">
        <f>IF(AND(Screener!$D$9&lt;&gt;"",Database!$E377=Screener!$D$9),1,0)</f>
        <v/>
      </c>
      <c r="C377">
        <f>IF(AND(Screener!$D$8&lt;&gt;"",Database!$D377=Screener!$D$8),1,0)</f>
        <v/>
      </c>
      <c r="D377">
        <f>IF(OR(Database!$H377="",N(Screener!$D$10)&lt;=0),0,MAX(0,1-ABS(LOG10(Database!$H377/Screener!$D$10))/W_SIZEHW))</f>
        <v/>
      </c>
      <c r="E377">
        <f>IF(OR(Database!$AH377="",Screener!$D$11=""),0,IF(Database!$AH377=Screener!$D$11,1,0))</f>
        <v/>
      </c>
      <c r="F377">
        <f>IF(OR(Database!$AK377="",Screener!$D$12=""),0,IF(Database!$AK377=Screener!$D$12,1,0))</f>
        <v/>
      </c>
      <c r="G377">
        <f>IF(OR(Database!$G377="",N(Screener!$D$13)&lt;=0),0,MAX(0,1-(N(Screener!$D$13)-Database!$G377)/W_RECD))</f>
        <v/>
      </c>
      <c r="H377">
        <f>IF($K$1="",0,N(ISNUMBER(SEARCH($K$1,Database!$T377&amp;""))))+IF($L$1="",0,N(ISNUMBER(SEARCH($L$1,Database!$T377&amp;""))))+IF($M$1="",0,N(ISNUMBER(SEARCH($M$1,Database!$T377&amp;""))))+IF($N$1="",0,N(ISNUMBER(SEARCH($N$1,Database!$T377&amp;""))))+IF($O$1="",0,N(ISNUMBER(SEARCH($O$1,Database!$T377&amp;""))))+IF(Screener!$B$14="",0,N(ISNUMBER(SEARCH(Screener!$B$14,Database!$T377&amp;""))))</f>
        <v/>
      </c>
      <c r="I377">
        <f>IF(OR(Database!$B377=Screener!$B$5,IF(OR(Screener!$B$17="All",AND(Screener!$B$17="With A-share",(Database!$AL377&lt;&gt;"")),AND(Screener!$B$17="Without A-share",NOT((Database!$AL377&lt;&gt;"")))),1,0)=0),-999999,IF(Screener!$B$15="cornerstone overlap first",H377*100000,0)+W_SUB*B377+W_SEC*C377*(1-B377)+W_SIZE*D377+W_PROF*E377+W_AH*F377+W_REC*G377+W_CS*H377)+ROW()/1000000</f>
        <v/>
      </c>
      <c r="K377">
        <f>Database!B369</f>
        <v/>
      </c>
      <c r="L377">
        <f>Database!D369</f>
        <v/>
      </c>
      <c r="M377">
        <f>Database!E369</f>
        <v/>
      </c>
      <c r="N377">
        <f>Database!H369</f>
        <v/>
      </c>
      <c r="O377">
        <f>Database!AH369</f>
        <v/>
      </c>
      <c r="P377">
        <f>Database!AK369</f>
        <v/>
      </c>
      <c r="Q377">
        <f>Database!G369</f>
        <v/>
      </c>
    </row>
    <row r="378">
      <c r="A378">
        <f>Database!B378</f>
        <v/>
      </c>
      <c r="B378">
        <f>IF(AND(Screener!$D$9&lt;&gt;"",Database!$E378=Screener!$D$9),1,0)</f>
        <v/>
      </c>
      <c r="C378">
        <f>IF(AND(Screener!$D$8&lt;&gt;"",Database!$D378=Screener!$D$8),1,0)</f>
        <v/>
      </c>
      <c r="D378">
        <f>IF(OR(Database!$H378="",N(Screener!$D$10)&lt;=0),0,MAX(0,1-ABS(LOG10(Database!$H378/Screener!$D$10))/W_SIZEHW))</f>
        <v/>
      </c>
      <c r="E378">
        <f>IF(OR(Database!$AH378="",Screener!$D$11=""),0,IF(Database!$AH378=Screener!$D$11,1,0))</f>
        <v/>
      </c>
      <c r="F378">
        <f>IF(OR(Database!$AK378="",Screener!$D$12=""),0,IF(Database!$AK378=Screener!$D$12,1,0))</f>
        <v/>
      </c>
      <c r="G378">
        <f>IF(OR(Database!$G378="",N(Screener!$D$13)&lt;=0),0,MAX(0,1-(N(Screener!$D$13)-Database!$G378)/W_RECD))</f>
        <v/>
      </c>
      <c r="H378">
        <f>IF($K$1="",0,N(ISNUMBER(SEARCH($K$1,Database!$T378&amp;""))))+IF($L$1="",0,N(ISNUMBER(SEARCH($L$1,Database!$T378&amp;""))))+IF($M$1="",0,N(ISNUMBER(SEARCH($M$1,Database!$T378&amp;""))))+IF($N$1="",0,N(ISNUMBER(SEARCH($N$1,Database!$T378&amp;""))))+IF($O$1="",0,N(ISNUMBER(SEARCH($O$1,Database!$T378&amp;""))))+IF(Screener!$B$14="",0,N(ISNUMBER(SEARCH(Screener!$B$14,Database!$T378&amp;""))))</f>
        <v/>
      </c>
      <c r="I378">
        <f>IF(OR(Database!$B378=Screener!$B$5,IF(OR(Screener!$B$17="All",AND(Screener!$B$17="With A-share",(Database!$AL378&lt;&gt;"")),AND(Screener!$B$17="Without A-share",NOT((Database!$AL378&lt;&gt;"")))),1,0)=0),-999999,IF(Screener!$B$15="cornerstone overlap first",H378*100000,0)+W_SUB*B378+W_SEC*C378*(1-B378)+W_SIZE*D378+W_PROF*E378+W_AH*F378+W_REC*G378+W_CS*H378)+ROW()/1000000</f>
        <v/>
      </c>
      <c r="K378">
        <f>Database!B370</f>
        <v/>
      </c>
      <c r="L378">
        <f>Database!D370</f>
        <v/>
      </c>
      <c r="M378">
        <f>Database!E370</f>
        <v/>
      </c>
      <c r="N378">
        <f>Database!H370</f>
        <v/>
      </c>
      <c r="O378">
        <f>Database!AH370</f>
        <v/>
      </c>
      <c r="P378">
        <f>Database!AK370</f>
        <v/>
      </c>
      <c r="Q378">
        <f>Database!G370</f>
        <v/>
      </c>
    </row>
    <row r="379">
      <c r="A379">
        <f>Database!B379</f>
        <v/>
      </c>
      <c r="B379">
        <f>IF(AND(Screener!$D$9&lt;&gt;"",Database!$E379=Screener!$D$9),1,0)</f>
        <v/>
      </c>
      <c r="C379">
        <f>IF(AND(Screener!$D$8&lt;&gt;"",Database!$D379=Screener!$D$8),1,0)</f>
        <v/>
      </c>
      <c r="D379">
        <f>IF(OR(Database!$H379="",N(Screener!$D$10)&lt;=0),0,MAX(0,1-ABS(LOG10(Database!$H379/Screener!$D$10))/W_SIZEHW))</f>
        <v/>
      </c>
      <c r="E379">
        <f>IF(OR(Database!$AH379="",Screener!$D$11=""),0,IF(Database!$AH379=Screener!$D$11,1,0))</f>
        <v/>
      </c>
      <c r="F379">
        <f>IF(OR(Database!$AK379="",Screener!$D$12=""),0,IF(Database!$AK379=Screener!$D$12,1,0))</f>
        <v/>
      </c>
      <c r="G379">
        <f>IF(OR(Database!$G379="",N(Screener!$D$13)&lt;=0),0,MAX(0,1-(N(Screener!$D$13)-Database!$G379)/W_RECD))</f>
        <v/>
      </c>
      <c r="H379">
        <f>IF($K$1="",0,N(ISNUMBER(SEARCH($K$1,Database!$T379&amp;""))))+IF($L$1="",0,N(ISNUMBER(SEARCH($L$1,Database!$T379&amp;""))))+IF($M$1="",0,N(ISNUMBER(SEARCH($M$1,Database!$T379&amp;""))))+IF($N$1="",0,N(ISNUMBER(SEARCH($N$1,Database!$T379&amp;""))))+IF($O$1="",0,N(ISNUMBER(SEARCH($O$1,Database!$T379&amp;""))))+IF(Screener!$B$14="",0,N(ISNUMBER(SEARCH(Screener!$B$14,Database!$T379&amp;""))))</f>
        <v/>
      </c>
      <c r="I379">
        <f>IF(OR(Database!$B379=Screener!$B$5,IF(OR(Screener!$B$17="All",AND(Screener!$B$17="With A-share",(Database!$AL379&lt;&gt;"")),AND(Screener!$B$17="Without A-share",NOT((Database!$AL379&lt;&gt;"")))),1,0)=0),-999999,IF(Screener!$B$15="cornerstone overlap first",H379*100000,0)+W_SUB*B379+W_SEC*C379*(1-B379)+W_SIZE*D379+W_PROF*E379+W_AH*F379+W_REC*G379+W_CS*H379)+ROW()/1000000</f>
        <v/>
      </c>
      <c r="K379">
        <f>Database!B371</f>
        <v/>
      </c>
      <c r="L379">
        <f>Database!D371</f>
        <v/>
      </c>
      <c r="M379">
        <f>Database!E371</f>
        <v/>
      </c>
      <c r="N379">
        <f>Database!H371</f>
        <v/>
      </c>
      <c r="O379">
        <f>Database!AH371</f>
        <v/>
      </c>
      <c r="P379">
        <f>Database!AK371</f>
        <v/>
      </c>
      <c r="Q379">
        <f>Database!G371</f>
        <v/>
      </c>
    </row>
    <row r="380">
      <c r="A380">
        <f>Database!B380</f>
        <v/>
      </c>
      <c r="B380">
        <f>IF(AND(Screener!$D$9&lt;&gt;"",Database!$E380=Screener!$D$9),1,0)</f>
        <v/>
      </c>
      <c r="C380">
        <f>IF(AND(Screener!$D$8&lt;&gt;"",Database!$D380=Screener!$D$8),1,0)</f>
        <v/>
      </c>
      <c r="D380">
        <f>IF(OR(Database!$H380="",N(Screener!$D$10)&lt;=0),0,MAX(0,1-ABS(LOG10(Database!$H380/Screener!$D$10))/W_SIZEHW))</f>
        <v/>
      </c>
      <c r="E380">
        <f>IF(OR(Database!$AH380="",Screener!$D$11=""),0,IF(Database!$AH380=Screener!$D$11,1,0))</f>
        <v/>
      </c>
      <c r="F380">
        <f>IF(OR(Database!$AK380="",Screener!$D$12=""),0,IF(Database!$AK380=Screener!$D$12,1,0))</f>
        <v/>
      </c>
      <c r="G380">
        <f>IF(OR(Database!$G380="",N(Screener!$D$13)&lt;=0),0,MAX(0,1-(N(Screener!$D$13)-Database!$G380)/W_RECD))</f>
        <v/>
      </c>
      <c r="H380">
        <f>IF($K$1="",0,N(ISNUMBER(SEARCH($K$1,Database!$T380&amp;""))))+IF($L$1="",0,N(ISNUMBER(SEARCH($L$1,Database!$T380&amp;""))))+IF($M$1="",0,N(ISNUMBER(SEARCH($M$1,Database!$T380&amp;""))))+IF($N$1="",0,N(ISNUMBER(SEARCH($N$1,Database!$T380&amp;""))))+IF($O$1="",0,N(ISNUMBER(SEARCH($O$1,Database!$T380&amp;""))))+IF(Screener!$B$14="",0,N(ISNUMBER(SEARCH(Screener!$B$14,Database!$T380&amp;""))))</f>
        <v/>
      </c>
      <c r="I380">
        <f>IF(OR(Database!$B380=Screener!$B$5,IF(OR(Screener!$B$17="All",AND(Screener!$B$17="With A-share",(Database!$AL380&lt;&gt;"")),AND(Screener!$B$17="Without A-share",NOT((Database!$AL380&lt;&gt;"")))),1,0)=0),-999999,IF(Screener!$B$15="cornerstone overlap first",H380*100000,0)+W_SUB*B380+W_SEC*C380*(1-B380)+W_SIZE*D380+W_PROF*E380+W_AH*F380+W_REC*G380+W_CS*H380)+ROW()/1000000</f>
        <v/>
      </c>
      <c r="K380">
        <f>Database!B372</f>
        <v/>
      </c>
      <c r="L380">
        <f>Database!D372</f>
        <v/>
      </c>
      <c r="M380">
        <f>Database!E372</f>
        <v/>
      </c>
      <c r="N380">
        <f>Database!H372</f>
        <v/>
      </c>
      <c r="O380">
        <f>Database!AH372</f>
        <v/>
      </c>
      <c r="P380">
        <f>Database!AK372</f>
        <v/>
      </c>
      <c r="Q380">
        <f>Database!G372</f>
        <v/>
      </c>
    </row>
    <row r="381">
      <c r="A381">
        <f>Database!B381</f>
        <v/>
      </c>
      <c r="B381">
        <f>IF(AND(Screener!$D$9&lt;&gt;"",Database!$E381=Screener!$D$9),1,0)</f>
        <v/>
      </c>
      <c r="C381">
        <f>IF(AND(Screener!$D$8&lt;&gt;"",Database!$D381=Screener!$D$8),1,0)</f>
        <v/>
      </c>
      <c r="D381">
        <f>IF(OR(Database!$H381="",N(Screener!$D$10)&lt;=0),0,MAX(0,1-ABS(LOG10(Database!$H381/Screener!$D$10))/W_SIZEHW))</f>
        <v/>
      </c>
      <c r="E381">
        <f>IF(OR(Database!$AH381="",Screener!$D$11=""),0,IF(Database!$AH381=Screener!$D$11,1,0))</f>
        <v/>
      </c>
      <c r="F381">
        <f>IF(OR(Database!$AK381="",Screener!$D$12=""),0,IF(Database!$AK381=Screener!$D$12,1,0))</f>
        <v/>
      </c>
      <c r="G381">
        <f>IF(OR(Database!$G381="",N(Screener!$D$13)&lt;=0),0,MAX(0,1-(N(Screener!$D$13)-Database!$G381)/W_RECD))</f>
        <v/>
      </c>
      <c r="H381">
        <f>IF($K$1="",0,N(ISNUMBER(SEARCH($K$1,Database!$T381&amp;""))))+IF($L$1="",0,N(ISNUMBER(SEARCH($L$1,Database!$T381&amp;""))))+IF($M$1="",0,N(ISNUMBER(SEARCH($M$1,Database!$T381&amp;""))))+IF($N$1="",0,N(ISNUMBER(SEARCH($N$1,Database!$T381&amp;""))))+IF($O$1="",0,N(ISNUMBER(SEARCH($O$1,Database!$T381&amp;""))))+IF(Screener!$B$14="",0,N(ISNUMBER(SEARCH(Screener!$B$14,Database!$T381&amp;""))))</f>
        <v/>
      </c>
      <c r="I381">
        <f>IF(OR(Database!$B381=Screener!$B$5,IF(OR(Screener!$B$17="All",AND(Screener!$B$17="With A-share",(Database!$AL381&lt;&gt;"")),AND(Screener!$B$17="Without A-share",NOT((Database!$AL381&lt;&gt;"")))),1,0)=0),-999999,IF(Screener!$B$15="cornerstone overlap first",H381*100000,0)+W_SUB*B381+W_SEC*C381*(1-B381)+W_SIZE*D381+W_PROF*E381+W_AH*F381+W_REC*G381+W_CS*H381)+ROW()/1000000</f>
        <v/>
      </c>
      <c r="K381">
        <f>Database!B373</f>
        <v/>
      </c>
      <c r="L381">
        <f>Database!D373</f>
        <v/>
      </c>
      <c r="M381">
        <f>Database!E373</f>
        <v/>
      </c>
      <c r="N381">
        <f>Database!H373</f>
        <v/>
      </c>
      <c r="O381">
        <f>Database!AH373</f>
        <v/>
      </c>
      <c r="P381">
        <f>Database!AK373</f>
        <v/>
      </c>
      <c r="Q381">
        <f>Database!G373</f>
        <v/>
      </c>
    </row>
    <row r="382">
      <c r="A382">
        <f>Database!B382</f>
        <v/>
      </c>
      <c r="B382">
        <f>IF(AND(Screener!$D$9&lt;&gt;"",Database!$E382=Screener!$D$9),1,0)</f>
        <v/>
      </c>
      <c r="C382">
        <f>IF(AND(Screener!$D$8&lt;&gt;"",Database!$D382=Screener!$D$8),1,0)</f>
        <v/>
      </c>
      <c r="D382">
        <f>IF(OR(Database!$H382="",N(Screener!$D$10)&lt;=0),0,MAX(0,1-ABS(LOG10(Database!$H382/Screener!$D$10))/W_SIZEHW))</f>
        <v/>
      </c>
      <c r="E382">
        <f>IF(OR(Database!$AH382="",Screener!$D$11=""),0,IF(Database!$AH382=Screener!$D$11,1,0))</f>
        <v/>
      </c>
      <c r="F382">
        <f>IF(OR(Database!$AK382="",Screener!$D$12=""),0,IF(Database!$AK382=Screener!$D$12,1,0))</f>
        <v/>
      </c>
      <c r="G382">
        <f>IF(OR(Database!$G382="",N(Screener!$D$13)&lt;=0),0,MAX(0,1-(N(Screener!$D$13)-Database!$G382)/W_RECD))</f>
        <v/>
      </c>
      <c r="H382">
        <f>IF($K$1="",0,N(ISNUMBER(SEARCH($K$1,Database!$T382&amp;""))))+IF($L$1="",0,N(ISNUMBER(SEARCH($L$1,Database!$T382&amp;""))))+IF($M$1="",0,N(ISNUMBER(SEARCH($M$1,Database!$T382&amp;""))))+IF($N$1="",0,N(ISNUMBER(SEARCH($N$1,Database!$T382&amp;""))))+IF($O$1="",0,N(ISNUMBER(SEARCH($O$1,Database!$T382&amp;""))))+IF(Screener!$B$14="",0,N(ISNUMBER(SEARCH(Screener!$B$14,Database!$T382&amp;""))))</f>
        <v/>
      </c>
      <c r="I382">
        <f>IF(OR(Database!$B382=Screener!$B$5,IF(OR(Screener!$B$17="All",AND(Screener!$B$17="With A-share",(Database!$AL382&lt;&gt;"")),AND(Screener!$B$17="Without A-share",NOT((Database!$AL382&lt;&gt;"")))),1,0)=0),-999999,IF(Screener!$B$15="cornerstone overlap first",H382*100000,0)+W_SUB*B382+W_SEC*C382*(1-B382)+W_SIZE*D382+W_PROF*E382+W_AH*F382+W_REC*G382+W_CS*H382)+ROW()/1000000</f>
        <v/>
      </c>
      <c r="K382">
        <f>Database!B374</f>
        <v/>
      </c>
      <c r="L382">
        <f>Database!D374</f>
        <v/>
      </c>
      <c r="M382">
        <f>Database!E374</f>
        <v/>
      </c>
      <c r="N382">
        <f>Database!H374</f>
        <v/>
      </c>
      <c r="O382">
        <f>Database!AH374</f>
        <v/>
      </c>
      <c r="P382">
        <f>Database!AK374</f>
        <v/>
      </c>
      <c r="Q382">
        <f>Database!G374</f>
        <v/>
      </c>
    </row>
    <row r="383">
      <c r="A383">
        <f>Database!B383</f>
        <v/>
      </c>
      <c r="B383">
        <f>IF(AND(Screener!$D$9&lt;&gt;"",Database!$E383=Screener!$D$9),1,0)</f>
        <v/>
      </c>
      <c r="C383">
        <f>IF(AND(Screener!$D$8&lt;&gt;"",Database!$D383=Screener!$D$8),1,0)</f>
        <v/>
      </c>
      <c r="D383">
        <f>IF(OR(Database!$H383="",N(Screener!$D$10)&lt;=0),0,MAX(0,1-ABS(LOG10(Database!$H383/Screener!$D$10))/W_SIZEHW))</f>
        <v/>
      </c>
      <c r="E383">
        <f>IF(OR(Database!$AH383="",Screener!$D$11=""),0,IF(Database!$AH383=Screener!$D$11,1,0))</f>
        <v/>
      </c>
      <c r="F383">
        <f>IF(OR(Database!$AK383="",Screener!$D$12=""),0,IF(Database!$AK383=Screener!$D$12,1,0))</f>
        <v/>
      </c>
      <c r="G383">
        <f>IF(OR(Database!$G383="",N(Screener!$D$13)&lt;=0),0,MAX(0,1-(N(Screener!$D$13)-Database!$G383)/W_RECD))</f>
        <v/>
      </c>
      <c r="H383">
        <f>IF($K$1="",0,N(ISNUMBER(SEARCH($K$1,Database!$T383&amp;""))))+IF($L$1="",0,N(ISNUMBER(SEARCH($L$1,Database!$T383&amp;""))))+IF($M$1="",0,N(ISNUMBER(SEARCH($M$1,Database!$T383&amp;""))))+IF($N$1="",0,N(ISNUMBER(SEARCH($N$1,Database!$T383&amp;""))))+IF($O$1="",0,N(ISNUMBER(SEARCH($O$1,Database!$T383&amp;""))))+IF(Screener!$B$14="",0,N(ISNUMBER(SEARCH(Screener!$B$14,Database!$T383&amp;""))))</f>
        <v/>
      </c>
      <c r="I383">
        <f>IF(OR(Database!$B383=Screener!$B$5,IF(OR(Screener!$B$17="All",AND(Screener!$B$17="With A-share",(Database!$AL383&lt;&gt;"")),AND(Screener!$B$17="Without A-share",NOT((Database!$AL383&lt;&gt;"")))),1,0)=0),-999999,IF(Screener!$B$15="cornerstone overlap first",H383*100000,0)+W_SUB*B383+W_SEC*C383*(1-B383)+W_SIZE*D383+W_PROF*E383+W_AH*F383+W_REC*G383+W_CS*H383)+ROW()/1000000</f>
        <v/>
      </c>
      <c r="K383">
        <f>Database!B375</f>
        <v/>
      </c>
      <c r="L383">
        <f>Database!D375</f>
        <v/>
      </c>
      <c r="M383">
        <f>Database!E375</f>
        <v/>
      </c>
      <c r="N383">
        <f>Database!H375</f>
        <v/>
      </c>
      <c r="O383">
        <f>Database!AH375</f>
        <v/>
      </c>
      <c r="P383">
        <f>Database!AK375</f>
        <v/>
      </c>
      <c r="Q383">
        <f>Database!G375</f>
        <v/>
      </c>
    </row>
    <row r="384">
      <c r="A384">
        <f>Database!B384</f>
        <v/>
      </c>
      <c r="B384">
        <f>IF(AND(Screener!$D$9&lt;&gt;"",Database!$E384=Screener!$D$9),1,0)</f>
        <v/>
      </c>
      <c r="C384">
        <f>IF(AND(Screener!$D$8&lt;&gt;"",Database!$D384=Screener!$D$8),1,0)</f>
        <v/>
      </c>
      <c r="D384">
        <f>IF(OR(Database!$H384="",N(Screener!$D$10)&lt;=0),0,MAX(0,1-ABS(LOG10(Database!$H384/Screener!$D$10))/W_SIZEHW))</f>
        <v/>
      </c>
      <c r="E384">
        <f>IF(OR(Database!$AH384="",Screener!$D$11=""),0,IF(Database!$AH384=Screener!$D$11,1,0))</f>
        <v/>
      </c>
      <c r="F384">
        <f>IF(OR(Database!$AK384="",Screener!$D$12=""),0,IF(Database!$AK384=Screener!$D$12,1,0))</f>
        <v/>
      </c>
      <c r="G384">
        <f>IF(OR(Database!$G384="",N(Screener!$D$13)&lt;=0),0,MAX(0,1-(N(Screener!$D$13)-Database!$G384)/W_RECD))</f>
        <v/>
      </c>
      <c r="H384">
        <f>IF($K$1="",0,N(ISNUMBER(SEARCH($K$1,Database!$T384&amp;""))))+IF($L$1="",0,N(ISNUMBER(SEARCH($L$1,Database!$T384&amp;""))))+IF($M$1="",0,N(ISNUMBER(SEARCH($M$1,Database!$T384&amp;""))))+IF($N$1="",0,N(ISNUMBER(SEARCH($N$1,Database!$T384&amp;""))))+IF($O$1="",0,N(ISNUMBER(SEARCH($O$1,Database!$T384&amp;""))))+IF(Screener!$B$14="",0,N(ISNUMBER(SEARCH(Screener!$B$14,Database!$T384&amp;""))))</f>
        <v/>
      </c>
      <c r="I384">
        <f>IF(OR(Database!$B384=Screener!$B$5,IF(OR(Screener!$B$17="All",AND(Screener!$B$17="With A-share",(Database!$AL384&lt;&gt;"")),AND(Screener!$B$17="Without A-share",NOT((Database!$AL384&lt;&gt;"")))),1,0)=0),-999999,IF(Screener!$B$15="cornerstone overlap first",H384*100000,0)+W_SUB*B384+W_SEC*C384*(1-B384)+W_SIZE*D384+W_PROF*E384+W_AH*F384+W_REC*G384+W_CS*H384)+ROW()/1000000</f>
        <v/>
      </c>
      <c r="K384">
        <f>Database!B376</f>
        <v/>
      </c>
      <c r="L384">
        <f>Database!D376</f>
        <v/>
      </c>
      <c r="M384">
        <f>Database!E376</f>
        <v/>
      </c>
      <c r="N384">
        <f>Database!H376</f>
        <v/>
      </c>
      <c r="O384">
        <f>Database!AH376</f>
        <v/>
      </c>
      <c r="P384">
        <f>Database!AK376</f>
        <v/>
      </c>
      <c r="Q384">
        <f>Database!G376</f>
        <v/>
      </c>
    </row>
    <row r="385">
      <c r="A385">
        <f>Database!B385</f>
        <v/>
      </c>
      <c r="B385">
        <f>IF(AND(Screener!$D$9&lt;&gt;"",Database!$E385=Screener!$D$9),1,0)</f>
        <v/>
      </c>
      <c r="C385">
        <f>IF(AND(Screener!$D$8&lt;&gt;"",Database!$D385=Screener!$D$8),1,0)</f>
        <v/>
      </c>
      <c r="D385">
        <f>IF(OR(Database!$H385="",N(Screener!$D$10)&lt;=0),0,MAX(0,1-ABS(LOG10(Database!$H385/Screener!$D$10))/W_SIZEHW))</f>
        <v/>
      </c>
      <c r="E385">
        <f>IF(OR(Database!$AH385="",Screener!$D$11=""),0,IF(Database!$AH385=Screener!$D$11,1,0))</f>
        <v/>
      </c>
      <c r="F385">
        <f>IF(OR(Database!$AK385="",Screener!$D$12=""),0,IF(Database!$AK385=Screener!$D$12,1,0))</f>
        <v/>
      </c>
      <c r="G385">
        <f>IF(OR(Database!$G385="",N(Screener!$D$13)&lt;=0),0,MAX(0,1-(N(Screener!$D$13)-Database!$G385)/W_RECD))</f>
        <v/>
      </c>
      <c r="H385">
        <f>IF($K$1="",0,N(ISNUMBER(SEARCH($K$1,Database!$T385&amp;""))))+IF($L$1="",0,N(ISNUMBER(SEARCH($L$1,Database!$T385&amp;""))))+IF($M$1="",0,N(ISNUMBER(SEARCH($M$1,Database!$T385&amp;""))))+IF($N$1="",0,N(ISNUMBER(SEARCH($N$1,Database!$T385&amp;""))))+IF($O$1="",0,N(ISNUMBER(SEARCH($O$1,Database!$T385&amp;""))))+IF(Screener!$B$14="",0,N(ISNUMBER(SEARCH(Screener!$B$14,Database!$T385&amp;""))))</f>
        <v/>
      </c>
      <c r="I385">
        <f>IF(OR(Database!$B385=Screener!$B$5,IF(OR(Screener!$B$17="All",AND(Screener!$B$17="With A-share",(Database!$AL385&lt;&gt;"")),AND(Screener!$B$17="Without A-share",NOT((Database!$AL385&lt;&gt;"")))),1,0)=0),-999999,IF(Screener!$B$15="cornerstone overlap first",H385*100000,0)+W_SUB*B385+W_SEC*C385*(1-B385)+W_SIZE*D385+W_PROF*E385+W_AH*F385+W_REC*G385+W_CS*H385)+ROW()/1000000</f>
        <v/>
      </c>
      <c r="K385">
        <f>Database!B377</f>
        <v/>
      </c>
      <c r="L385">
        <f>Database!D377</f>
        <v/>
      </c>
      <c r="M385">
        <f>Database!E377</f>
        <v/>
      </c>
      <c r="N385">
        <f>Database!H377</f>
        <v/>
      </c>
      <c r="O385">
        <f>Database!AH377</f>
        <v/>
      </c>
      <c r="P385">
        <f>Database!AK377</f>
        <v/>
      </c>
      <c r="Q385">
        <f>Database!G377</f>
        <v/>
      </c>
    </row>
    <row r="386">
      <c r="A386">
        <f>Database!B386</f>
        <v/>
      </c>
      <c r="B386">
        <f>IF(AND(Screener!$D$9&lt;&gt;"",Database!$E386=Screener!$D$9),1,0)</f>
        <v/>
      </c>
      <c r="C386">
        <f>IF(AND(Screener!$D$8&lt;&gt;"",Database!$D386=Screener!$D$8),1,0)</f>
        <v/>
      </c>
      <c r="D386">
        <f>IF(OR(Database!$H386="",N(Screener!$D$10)&lt;=0),0,MAX(0,1-ABS(LOG10(Database!$H386/Screener!$D$10))/W_SIZEHW))</f>
        <v/>
      </c>
      <c r="E386">
        <f>IF(OR(Database!$AH386="",Screener!$D$11=""),0,IF(Database!$AH386=Screener!$D$11,1,0))</f>
        <v/>
      </c>
      <c r="F386">
        <f>IF(OR(Database!$AK386="",Screener!$D$12=""),0,IF(Database!$AK386=Screener!$D$12,1,0))</f>
        <v/>
      </c>
      <c r="G386">
        <f>IF(OR(Database!$G386="",N(Screener!$D$13)&lt;=0),0,MAX(0,1-(N(Screener!$D$13)-Database!$G386)/W_RECD))</f>
        <v/>
      </c>
      <c r="H386">
        <f>IF($K$1="",0,N(ISNUMBER(SEARCH($K$1,Database!$T386&amp;""))))+IF($L$1="",0,N(ISNUMBER(SEARCH($L$1,Database!$T386&amp;""))))+IF($M$1="",0,N(ISNUMBER(SEARCH($M$1,Database!$T386&amp;""))))+IF($N$1="",0,N(ISNUMBER(SEARCH($N$1,Database!$T386&amp;""))))+IF($O$1="",0,N(ISNUMBER(SEARCH($O$1,Database!$T386&amp;""))))+IF(Screener!$B$14="",0,N(ISNUMBER(SEARCH(Screener!$B$14,Database!$T386&amp;""))))</f>
        <v/>
      </c>
      <c r="I386">
        <f>IF(OR(Database!$B386=Screener!$B$5,IF(OR(Screener!$B$17="All",AND(Screener!$B$17="With A-share",(Database!$AL386&lt;&gt;"")),AND(Screener!$B$17="Without A-share",NOT((Database!$AL386&lt;&gt;"")))),1,0)=0),-999999,IF(Screener!$B$15="cornerstone overlap first",H386*100000,0)+W_SUB*B386+W_SEC*C386*(1-B386)+W_SIZE*D386+W_PROF*E386+W_AH*F386+W_REC*G386+W_CS*H386)+ROW()/1000000</f>
        <v/>
      </c>
      <c r="K386">
        <f>Database!B378</f>
        <v/>
      </c>
      <c r="L386">
        <f>Database!D378</f>
        <v/>
      </c>
      <c r="M386">
        <f>Database!E378</f>
        <v/>
      </c>
      <c r="N386">
        <f>Database!H378</f>
        <v/>
      </c>
      <c r="O386">
        <f>Database!AH378</f>
        <v/>
      </c>
      <c r="P386">
        <f>Database!AK378</f>
        <v/>
      </c>
      <c r="Q386">
        <f>Database!G378</f>
        <v/>
      </c>
    </row>
    <row r="387">
      <c r="A387">
        <f>Database!B387</f>
        <v/>
      </c>
      <c r="B387">
        <f>IF(AND(Screener!$D$9&lt;&gt;"",Database!$E387=Screener!$D$9),1,0)</f>
        <v/>
      </c>
      <c r="C387">
        <f>IF(AND(Screener!$D$8&lt;&gt;"",Database!$D387=Screener!$D$8),1,0)</f>
        <v/>
      </c>
      <c r="D387">
        <f>IF(OR(Database!$H387="",N(Screener!$D$10)&lt;=0),0,MAX(0,1-ABS(LOG10(Database!$H387/Screener!$D$10))/W_SIZEHW))</f>
        <v/>
      </c>
      <c r="E387">
        <f>IF(OR(Database!$AH387="",Screener!$D$11=""),0,IF(Database!$AH387=Screener!$D$11,1,0))</f>
        <v/>
      </c>
      <c r="F387">
        <f>IF(OR(Database!$AK387="",Screener!$D$12=""),0,IF(Database!$AK387=Screener!$D$12,1,0))</f>
        <v/>
      </c>
      <c r="G387">
        <f>IF(OR(Database!$G387="",N(Screener!$D$13)&lt;=0),0,MAX(0,1-(N(Screener!$D$13)-Database!$G387)/W_RECD))</f>
        <v/>
      </c>
      <c r="H387">
        <f>IF($K$1="",0,N(ISNUMBER(SEARCH($K$1,Database!$T387&amp;""))))+IF($L$1="",0,N(ISNUMBER(SEARCH($L$1,Database!$T387&amp;""))))+IF($M$1="",0,N(ISNUMBER(SEARCH($M$1,Database!$T387&amp;""))))+IF($N$1="",0,N(ISNUMBER(SEARCH($N$1,Database!$T387&amp;""))))+IF($O$1="",0,N(ISNUMBER(SEARCH($O$1,Database!$T387&amp;""))))+IF(Screener!$B$14="",0,N(ISNUMBER(SEARCH(Screener!$B$14,Database!$T387&amp;""))))</f>
        <v/>
      </c>
      <c r="I387">
        <f>IF(OR(Database!$B387=Screener!$B$5,IF(OR(Screener!$B$17="All",AND(Screener!$B$17="With A-share",(Database!$AL387&lt;&gt;"")),AND(Screener!$B$17="Without A-share",NOT((Database!$AL387&lt;&gt;"")))),1,0)=0),-999999,IF(Screener!$B$15="cornerstone overlap first",H387*100000,0)+W_SUB*B387+W_SEC*C387*(1-B387)+W_SIZE*D387+W_PROF*E387+W_AH*F387+W_REC*G387+W_CS*H387)+ROW()/1000000</f>
        <v/>
      </c>
      <c r="K387">
        <f>Database!B379</f>
        <v/>
      </c>
      <c r="L387">
        <f>Database!D379</f>
        <v/>
      </c>
      <c r="M387">
        <f>Database!E379</f>
        <v/>
      </c>
      <c r="N387">
        <f>Database!H379</f>
        <v/>
      </c>
      <c r="O387">
        <f>Database!AH379</f>
        <v/>
      </c>
      <c r="P387">
        <f>Database!AK379</f>
        <v/>
      </c>
      <c r="Q387">
        <f>Database!G379</f>
        <v/>
      </c>
    </row>
    <row r="388">
      <c r="A388">
        <f>Database!B388</f>
        <v/>
      </c>
      <c r="B388">
        <f>IF(AND(Screener!$D$9&lt;&gt;"",Database!$E388=Screener!$D$9),1,0)</f>
        <v/>
      </c>
      <c r="C388">
        <f>IF(AND(Screener!$D$8&lt;&gt;"",Database!$D388=Screener!$D$8),1,0)</f>
        <v/>
      </c>
      <c r="D388">
        <f>IF(OR(Database!$H388="",N(Screener!$D$10)&lt;=0),0,MAX(0,1-ABS(LOG10(Database!$H388/Screener!$D$10))/W_SIZEHW))</f>
        <v/>
      </c>
      <c r="E388">
        <f>IF(OR(Database!$AH388="",Screener!$D$11=""),0,IF(Database!$AH388=Screener!$D$11,1,0))</f>
        <v/>
      </c>
      <c r="F388">
        <f>IF(OR(Database!$AK388="",Screener!$D$12=""),0,IF(Database!$AK388=Screener!$D$12,1,0))</f>
        <v/>
      </c>
      <c r="G388">
        <f>IF(OR(Database!$G388="",N(Screener!$D$13)&lt;=0),0,MAX(0,1-(N(Screener!$D$13)-Database!$G388)/W_RECD))</f>
        <v/>
      </c>
      <c r="H388">
        <f>IF($K$1="",0,N(ISNUMBER(SEARCH($K$1,Database!$T388&amp;""))))+IF($L$1="",0,N(ISNUMBER(SEARCH($L$1,Database!$T388&amp;""))))+IF($M$1="",0,N(ISNUMBER(SEARCH($M$1,Database!$T388&amp;""))))+IF($N$1="",0,N(ISNUMBER(SEARCH($N$1,Database!$T388&amp;""))))+IF($O$1="",0,N(ISNUMBER(SEARCH($O$1,Database!$T388&amp;""))))+IF(Screener!$B$14="",0,N(ISNUMBER(SEARCH(Screener!$B$14,Database!$T388&amp;""))))</f>
        <v/>
      </c>
      <c r="I388">
        <f>IF(OR(Database!$B388=Screener!$B$5,IF(OR(Screener!$B$17="All",AND(Screener!$B$17="With A-share",(Database!$AL388&lt;&gt;"")),AND(Screener!$B$17="Without A-share",NOT((Database!$AL388&lt;&gt;"")))),1,0)=0),-999999,IF(Screener!$B$15="cornerstone overlap first",H388*100000,0)+W_SUB*B388+W_SEC*C388*(1-B388)+W_SIZE*D388+W_PROF*E388+W_AH*F388+W_REC*G388+W_CS*H388)+ROW()/1000000</f>
        <v/>
      </c>
      <c r="K388">
        <f>Database!B380</f>
        <v/>
      </c>
      <c r="L388">
        <f>Database!D380</f>
        <v/>
      </c>
      <c r="M388">
        <f>Database!E380</f>
        <v/>
      </c>
      <c r="N388">
        <f>Database!H380</f>
        <v/>
      </c>
      <c r="O388">
        <f>Database!AH380</f>
        <v/>
      </c>
      <c r="P388">
        <f>Database!AK380</f>
        <v/>
      </c>
      <c r="Q388">
        <f>Database!G380</f>
        <v/>
      </c>
    </row>
    <row r="389">
      <c r="A389">
        <f>Database!B389</f>
        <v/>
      </c>
      <c r="B389">
        <f>IF(AND(Screener!$D$9&lt;&gt;"",Database!$E389=Screener!$D$9),1,0)</f>
        <v/>
      </c>
      <c r="C389">
        <f>IF(AND(Screener!$D$8&lt;&gt;"",Database!$D389=Screener!$D$8),1,0)</f>
        <v/>
      </c>
      <c r="D389">
        <f>IF(OR(Database!$H389="",N(Screener!$D$10)&lt;=0),0,MAX(0,1-ABS(LOG10(Database!$H389/Screener!$D$10))/W_SIZEHW))</f>
        <v/>
      </c>
      <c r="E389">
        <f>IF(OR(Database!$AH389="",Screener!$D$11=""),0,IF(Database!$AH389=Screener!$D$11,1,0))</f>
        <v/>
      </c>
      <c r="F389">
        <f>IF(OR(Database!$AK389="",Screener!$D$12=""),0,IF(Database!$AK389=Screener!$D$12,1,0))</f>
        <v/>
      </c>
      <c r="G389">
        <f>IF(OR(Database!$G389="",N(Screener!$D$13)&lt;=0),0,MAX(0,1-(N(Screener!$D$13)-Database!$G389)/W_RECD))</f>
        <v/>
      </c>
      <c r="H389">
        <f>IF($K$1="",0,N(ISNUMBER(SEARCH($K$1,Database!$T389&amp;""))))+IF($L$1="",0,N(ISNUMBER(SEARCH($L$1,Database!$T389&amp;""))))+IF($M$1="",0,N(ISNUMBER(SEARCH($M$1,Database!$T389&amp;""))))+IF($N$1="",0,N(ISNUMBER(SEARCH($N$1,Database!$T389&amp;""))))+IF($O$1="",0,N(ISNUMBER(SEARCH($O$1,Database!$T389&amp;""))))+IF(Screener!$B$14="",0,N(ISNUMBER(SEARCH(Screener!$B$14,Database!$T389&amp;""))))</f>
        <v/>
      </c>
      <c r="I389">
        <f>IF(OR(Database!$B389=Screener!$B$5,IF(OR(Screener!$B$17="All",AND(Screener!$B$17="With A-share",(Database!$AL389&lt;&gt;"")),AND(Screener!$B$17="Without A-share",NOT((Database!$AL389&lt;&gt;"")))),1,0)=0),-999999,IF(Screener!$B$15="cornerstone overlap first",H389*100000,0)+W_SUB*B389+W_SEC*C389*(1-B389)+W_SIZE*D389+W_PROF*E389+W_AH*F389+W_REC*G389+W_CS*H389)+ROW()/1000000</f>
        <v/>
      </c>
      <c r="K389">
        <f>Database!B381</f>
        <v/>
      </c>
      <c r="L389">
        <f>Database!D381</f>
        <v/>
      </c>
      <c r="M389">
        <f>Database!E381</f>
        <v/>
      </c>
      <c r="N389">
        <f>Database!H381</f>
        <v/>
      </c>
      <c r="O389">
        <f>Database!AH381</f>
        <v/>
      </c>
      <c r="P389">
        <f>Database!AK381</f>
        <v/>
      </c>
      <c r="Q389">
        <f>Database!G381</f>
        <v/>
      </c>
    </row>
    <row r="390">
      <c r="A390">
        <f>Database!B390</f>
        <v/>
      </c>
      <c r="B390">
        <f>IF(AND(Screener!$D$9&lt;&gt;"",Database!$E390=Screener!$D$9),1,0)</f>
        <v/>
      </c>
      <c r="C390">
        <f>IF(AND(Screener!$D$8&lt;&gt;"",Database!$D390=Screener!$D$8),1,0)</f>
        <v/>
      </c>
      <c r="D390">
        <f>IF(OR(Database!$H390="",N(Screener!$D$10)&lt;=0),0,MAX(0,1-ABS(LOG10(Database!$H390/Screener!$D$10))/W_SIZEHW))</f>
        <v/>
      </c>
      <c r="E390">
        <f>IF(OR(Database!$AH390="",Screener!$D$11=""),0,IF(Database!$AH390=Screener!$D$11,1,0))</f>
        <v/>
      </c>
      <c r="F390">
        <f>IF(OR(Database!$AK390="",Screener!$D$12=""),0,IF(Database!$AK390=Screener!$D$12,1,0))</f>
        <v/>
      </c>
      <c r="G390">
        <f>IF(OR(Database!$G390="",N(Screener!$D$13)&lt;=0),0,MAX(0,1-(N(Screener!$D$13)-Database!$G390)/W_RECD))</f>
        <v/>
      </c>
      <c r="H390">
        <f>IF($K$1="",0,N(ISNUMBER(SEARCH($K$1,Database!$T390&amp;""))))+IF($L$1="",0,N(ISNUMBER(SEARCH($L$1,Database!$T390&amp;""))))+IF($M$1="",0,N(ISNUMBER(SEARCH($M$1,Database!$T390&amp;""))))+IF($N$1="",0,N(ISNUMBER(SEARCH($N$1,Database!$T390&amp;""))))+IF($O$1="",0,N(ISNUMBER(SEARCH($O$1,Database!$T390&amp;""))))+IF(Screener!$B$14="",0,N(ISNUMBER(SEARCH(Screener!$B$14,Database!$T390&amp;""))))</f>
        <v/>
      </c>
      <c r="I390">
        <f>IF(OR(Database!$B390=Screener!$B$5,IF(OR(Screener!$B$17="All",AND(Screener!$B$17="With A-share",(Database!$AL390&lt;&gt;"")),AND(Screener!$B$17="Without A-share",NOT((Database!$AL390&lt;&gt;"")))),1,0)=0),-999999,IF(Screener!$B$15="cornerstone overlap first",H390*100000,0)+W_SUB*B390+W_SEC*C390*(1-B390)+W_SIZE*D390+W_PROF*E390+W_AH*F390+W_REC*G390+W_CS*H390)+ROW()/1000000</f>
        <v/>
      </c>
      <c r="K390">
        <f>Database!B382</f>
        <v/>
      </c>
      <c r="L390">
        <f>Database!D382</f>
        <v/>
      </c>
      <c r="M390">
        <f>Database!E382</f>
        <v/>
      </c>
      <c r="N390">
        <f>Database!H382</f>
        <v/>
      </c>
      <c r="O390">
        <f>Database!AH382</f>
        <v/>
      </c>
      <c r="P390">
        <f>Database!AK382</f>
        <v/>
      </c>
      <c r="Q390">
        <f>Database!G382</f>
        <v/>
      </c>
    </row>
    <row r="391">
      <c r="A391">
        <f>Database!B391</f>
        <v/>
      </c>
      <c r="B391">
        <f>IF(AND(Screener!$D$9&lt;&gt;"",Database!$E391=Screener!$D$9),1,0)</f>
        <v/>
      </c>
      <c r="C391">
        <f>IF(AND(Screener!$D$8&lt;&gt;"",Database!$D391=Screener!$D$8),1,0)</f>
        <v/>
      </c>
      <c r="D391">
        <f>IF(OR(Database!$H391="",N(Screener!$D$10)&lt;=0),0,MAX(0,1-ABS(LOG10(Database!$H391/Screener!$D$10))/W_SIZEHW))</f>
        <v/>
      </c>
      <c r="E391">
        <f>IF(OR(Database!$AH391="",Screener!$D$11=""),0,IF(Database!$AH391=Screener!$D$11,1,0))</f>
        <v/>
      </c>
      <c r="F391">
        <f>IF(OR(Database!$AK391="",Screener!$D$12=""),0,IF(Database!$AK391=Screener!$D$12,1,0))</f>
        <v/>
      </c>
      <c r="G391">
        <f>IF(OR(Database!$G391="",N(Screener!$D$13)&lt;=0),0,MAX(0,1-(N(Screener!$D$13)-Database!$G391)/W_RECD))</f>
        <v/>
      </c>
      <c r="H391">
        <f>IF($K$1="",0,N(ISNUMBER(SEARCH($K$1,Database!$T391&amp;""))))+IF($L$1="",0,N(ISNUMBER(SEARCH($L$1,Database!$T391&amp;""))))+IF($M$1="",0,N(ISNUMBER(SEARCH($M$1,Database!$T391&amp;""))))+IF($N$1="",0,N(ISNUMBER(SEARCH($N$1,Database!$T391&amp;""))))+IF($O$1="",0,N(ISNUMBER(SEARCH($O$1,Database!$T391&amp;""))))+IF(Screener!$B$14="",0,N(ISNUMBER(SEARCH(Screener!$B$14,Database!$T391&amp;""))))</f>
        <v/>
      </c>
      <c r="I391">
        <f>IF(OR(Database!$B391=Screener!$B$5,IF(OR(Screener!$B$17="All",AND(Screener!$B$17="With A-share",(Database!$AL391&lt;&gt;"")),AND(Screener!$B$17="Without A-share",NOT((Database!$AL391&lt;&gt;"")))),1,0)=0),-999999,IF(Screener!$B$15="cornerstone overlap first",H391*100000,0)+W_SUB*B391+W_SEC*C391*(1-B391)+W_SIZE*D391+W_PROF*E391+W_AH*F391+W_REC*G391+W_CS*H391)+ROW()/1000000</f>
        <v/>
      </c>
      <c r="K391">
        <f>Database!B383</f>
        <v/>
      </c>
      <c r="L391">
        <f>Database!D383</f>
        <v/>
      </c>
      <c r="M391">
        <f>Database!E383</f>
        <v/>
      </c>
      <c r="N391">
        <f>Database!H383</f>
        <v/>
      </c>
      <c r="O391">
        <f>Database!AH383</f>
        <v/>
      </c>
      <c r="P391">
        <f>Database!AK383</f>
        <v/>
      </c>
      <c r="Q391">
        <f>Database!G383</f>
        <v/>
      </c>
    </row>
    <row r="392">
      <c r="A392">
        <f>Database!B392</f>
        <v/>
      </c>
      <c r="B392">
        <f>IF(AND(Screener!$D$9&lt;&gt;"",Database!$E392=Screener!$D$9),1,0)</f>
        <v/>
      </c>
      <c r="C392">
        <f>IF(AND(Screener!$D$8&lt;&gt;"",Database!$D392=Screener!$D$8),1,0)</f>
        <v/>
      </c>
      <c r="D392">
        <f>IF(OR(Database!$H392="",N(Screener!$D$10)&lt;=0),0,MAX(0,1-ABS(LOG10(Database!$H392/Screener!$D$10))/W_SIZEHW))</f>
        <v/>
      </c>
      <c r="E392">
        <f>IF(OR(Database!$AH392="",Screener!$D$11=""),0,IF(Database!$AH392=Screener!$D$11,1,0))</f>
        <v/>
      </c>
      <c r="F392">
        <f>IF(OR(Database!$AK392="",Screener!$D$12=""),0,IF(Database!$AK392=Screener!$D$12,1,0))</f>
        <v/>
      </c>
      <c r="G392">
        <f>IF(OR(Database!$G392="",N(Screener!$D$13)&lt;=0),0,MAX(0,1-(N(Screener!$D$13)-Database!$G392)/W_RECD))</f>
        <v/>
      </c>
      <c r="H392">
        <f>IF($K$1="",0,N(ISNUMBER(SEARCH($K$1,Database!$T392&amp;""))))+IF($L$1="",0,N(ISNUMBER(SEARCH($L$1,Database!$T392&amp;""))))+IF($M$1="",0,N(ISNUMBER(SEARCH($M$1,Database!$T392&amp;""))))+IF($N$1="",0,N(ISNUMBER(SEARCH($N$1,Database!$T392&amp;""))))+IF($O$1="",0,N(ISNUMBER(SEARCH($O$1,Database!$T392&amp;""))))+IF(Screener!$B$14="",0,N(ISNUMBER(SEARCH(Screener!$B$14,Database!$T392&amp;""))))</f>
        <v/>
      </c>
      <c r="I392">
        <f>IF(OR(Database!$B392=Screener!$B$5,IF(OR(Screener!$B$17="All",AND(Screener!$B$17="With A-share",(Database!$AL392&lt;&gt;"")),AND(Screener!$B$17="Without A-share",NOT((Database!$AL392&lt;&gt;"")))),1,0)=0),-999999,IF(Screener!$B$15="cornerstone overlap first",H392*100000,0)+W_SUB*B392+W_SEC*C392*(1-B392)+W_SIZE*D392+W_PROF*E392+W_AH*F392+W_REC*G392+W_CS*H392)+ROW()/1000000</f>
        <v/>
      </c>
      <c r="K392">
        <f>Database!B384</f>
        <v/>
      </c>
      <c r="L392">
        <f>Database!D384</f>
        <v/>
      </c>
      <c r="M392">
        <f>Database!E384</f>
        <v/>
      </c>
      <c r="N392">
        <f>Database!H384</f>
        <v/>
      </c>
      <c r="O392">
        <f>Database!AH384</f>
        <v/>
      </c>
      <c r="P392">
        <f>Database!AK384</f>
        <v/>
      </c>
      <c r="Q392">
        <f>Database!G384</f>
        <v/>
      </c>
    </row>
    <row r="393">
      <c r="A393">
        <f>Database!B393</f>
        <v/>
      </c>
      <c r="B393">
        <f>IF(AND(Screener!$D$9&lt;&gt;"",Database!$E393=Screener!$D$9),1,0)</f>
        <v/>
      </c>
      <c r="C393">
        <f>IF(AND(Screener!$D$8&lt;&gt;"",Database!$D393=Screener!$D$8),1,0)</f>
        <v/>
      </c>
      <c r="D393">
        <f>IF(OR(Database!$H393="",N(Screener!$D$10)&lt;=0),0,MAX(0,1-ABS(LOG10(Database!$H393/Screener!$D$10))/W_SIZEHW))</f>
        <v/>
      </c>
      <c r="E393">
        <f>IF(OR(Database!$AH393="",Screener!$D$11=""),0,IF(Database!$AH393=Screener!$D$11,1,0))</f>
        <v/>
      </c>
      <c r="F393">
        <f>IF(OR(Database!$AK393="",Screener!$D$12=""),0,IF(Database!$AK393=Screener!$D$12,1,0))</f>
        <v/>
      </c>
      <c r="G393">
        <f>IF(OR(Database!$G393="",N(Screener!$D$13)&lt;=0),0,MAX(0,1-(N(Screener!$D$13)-Database!$G393)/W_RECD))</f>
        <v/>
      </c>
      <c r="H393">
        <f>IF($K$1="",0,N(ISNUMBER(SEARCH($K$1,Database!$T393&amp;""))))+IF($L$1="",0,N(ISNUMBER(SEARCH($L$1,Database!$T393&amp;""))))+IF($M$1="",0,N(ISNUMBER(SEARCH($M$1,Database!$T393&amp;""))))+IF($N$1="",0,N(ISNUMBER(SEARCH($N$1,Database!$T393&amp;""))))+IF($O$1="",0,N(ISNUMBER(SEARCH($O$1,Database!$T393&amp;""))))+IF(Screener!$B$14="",0,N(ISNUMBER(SEARCH(Screener!$B$14,Database!$T393&amp;""))))</f>
        <v/>
      </c>
      <c r="I393">
        <f>IF(OR(Database!$B393=Screener!$B$5,IF(OR(Screener!$B$17="All",AND(Screener!$B$17="With A-share",(Database!$AL393&lt;&gt;"")),AND(Screener!$B$17="Without A-share",NOT((Database!$AL393&lt;&gt;"")))),1,0)=0),-999999,IF(Screener!$B$15="cornerstone overlap first",H393*100000,0)+W_SUB*B393+W_SEC*C393*(1-B393)+W_SIZE*D393+W_PROF*E393+W_AH*F393+W_REC*G393+W_CS*H393)+ROW()/1000000</f>
        <v/>
      </c>
      <c r="K393">
        <f>Database!B385</f>
        <v/>
      </c>
      <c r="L393">
        <f>Database!D385</f>
        <v/>
      </c>
      <c r="M393">
        <f>Database!E385</f>
        <v/>
      </c>
      <c r="N393">
        <f>Database!H385</f>
        <v/>
      </c>
      <c r="O393">
        <f>Database!AH385</f>
        <v/>
      </c>
      <c r="P393">
        <f>Database!AK385</f>
        <v/>
      </c>
      <c r="Q393">
        <f>Database!G385</f>
        <v/>
      </c>
    </row>
    <row r="394">
      <c r="A394">
        <f>Database!B394</f>
        <v/>
      </c>
      <c r="B394">
        <f>IF(AND(Screener!$D$9&lt;&gt;"",Database!$E394=Screener!$D$9),1,0)</f>
        <v/>
      </c>
      <c r="C394">
        <f>IF(AND(Screener!$D$8&lt;&gt;"",Database!$D394=Screener!$D$8),1,0)</f>
        <v/>
      </c>
      <c r="D394">
        <f>IF(OR(Database!$H394="",N(Screener!$D$10)&lt;=0),0,MAX(0,1-ABS(LOG10(Database!$H394/Screener!$D$10))/W_SIZEHW))</f>
        <v/>
      </c>
      <c r="E394">
        <f>IF(OR(Database!$AH394="",Screener!$D$11=""),0,IF(Database!$AH394=Screener!$D$11,1,0))</f>
        <v/>
      </c>
      <c r="F394">
        <f>IF(OR(Database!$AK394="",Screener!$D$12=""),0,IF(Database!$AK394=Screener!$D$12,1,0))</f>
        <v/>
      </c>
      <c r="G394">
        <f>IF(OR(Database!$G394="",N(Screener!$D$13)&lt;=0),0,MAX(0,1-(N(Screener!$D$13)-Database!$G394)/W_RECD))</f>
        <v/>
      </c>
      <c r="H394">
        <f>IF($K$1="",0,N(ISNUMBER(SEARCH($K$1,Database!$T394&amp;""))))+IF($L$1="",0,N(ISNUMBER(SEARCH($L$1,Database!$T394&amp;""))))+IF($M$1="",0,N(ISNUMBER(SEARCH($M$1,Database!$T394&amp;""))))+IF($N$1="",0,N(ISNUMBER(SEARCH($N$1,Database!$T394&amp;""))))+IF($O$1="",0,N(ISNUMBER(SEARCH($O$1,Database!$T394&amp;""))))+IF(Screener!$B$14="",0,N(ISNUMBER(SEARCH(Screener!$B$14,Database!$T394&amp;""))))</f>
        <v/>
      </c>
      <c r="I394">
        <f>IF(OR(Database!$B394=Screener!$B$5,IF(OR(Screener!$B$17="All",AND(Screener!$B$17="With A-share",(Database!$AL394&lt;&gt;"")),AND(Screener!$B$17="Without A-share",NOT((Database!$AL394&lt;&gt;"")))),1,0)=0),-999999,IF(Screener!$B$15="cornerstone overlap first",H394*100000,0)+W_SUB*B394+W_SEC*C394*(1-B394)+W_SIZE*D394+W_PROF*E394+W_AH*F394+W_REC*G394+W_CS*H394)+ROW()/1000000</f>
        <v/>
      </c>
      <c r="K394">
        <f>Database!B386</f>
        <v/>
      </c>
      <c r="L394">
        <f>Database!D386</f>
        <v/>
      </c>
      <c r="M394">
        <f>Database!E386</f>
        <v/>
      </c>
      <c r="N394">
        <f>Database!H386</f>
        <v/>
      </c>
      <c r="O394">
        <f>Database!AH386</f>
        <v/>
      </c>
      <c r="P394">
        <f>Database!AK386</f>
        <v/>
      </c>
      <c r="Q394">
        <f>Database!G386</f>
        <v/>
      </c>
    </row>
    <row r="395">
      <c r="A395">
        <f>Database!B395</f>
        <v/>
      </c>
      <c r="B395">
        <f>IF(AND(Screener!$D$9&lt;&gt;"",Database!$E395=Screener!$D$9),1,0)</f>
        <v/>
      </c>
      <c r="C395">
        <f>IF(AND(Screener!$D$8&lt;&gt;"",Database!$D395=Screener!$D$8),1,0)</f>
        <v/>
      </c>
      <c r="D395">
        <f>IF(OR(Database!$H395="",N(Screener!$D$10)&lt;=0),0,MAX(0,1-ABS(LOG10(Database!$H395/Screener!$D$10))/W_SIZEHW))</f>
        <v/>
      </c>
      <c r="E395">
        <f>IF(OR(Database!$AH395="",Screener!$D$11=""),0,IF(Database!$AH395=Screener!$D$11,1,0))</f>
        <v/>
      </c>
      <c r="F395">
        <f>IF(OR(Database!$AK395="",Screener!$D$12=""),0,IF(Database!$AK395=Screener!$D$12,1,0))</f>
        <v/>
      </c>
      <c r="G395">
        <f>IF(OR(Database!$G395="",N(Screener!$D$13)&lt;=0),0,MAX(0,1-(N(Screener!$D$13)-Database!$G395)/W_RECD))</f>
        <v/>
      </c>
      <c r="H395">
        <f>IF($K$1="",0,N(ISNUMBER(SEARCH($K$1,Database!$T395&amp;""))))+IF($L$1="",0,N(ISNUMBER(SEARCH($L$1,Database!$T395&amp;""))))+IF($M$1="",0,N(ISNUMBER(SEARCH($M$1,Database!$T395&amp;""))))+IF($N$1="",0,N(ISNUMBER(SEARCH($N$1,Database!$T395&amp;""))))+IF($O$1="",0,N(ISNUMBER(SEARCH($O$1,Database!$T395&amp;""))))+IF(Screener!$B$14="",0,N(ISNUMBER(SEARCH(Screener!$B$14,Database!$T395&amp;""))))</f>
        <v/>
      </c>
      <c r="I395">
        <f>IF(OR(Database!$B395=Screener!$B$5,IF(OR(Screener!$B$17="All",AND(Screener!$B$17="With A-share",(Database!$AL395&lt;&gt;"")),AND(Screener!$B$17="Without A-share",NOT((Database!$AL395&lt;&gt;"")))),1,0)=0),-999999,IF(Screener!$B$15="cornerstone overlap first",H395*100000,0)+W_SUB*B395+W_SEC*C395*(1-B395)+W_SIZE*D395+W_PROF*E395+W_AH*F395+W_REC*G395+W_CS*H395)+ROW()/1000000</f>
        <v/>
      </c>
      <c r="K395">
        <f>Database!B387</f>
        <v/>
      </c>
      <c r="L395">
        <f>Database!D387</f>
        <v/>
      </c>
      <c r="M395">
        <f>Database!E387</f>
        <v/>
      </c>
      <c r="N395">
        <f>Database!H387</f>
        <v/>
      </c>
      <c r="O395">
        <f>Database!AH387</f>
        <v/>
      </c>
      <c r="P395">
        <f>Database!AK387</f>
        <v/>
      </c>
      <c r="Q395">
        <f>Database!G387</f>
        <v/>
      </c>
    </row>
    <row r="396">
      <c r="A396">
        <f>Database!B396</f>
        <v/>
      </c>
      <c r="B396">
        <f>IF(AND(Screener!$D$9&lt;&gt;"",Database!$E396=Screener!$D$9),1,0)</f>
        <v/>
      </c>
      <c r="C396">
        <f>IF(AND(Screener!$D$8&lt;&gt;"",Database!$D396=Screener!$D$8),1,0)</f>
        <v/>
      </c>
      <c r="D396">
        <f>IF(OR(Database!$H396="",N(Screener!$D$10)&lt;=0),0,MAX(0,1-ABS(LOG10(Database!$H396/Screener!$D$10))/W_SIZEHW))</f>
        <v/>
      </c>
      <c r="E396">
        <f>IF(OR(Database!$AH396="",Screener!$D$11=""),0,IF(Database!$AH396=Screener!$D$11,1,0))</f>
        <v/>
      </c>
      <c r="F396">
        <f>IF(OR(Database!$AK396="",Screener!$D$12=""),0,IF(Database!$AK396=Screener!$D$12,1,0))</f>
        <v/>
      </c>
      <c r="G396">
        <f>IF(OR(Database!$G396="",N(Screener!$D$13)&lt;=0),0,MAX(0,1-(N(Screener!$D$13)-Database!$G396)/W_RECD))</f>
        <v/>
      </c>
      <c r="H396">
        <f>IF($K$1="",0,N(ISNUMBER(SEARCH($K$1,Database!$T396&amp;""))))+IF($L$1="",0,N(ISNUMBER(SEARCH($L$1,Database!$T396&amp;""))))+IF($M$1="",0,N(ISNUMBER(SEARCH($M$1,Database!$T396&amp;""))))+IF($N$1="",0,N(ISNUMBER(SEARCH($N$1,Database!$T396&amp;""))))+IF($O$1="",0,N(ISNUMBER(SEARCH($O$1,Database!$T396&amp;""))))+IF(Screener!$B$14="",0,N(ISNUMBER(SEARCH(Screener!$B$14,Database!$T396&amp;""))))</f>
        <v/>
      </c>
      <c r="I396">
        <f>IF(OR(Database!$B396=Screener!$B$5,IF(OR(Screener!$B$17="All",AND(Screener!$B$17="With A-share",(Database!$AL396&lt;&gt;"")),AND(Screener!$B$17="Without A-share",NOT((Database!$AL396&lt;&gt;"")))),1,0)=0),-999999,IF(Screener!$B$15="cornerstone overlap first",H396*100000,0)+W_SUB*B396+W_SEC*C396*(1-B396)+W_SIZE*D396+W_PROF*E396+W_AH*F396+W_REC*G396+W_CS*H396)+ROW()/1000000</f>
        <v/>
      </c>
      <c r="K396">
        <f>Database!B388</f>
        <v/>
      </c>
      <c r="L396">
        <f>Database!D388</f>
        <v/>
      </c>
      <c r="M396">
        <f>Database!E388</f>
        <v/>
      </c>
      <c r="N396">
        <f>Database!H388</f>
        <v/>
      </c>
      <c r="O396">
        <f>Database!AH388</f>
        <v/>
      </c>
      <c r="P396">
        <f>Database!AK388</f>
        <v/>
      </c>
      <c r="Q396">
        <f>Database!G388</f>
        <v/>
      </c>
    </row>
    <row r="397">
      <c r="A397">
        <f>Database!B397</f>
        <v/>
      </c>
      <c r="B397">
        <f>IF(AND(Screener!$D$9&lt;&gt;"",Database!$E397=Screener!$D$9),1,0)</f>
        <v/>
      </c>
      <c r="C397">
        <f>IF(AND(Screener!$D$8&lt;&gt;"",Database!$D397=Screener!$D$8),1,0)</f>
        <v/>
      </c>
      <c r="D397">
        <f>IF(OR(Database!$H397="",N(Screener!$D$10)&lt;=0),0,MAX(0,1-ABS(LOG10(Database!$H397/Screener!$D$10))/W_SIZEHW))</f>
        <v/>
      </c>
      <c r="E397">
        <f>IF(OR(Database!$AH397="",Screener!$D$11=""),0,IF(Database!$AH397=Screener!$D$11,1,0))</f>
        <v/>
      </c>
      <c r="F397">
        <f>IF(OR(Database!$AK397="",Screener!$D$12=""),0,IF(Database!$AK397=Screener!$D$12,1,0))</f>
        <v/>
      </c>
      <c r="G397">
        <f>IF(OR(Database!$G397="",N(Screener!$D$13)&lt;=0),0,MAX(0,1-(N(Screener!$D$13)-Database!$G397)/W_RECD))</f>
        <v/>
      </c>
      <c r="H397">
        <f>IF($K$1="",0,N(ISNUMBER(SEARCH($K$1,Database!$T397&amp;""))))+IF($L$1="",0,N(ISNUMBER(SEARCH($L$1,Database!$T397&amp;""))))+IF($M$1="",0,N(ISNUMBER(SEARCH($M$1,Database!$T397&amp;""))))+IF($N$1="",0,N(ISNUMBER(SEARCH($N$1,Database!$T397&amp;""))))+IF($O$1="",0,N(ISNUMBER(SEARCH($O$1,Database!$T397&amp;""))))+IF(Screener!$B$14="",0,N(ISNUMBER(SEARCH(Screener!$B$14,Database!$T397&amp;""))))</f>
        <v/>
      </c>
      <c r="I397">
        <f>IF(OR(Database!$B397=Screener!$B$5,IF(OR(Screener!$B$17="All",AND(Screener!$B$17="With A-share",(Database!$AL397&lt;&gt;"")),AND(Screener!$B$17="Without A-share",NOT((Database!$AL397&lt;&gt;"")))),1,0)=0),-999999,IF(Screener!$B$15="cornerstone overlap first",H397*100000,0)+W_SUB*B397+W_SEC*C397*(1-B397)+W_SIZE*D397+W_PROF*E397+W_AH*F397+W_REC*G397+W_CS*H397)+ROW()/1000000</f>
        <v/>
      </c>
      <c r="K397">
        <f>Database!B389</f>
        <v/>
      </c>
      <c r="L397">
        <f>Database!D389</f>
        <v/>
      </c>
      <c r="M397">
        <f>Database!E389</f>
        <v/>
      </c>
      <c r="N397">
        <f>Database!H389</f>
        <v/>
      </c>
      <c r="O397">
        <f>Database!AH389</f>
        <v/>
      </c>
      <c r="P397">
        <f>Database!AK389</f>
        <v/>
      </c>
      <c r="Q397">
        <f>Database!G389</f>
        <v/>
      </c>
    </row>
    <row r="398">
      <c r="A398">
        <f>Database!B398</f>
        <v/>
      </c>
      <c r="B398">
        <f>IF(AND(Screener!$D$9&lt;&gt;"",Database!$E398=Screener!$D$9),1,0)</f>
        <v/>
      </c>
      <c r="C398">
        <f>IF(AND(Screener!$D$8&lt;&gt;"",Database!$D398=Screener!$D$8),1,0)</f>
        <v/>
      </c>
      <c r="D398">
        <f>IF(OR(Database!$H398="",N(Screener!$D$10)&lt;=0),0,MAX(0,1-ABS(LOG10(Database!$H398/Screener!$D$10))/W_SIZEHW))</f>
        <v/>
      </c>
      <c r="E398">
        <f>IF(OR(Database!$AH398="",Screener!$D$11=""),0,IF(Database!$AH398=Screener!$D$11,1,0))</f>
        <v/>
      </c>
      <c r="F398">
        <f>IF(OR(Database!$AK398="",Screener!$D$12=""),0,IF(Database!$AK398=Screener!$D$12,1,0))</f>
        <v/>
      </c>
      <c r="G398">
        <f>IF(OR(Database!$G398="",N(Screener!$D$13)&lt;=0),0,MAX(0,1-(N(Screener!$D$13)-Database!$G398)/W_RECD))</f>
        <v/>
      </c>
      <c r="H398">
        <f>IF($K$1="",0,N(ISNUMBER(SEARCH($K$1,Database!$T398&amp;""))))+IF($L$1="",0,N(ISNUMBER(SEARCH($L$1,Database!$T398&amp;""))))+IF($M$1="",0,N(ISNUMBER(SEARCH($M$1,Database!$T398&amp;""))))+IF($N$1="",0,N(ISNUMBER(SEARCH($N$1,Database!$T398&amp;""))))+IF($O$1="",0,N(ISNUMBER(SEARCH($O$1,Database!$T398&amp;""))))+IF(Screener!$B$14="",0,N(ISNUMBER(SEARCH(Screener!$B$14,Database!$T398&amp;""))))</f>
        <v/>
      </c>
      <c r="I398">
        <f>IF(OR(Database!$B398=Screener!$B$5,IF(OR(Screener!$B$17="All",AND(Screener!$B$17="With A-share",(Database!$AL398&lt;&gt;"")),AND(Screener!$B$17="Without A-share",NOT((Database!$AL398&lt;&gt;"")))),1,0)=0),-999999,IF(Screener!$B$15="cornerstone overlap first",H398*100000,0)+W_SUB*B398+W_SEC*C398*(1-B398)+W_SIZE*D398+W_PROF*E398+W_AH*F398+W_REC*G398+W_CS*H398)+ROW()/1000000</f>
        <v/>
      </c>
      <c r="K398">
        <f>Database!B390</f>
        <v/>
      </c>
      <c r="L398">
        <f>Database!D390</f>
        <v/>
      </c>
      <c r="M398">
        <f>Database!E390</f>
        <v/>
      </c>
      <c r="N398">
        <f>Database!H390</f>
        <v/>
      </c>
      <c r="O398">
        <f>Database!AH390</f>
        <v/>
      </c>
      <c r="P398">
        <f>Database!AK390</f>
        <v/>
      </c>
      <c r="Q398">
        <f>Database!G390</f>
        <v/>
      </c>
    </row>
    <row r="399">
      <c r="A399">
        <f>Database!B399</f>
        <v/>
      </c>
      <c r="B399">
        <f>IF(AND(Screener!$D$9&lt;&gt;"",Database!$E399=Screener!$D$9),1,0)</f>
        <v/>
      </c>
      <c r="C399">
        <f>IF(AND(Screener!$D$8&lt;&gt;"",Database!$D399=Screener!$D$8),1,0)</f>
        <v/>
      </c>
      <c r="D399">
        <f>IF(OR(Database!$H399="",N(Screener!$D$10)&lt;=0),0,MAX(0,1-ABS(LOG10(Database!$H399/Screener!$D$10))/W_SIZEHW))</f>
        <v/>
      </c>
      <c r="E399">
        <f>IF(OR(Database!$AH399="",Screener!$D$11=""),0,IF(Database!$AH399=Screener!$D$11,1,0))</f>
        <v/>
      </c>
      <c r="F399">
        <f>IF(OR(Database!$AK399="",Screener!$D$12=""),0,IF(Database!$AK399=Screener!$D$12,1,0))</f>
        <v/>
      </c>
      <c r="G399">
        <f>IF(OR(Database!$G399="",N(Screener!$D$13)&lt;=0),0,MAX(0,1-(N(Screener!$D$13)-Database!$G399)/W_RECD))</f>
        <v/>
      </c>
      <c r="H399">
        <f>IF($K$1="",0,N(ISNUMBER(SEARCH($K$1,Database!$T399&amp;""))))+IF($L$1="",0,N(ISNUMBER(SEARCH($L$1,Database!$T399&amp;""))))+IF($M$1="",0,N(ISNUMBER(SEARCH($M$1,Database!$T399&amp;""))))+IF($N$1="",0,N(ISNUMBER(SEARCH($N$1,Database!$T399&amp;""))))+IF($O$1="",0,N(ISNUMBER(SEARCH($O$1,Database!$T399&amp;""))))+IF(Screener!$B$14="",0,N(ISNUMBER(SEARCH(Screener!$B$14,Database!$T399&amp;""))))</f>
        <v/>
      </c>
      <c r="I399">
        <f>IF(OR(Database!$B399=Screener!$B$5,IF(OR(Screener!$B$17="All",AND(Screener!$B$17="With A-share",(Database!$AL399&lt;&gt;"")),AND(Screener!$B$17="Without A-share",NOT((Database!$AL399&lt;&gt;"")))),1,0)=0),-999999,IF(Screener!$B$15="cornerstone overlap first",H399*100000,0)+W_SUB*B399+W_SEC*C399*(1-B399)+W_SIZE*D399+W_PROF*E399+W_AH*F399+W_REC*G399+W_CS*H399)+ROW()/1000000</f>
        <v/>
      </c>
      <c r="K399">
        <f>Database!B391</f>
        <v/>
      </c>
      <c r="L399">
        <f>Database!D391</f>
        <v/>
      </c>
      <c r="M399">
        <f>Database!E391</f>
        <v/>
      </c>
      <c r="N399">
        <f>Database!H391</f>
        <v/>
      </c>
      <c r="O399">
        <f>Database!AH391</f>
        <v/>
      </c>
      <c r="P399">
        <f>Database!AK391</f>
        <v/>
      </c>
      <c r="Q399">
        <f>Database!G391</f>
        <v/>
      </c>
    </row>
    <row r="400">
      <c r="A400">
        <f>Database!B400</f>
        <v/>
      </c>
      <c r="B400">
        <f>IF(AND(Screener!$D$9&lt;&gt;"",Database!$E400=Screener!$D$9),1,0)</f>
        <v/>
      </c>
      <c r="C400">
        <f>IF(AND(Screener!$D$8&lt;&gt;"",Database!$D400=Screener!$D$8),1,0)</f>
        <v/>
      </c>
      <c r="D400">
        <f>IF(OR(Database!$H400="",N(Screener!$D$10)&lt;=0),0,MAX(0,1-ABS(LOG10(Database!$H400/Screener!$D$10))/W_SIZEHW))</f>
        <v/>
      </c>
      <c r="E400">
        <f>IF(OR(Database!$AH400="",Screener!$D$11=""),0,IF(Database!$AH400=Screener!$D$11,1,0))</f>
        <v/>
      </c>
      <c r="F400">
        <f>IF(OR(Database!$AK400="",Screener!$D$12=""),0,IF(Database!$AK400=Screener!$D$12,1,0))</f>
        <v/>
      </c>
      <c r="G400">
        <f>IF(OR(Database!$G400="",N(Screener!$D$13)&lt;=0),0,MAX(0,1-(N(Screener!$D$13)-Database!$G400)/W_RECD))</f>
        <v/>
      </c>
      <c r="H400">
        <f>IF($K$1="",0,N(ISNUMBER(SEARCH($K$1,Database!$T400&amp;""))))+IF($L$1="",0,N(ISNUMBER(SEARCH($L$1,Database!$T400&amp;""))))+IF($M$1="",0,N(ISNUMBER(SEARCH($M$1,Database!$T400&amp;""))))+IF($N$1="",0,N(ISNUMBER(SEARCH($N$1,Database!$T400&amp;""))))+IF($O$1="",0,N(ISNUMBER(SEARCH($O$1,Database!$T400&amp;""))))+IF(Screener!$B$14="",0,N(ISNUMBER(SEARCH(Screener!$B$14,Database!$T400&amp;""))))</f>
        <v/>
      </c>
      <c r="I400">
        <f>IF(OR(Database!$B400=Screener!$B$5,IF(OR(Screener!$B$17="All",AND(Screener!$B$17="With A-share",(Database!$AL400&lt;&gt;"")),AND(Screener!$B$17="Without A-share",NOT((Database!$AL400&lt;&gt;"")))),1,0)=0),-999999,IF(Screener!$B$15="cornerstone overlap first",H400*100000,0)+W_SUB*B400+W_SEC*C400*(1-B400)+W_SIZE*D400+W_PROF*E400+W_AH*F400+W_REC*G400+W_CS*H400)+ROW()/1000000</f>
        <v/>
      </c>
      <c r="K400">
        <f>Database!B392</f>
        <v/>
      </c>
      <c r="L400">
        <f>Database!D392</f>
        <v/>
      </c>
      <c r="M400">
        <f>Database!E392</f>
        <v/>
      </c>
      <c r="N400">
        <f>Database!H392</f>
        <v/>
      </c>
      <c r="O400">
        <f>Database!AH392</f>
        <v/>
      </c>
      <c r="P400">
        <f>Database!AK392</f>
        <v/>
      </c>
      <c r="Q400">
        <f>Database!G392</f>
        <v/>
      </c>
    </row>
    <row r="401">
      <c r="A401">
        <f>Database!B401</f>
        <v/>
      </c>
      <c r="B401">
        <f>IF(AND(Screener!$D$9&lt;&gt;"",Database!$E401=Screener!$D$9),1,0)</f>
        <v/>
      </c>
      <c r="C401">
        <f>IF(AND(Screener!$D$8&lt;&gt;"",Database!$D401=Screener!$D$8),1,0)</f>
        <v/>
      </c>
      <c r="D401">
        <f>IF(OR(Database!$H401="",N(Screener!$D$10)&lt;=0),0,MAX(0,1-ABS(LOG10(Database!$H401/Screener!$D$10))/W_SIZEHW))</f>
        <v/>
      </c>
      <c r="E401">
        <f>IF(OR(Database!$AH401="",Screener!$D$11=""),0,IF(Database!$AH401=Screener!$D$11,1,0))</f>
        <v/>
      </c>
      <c r="F401">
        <f>IF(OR(Database!$AK401="",Screener!$D$12=""),0,IF(Database!$AK401=Screener!$D$12,1,0))</f>
        <v/>
      </c>
      <c r="G401">
        <f>IF(OR(Database!$G401="",N(Screener!$D$13)&lt;=0),0,MAX(0,1-(N(Screener!$D$13)-Database!$G401)/W_RECD))</f>
        <v/>
      </c>
      <c r="H401">
        <f>IF($K$1="",0,N(ISNUMBER(SEARCH($K$1,Database!$T401&amp;""))))+IF($L$1="",0,N(ISNUMBER(SEARCH($L$1,Database!$T401&amp;""))))+IF($M$1="",0,N(ISNUMBER(SEARCH($M$1,Database!$T401&amp;""))))+IF($N$1="",0,N(ISNUMBER(SEARCH($N$1,Database!$T401&amp;""))))+IF($O$1="",0,N(ISNUMBER(SEARCH($O$1,Database!$T401&amp;""))))+IF(Screener!$B$14="",0,N(ISNUMBER(SEARCH(Screener!$B$14,Database!$T401&amp;""))))</f>
        <v/>
      </c>
      <c r="I401">
        <f>IF(OR(Database!$B401=Screener!$B$5,IF(OR(Screener!$B$17="All",AND(Screener!$B$17="With A-share",(Database!$AL401&lt;&gt;"")),AND(Screener!$B$17="Without A-share",NOT((Database!$AL401&lt;&gt;"")))),1,0)=0),-999999,IF(Screener!$B$15="cornerstone overlap first",H401*100000,0)+W_SUB*B401+W_SEC*C401*(1-B401)+W_SIZE*D401+W_PROF*E401+W_AH*F401+W_REC*G401+W_CS*H401)+ROW()/1000000</f>
        <v/>
      </c>
      <c r="K401">
        <f>Database!B393</f>
        <v/>
      </c>
      <c r="L401">
        <f>Database!D393</f>
        <v/>
      </c>
      <c r="M401">
        <f>Database!E393</f>
        <v/>
      </c>
      <c r="N401">
        <f>Database!H393</f>
        <v/>
      </c>
      <c r="O401">
        <f>Database!AH393</f>
        <v/>
      </c>
      <c r="P401">
        <f>Database!AK393</f>
        <v/>
      </c>
      <c r="Q401">
        <f>Database!G393</f>
        <v/>
      </c>
    </row>
    <row r="402">
      <c r="A402">
        <f>Database!B402</f>
        <v/>
      </c>
      <c r="B402">
        <f>IF(AND(Screener!$D$9&lt;&gt;"",Database!$E402=Screener!$D$9),1,0)</f>
        <v/>
      </c>
      <c r="C402">
        <f>IF(AND(Screener!$D$8&lt;&gt;"",Database!$D402=Screener!$D$8),1,0)</f>
        <v/>
      </c>
      <c r="D402">
        <f>IF(OR(Database!$H402="",N(Screener!$D$10)&lt;=0),0,MAX(0,1-ABS(LOG10(Database!$H402/Screener!$D$10))/W_SIZEHW))</f>
        <v/>
      </c>
      <c r="E402">
        <f>IF(OR(Database!$AH402="",Screener!$D$11=""),0,IF(Database!$AH402=Screener!$D$11,1,0))</f>
        <v/>
      </c>
      <c r="F402">
        <f>IF(OR(Database!$AK402="",Screener!$D$12=""),0,IF(Database!$AK402=Screener!$D$12,1,0))</f>
        <v/>
      </c>
      <c r="G402">
        <f>IF(OR(Database!$G402="",N(Screener!$D$13)&lt;=0),0,MAX(0,1-(N(Screener!$D$13)-Database!$G402)/W_RECD))</f>
        <v/>
      </c>
      <c r="H402">
        <f>IF($K$1="",0,N(ISNUMBER(SEARCH($K$1,Database!$T402&amp;""))))+IF($L$1="",0,N(ISNUMBER(SEARCH($L$1,Database!$T402&amp;""))))+IF($M$1="",0,N(ISNUMBER(SEARCH($M$1,Database!$T402&amp;""))))+IF($N$1="",0,N(ISNUMBER(SEARCH($N$1,Database!$T402&amp;""))))+IF($O$1="",0,N(ISNUMBER(SEARCH($O$1,Database!$T402&amp;""))))+IF(Screener!$B$14="",0,N(ISNUMBER(SEARCH(Screener!$B$14,Database!$T402&amp;""))))</f>
        <v/>
      </c>
      <c r="I402">
        <f>IF(OR(Database!$B402=Screener!$B$5,IF(OR(Screener!$B$17="All",AND(Screener!$B$17="With A-share",(Database!$AL402&lt;&gt;"")),AND(Screener!$B$17="Without A-share",NOT((Database!$AL402&lt;&gt;"")))),1,0)=0),-999999,IF(Screener!$B$15="cornerstone overlap first",H402*100000,0)+W_SUB*B402+W_SEC*C402*(1-B402)+W_SIZE*D402+W_PROF*E402+W_AH*F402+W_REC*G402+W_CS*H402)+ROW()/1000000</f>
        <v/>
      </c>
      <c r="K402">
        <f>Database!B394</f>
        <v/>
      </c>
      <c r="L402">
        <f>Database!D394</f>
        <v/>
      </c>
      <c r="M402">
        <f>Database!E394</f>
        <v/>
      </c>
      <c r="N402">
        <f>Database!H394</f>
        <v/>
      </c>
      <c r="O402">
        <f>Database!AH394</f>
        <v/>
      </c>
      <c r="P402">
        <f>Database!AK394</f>
        <v/>
      </c>
      <c r="Q402">
        <f>Database!G394</f>
        <v/>
      </c>
    </row>
    <row r="403">
      <c r="A403">
        <f>Database!B403</f>
        <v/>
      </c>
      <c r="B403">
        <f>IF(AND(Screener!$D$9&lt;&gt;"",Database!$E403=Screener!$D$9),1,0)</f>
        <v/>
      </c>
      <c r="C403">
        <f>IF(AND(Screener!$D$8&lt;&gt;"",Database!$D403=Screener!$D$8),1,0)</f>
        <v/>
      </c>
      <c r="D403">
        <f>IF(OR(Database!$H403="",N(Screener!$D$10)&lt;=0),0,MAX(0,1-ABS(LOG10(Database!$H403/Screener!$D$10))/W_SIZEHW))</f>
        <v/>
      </c>
      <c r="E403">
        <f>IF(OR(Database!$AH403="",Screener!$D$11=""),0,IF(Database!$AH403=Screener!$D$11,1,0))</f>
        <v/>
      </c>
      <c r="F403">
        <f>IF(OR(Database!$AK403="",Screener!$D$12=""),0,IF(Database!$AK403=Screener!$D$12,1,0))</f>
        <v/>
      </c>
      <c r="G403">
        <f>IF(OR(Database!$G403="",N(Screener!$D$13)&lt;=0),0,MAX(0,1-(N(Screener!$D$13)-Database!$G403)/W_RECD))</f>
        <v/>
      </c>
      <c r="H403">
        <f>IF($K$1="",0,N(ISNUMBER(SEARCH($K$1,Database!$T403&amp;""))))+IF($L$1="",0,N(ISNUMBER(SEARCH($L$1,Database!$T403&amp;""))))+IF($M$1="",0,N(ISNUMBER(SEARCH($M$1,Database!$T403&amp;""))))+IF($N$1="",0,N(ISNUMBER(SEARCH($N$1,Database!$T403&amp;""))))+IF($O$1="",0,N(ISNUMBER(SEARCH($O$1,Database!$T403&amp;""))))+IF(Screener!$B$14="",0,N(ISNUMBER(SEARCH(Screener!$B$14,Database!$T403&amp;""))))</f>
        <v/>
      </c>
      <c r="I403">
        <f>IF(OR(Database!$B403=Screener!$B$5,IF(OR(Screener!$B$17="All",AND(Screener!$B$17="With A-share",(Database!$AL403&lt;&gt;"")),AND(Screener!$B$17="Without A-share",NOT((Database!$AL403&lt;&gt;"")))),1,0)=0),-999999,IF(Screener!$B$15="cornerstone overlap first",H403*100000,0)+W_SUB*B403+W_SEC*C403*(1-B403)+W_SIZE*D403+W_PROF*E403+W_AH*F403+W_REC*G403+W_CS*H403)+ROW()/1000000</f>
        <v/>
      </c>
      <c r="K403">
        <f>Database!B395</f>
        <v/>
      </c>
      <c r="L403">
        <f>Database!D395</f>
        <v/>
      </c>
      <c r="M403">
        <f>Database!E395</f>
        <v/>
      </c>
      <c r="N403">
        <f>Database!H395</f>
        <v/>
      </c>
      <c r="O403">
        <f>Database!AH395</f>
        <v/>
      </c>
      <c r="P403">
        <f>Database!AK395</f>
        <v/>
      </c>
      <c r="Q403">
        <f>Database!G395</f>
        <v/>
      </c>
    </row>
    <row r="404">
      <c r="A404">
        <f>Database!B404</f>
        <v/>
      </c>
      <c r="B404">
        <f>IF(AND(Screener!$D$9&lt;&gt;"",Database!$E404=Screener!$D$9),1,0)</f>
        <v/>
      </c>
      <c r="C404">
        <f>IF(AND(Screener!$D$8&lt;&gt;"",Database!$D404=Screener!$D$8),1,0)</f>
        <v/>
      </c>
      <c r="D404">
        <f>IF(OR(Database!$H404="",N(Screener!$D$10)&lt;=0),0,MAX(0,1-ABS(LOG10(Database!$H404/Screener!$D$10))/W_SIZEHW))</f>
        <v/>
      </c>
      <c r="E404">
        <f>IF(OR(Database!$AH404="",Screener!$D$11=""),0,IF(Database!$AH404=Screener!$D$11,1,0))</f>
        <v/>
      </c>
      <c r="F404">
        <f>IF(OR(Database!$AK404="",Screener!$D$12=""),0,IF(Database!$AK404=Screener!$D$12,1,0))</f>
        <v/>
      </c>
      <c r="G404">
        <f>IF(OR(Database!$G404="",N(Screener!$D$13)&lt;=0),0,MAX(0,1-(N(Screener!$D$13)-Database!$G404)/W_RECD))</f>
        <v/>
      </c>
      <c r="H404">
        <f>IF($K$1="",0,N(ISNUMBER(SEARCH($K$1,Database!$T404&amp;""))))+IF($L$1="",0,N(ISNUMBER(SEARCH($L$1,Database!$T404&amp;""))))+IF($M$1="",0,N(ISNUMBER(SEARCH($M$1,Database!$T404&amp;""))))+IF($N$1="",0,N(ISNUMBER(SEARCH($N$1,Database!$T404&amp;""))))+IF($O$1="",0,N(ISNUMBER(SEARCH($O$1,Database!$T404&amp;""))))+IF(Screener!$B$14="",0,N(ISNUMBER(SEARCH(Screener!$B$14,Database!$T404&amp;""))))</f>
        <v/>
      </c>
      <c r="I404">
        <f>IF(OR(Database!$B404=Screener!$B$5,IF(OR(Screener!$B$17="All",AND(Screener!$B$17="With A-share",(Database!$AL404&lt;&gt;"")),AND(Screener!$B$17="Without A-share",NOT((Database!$AL404&lt;&gt;"")))),1,0)=0),-999999,IF(Screener!$B$15="cornerstone overlap first",H404*100000,0)+W_SUB*B404+W_SEC*C404*(1-B404)+W_SIZE*D404+W_PROF*E404+W_AH*F404+W_REC*G404+W_CS*H404)+ROW()/1000000</f>
        <v/>
      </c>
      <c r="K404">
        <f>Database!B396</f>
        <v/>
      </c>
      <c r="L404">
        <f>Database!D396</f>
        <v/>
      </c>
      <c r="M404">
        <f>Database!E396</f>
        <v/>
      </c>
      <c r="N404">
        <f>Database!H396</f>
        <v/>
      </c>
      <c r="O404">
        <f>Database!AH396</f>
        <v/>
      </c>
      <c r="P404">
        <f>Database!AK396</f>
        <v/>
      </c>
      <c r="Q404">
        <f>Database!G396</f>
        <v/>
      </c>
    </row>
    <row r="405">
      <c r="A405">
        <f>Database!B405</f>
        <v/>
      </c>
      <c r="B405">
        <f>IF(AND(Screener!$D$9&lt;&gt;"",Database!$E405=Screener!$D$9),1,0)</f>
        <v/>
      </c>
      <c r="C405">
        <f>IF(AND(Screener!$D$8&lt;&gt;"",Database!$D405=Screener!$D$8),1,0)</f>
        <v/>
      </c>
      <c r="D405">
        <f>IF(OR(Database!$H405="",N(Screener!$D$10)&lt;=0),0,MAX(0,1-ABS(LOG10(Database!$H405/Screener!$D$10))/W_SIZEHW))</f>
        <v/>
      </c>
      <c r="E405">
        <f>IF(OR(Database!$AH405="",Screener!$D$11=""),0,IF(Database!$AH405=Screener!$D$11,1,0))</f>
        <v/>
      </c>
      <c r="F405">
        <f>IF(OR(Database!$AK405="",Screener!$D$12=""),0,IF(Database!$AK405=Screener!$D$12,1,0))</f>
        <v/>
      </c>
      <c r="G405">
        <f>IF(OR(Database!$G405="",N(Screener!$D$13)&lt;=0),0,MAX(0,1-(N(Screener!$D$13)-Database!$G405)/W_RECD))</f>
        <v/>
      </c>
      <c r="H405">
        <f>IF($K$1="",0,N(ISNUMBER(SEARCH($K$1,Database!$T405&amp;""))))+IF($L$1="",0,N(ISNUMBER(SEARCH($L$1,Database!$T405&amp;""))))+IF($M$1="",0,N(ISNUMBER(SEARCH($M$1,Database!$T405&amp;""))))+IF($N$1="",0,N(ISNUMBER(SEARCH($N$1,Database!$T405&amp;""))))+IF($O$1="",0,N(ISNUMBER(SEARCH($O$1,Database!$T405&amp;""))))+IF(Screener!$B$14="",0,N(ISNUMBER(SEARCH(Screener!$B$14,Database!$T405&amp;""))))</f>
        <v/>
      </c>
      <c r="I405">
        <f>IF(OR(Database!$B405=Screener!$B$5,IF(OR(Screener!$B$17="All",AND(Screener!$B$17="With A-share",(Database!$AL405&lt;&gt;"")),AND(Screener!$B$17="Without A-share",NOT((Database!$AL405&lt;&gt;"")))),1,0)=0),-999999,IF(Screener!$B$15="cornerstone overlap first",H405*100000,0)+W_SUB*B405+W_SEC*C405*(1-B405)+W_SIZE*D405+W_PROF*E405+W_AH*F405+W_REC*G405+W_CS*H405)+ROW()/1000000</f>
        <v/>
      </c>
      <c r="K405">
        <f>Database!B397</f>
        <v/>
      </c>
      <c r="L405">
        <f>Database!D397</f>
        <v/>
      </c>
      <c r="M405">
        <f>Database!E397</f>
        <v/>
      </c>
      <c r="N405">
        <f>Database!H397</f>
        <v/>
      </c>
      <c r="O405">
        <f>Database!AH397</f>
        <v/>
      </c>
      <c r="P405">
        <f>Database!AK397</f>
        <v/>
      </c>
      <c r="Q405">
        <f>Database!G397</f>
        <v/>
      </c>
    </row>
    <row r="406">
      <c r="A406">
        <f>Database!B406</f>
        <v/>
      </c>
      <c r="B406">
        <f>IF(AND(Screener!$D$9&lt;&gt;"",Database!$E406=Screener!$D$9),1,0)</f>
        <v/>
      </c>
      <c r="C406">
        <f>IF(AND(Screener!$D$8&lt;&gt;"",Database!$D406=Screener!$D$8),1,0)</f>
        <v/>
      </c>
      <c r="D406">
        <f>IF(OR(Database!$H406="",N(Screener!$D$10)&lt;=0),0,MAX(0,1-ABS(LOG10(Database!$H406/Screener!$D$10))/W_SIZEHW))</f>
        <v/>
      </c>
      <c r="E406">
        <f>IF(OR(Database!$AH406="",Screener!$D$11=""),0,IF(Database!$AH406=Screener!$D$11,1,0))</f>
        <v/>
      </c>
      <c r="F406">
        <f>IF(OR(Database!$AK406="",Screener!$D$12=""),0,IF(Database!$AK406=Screener!$D$12,1,0))</f>
        <v/>
      </c>
      <c r="G406">
        <f>IF(OR(Database!$G406="",N(Screener!$D$13)&lt;=0),0,MAX(0,1-(N(Screener!$D$13)-Database!$G406)/W_RECD))</f>
        <v/>
      </c>
      <c r="H406">
        <f>IF($K$1="",0,N(ISNUMBER(SEARCH($K$1,Database!$T406&amp;""))))+IF($L$1="",0,N(ISNUMBER(SEARCH($L$1,Database!$T406&amp;""))))+IF($M$1="",0,N(ISNUMBER(SEARCH($M$1,Database!$T406&amp;""))))+IF($N$1="",0,N(ISNUMBER(SEARCH($N$1,Database!$T406&amp;""))))+IF($O$1="",0,N(ISNUMBER(SEARCH($O$1,Database!$T406&amp;""))))+IF(Screener!$B$14="",0,N(ISNUMBER(SEARCH(Screener!$B$14,Database!$T406&amp;""))))</f>
        <v/>
      </c>
      <c r="I406">
        <f>IF(OR(Database!$B406=Screener!$B$5,IF(OR(Screener!$B$17="All",AND(Screener!$B$17="With A-share",(Database!$AL406&lt;&gt;"")),AND(Screener!$B$17="Without A-share",NOT((Database!$AL406&lt;&gt;"")))),1,0)=0),-999999,IF(Screener!$B$15="cornerstone overlap first",H406*100000,0)+W_SUB*B406+W_SEC*C406*(1-B406)+W_SIZE*D406+W_PROF*E406+W_AH*F406+W_REC*G406+W_CS*H406)+ROW()/1000000</f>
        <v/>
      </c>
      <c r="K406">
        <f>Database!B398</f>
        <v/>
      </c>
      <c r="L406">
        <f>Database!D398</f>
        <v/>
      </c>
      <c r="M406">
        <f>Database!E398</f>
        <v/>
      </c>
      <c r="N406">
        <f>Database!H398</f>
        <v/>
      </c>
      <c r="O406">
        <f>Database!AH398</f>
        <v/>
      </c>
      <c r="P406">
        <f>Database!AK398</f>
        <v/>
      </c>
      <c r="Q406">
        <f>Database!G398</f>
        <v/>
      </c>
    </row>
    <row r="407">
      <c r="A407">
        <f>Database!B407</f>
        <v/>
      </c>
      <c r="B407">
        <f>IF(AND(Screener!$D$9&lt;&gt;"",Database!$E407=Screener!$D$9),1,0)</f>
        <v/>
      </c>
      <c r="C407">
        <f>IF(AND(Screener!$D$8&lt;&gt;"",Database!$D407=Screener!$D$8),1,0)</f>
        <v/>
      </c>
      <c r="D407">
        <f>IF(OR(Database!$H407="",N(Screener!$D$10)&lt;=0),0,MAX(0,1-ABS(LOG10(Database!$H407/Screener!$D$10))/W_SIZEHW))</f>
        <v/>
      </c>
      <c r="E407">
        <f>IF(OR(Database!$AH407="",Screener!$D$11=""),0,IF(Database!$AH407=Screener!$D$11,1,0))</f>
        <v/>
      </c>
      <c r="F407">
        <f>IF(OR(Database!$AK407="",Screener!$D$12=""),0,IF(Database!$AK407=Screener!$D$12,1,0))</f>
        <v/>
      </c>
      <c r="G407">
        <f>IF(OR(Database!$G407="",N(Screener!$D$13)&lt;=0),0,MAX(0,1-(N(Screener!$D$13)-Database!$G407)/W_RECD))</f>
        <v/>
      </c>
      <c r="H407">
        <f>IF($K$1="",0,N(ISNUMBER(SEARCH($K$1,Database!$T407&amp;""))))+IF($L$1="",0,N(ISNUMBER(SEARCH($L$1,Database!$T407&amp;""))))+IF($M$1="",0,N(ISNUMBER(SEARCH($M$1,Database!$T407&amp;""))))+IF($N$1="",0,N(ISNUMBER(SEARCH($N$1,Database!$T407&amp;""))))+IF($O$1="",0,N(ISNUMBER(SEARCH($O$1,Database!$T407&amp;""))))+IF(Screener!$B$14="",0,N(ISNUMBER(SEARCH(Screener!$B$14,Database!$T407&amp;""))))</f>
        <v/>
      </c>
      <c r="I407">
        <f>IF(OR(Database!$B407=Screener!$B$5,IF(OR(Screener!$B$17="All",AND(Screener!$B$17="With A-share",(Database!$AL407&lt;&gt;"")),AND(Screener!$B$17="Without A-share",NOT((Database!$AL407&lt;&gt;"")))),1,0)=0),-999999,IF(Screener!$B$15="cornerstone overlap first",H407*100000,0)+W_SUB*B407+W_SEC*C407*(1-B407)+W_SIZE*D407+W_PROF*E407+W_AH*F407+W_REC*G407+W_CS*H407)+ROW()/1000000</f>
        <v/>
      </c>
      <c r="K407">
        <f>Database!B399</f>
        <v/>
      </c>
      <c r="L407">
        <f>Database!D399</f>
        <v/>
      </c>
      <c r="M407">
        <f>Database!E399</f>
        <v/>
      </c>
      <c r="N407">
        <f>Database!H399</f>
        <v/>
      </c>
      <c r="O407">
        <f>Database!AH399</f>
        <v/>
      </c>
      <c r="P407">
        <f>Database!AK399</f>
        <v/>
      </c>
      <c r="Q407">
        <f>Database!G399</f>
        <v/>
      </c>
    </row>
    <row r="408">
      <c r="A408">
        <f>Database!B408</f>
        <v/>
      </c>
      <c r="B408">
        <f>IF(AND(Screener!$D$9&lt;&gt;"",Database!$E408=Screener!$D$9),1,0)</f>
        <v/>
      </c>
      <c r="C408">
        <f>IF(AND(Screener!$D$8&lt;&gt;"",Database!$D408=Screener!$D$8),1,0)</f>
        <v/>
      </c>
      <c r="D408">
        <f>IF(OR(Database!$H408="",N(Screener!$D$10)&lt;=0),0,MAX(0,1-ABS(LOG10(Database!$H408/Screener!$D$10))/W_SIZEHW))</f>
        <v/>
      </c>
      <c r="E408">
        <f>IF(OR(Database!$AH408="",Screener!$D$11=""),0,IF(Database!$AH408=Screener!$D$11,1,0))</f>
        <v/>
      </c>
      <c r="F408">
        <f>IF(OR(Database!$AK408="",Screener!$D$12=""),0,IF(Database!$AK408=Screener!$D$12,1,0))</f>
        <v/>
      </c>
      <c r="G408">
        <f>IF(OR(Database!$G408="",N(Screener!$D$13)&lt;=0),0,MAX(0,1-(N(Screener!$D$13)-Database!$G408)/W_RECD))</f>
        <v/>
      </c>
      <c r="H408">
        <f>IF($K$1="",0,N(ISNUMBER(SEARCH($K$1,Database!$T408&amp;""))))+IF($L$1="",0,N(ISNUMBER(SEARCH($L$1,Database!$T408&amp;""))))+IF($M$1="",0,N(ISNUMBER(SEARCH($M$1,Database!$T408&amp;""))))+IF($N$1="",0,N(ISNUMBER(SEARCH($N$1,Database!$T408&amp;""))))+IF($O$1="",0,N(ISNUMBER(SEARCH($O$1,Database!$T408&amp;""))))+IF(Screener!$B$14="",0,N(ISNUMBER(SEARCH(Screener!$B$14,Database!$T408&amp;""))))</f>
        <v/>
      </c>
      <c r="I408">
        <f>IF(OR(Database!$B408=Screener!$B$5,IF(OR(Screener!$B$17="All",AND(Screener!$B$17="With A-share",(Database!$AL408&lt;&gt;"")),AND(Screener!$B$17="Without A-share",NOT((Database!$AL408&lt;&gt;"")))),1,0)=0),-999999,IF(Screener!$B$15="cornerstone overlap first",H408*100000,0)+W_SUB*B408+W_SEC*C408*(1-B408)+W_SIZE*D408+W_PROF*E408+W_AH*F408+W_REC*G408+W_CS*H408)+ROW()/1000000</f>
        <v/>
      </c>
      <c r="K408">
        <f>Database!B400</f>
        <v/>
      </c>
      <c r="L408">
        <f>Database!D400</f>
        <v/>
      </c>
      <c r="M408">
        <f>Database!E400</f>
        <v/>
      </c>
      <c r="N408">
        <f>Database!H400</f>
        <v/>
      </c>
      <c r="O408">
        <f>Database!AH400</f>
        <v/>
      </c>
      <c r="P408">
        <f>Database!AK400</f>
        <v/>
      </c>
      <c r="Q408">
        <f>Database!G400</f>
        <v/>
      </c>
    </row>
    <row r="409">
      <c r="A409">
        <f>Database!B409</f>
        <v/>
      </c>
      <c r="B409">
        <f>IF(AND(Screener!$D$9&lt;&gt;"",Database!$E409=Screener!$D$9),1,0)</f>
        <v/>
      </c>
      <c r="C409">
        <f>IF(AND(Screener!$D$8&lt;&gt;"",Database!$D409=Screener!$D$8),1,0)</f>
        <v/>
      </c>
      <c r="D409">
        <f>IF(OR(Database!$H409="",N(Screener!$D$10)&lt;=0),0,MAX(0,1-ABS(LOG10(Database!$H409/Screener!$D$10))/W_SIZEHW))</f>
        <v/>
      </c>
      <c r="E409">
        <f>IF(OR(Database!$AH409="",Screener!$D$11=""),0,IF(Database!$AH409=Screener!$D$11,1,0))</f>
        <v/>
      </c>
      <c r="F409">
        <f>IF(OR(Database!$AK409="",Screener!$D$12=""),0,IF(Database!$AK409=Screener!$D$12,1,0))</f>
        <v/>
      </c>
      <c r="G409">
        <f>IF(OR(Database!$G409="",N(Screener!$D$13)&lt;=0),0,MAX(0,1-(N(Screener!$D$13)-Database!$G409)/W_RECD))</f>
        <v/>
      </c>
      <c r="H409">
        <f>IF($K$1="",0,N(ISNUMBER(SEARCH($K$1,Database!$T409&amp;""))))+IF($L$1="",0,N(ISNUMBER(SEARCH($L$1,Database!$T409&amp;""))))+IF($M$1="",0,N(ISNUMBER(SEARCH($M$1,Database!$T409&amp;""))))+IF($N$1="",0,N(ISNUMBER(SEARCH($N$1,Database!$T409&amp;""))))+IF($O$1="",0,N(ISNUMBER(SEARCH($O$1,Database!$T409&amp;""))))+IF(Screener!$B$14="",0,N(ISNUMBER(SEARCH(Screener!$B$14,Database!$T409&amp;""))))</f>
        <v/>
      </c>
      <c r="I409">
        <f>IF(OR(Database!$B409=Screener!$B$5,IF(OR(Screener!$B$17="All",AND(Screener!$B$17="With A-share",(Database!$AL409&lt;&gt;"")),AND(Screener!$B$17="Without A-share",NOT((Database!$AL409&lt;&gt;"")))),1,0)=0),-999999,IF(Screener!$B$15="cornerstone overlap first",H409*100000,0)+W_SUB*B409+W_SEC*C409*(1-B409)+W_SIZE*D409+W_PROF*E409+W_AH*F409+W_REC*G409+W_CS*H409)+ROW()/1000000</f>
        <v/>
      </c>
      <c r="K409">
        <f>Database!B401</f>
        <v/>
      </c>
      <c r="L409">
        <f>Database!D401</f>
        <v/>
      </c>
      <c r="M409">
        <f>Database!E401</f>
        <v/>
      </c>
      <c r="N409">
        <f>Database!H401</f>
        <v/>
      </c>
      <c r="O409">
        <f>Database!AH401</f>
        <v/>
      </c>
      <c r="P409">
        <f>Database!AK401</f>
        <v/>
      </c>
      <c r="Q409">
        <f>Database!G401</f>
        <v/>
      </c>
    </row>
    <row r="410">
      <c r="A410">
        <f>Database!B410</f>
        <v/>
      </c>
      <c r="B410">
        <f>IF(AND(Screener!$D$9&lt;&gt;"",Database!$E410=Screener!$D$9),1,0)</f>
        <v/>
      </c>
      <c r="C410">
        <f>IF(AND(Screener!$D$8&lt;&gt;"",Database!$D410=Screener!$D$8),1,0)</f>
        <v/>
      </c>
      <c r="D410">
        <f>IF(OR(Database!$H410="",N(Screener!$D$10)&lt;=0),0,MAX(0,1-ABS(LOG10(Database!$H410/Screener!$D$10))/W_SIZEHW))</f>
        <v/>
      </c>
      <c r="E410">
        <f>IF(OR(Database!$AH410="",Screener!$D$11=""),0,IF(Database!$AH410=Screener!$D$11,1,0))</f>
        <v/>
      </c>
      <c r="F410">
        <f>IF(OR(Database!$AK410="",Screener!$D$12=""),0,IF(Database!$AK410=Screener!$D$12,1,0))</f>
        <v/>
      </c>
      <c r="G410">
        <f>IF(OR(Database!$G410="",N(Screener!$D$13)&lt;=0),0,MAX(0,1-(N(Screener!$D$13)-Database!$G410)/W_RECD))</f>
        <v/>
      </c>
      <c r="H410">
        <f>IF($K$1="",0,N(ISNUMBER(SEARCH($K$1,Database!$T410&amp;""))))+IF($L$1="",0,N(ISNUMBER(SEARCH($L$1,Database!$T410&amp;""))))+IF($M$1="",0,N(ISNUMBER(SEARCH($M$1,Database!$T410&amp;""))))+IF($N$1="",0,N(ISNUMBER(SEARCH($N$1,Database!$T410&amp;""))))+IF($O$1="",0,N(ISNUMBER(SEARCH($O$1,Database!$T410&amp;""))))+IF(Screener!$B$14="",0,N(ISNUMBER(SEARCH(Screener!$B$14,Database!$T410&amp;""))))</f>
        <v/>
      </c>
      <c r="I410">
        <f>IF(OR(Database!$B410=Screener!$B$5,IF(OR(Screener!$B$17="All",AND(Screener!$B$17="With A-share",(Database!$AL410&lt;&gt;"")),AND(Screener!$B$17="Without A-share",NOT((Database!$AL410&lt;&gt;"")))),1,0)=0),-999999,IF(Screener!$B$15="cornerstone overlap first",H410*100000,0)+W_SUB*B410+W_SEC*C410*(1-B410)+W_SIZE*D410+W_PROF*E410+W_AH*F410+W_REC*G410+W_CS*H410)+ROW()/1000000</f>
        <v/>
      </c>
      <c r="K410">
        <f>Database!B402</f>
        <v/>
      </c>
      <c r="L410">
        <f>Database!D402</f>
        <v/>
      </c>
      <c r="M410">
        <f>Database!E402</f>
        <v/>
      </c>
      <c r="N410">
        <f>Database!H402</f>
        <v/>
      </c>
      <c r="O410">
        <f>Database!AH402</f>
        <v/>
      </c>
      <c r="P410">
        <f>Database!AK402</f>
        <v/>
      </c>
      <c r="Q410">
        <f>Database!G402</f>
        <v/>
      </c>
    </row>
    <row r="411">
      <c r="A411">
        <f>Database!B411</f>
        <v/>
      </c>
      <c r="B411">
        <f>IF(AND(Screener!$D$9&lt;&gt;"",Database!$E411=Screener!$D$9),1,0)</f>
        <v/>
      </c>
      <c r="C411">
        <f>IF(AND(Screener!$D$8&lt;&gt;"",Database!$D411=Screener!$D$8),1,0)</f>
        <v/>
      </c>
      <c r="D411">
        <f>IF(OR(Database!$H411="",N(Screener!$D$10)&lt;=0),0,MAX(0,1-ABS(LOG10(Database!$H411/Screener!$D$10))/W_SIZEHW))</f>
        <v/>
      </c>
      <c r="E411">
        <f>IF(OR(Database!$AH411="",Screener!$D$11=""),0,IF(Database!$AH411=Screener!$D$11,1,0))</f>
        <v/>
      </c>
      <c r="F411">
        <f>IF(OR(Database!$AK411="",Screener!$D$12=""),0,IF(Database!$AK411=Screener!$D$12,1,0))</f>
        <v/>
      </c>
      <c r="G411">
        <f>IF(OR(Database!$G411="",N(Screener!$D$13)&lt;=0),0,MAX(0,1-(N(Screener!$D$13)-Database!$G411)/W_RECD))</f>
        <v/>
      </c>
      <c r="H411">
        <f>IF($K$1="",0,N(ISNUMBER(SEARCH($K$1,Database!$T411&amp;""))))+IF($L$1="",0,N(ISNUMBER(SEARCH($L$1,Database!$T411&amp;""))))+IF($M$1="",0,N(ISNUMBER(SEARCH($M$1,Database!$T411&amp;""))))+IF($N$1="",0,N(ISNUMBER(SEARCH($N$1,Database!$T411&amp;""))))+IF($O$1="",0,N(ISNUMBER(SEARCH($O$1,Database!$T411&amp;""))))+IF(Screener!$B$14="",0,N(ISNUMBER(SEARCH(Screener!$B$14,Database!$T411&amp;""))))</f>
        <v/>
      </c>
      <c r="I411">
        <f>IF(OR(Database!$B411=Screener!$B$5,IF(OR(Screener!$B$17="All",AND(Screener!$B$17="With A-share",(Database!$AL411&lt;&gt;"")),AND(Screener!$B$17="Without A-share",NOT((Database!$AL411&lt;&gt;"")))),1,0)=0),-999999,IF(Screener!$B$15="cornerstone overlap first",H411*100000,0)+W_SUB*B411+W_SEC*C411*(1-B411)+W_SIZE*D411+W_PROF*E411+W_AH*F411+W_REC*G411+W_CS*H411)+ROW()/1000000</f>
        <v/>
      </c>
      <c r="K411">
        <f>Database!B403</f>
        <v/>
      </c>
      <c r="L411">
        <f>Database!D403</f>
        <v/>
      </c>
      <c r="M411">
        <f>Database!E403</f>
        <v/>
      </c>
      <c r="N411">
        <f>Database!H403</f>
        <v/>
      </c>
      <c r="O411">
        <f>Database!AH403</f>
        <v/>
      </c>
      <c r="P411">
        <f>Database!AK403</f>
        <v/>
      </c>
      <c r="Q411">
        <f>Database!G403</f>
        <v/>
      </c>
    </row>
    <row r="412">
      <c r="A412">
        <f>Database!B412</f>
        <v/>
      </c>
      <c r="B412">
        <f>IF(AND(Screener!$D$9&lt;&gt;"",Database!$E412=Screener!$D$9),1,0)</f>
        <v/>
      </c>
      <c r="C412">
        <f>IF(AND(Screener!$D$8&lt;&gt;"",Database!$D412=Screener!$D$8),1,0)</f>
        <v/>
      </c>
      <c r="D412">
        <f>IF(OR(Database!$H412="",N(Screener!$D$10)&lt;=0),0,MAX(0,1-ABS(LOG10(Database!$H412/Screener!$D$10))/W_SIZEHW))</f>
        <v/>
      </c>
      <c r="E412">
        <f>IF(OR(Database!$AH412="",Screener!$D$11=""),0,IF(Database!$AH412=Screener!$D$11,1,0))</f>
        <v/>
      </c>
      <c r="F412">
        <f>IF(OR(Database!$AK412="",Screener!$D$12=""),0,IF(Database!$AK412=Screener!$D$12,1,0))</f>
        <v/>
      </c>
      <c r="G412">
        <f>IF(OR(Database!$G412="",N(Screener!$D$13)&lt;=0),0,MAX(0,1-(N(Screener!$D$13)-Database!$G412)/W_RECD))</f>
        <v/>
      </c>
      <c r="H412">
        <f>IF($K$1="",0,N(ISNUMBER(SEARCH($K$1,Database!$T412&amp;""))))+IF($L$1="",0,N(ISNUMBER(SEARCH($L$1,Database!$T412&amp;""))))+IF($M$1="",0,N(ISNUMBER(SEARCH($M$1,Database!$T412&amp;""))))+IF($N$1="",0,N(ISNUMBER(SEARCH($N$1,Database!$T412&amp;""))))+IF($O$1="",0,N(ISNUMBER(SEARCH($O$1,Database!$T412&amp;""))))+IF(Screener!$B$14="",0,N(ISNUMBER(SEARCH(Screener!$B$14,Database!$T412&amp;""))))</f>
        <v/>
      </c>
      <c r="I412">
        <f>IF(OR(Database!$B412=Screener!$B$5,IF(OR(Screener!$B$17="All",AND(Screener!$B$17="With A-share",(Database!$AL412&lt;&gt;"")),AND(Screener!$B$17="Without A-share",NOT((Database!$AL412&lt;&gt;"")))),1,0)=0),-999999,IF(Screener!$B$15="cornerstone overlap first",H412*100000,0)+W_SUB*B412+W_SEC*C412*(1-B412)+W_SIZE*D412+W_PROF*E412+W_AH*F412+W_REC*G412+W_CS*H412)+ROW()/1000000</f>
        <v/>
      </c>
      <c r="K412">
        <f>Database!B404</f>
        <v/>
      </c>
      <c r="L412">
        <f>Database!D404</f>
        <v/>
      </c>
      <c r="M412">
        <f>Database!E404</f>
        <v/>
      </c>
      <c r="N412">
        <f>Database!H404</f>
        <v/>
      </c>
      <c r="O412">
        <f>Database!AH404</f>
        <v/>
      </c>
      <c r="P412">
        <f>Database!AK404</f>
        <v/>
      </c>
      <c r="Q412">
        <f>Database!G404</f>
        <v/>
      </c>
    </row>
    <row r="413">
      <c r="A413">
        <f>Database!B413</f>
        <v/>
      </c>
      <c r="B413">
        <f>IF(AND(Screener!$D$9&lt;&gt;"",Database!$E413=Screener!$D$9),1,0)</f>
        <v/>
      </c>
      <c r="C413">
        <f>IF(AND(Screener!$D$8&lt;&gt;"",Database!$D413=Screener!$D$8),1,0)</f>
        <v/>
      </c>
      <c r="D413">
        <f>IF(OR(Database!$H413="",N(Screener!$D$10)&lt;=0),0,MAX(0,1-ABS(LOG10(Database!$H413/Screener!$D$10))/W_SIZEHW))</f>
        <v/>
      </c>
      <c r="E413">
        <f>IF(OR(Database!$AH413="",Screener!$D$11=""),0,IF(Database!$AH413=Screener!$D$11,1,0))</f>
        <v/>
      </c>
      <c r="F413">
        <f>IF(OR(Database!$AK413="",Screener!$D$12=""),0,IF(Database!$AK413=Screener!$D$12,1,0))</f>
        <v/>
      </c>
      <c r="G413">
        <f>IF(OR(Database!$G413="",N(Screener!$D$13)&lt;=0),0,MAX(0,1-(N(Screener!$D$13)-Database!$G413)/W_RECD))</f>
        <v/>
      </c>
      <c r="H413">
        <f>IF($K$1="",0,N(ISNUMBER(SEARCH($K$1,Database!$T413&amp;""))))+IF($L$1="",0,N(ISNUMBER(SEARCH($L$1,Database!$T413&amp;""))))+IF($M$1="",0,N(ISNUMBER(SEARCH($M$1,Database!$T413&amp;""))))+IF($N$1="",0,N(ISNUMBER(SEARCH($N$1,Database!$T413&amp;""))))+IF($O$1="",0,N(ISNUMBER(SEARCH($O$1,Database!$T413&amp;""))))+IF(Screener!$B$14="",0,N(ISNUMBER(SEARCH(Screener!$B$14,Database!$T413&amp;""))))</f>
        <v/>
      </c>
      <c r="I413">
        <f>IF(OR(Database!$B413=Screener!$B$5,IF(OR(Screener!$B$17="All",AND(Screener!$B$17="With A-share",(Database!$AL413&lt;&gt;"")),AND(Screener!$B$17="Without A-share",NOT((Database!$AL413&lt;&gt;"")))),1,0)=0),-999999,IF(Screener!$B$15="cornerstone overlap first",H413*100000,0)+W_SUB*B413+W_SEC*C413*(1-B413)+W_SIZE*D413+W_PROF*E413+W_AH*F413+W_REC*G413+W_CS*H413)+ROW()/1000000</f>
        <v/>
      </c>
      <c r="K413">
        <f>Database!B405</f>
        <v/>
      </c>
      <c r="L413">
        <f>Database!D405</f>
        <v/>
      </c>
      <c r="M413">
        <f>Database!E405</f>
        <v/>
      </c>
      <c r="N413">
        <f>Database!H405</f>
        <v/>
      </c>
      <c r="O413">
        <f>Database!AH405</f>
        <v/>
      </c>
      <c r="P413">
        <f>Database!AK405</f>
        <v/>
      </c>
      <c r="Q413">
        <f>Database!G405</f>
        <v/>
      </c>
    </row>
    <row r="414">
      <c r="A414">
        <f>Database!B414</f>
        <v/>
      </c>
      <c r="B414">
        <f>IF(AND(Screener!$D$9&lt;&gt;"",Database!$E414=Screener!$D$9),1,0)</f>
        <v/>
      </c>
      <c r="C414">
        <f>IF(AND(Screener!$D$8&lt;&gt;"",Database!$D414=Screener!$D$8),1,0)</f>
        <v/>
      </c>
      <c r="D414">
        <f>IF(OR(Database!$H414="",N(Screener!$D$10)&lt;=0),0,MAX(0,1-ABS(LOG10(Database!$H414/Screener!$D$10))/W_SIZEHW))</f>
        <v/>
      </c>
      <c r="E414">
        <f>IF(OR(Database!$AH414="",Screener!$D$11=""),0,IF(Database!$AH414=Screener!$D$11,1,0))</f>
        <v/>
      </c>
      <c r="F414">
        <f>IF(OR(Database!$AK414="",Screener!$D$12=""),0,IF(Database!$AK414=Screener!$D$12,1,0))</f>
        <v/>
      </c>
      <c r="G414">
        <f>IF(OR(Database!$G414="",N(Screener!$D$13)&lt;=0),0,MAX(0,1-(N(Screener!$D$13)-Database!$G414)/W_RECD))</f>
        <v/>
      </c>
      <c r="H414">
        <f>IF($K$1="",0,N(ISNUMBER(SEARCH($K$1,Database!$T414&amp;""))))+IF($L$1="",0,N(ISNUMBER(SEARCH($L$1,Database!$T414&amp;""))))+IF($M$1="",0,N(ISNUMBER(SEARCH($M$1,Database!$T414&amp;""))))+IF($N$1="",0,N(ISNUMBER(SEARCH($N$1,Database!$T414&amp;""))))+IF($O$1="",0,N(ISNUMBER(SEARCH($O$1,Database!$T414&amp;""))))+IF(Screener!$B$14="",0,N(ISNUMBER(SEARCH(Screener!$B$14,Database!$T414&amp;""))))</f>
        <v/>
      </c>
      <c r="I414">
        <f>IF(OR(Database!$B414=Screener!$B$5,IF(OR(Screener!$B$17="All",AND(Screener!$B$17="With A-share",(Database!$AL414&lt;&gt;"")),AND(Screener!$B$17="Without A-share",NOT((Database!$AL414&lt;&gt;"")))),1,0)=0),-999999,IF(Screener!$B$15="cornerstone overlap first",H414*100000,0)+W_SUB*B414+W_SEC*C414*(1-B414)+W_SIZE*D414+W_PROF*E414+W_AH*F414+W_REC*G414+W_CS*H414)+ROW()/1000000</f>
        <v/>
      </c>
      <c r="K414">
        <f>Database!B406</f>
        <v/>
      </c>
      <c r="L414">
        <f>Database!D406</f>
        <v/>
      </c>
      <c r="M414">
        <f>Database!E406</f>
        <v/>
      </c>
      <c r="N414">
        <f>Database!H406</f>
        <v/>
      </c>
      <c r="O414">
        <f>Database!AH406</f>
        <v/>
      </c>
      <c r="P414">
        <f>Database!AK406</f>
        <v/>
      </c>
      <c r="Q414">
        <f>Database!G406</f>
        <v/>
      </c>
    </row>
    <row r="415">
      <c r="A415">
        <f>Database!B415</f>
        <v/>
      </c>
      <c r="B415">
        <f>IF(AND(Screener!$D$9&lt;&gt;"",Database!$E415=Screener!$D$9),1,0)</f>
        <v/>
      </c>
      <c r="C415">
        <f>IF(AND(Screener!$D$8&lt;&gt;"",Database!$D415=Screener!$D$8),1,0)</f>
        <v/>
      </c>
      <c r="D415">
        <f>IF(OR(Database!$H415="",N(Screener!$D$10)&lt;=0),0,MAX(0,1-ABS(LOG10(Database!$H415/Screener!$D$10))/W_SIZEHW))</f>
        <v/>
      </c>
      <c r="E415">
        <f>IF(OR(Database!$AH415="",Screener!$D$11=""),0,IF(Database!$AH415=Screener!$D$11,1,0))</f>
        <v/>
      </c>
      <c r="F415">
        <f>IF(OR(Database!$AK415="",Screener!$D$12=""),0,IF(Database!$AK415=Screener!$D$12,1,0))</f>
        <v/>
      </c>
      <c r="G415">
        <f>IF(OR(Database!$G415="",N(Screener!$D$13)&lt;=0),0,MAX(0,1-(N(Screener!$D$13)-Database!$G415)/W_RECD))</f>
        <v/>
      </c>
      <c r="H415">
        <f>IF($K$1="",0,N(ISNUMBER(SEARCH($K$1,Database!$T415&amp;""))))+IF($L$1="",0,N(ISNUMBER(SEARCH($L$1,Database!$T415&amp;""))))+IF($M$1="",0,N(ISNUMBER(SEARCH($M$1,Database!$T415&amp;""))))+IF($N$1="",0,N(ISNUMBER(SEARCH($N$1,Database!$T415&amp;""))))+IF($O$1="",0,N(ISNUMBER(SEARCH($O$1,Database!$T415&amp;""))))+IF(Screener!$B$14="",0,N(ISNUMBER(SEARCH(Screener!$B$14,Database!$T415&amp;""))))</f>
        <v/>
      </c>
      <c r="I415">
        <f>IF(OR(Database!$B415=Screener!$B$5,IF(OR(Screener!$B$17="All",AND(Screener!$B$17="With A-share",(Database!$AL415&lt;&gt;"")),AND(Screener!$B$17="Without A-share",NOT((Database!$AL415&lt;&gt;"")))),1,0)=0),-999999,IF(Screener!$B$15="cornerstone overlap first",H415*100000,0)+W_SUB*B415+W_SEC*C415*(1-B415)+W_SIZE*D415+W_PROF*E415+W_AH*F415+W_REC*G415+W_CS*H415)+ROW()/1000000</f>
        <v/>
      </c>
      <c r="K415">
        <f>Database!B407</f>
        <v/>
      </c>
      <c r="L415">
        <f>Database!D407</f>
        <v/>
      </c>
      <c r="M415">
        <f>Database!E407</f>
        <v/>
      </c>
      <c r="N415">
        <f>Database!H407</f>
        <v/>
      </c>
      <c r="O415">
        <f>Database!AH407</f>
        <v/>
      </c>
      <c r="P415">
        <f>Database!AK407</f>
        <v/>
      </c>
      <c r="Q415">
        <f>Database!G407</f>
        <v/>
      </c>
    </row>
    <row r="416">
      <c r="A416">
        <f>Database!B416</f>
        <v/>
      </c>
      <c r="B416">
        <f>IF(AND(Screener!$D$9&lt;&gt;"",Database!$E416=Screener!$D$9),1,0)</f>
        <v/>
      </c>
      <c r="C416">
        <f>IF(AND(Screener!$D$8&lt;&gt;"",Database!$D416=Screener!$D$8),1,0)</f>
        <v/>
      </c>
      <c r="D416">
        <f>IF(OR(Database!$H416="",N(Screener!$D$10)&lt;=0),0,MAX(0,1-ABS(LOG10(Database!$H416/Screener!$D$10))/W_SIZEHW))</f>
        <v/>
      </c>
      <c r="E416">
        <f>IF(OR(Database!$AH416="",Screener!$D$11=""),0,IF(Database!$AH416=Screener!$D$11,1,0))</f>
        <v/>
      </c>
      <c r="F416">
        <f>IF(OR(Database!$AK416="",Screener!$D$12=""),0,IF(Database!$AK416=Screener!$D$12,1,0))</f>
        <v/>
      </c>
      <c r="G416">
        <f>IF(OR(Database!$G416="",N(Screener!$D$13)&lt;=0),0,MAX(0,1-(N(Screener!$D$13)-Database!$G416)/W_RECD))</f>
        <v/>
      </c>
      <c r="H416">
        <f>IF($K$1="",0,N(ISNUMBER(SEARCH($K$1,Database!$T416&amp;""))))+IF($L$1="",0,N(ISNUMBER(SEARCH($L$1,Database!$T416&amp;""))))+IF($M$1="",0,N(ISNUMBER(SEARCH($M$1,Database!$T416&amp;""))))+IF($N$1="",0,N(ISNUMBER(SEARCH($N$1,Database!$T416&amp;""))))+IF($O$1="",0,N(ISNUMBER(SEARCH($O$1,Database!$T416&amp;""))))+IF(Screener!$B$14="",0,N(ISNUMBER(SEARCH(Screener!$B$14,Database!$T416&amp;""))))</f>
        <v/>
      </c>
      <c r="I416">
        <f>IF(OR(Database!$B416=Screener!$B$5,IF(OR(Screener!$B$17="All",AND(Screener!$B$17="With A-share",(Database!$AL416&lt;&gt;"")),AND(Screener!$B$17="Without A-share",NOT((Database!$AL416&lt;&gt;"")))),1,0)=0),-999999,IF(Screener!$B$15="cornerstone overlap first",H416*100000,0)+W_SUB*B416+W_SEC*C416*(1-B416)+W_SIZE*D416+W_PROF*E416+W_AH*F416+W_REC*G416+W_CS*H416)+ROW()/1000000</f>
        <v/>
      </c>
      <c r="K416">
        <f>Database!B408</f>
        <v/>
      </c>
      <c r="L416">
        <f>Database!D408</f>
        <v/>
      </c>
      <c r="M416">
        <f>Database!E408</f>
        <v/>
      </c>
      <c r="N416">
        <f>Database!H408</f>
        <v/>
      </c>
      <c r="O416">
        <f>Database!AH408</f>
        <v/>
      </c>
      <c r="P416">
        <f>Database!AK408</f>
        <v/>
      </c>
      <c r="Q416">
        <f>Database!G408</f>
        <v/>
      </c>
    </row>
    <row r="417">
      <c r="A417">
        <f>Database!B417</f>
        <v/>
      </c>
      <c r="B417">
        <f>IF(AND(Screener!$D$9&lt;&gt;"",Database!$E417=Screener!$D$9),1,0)</f>
        <v/>
      </c>
      <c r="C417">
        <f>IF(AND(Screener!$D$8&lt;&gt;"",Database!$D417=Screener!$D$8),1,0)</f>
        <v/>
      </c>
      <c r="D417">
        <f>IF(OR(Database!$H417="",N(Screener!$D$10)&lt;=0),0,MAX(0,1-ABS(LOG10(Database!$H417/Screener!$D$10))/W_SIZEHW))</f>
        <v/>
      </c>
      <c r="E417">
        <f>IF(OR(Database!$AH417="",Screener!$D$11=""),0,IF(Database!$AH417=Screener!$D$11,1,0))</f>
        <v/>
      </c>
      <c r="F417">
        <f>IF(OR(Database!$AK417="",Screener!$D$12=""),0,IF(Database!$AK417=Screener!$D$12,1,0))</f>
        <v/>
      </c>
      <c r="G417">
        <f>IF(OR(Database!$G417="",N(Screener!$D$13)&lt;=0),0,MAX(0,1-(N(Screener!$D$13)-Database!$G417)/W_RECD))</f>
        <v/>
      </c>
      <c r="H417">
        <f>IF($K$1="",0,N(ISNUMBER(SEARCH($K$1,Database!$T417&amp;""))))+IF($L$1="",0,N(ISNUMBER(SEARCH($L$1,Database!$T417&amp;""))))+IF($M$1="",0,N(ISNUMBER(SEARCH($M$1,Database!$T417&amp;""))))+IF($N$1="",0,N(ISNUMBER(SEARCH($N$1,Database!$T417&amp;""))))+IF($O$1="",0,N(ISNUMBER(SEARCH($O$1,Database!$T417&amp;""))))+IF(Screener!$B$14="",0,N(ISNUMBER(SEARCH(Screener!$B$14,Database!$T417&amp;""))))</f>
        <v/>
      </c>
      <c r="I417">
        <f>IF(OR(Database!$B417=Screener!$B$5,IF(OR(Screener!$B$17="All",AND(Screener!$B$17="With A-share",(Database!$AL417&lt;&gt;"")),AND(Screener!$B$17="Without A-share",NOT((Database!$AL417&lt;&gt;"")))),1,0)=0),-999999,IF(Screener!$B$15="cornerstone overlap first",H417*100000,0)+W_SUB*B417+W_SEC*C417*(1-B417)+W_SIZE*D417+W_PROF*E417+W_AH*F417+W_REC*G417+W_CS*H417)+ROW()/1000000</f>
        <v/>
      </c>
      <c r="K417">
        <f>Database!B409</f>
        <v/>
      </c>
      <c r="L417">
        <f>Database!D409</f>
        <v/>
      </c>
      <c r="M417">
        <f>Database!E409</f>
        <v/>
      </c>
      <c r="N417">
        <f>Database!H409</f>
        <v/>
      </c>
      <c r="O417">
        <f>Database!AH409</f>
        <v/>
      </c>
      <c r="P417">
        <f>Database!AK409</f>
        <v/>
      </c>
      <c r="Q417">
        <f>Database!G409</f>
        <v/>
      </c>
    </row>
    <row r="418">
      <c r="A418">
        <f>Database!B418</f>
        <v/>
      </c>
      <c r="B418">
        <f>IF(AND(Screener!$D$9&lt;&gt;"",Database!$E418=Screener!$D$9),1,0)</f>
        <v/>
      </c>
      <c r="C418">
        <f>IF(AND(Screener!$D$8&lt;&gt;"",Database!$D418=Screener!$D$8),1,0)</f>
        <v/>
      </c>
      <c r="D418">
        <f>IF(OR(Database!$H418="",N(Screener!$D$10)&lt;=0),0,MAX(0,1-ABS(LOG10(Database!$H418/Screener!$D$10))/W_SIZEHW))</f>
        <v/>
      </c>
      <c r="E418">
        <f>IF(OR(Database!$AH418="",Screener!$D$11=""),0,IF(Database!$AH418=Screener!$D$11,1,0))</f>
        <v/>
      </c>
      <c r="F418">
        <f>IF(OR(Database!$AK418="",Screener!$D$12=""),0,IF(Database!$AK418=Screener!$D$12,1,0))</f>
        <v/>
      </c>
      <c r="G418">
        <f>IF(OR(Database!$G418="",N(Screener!$D$13)&lt;=0),0,MAX(0,1-(N(Screener!$D$13)-Database!$G418)/W_RECD))</f>
        <v/>
      </c>
      <c r="H418">
        <f>IF($K$1="",0,N(ISNUMBER(SEARCH($K$1,Database!$T418&amp;""))))+IF($L$1="",0,N(ISNUMBER(SEARCH($L$1,Database!$T418&amp;""))))+IF($M$1="",0,N(ISNUMBER(SEARCH($M$1,Database!$T418&amp;""))))+IF($N$1="",0,N(ISNUMBER(SEARCH($N$1,Database!$T418&amp;""))))+IF($O$1="",0,N(ISNUMBER(SEARCH($O$1,Database!$T418&amp;""))))+IF(Screener!$B$14="",0,N(ISNUMBER(SEARCH(Screener!$B$14,Database!$T418&amp;""))))</f>
        <v/>
      </c>
      <c r="I418">
        <f>IF(OR(Database!$B418=Screener!$B$5,IF(OR(Screener!$B$17="All",AND(Screener!$B$17="With A-share",(Database!$AL418&lt;&gt;"")),AND(Screener!$B$17="Without A-share",NOT((Database!$AL418&lt;&gt;"")))),1,0)=0),-999999,IF(Screener!$B$15="cornerstone overlap first",H418*100000,0)+W_SUB*B418+W_SEC*C418*(1-B418)+W_SIZE*D418+W_PROF*E418+W_AH*F418+W_REC*G418+W_CS*H418)+ROW()/1000000</f>
        <v/>
      </c>
      <c r="K418">
        <f>Database!B410</f>
        <v/>
      </c>
      <c r="L418">
        <f>Database!D410</f>
        <v/>
      </c>
      <c r="M418">
        <f>Database!E410</f>
        <v/>
      </c>
      <c r="N418">
        <f>Database!H410</f>
        <v/>
      </c>
      <c r="O418">
        <f>Database!AH410</f>
        <v/>
      </c>
      <c r="P418">
        <f>Database!AK410</f>
        <v/>
      </c>
      <c r="Q418">
        <f>Database!G410</f>
        <v/>
      </c>
    </row>
    <row r="419">
      <c r="A419">
        <f>Database!B419</f>
        <v/>
      </c>
      <c r="B419">
        <f>IF(AND(Screener!$D$9&lt;&gt;"",Database!$E419=Screener!$D$9),1,0)</f>
        <v/>
      </c>
      <c r="C419">
        <f>IF(AND(Screener!$D$8&lt;&gt;"",Database!$D419=Screener!$D$8),1,0)</f>
        <v/>
      </c>
      <c r="D419">
        <f>IF(OR(Database!$H419="",N(Screener!$D$10)&lt;=0),0,MAX(0,1-ABS(LOG10(Database!$H419/Screener!$D$10))/W_SIZEHW))</f>
        <v/>
      </c>
      <c r="E419">
        <f>IF(OR(Database!$AH419="",Screener!$D$11=""),0,IF(Database!$AH419=Screener!$D$11,1,0))</f>
        <v/>
      </c>
      <c r="F419">
        <f>IF(OR(Database!$AK419="",Screener!$D$12=""),0,IF(Database!$AK419=Screener!$D$12,1,0))</f>
        <v/>
      </c>
      <c r="G419">
        <f>IF(OR(Database!$G419="",N(Screener!$D$13)&lt;=0),0,MAX(0,1-(N(Screener!$D$13)-Database!$G419)/W_RECD))</f>
        <v/>
      </c>
      <c r="H419">
        <f>IF($K$1="",0,N(ISNUMBER(SEARCH($K$1,Database!$T419&amp;""))))+IF($L$1="",0,N(ISNUMBER(SEARCH($L$1,Database!$T419&amp;""))))+IF($M$1="",0,N(ISNUMBER(SEARCH($M$1,Database!$T419&amp;""))))+IF($N$1="",0,N(ISNUMBER(SEARCH($N$1,Database!$T419&amp;""))))+IF($O$1="",0,N(ISNUMBER(SEARCH($O$1,Database!$T419&amp;""))))+IF(Screener!$B$14="",0,N(ISNUMBER(SEARCH(Screener!$B$14,Database!$T419&amp;""))))</f>
        <v/>
      </c>
      <c r="I419">
        <f>IF(OR(Database!$B419=Screener!$B$5,IF(OR(Screener!$B$17="All",AND(Screener!$B$17="With A-share",(Database!$AL419&lt;&gt;"")),AND(Screener!$B$17="Without A-share",NOT((Database!$AL419&lt;&gt;"")))),1,0)=0),-999999,IF(Screener!$B$15="cornerstone overlap first",H419*100000,0)+W_SUB*B419+W_SEC*C419*(1-B419)+W_SIZE*D419+W_PROF*E419+W_AH*F419+W_REC*G419+W_CS*H419)+ROW()/1000000</f>
        <v/>
      </c>
      <c r="K419">
        <f>Database!B411</f>
        <v/>
      </c>
      <c r="L419">
        <f>Database!D411</f>
        <v/>
      </c>
      <c r="M419">
        <f>Database!E411</f>
        <v/>
      </c>
      <c r="N419">
        <f>Database!H411</f>
        <v/>
      </c>
      <c r="O419">
        <f>Database!AH411</f>
        <v/>
      </c>
      <c r="P419">
        <f>Database!AK411</f>
        <v/>
      </c>
      <c r="Q419">
        <f>Database!G411</f>
        <v/>
      </c>
    </row>
    <row r="420">
      <c r="A420">
        <f>Database!B420</f>
        <v/>
      </c>
      <c r="B420">
        <f>IF(AND(Screener!$D$9&lt;&gt;"",Database!$E420=Screener!$D$9),1,0)</f>
        <v/>
      </c>
      <c r="C420">
        <f>IF(AND(Screener!$D$8&lt;&gt;"",Database!$D420=Screener!$D$8),1,0)</f>
        <v/>
      </c>
      <c r="D420">
        <f>IF(OR(Database!$H420="",N(Screener!$D$10)&lt;=0),0,MAX(0,1-ABS(LOG10(Database!$H420/Screener!$D$10))/W_SIZEHW))</f>
        <v/>
      </c>
      <c r="E420">
        <f>IF(OR(Database!$AH420="",Screener!$D$11=""),0,IF(Database!$AH420=Screener!$D$11,1,0))</f>
        <v/>
      </c>
      <c r="F420">
        <f>IF(OR(Database!$AK420="",Screener!$D$12=""),0,IF(Database!$AK420=Screener!$D$12,1,0))</f>
        <v/>
      </c>
      <c r="G420">
        <f>IF(OR(Database!$G420="",N(Screener!$D$13)&lt;=0),0,MAX(0,1-(N(Screener!$D$13)-Database!$G420)/W_RECD))</f>
        <v/>
      </c>
      <c r="H420">
        <f>IF($K$1="",0,N(ISNUMBER(SEARCH($K$1,Database!$T420&amp;""))))+IF($L$1="",0,N(ISNUMBER(SEARCH($L$1,Database!$T420&amp;""))))+IF($M$1="",0,N(ISNUMBER(SEARCH($M$1,Database!$T420&amp;""))))+IF($N$1="",0,N(ISNUMBER(SEARCH($N$1,Database!$T420&amp;""))))+IF($O$1="",0,N(ISNUMBER(SEARCH($O$1,Database!$T420&amp;""))))+IF(Screener!$B$14="",0,N(ISNUMBER(SEARCH(Screener!$B$14,Database!$T420&amp;""))))</f>
        <v/>
      </c>
      <c r="I420">
        <f>IF(OR(Database!$B420=Screener!$B$5,IF(OR(Screener!$B$17="All",AND(Screener!$B$17="With A-share",(Database!$AL420&lt;&gt;"")),AND(Screener!$B$17="Without A-share",NOT((Database!$AL420&lt;&gt;"")))),1,0)=0),-999999,IF(Screener!$B$15="cornerstone overlap first",H420*100000,0)+W_SUB*B420+W_SEC*C420*(1-B420)+W_SIZE*D420+W_PROF*E420+W_AH*F420+W_REC*G420+W_CS*H420)+ROW()/1000000</f>
        <v/>
      </c>
      <c r="K420">
        <f>Database!B412</f>
        <v/>
      </c>
      <c r="L420">
        <f>Database!D412</f>
        <v/>
      </c>
      <c r="M420">
        <f>Database!E412</f>
        <v/>
      </c>
      <c r="N420">
        <f>Database!H412</f>
        <v/>
      </c>
      <c r="O420">
        <f>Database!AH412</f>
        <v/>
      </c>
      <c r="P420">
        <f>Database!AK412</f>
        <v/>
      </c>
      <c r="Q420">
        <f>Database!G412</f>
        <v/>
      </c>
    </row>
    <row r="421">
      <c r="A421">
        <f>Database!B421</f>
        <v/>
      </c>
      <c r="B421">
        <f>IF(AND(Screener!$D$9&lt;&gt;"",Database!$E421=Screener!$D$9),1,0)</f>
        <v/>
      </c>
      <c r="C421">
        <f>IF(AND(Screener!$D$8&lt;&gt;"",Database!$D421=Screener!$D$8),1,0)</f>
        <v/>
      </c>
      <c r="D421">
        <f>IF(OR(Database!$H421="",N(Screener!$D$10)&lt;=0),0,MAX(0,1-ABS(LOG10(Database!$H421/Screener!$D$10))/W_SIZEHW))</f>
        <v/>
      </c>
      <c r="E421">
        <f>IF(OR(Database!$AH421="",Screener!$D$11=""),0,IF(Database!$AH421=Screener!$D$11,1,0))</f>
        <v/>
      </c>
      <c r="F421">
        <f>IF(OR(Database!$AK421="",Screener!$D$12=""),0,IF(Database!$AK421=Screener!$D$12,1,0))</f>
        <v/>
      </c>
      <c r="G421">
        <f>IF(OR(Database!$G421="",N(Screener!$D$13)&lt;=0),0,MAX(0,1-(N(Screener!$D$13)-Database!$G421)/W_RECD))</f>
        <v/>
      </c>
      <c r="H421">
        <f>IF($K$1="",0,N(ISNUMBER(SEARCH($K$1,Database!$T421&amp;""))))+IF($L$1="",0,N(ISNUMBER(SEARCH($L$1,Database!$T421&amp;""))))+IF($M$1="",0,N(ISNUMBER(SEARCH($M$1,Database!$T421&amp;""))))+IF($N$1="",0,N(ISNUMBER(SEARCH($N$1,Database!$T421&amp;""))))+IF($O$1="",0,N(ISNUMBER(SEARCH($O$1,Database!$T421&amp;""))))+IF(Screener!$B$14="",0,N(ISNUMBER(SEARCH(Screener!$B$14,Database!$T421&amp;""))))</f>
        <v/>
      </c>
      <c r="I421">
        <f>IF(OR(Database!$B421=Screener!$B$5,IF(OR(Screener!$B$17="All",AND(Screener!$B$17="With A-share",(Database!$AL421&lt;&gt;"")),AND(Screener!$B$17="Without A-share",NOT((Database!$AL421&lt;&gt;"")))),1,0)=0),-999999,IF(Screener!$B$15="cornerstone overlap first",H421*100000,0)+W_SUB*B421+W_SEC*C421*(1-B421)+W_SIZE*D421+W_PROF*E421+W_AH*F421+W_REC*G421+W_CS*H421)+ROW()/1000000</f>
        <v/>
      </c>
      <c r="K421">
        <f>Database!B413</f>
        <v/>
      </c>
      <c r="L421">
        <f>Database!D413</f>
        <v/>
      </c>
      <c r="M421">
        <f>Database!E413</f>
        <v/>
      </c>
      <c r="N421">
        <f>Database!H413</f>
        <v/>
      </c>
      <c r="O421">
        <f>Database!AH413</f>
        <v/>
      </c>
      <c r="P421">
        <f>Database!AK413</f>
        <v/>
      </c>
      <c r="Q421">
        <f>Database!G413</f>
        <v/>
      </c>
    </row>
    <row r="422">
      <c r="A422">
        <f>Database!B422</f>
        <v/>
      </c>
      <c r="B422">
        <f>IF(AND(Screener!$D$9&lt;&gt;"",Database!$E422=Screener!$D$9),1,0)</f>
        <v/>
      </c>
      <c r="C422">
        <f>IF(AND(Screener!$D$8&lt;&gt;"",Database!$D422=Screener!$D$8),1,0)</f>
        <v/>
      </c>
      <c r="D422">
        <f>IF(OR(Database!$H422="",N(Screener!$D$10)&lt;=0),0,MAX(0,1-ABS(LOG10(Database!$H422/Screener!$D$10))/W_SIZEHW))</f>
        <v/>
      </c>
      <c r="E422">
        <f>IF(OR(Database!$AH422="",Screener!$D$11=""),0,IF(Database!$AH422=Screener!$D$11,1,0))</f>
        <v/>
      </c>
      <c r="F422">
        <f>IF(OR(Database!$AK422="",Screener!$D$12=""),0,IF(Database!$AK422=Screener!$D$12,1,0))</f>
        <v/>
      </c>
      <c r="G422">
        <f>IF(OR(Database!$G422="",N(Screener!$D$13)&lt;=0),0,MAX(0,1-(N(Screener!$D$13)-Database!$G422)/W_RECD))</f>
        <v/>
      </c>
      <c r="H422">
        <f>IF($K$1="",0,N(ISNUMBER(SEARCH($K$1,Database!$T422&amp;""))))+IF($L$1="",0,N(ISNUMBER(SEARCH($L$1,Database!$T422&amp;""))))+IF($M$1="",0,N(ISNUMBER(SEARCH($M$1,Database!$T422&amp;""))))+IF($N$1="",0,N(ISNUMBER(SEARCH($N$1,Database!$T422&amp;""))))+IF($O$1="",0,N(ISNUMBER(SEARCH($O$1,Database!$T422&amp;""))))+IF(Screener!$B$14="",0,N(ISNUMBER(SEARCH(Screener!$B$14,Database!$T422&amp;""))))</f>
        <v/>
      </c>
      <c r="I422">
        <f>IF(OR(Database!$B422=Screener!$B$5,IF(OR(Screener!$B$17="All",AND(Screener!$B$17="With A-share",(Database!$AL422&lt;&gt;"")),AND(Screener!$B$17="Without A-share",NOT((Database!$AL422&lt;&gt;"")))),1,0)=0),-999999,IF(Screener!$B$15="cornerstone overlap first",H422*100000,0)+W_SUB*B422+W_SEC*C422*(1-B422)+W_SIZE*D422+W_PROF*E422+W_AH*F422+W_REC*G422+W_CS*H422)+ROW()/1000000</f>
        <v/>
      </c>
      <c r="K422">
        <f>Database!B414</f>
        <v/>
      </c>
      <c r="L422">
        <f>Database!D414</f>
        <v/>
      </c>
      <c r="M422">
        <f>Database!E414</f>
        <v/>
      </c>
      <c r="N422">
        <f>Database!H414</f>
        <v/>
      </c>
      <c r="O422">
        <f>Database!AH414</f>
        <v/>
      </c>
      <c r="P422">
        <f>Database!AK414</f>
        <v/>
      </c>
      <c r="Q422">
        <f>Database!G414</f>
        <v/>
      </c>
    </row>
    <row r="423">
      <c r="A423">
        <f>Database!B423</f>
        <v/>
      </c>
      <c r="B423">
        <f>IF(AND(Screener!$D$9&lt;&gt;"",Database!$E423=Screener!$D$9),1,0)</f>
        <v/>
      </c>
      <c r="C423">
        <f>IF(AND(Screener!$D$8&lt;&gt;"",Database!$D423=Screener!$D$8),1,0)</f>
        <v/>
      </c>
      <c r="D423">
        <f>IF(OR(Database!$H423="",N(Screener!$D$10)&lt;=0),0,MAX(0,1-ABS(LOG10(Database!$H423/Screener!$D$10))/W_SIZEHW))</f>
        <v/>
      </c>
      <c r="E423">
        <f>IF(OR(Database!$AH423="",Screener!$D$11=""),0,IF(Database!$AH423=Screener!$D$11,1,0))</f>
        <v/>
      </c>
      <c r="F423">
        <f>IF(OR(Database!$AK423="",Screener!$D$12=""),0,IF(Database!$AK423=Screener!$D$12,1,0))</f>
        <v/>
      </c>
      <c r="G423">
        <f>IF(OR(Database!$G423="",N(Screener!$D$13)&lt;=0),0,MAX(0,1-(N(Screener!$D$13)-Database!$G423)/W_RECD))</f>
        <v/>
      </c>
      <c r="H423">
        <f>IF($K$1="",0,N(ISNUMBER(SEARCH($K$1,Database!$T423&amp;""))))+IF($L$1="",0,N(ISNUMBER(SEARCH($L$1,Database!$T423&amp;""))))+IF($M$1="",0,N(ISNUMBER(SEARCH($M$1,Database!$T423&amp;""))))+IF($N$1="",0,N(ISNUMBER(SEARCH($N$1,Database!$T423&amp;""))))+IF($O$1="",0,N(ISNUMBER(SEARCH($O$1,Database!$T423&amp;""))))+IF(Screener!$B$14="",0,N(ISNUMBER(SEARCH(Screener!$B$14,Database!$T423&amp;""))))</f>
        <v/>
      </c>
      <c r="I423">
        <f>IF(OR(Database!$B423=Screener!$B$5,IF(OR(Screener!$B$17="All",AND(Screener!$B$17="With A-share",(Database!$AL423&lt;&gt;"")),AND(Screener!$B$17="Without A-share",NOT((Database!$AL423&lt;&gt;"")))),1,0)=0),-999999,IF(Screener!$B$15="cornerstone overlap first",H423*100000,0)+W_SUB*B423+W_SEC*C423*(1-B423)+W_SIZE*D423+W_PROF*E423+W_AH*F423+W_REC*G423+W_CS*H423)+ROW()/1000000</f>
        <v/>
      </c>
      <c r="K423">
        <f>Database!B415</f>
        <v/>
      </c>
      <c r="L423">
        <f>Database!D415</f>
        <v/>
      </c>
      <c r="M423">
        <f>Database!E415</f>
        <v/>
      </c>
      <c r="N423">
        <f>Database!H415</f>
        <v/>
      </c>
      <c r="O423">
        <f>Database!AH415</f>
        <v/>
      </c>
      <c r="P423">
        <f>Database!AK415</f>
        <v/>
      </c>
      <c r="Q423">
        <f>Database!G415</f>
        <v/>
      </c>
    </row>
    <row r="424">
      <c r="A424">
        <f>Database!B424</f>
        <v/>
      </c>
      <c r="B424">
        <f>IF(AND(Screener!$D$9&lt;&gt;"",Database!$E424=Screener!$D$9),1,0)</f>
        <v/>
      </c>
      <c r="C424">
        <f>IF(AND(Screener!$D$8&lt;&gt;"",Database!$D424=Screener!$D$8),1,0)</f>
        <v/>
      </c>
      <c r="D424">
        <f>IF(OR(Database!$H424="",N(Screener!$D$10)&lt;=0),0,MAX(0,1-ABS(LOG10(Database!$H424/Screener!$D$10))/W_SIZEHW))</f>
        <v/>
      </c>
      <c r="E424">
        <f>IF(OR(Database!$AH424="",Screener!$D$11=""),0,IF(Database!$AH424=Screener!$D$11,1,0))</f>
        <v/>
      </c>
      <c r="F424">
        <f>IF(OR(Database!$AK424="",Screener!$D$12=""),0,IF(Database!$AK424=Screener!$D$12,1,0))</f>
        <v/>
      </c>
      <c r="G424">
        <f>IF(OR(Database!$G424="",N(Screener!$D$13)&lt;=0),0,MAX(0,1-(N(Screener!$D$13)-Database!$G424)/W_RECD))</f>
        <v/>
      </c>
      <c r="H424">
        <f>IF($K$1="",0,N(ISNUMBER(SEARCH($K$1,Database!$T424&amp;""))))+IF($L$1="",0,N(ISNUMBER(SEARCH($L$1,Database!$T424&amp;""))))+IF($M$1="",0,N(ISNUMBER(SEARCH($M$1,Database!$T424&amp;""))))+IF($N$1="",0,N(ISNUMBER(SEARCH($N$1,Database!$T424&amp;""))))+IF($O$1="",0,N(ISNUMBER(SEARCH($O$1,Database!$T424&amp;""))))+IF(Screener!$B$14="",0,N(ISNUMBER(SEARCH(Screener!$B$14,Database!$T424&amp;""))))</f>
        <v/>
      </c>
      <c r="I424">
        <f>IF(OR(Database!$B424=Screener!$B$5,IF(OR(Screener!$B$17="All",AND(Screener!$B$17="With A-share",(Database!$AL424&lt;&gt;"")),AND(Screener!$B$17="Without A-share",NOT((Database!$AL424&lt;&gt;"")))),1,0)=0),-999999,IF(Screener!$B$15="cornerstone overlap first",H424*100000,0)+W_SUB*B424+W_SEC*C424*(1-B424)+W_SIZE*D424+W_PROF*E424+W_AH*F424+W_REC*G424+W_CS*H424)+ROW()/1000000</f>
        <v/>
      </c>
      <c r="K424">
        <f>Database!B416</f>
        <v/>
      </c>
      <c r="L424">
        <f>Database!D416</f>
        <v/>
      </c>
      <c r="M424">
        <f>Database!E416</f>
        <v/>
      </c>
      <c r="N424">
        <f>Database!H416</f>
        <v/>
      </c>
      <c r="O424">
        <f>Database!AH416</f>
        <v/>
      </c>
      <c r="P424">
        <f>Database!AK416</f>
        <v/>
      </c>
      <c r="Q424">
        <f>Database!G416</f>
        <v/>
      </c>
    </row>
    <row r="425">
      <c r="A425">
        <f>Database!B425</f>
        <v/>
      </c>
      <c r="B425">
        <f>IF(AND(Screener!$D$9&lt;&gt;"",Database!$E425=Screener!$D$9),1,0)</f>
        <v/>
      </c>
      <c r="C425">
        <f>IF(AND(Screener!$D$8&lt;&gt;"",Database!$D425=Screener!$D$8),1,0)</f>
        <v/>
      </c>
      <c r="D425">
        <f>IF(OR(Database!$H425="",N(Screener!$D$10)&lt;=0),0,MAX(0,1-ABS(LOG10(Database!$H425/Screener!$D$10))/W_SIZEHW))</f>
        <v/>
      </c>
      <c r="E425">
        <f>IF(OR(Database!$AH425="",Screener!$D$11=""),0,IF(Database!$AH425=Screener!$D$11,1,0))</f>
        <v/>
      </c>
      <c r="F425">
        <f>IF(OR(Database!$AK425="",Screener!$D$12=""),0,IF(Database!$AK425=Screener!$D$12,1,0))</f>
        <v/>
      </c>
      <c r="G425">
        <f>IF(OR(Database!$G425="",N(Screener!$D$13)&lt;=0),0,MAX(0,1-(N(Screener!$D$13)-Database!$G425)/W_RECD))</f>
        <v/>
      </c>
      <c r="H425">
        <f>IF($K$1="",0,N(ISNUMBER(SEARCH($K$1,Database!$T425&amp;""))))+IF($L$1="",0,N(ISNUMBER(SEARCH($L$1,Database!$T425&amp;""))))+IF($M$1="",0,N(ISNUMBER(SEARCH($M$1,Database!$T425&amp;""))))+IF($N$1="",0,N(ISNUMBER(SEARCH($N$1,Database!$T425&amp;""))))+IF($O$1="",0,N(ISNUMBER(SEARCH($O$1,Database!$T425&amp;""))))+IF(Screener!$B$14="",0,N(ISNUMBER(SEARCH(Screener!$B$14,Database!$T425&amp;""))))</f>
        <v/>
      </c>
      <c r="I425">
        <f>IF(OR(Database!$B425=Screener!$B$5,IF(OR(Screener!$B$17="All",AND(Screener!$B$17="With A-share",(Database!$AL425&lt;&gt;"")),AND(Screener!$B$17="Without A-share",NOT((Database!$AL425&lt;&gt;"")))),1,0)=0),-999999,IF(Screener!$B$15="cornerstone overlap first",H425*100000,0)+W_SUB*B425+W_SEC*C425*(1-B425)+W_SIZE*D425+W_PROF*E425+W_AH*F425+W_REC*G425+W_CS*H425)+ROW()/1000000</f>
        <v/>
      </c>
      <c r="K425">
        <f>Database!B417</f>
        <v/>
      </c>
      <c r="L425">
        <f>Database!D417</f>
        <v/>
      </c>
      <c r="M425">
        <f>Database!E417</f>
        <v/>
      </c>
      <c r="N425">
        <f>Database!H417</f>
        <v/>
      </c>
      <c r="O425">
        <f>Database!AH417</f>
        <v/>
      </c>
      <c r="P425">
        <f>Database!AK417</f>
        <v/>
      </c>
      <c r="Q425">
        <f>Database!G417</f>
        <v/>
      </c>
    </row>
    <row r="426">
      <c r="A426">
        <f>Database!B426</f>
        <v/>
      </c>
      <c r="B426">
        <f>IF(AND(Screener!$D$9&lt;&gt;"",Database!$E426=Screener!$D$9),1,0)</f>
        <v/>
      </c>
      <c r="C426">
        <f>IF(AND(Screener!$D$8&lt;&gt;"",Database!$D426=Screener!$D$8),1,0)</f>
        <v/>
      </c>
      <c r="D426">
        <f>IF(OR(Database!$H426="",N(Screener!$D$10)&lt;=0),0,MAX(0,1-ABS(LOG10(Database!$H426/Screener!$D$10))/W_SIZEHW))</f>
        <v/>
      </c>
      <c r="E426">
        <f>IF(OR(Database!$AH426="",Screener!$D$11=""),0,IF(Database!$AH426=Screener!$D$11,1,0))</f>
        <v/>
      </c>
      <c r="F426">
        <f>IF(OR(Database!$AK426="",Screener!$D$12=""),0,IF(Database!$AK426=Screener!$D$12,1,0))</f>
        <v/>
      </c>
      <c r="G426">
        <f>IF(OR(Database!$G426="",N(Screener!$D$13)&lt;=0),0,MAX(0,1-(N(Screener!$D$13)-Database!$G426)/W_RECD))</f>
        <v/>
      </c>
      <c r="H426">
        <f>IF($K$1="",0,N(ISNUMBER(SEARCH($K$1,Database!$T426&amp;""))))+IF($L$1="",0,N(ISNUMBER(SEARCH($L$1,Database!$T426&amp;""))))+IF($M$1="",0,N(ISNUMBER(SEARCH($M$1,Database!$T426&amp;""))))+IF($N$1="",0,N(ISNUMBER(SEARCH($N$1,Database!$T426&amp;""))))+IF($O$1="",0,N(ISNUMBER(SEARCH($O$1,Database!$T426&amp;""))))+IF(Screener!$B$14="",0,N(ISNUMBER(SEARCH(Screener!$B$14,Database!$T426&amp;""))))</f>
        <v/>
      </c>
      <c r="I426">
        <f>IF(OR(Database!$B426=Screener!$B$5,IF(OR(Screener!$B$17="All",AND(Screener!$B$17="With A-share",(Database!$AL426&lt;&gt;"")),AND(Screener!$B$17="Without A-share",NOT((Database!$AL426&lt;&gt;"")))),1,0)=0),-999999,IF(Screener!$B$15="cornerstone overlap first",H426*100000,0)+W_SUB*B426+W_SEC*C426*(1-B426)+W_SIZE*D426+W_PROF*E426+W_AH*F426+W_REC*G426+W_CS*H426)+ROW()/1000000</f>
        <v/>
      </c>
      <c r="K426">
        <f>Database!B418</f>
        <v/>
      </c>
      <c r="L426">
        <f>Database!D418</f>
        <v/>
      </c>
      <c r="M426">
        <f>Database!E418</f>
        <v/>
      </c>
      <c r="N426">
        <f>Database!H418</f>
        <v/>
      </c>
      <c r="O426">
        <f>Database!AH418</f>
        <v/>
      </c>
      <c r="P426">
        <f>Database!AK418</f>
        <v/>
      </c>
      <c r="Q426">
        <f>Database!G418</f>
        <v/>
      </c>
    </row>
    <row r="427">
      <c r="A427">
        <f>Database!B427</f>
        <v/>
      </c>
      <c r="B427">
        <f>IF(AND(Screener!$D$9&lt;&gt;"",Database!$E427=Screener!$D$9),1,0)</f>
        <v/>
      </c>
      <c r="C427">
        <f>IF(AND(Screener!$D$8&lt;&gt;"",Database!$D427=Screener!$D$8),1,0)</f>
        <v/>
      </c>
      <c r="D427">
        <f>IF(OR(Database!$H427="",N(Screener!$D$10)&lt;=0),0,MAX(0,1-ABS(LOG10(Database!$H427/Screener!$D$10))/W_SIZEHW))</f>
        <v/>
      </c>
      <c r="E427">
        <f>IF(OR(Database!$AH427="",Screener!$D$11=""),0,IF(Database!$AH427=Screener!$D$11,1,0))</f>
        <v/>
      </c>
      <c r="F427">
        <f>IF(OR(Database!$AK427="",Screener!$D$12=""),0,IF(Database!$AK427=Screener!$D$12,1,0))</f>
        <v/>
      </c>
      <c r="G427">
        <f>IF(OR(Database!$G427="",N(Screener!$D$13)&lt;=0),0,MAX(0,1-(N(Screener!$D$13)-Database!$G427)/W_RECD))</f>
        <v/>
      </c>
      <c r="H427">
        <f>IF($K$1="",0,N(ISNUMBER(SEARCH($K$1,Database!$T427&amp;""))))+IF($L$1="",0,N(ISNUMBER(SEARCH($L$1,Database!$T427&amp;""))))+IF($M$1="",0,N(ISNUMBER(SEARCH($M$1,Database!$T427&amp;""))))+IF($N$1="",0,N(ISNUMBER(SEARCH($N$1,Database!$T427&amp;""))))+IF($O$1="",0,N(ISNUMBER(SEARCH($O$1,Database!$T427&amp;""))))+IF(Screener!$B$14="",0,N(ISNUMBER(SEARCH(Screener!$B$14,Database!$T427&amp;""))))</f>
        <v/>
      </c>
      <c r="I427">
        <f>IF(OR(Database!$B427=Screener!$B$5,IF(OR(Screener!$B$17="All",AND(Screener!$B$17="With A-share",(Database!$AL427&lt;&gt;"")),AND(Screener!$B$17="Without A-share",NOT((Database!$AL427&lt;&gt;"")))),1,0)=0),-999999,IF(Screener!$B$15="cornerstone overlap first",H427*100000,0)+W_SUB*B427+W_SEC*C427*(1-B427)+W_SIZE*D427+W_PROF*E427+W_AH*F427+W_REC*G427+W_CS*H427)+ROW()/1000000</f>
        <v/>
      </c>
      <c r="K427">
        <f>Database!B419</f>
        <v/>
      </c>
      <c r="L427">
        <f>Database!D419</f>
        <v/>
      </c>
      <c r="M427">
        <f>Database!E419</f>
        <v/>
      </c>
      <c r="N427">
        <f>Database!H419</f>
        <v/>
      </c>
      <c r="O427">
        <f>Database!AH419</f>
        <v/>
      </c>
      <c r="P427">
        <f>Database!AK419</f>
        <v/>
      </c>
      <c r="Q427">
        <f>Database!G419</f>
        <v/>
      </c>
    </row>
    <row r="428">
      <c r="A428">
        <f>Database!B428</f>
        <v/>
      </c>
      <c r="B428">
        <f>IF(AND(Screener!$D$9&lt;&gt;"",Database!$E428=Screener!$D$9),1,0)</f>
        <v/>
      </c>
      <c r="C428">
        <f>IF(AND(Screener!$D$8&lt;&gt;"",Database!$D428=Screener!$D$8),1,0)</f>
        <v/>
      </c>
      <c r="D428">
        <f>IF(OR(Database!$H428="",N(Screener!$D$10)&lt;=0),0,MAX(0,1-ABS(LOG10(Database!$H428/Screener!$D$10))/W_SIZEHW))</f>
        <v/>
      </c>
      <c r="E428">
        <f>IF(OR(Database!$AH428="",Screener!$D$11=""),0,IF(Database!$AH428=Screener!$D$11,1,0))</f>
        <v/>
      </c>
      <c r="F428">
        <f>IF(OR(Database!$AK428="",Screener!$D$12=""),0,IF(Database!$AK428=Screener!$D$12,1,0))</f>
        <v/>
      </c>
      <c r="G428">
        <f>IF(OR(Database!$G428="",N(Screener!$D$13)&lt;=0),0,MAX(0,1-(N(Screener!$D$13)-Database!$G428)/W_RECD))</f>
        <v/>
      </c>
      <c r="H428">
        <f>IF($K$1="",0,N(ISNUMBER(SEARCH($K$1,Database!$T428&amp;""))))+IF($L$1="",0,N(ISNUMBER(SEARCH($L$1,Database!$T428&amp;""))))+IF($M$1="",0,N(ISNUMBER(SEARCH($M$1,Database!$T428&amp;""))))+IF($N$1="",0,N(ISNUMBER(SEARCH($N$1,Database!$T428&amp;""))))+IF($O$1="",0,N(ISNUMBER(SEARCH($O$1,Database!$T428&amp;""))))+IF(Screener!$B$14="",0,N(ISNUMBER(SEARCH(Screener!$B$14,Database!$T428&amp;""))))</f>
        <v/>
      </c>
      <c r="I428">
        <f>IF(OR(Database!$B428=Screener!$B$5,IF(OR(Screener!$B$17="All",AND(Screener!$B$17="With A-share",(Database!$AL428&lt;&gt;"")),AND(Screener!$B$17="Without A-share",NOT((Database!$AL428&lt;&gt;"")))),1,0)=0),-999999,IF(Screener!$B$15="cornerstone overlap first",H428*100000,0)+W_SUB*B428+W_SEC*C428*(1-B428)+W_SIZE*D428+W_PROF*E428+W_AH*F428+W_REC*G428+W_CS*H428)+ROW()/1000000</f>
        <v/>
      </c>
      <c r="K428">
        <f>Database!B420</f>
        <v/>
      </c>
      <c r="L428">
        <f>Database!D420</f>
        <v/>
      </c>
      <c r="M428">
        <f>Database!E420</f>
        <v/>
      </c>
      <c r="N428">
        <f>Database!H420</f>
        <v/>
      </c>
      <c r="O428">
        <f>Database!AH420</f>
        <v/>
      </c>
      <c r="P428">
        <f>Database!AK420</f>
        <v/>
      </c>
      <c r="Q428">
        <f>Database!G420</f>
        <v/>
      </c>
    </row>
    <row r="429">
      <c r="A429">
        <f>Database!B429</f>
        <v/>
      </c>
      <c r="B429">
        <f>IF(AND(Screener!$D$9&lt;&gt;"",Database!$E429=Screener!$D$9),1,0)</f>
        <v/>
      </c>
      <c r="C429">
        <f>IF(AND(Screener!$D$8&lt;&gt;"",Database!$D429=Screener!$D$8),1,0)</f>
        <v/>
      </c>
      <c r="D429">
        <f>IF(OR(Database!$H429="",N(Screener!$D$10)&lt;=0),0,MAX(0,1-ABS(LOG10(Database!$H429/Screener!$D$10))/W_SIZEHW))</f>
        <v/>
      </c>
      <c r="E429">
        <f>IF(OR(Database!$AH429="",Screener!$D$11=""),0,IF(Database!$AH429=Screener!$D$11,1,0))</f>
        <v/>
      </c>
      <c r="F429">
        <f>IF(OR(Database!$AK429="",Screener!$D$12=""),0,IF(Database!$AK429=Screener!$D$12,1,0))</f>
        <v/>
      </c>
      <c r="G429">
        <f>IF(OR(Database!$G429="",N(Screener!$D$13)&lt;=0),0,MAX(0,1-(N(Screener!$D$13)-Database!$G429)/W_RECD))</f>
        <v/>
      </c>
      <c r="H429">
        <f>IF($K$1="",0,N(ISNUMBER(SEARCH($K$1,Database!$T429&amp;""))))+IF($L$1="",0,N(ISNUMBER(SEARCH($L$1,Database!$T429&amp;""))))+IF($M$1="",0,N(ISNUMBER(SEARCH($M$1,Database!$T429&amp;""))))+IF($N$1="",0,N(ISNUMBER(SEARCH($N$1,Database!$T429&amp;""))))+IF($O$1="",0,N(ISNUMBER(SEARCH($O$1,Database!$T429&amp;""))))+IF(Screener!$B$14="",0,N(ISNUMBER(SEARCH(Screener!$B$14,Database!$T429&amp;""))))</f>
        <v/>
      </c>
      <c r="I429">
        <f>IF(OR(Database!$B429=Screener!$B$5,IF(OR(Screener!$B$17="All",AND(Screener!$B$17="With A-share",(Database!$AL429&lt;&gt;"")),AND(Screener!$B$17="Without A-share",NOT((Database!$AL429&lt;&gt;"")))),1,0)=0),-999999,IF(Screener!$B$15="cornerstone overlap first",H429*100000,0)+W_SUB*B429+W_SEC*C429*(1-B429)+W_SIZE*D429+W_PROF*E429+W_AH*F429+W_REC*G429+W_CS*H429)+ROW()/1000000</f>
        <v/>
      </c>
      <c r="K429">
        <f>Database!B421</f>
        <v/>
      </c>
      <c r="L429">
        <f>Database!D421</f>
        <v/>
      </c>
      <c r="M429">
        <f>Database!E421</f>
        <v/>
      </c>
      <c r="N429">
        <f>Database!H421</f>
        <v/>
      </c>
      <c r="O429">
        <f>Database!AH421</f>
        <v/>
      </c>
      <c r="P429">
        <f>Database!AK421</f>
        <v/>
      </c>
      <c r="Q429">
        <f>Database!G421</f>
        <v/>
      </c>
    </row>
    <row r="430">
      <c r="A430">
        <f>Database!B430</f>
        <v/>
      </c>
      <c r="B430">
        <f>IF(AND(Screener!$D$9&lt;&gt;"",Database!$E430=Screener!$D$9),1,0)</f>
        <v/>
      </c>
      <c r="C430">
        <f>IF(AND(Screener!$D$8&lt;&gt;"",Database!$D430=Screener!$D$8),1,0)</f>
        <v/>
      </c>
      <c r="D430">
        <f>IF(OR(Database!$H430="",N(Screener!$D$10)&lt;=0),0,MAX(0,1-ABS(LOG10(Database!$H430/Screener!$D$10))/W_SIZEHW))</f>
        <v/>
      </c>
      <c r="E430">
        <f>IF(OR(Database!$AH430="",Screener!$D$11=""),0,IF(Database!$AH430=Screener!$D$11,1,0))</f>
        <v/>
      </c>
      <c r="F430">
        <f>IF(OR(Database!$AK430="",Screener!$D$12=""),0,IF(Database!$AK430=Screener!$D$12,1,0))</f>
        <v/>
      </c>
      <c r="G430">
        <f>IF(OR(Database!$G430="",N(Screener!$D$13)&lt;=0),0,MAX(0,1-(N(Screener!$D$13)-Database!$G430)/W_RECD))</f>
        <v/>
      </c>
      <c r="H430">
        <f>IF($K$1="",0,N(ISNUMBER(SEARCH($K$1,Database!$T430&amp;""))))+IF($L$1="",0,N(ISNUMBER(SEARCH($L$1,Database!$T430&amp;""))))+IF($M$1="",0,N(ISNUMBER(SEARCH($M$1,Database!$T430&amp;""))))+IF($N$1="",0,N(ISNUMBER(SEARCH($N$1,Database!$T430&amp;""))))+IF($O$1="",0,N(ISNUMBER(SEARCH($O$1,Database!$T430&amp;""))))+IF(Screener!$B$14="",0,N(ISNUMBER(SEARCH(Screener!$B$14,Database!$T430&amp;""))))</f>
        <v/>
      </c>
      <c r="I430">
        <f>IF(OR(Database!$B430=Screener!$B$5,IF(OR(Screener!$B$17="All",AND(Screener!$B$17="With A-share",(Database!$AL430&lt;&gt;"")),AND(Screener!$B$17="Without A-share",NOT((Database!$AL430&lt;&gt;"")))),1,0)=0),-999999,IF(Screener!$B$15="cornerstone overlap first",H430*100000,0)+W_SUB*B430+W_SEC*C430*(1-B430)+W_SIZE*D430+W_PROF*E430+W_AH*F430+W_REC*G430+W_CS*H430)+ROW()/1000000</f>
        <v/>
      </c>
      <c r="K430">
        <f>Database!B422</f>
        <v/>
      </c>
      <c r="L430">
        <f>Database!D422</f>
        <v/>
      </c>
      <c r="M430">
        <f>Database!E422</f>
        <v/>
      </c>
      <c r="N430">
        <f>Database!H422</f>
        <v/>
      </c>
      <c r="O430">
        <f>Database!AH422</f>
        <v/>
      </c>
      <c r="P430">
        <f>Database!AK422</f>
        <v/>
      </c>
      <c r="Q430">
        <f>Database!G422</f>
        <v/>
      </c>
    </row>
    <row r="431">
      <c r="A431">
        <f>Database!B431</f>
        <v/>
      </c>
      <c r="B431">
        <f>IF(AND(Screener!$D$9&lt;&gt;"",Database!$E431=Screener!$D$9),1,0)</f>
        <v/>
      </c>
      <c r="C431">
        <f>IF(AND(Screener!$D$8&lt;&gt;"",Database!$D431=Screener!$D$8),1,0)</f>
        <v/>
      </c>
      <c r="D431">
        <f>IF(OR(Database!$H431="",N(Screener!$D$10)&lt;=0),0,MAX(0,1-ABS(LOG10(Database!$H431/Screener!$D$10))/W_SIZEHW))</f>
        <v/>
      </c>
      <c r="E431">
        <f>IF(OR(Database!$AH431="",Screener!$D$11=""),0,IF(Database!$AH431=Screener!$D$11,1,0))</f>
        <v/>
      </c>
      <c r="F431">
        <f>IF(OR(Database!$AK431="",Screener!$D$12=""),0,IF(Database!$AK431=Screener!$D$12,1,0))</f>
        <v/>
      </c>
      <c r="G431">
        <f>IF(OR(Database!$G431="",N(Screener!$D$13)&lt;=0),0,MAX(0,1-(N(Screener!$D$13)-Database!$G431)/W_RECD))</f>
        <v/>
      </c>
      <c r="H431">
        <f>IF($K$1="",0,N(ISNUMBER(SEARCH($K$1,Database!$T431&amp;""))))+IF($L$1="",0,N(ISNUMBER(SEARCH($L$1,Database!$T431&amp;""))))+IF($M$1="",0,N(ISNUMBER(SEARCH($M$1,Database!$T431&amp;""))))+IF($N$1="",0,N(ISNUMBER(SEARCH($N$1,Database!$T431&amp;""))))+IF($O$1="",0,N(ISNUMBER(SEARCH($O$1,Database!$T431&amp;""))))+IF(Screener!$B$14="",0,N(ISNUMBER(SEARCH(Screener!$B$14,Database!$T431&amp;""))))</f>
        <v/>
      </c>
      <c r="I431">
        <f>IF(OR(Database!$B431=Screener!$B$5,IF(OR(Screener!$B$17="All",AND(Screener!$B$17="With A-share",(Database!$AL431&lt;&gt;"")),AND(Screener!$B$17="Without A-share",NOT((Database!$AL431&lt;&gt;"")))),1,0)=0),-999999,IF(Screener!$B$15="cornerstone overlap first",H431*100000,0)+W_SUB*B431+W_SEC*C431*(1-B431)+W_SIZE*D431+W_PROF*E431+W_AH*F431+W_REC*G431+W_CS*H431)+ROW()/1000000</f>
        <v/>
      </c>
      <c r="K431">
        <f>Database!B423</f>
        <v/>
      </c>
      <c r="L431">
        <f>Database!D423</f>
        <v/>
      </c>
      <c r="M431">
        <f>Database!E423</f>
        <v/>
      </c>
      <c r="N431">
        <f>Database!H423</f>
        <v/>
      </c>
      <c r="O431">
        <f>Database!AH423</f>
        <v/>
      </c>
      <c r="P431">
        <f>Database!AK423</f>
        <v/>
      </c>
      <c r="Q431">
        <f>Database!G423</f>
        <v/>
      </c>
    </row>
    <row r="432">
      <c r="A432">
        <f>Database!B432</f>
        <v/>
      </c>
      <c r="B432">
        <f>IF(AND(Screener!$D$9&lt;&gt;"",Database!$E432=Screener!$D$9),1,0)</f>
        <v/>
      </c>
      <c r="C432">
        <f>IF(AND(Screener!$D$8&lt;&gt;"",Database!$D432=Screener!$D$8),1,0)</f>
        <v/>
      </c>
      <c r="D432">
        <f>IF(OR(Database!$H432="",N(Screener!$D$10)&lt;=0),0,MAX(0,1-ABS(LOG10(Database!$H432/Screener!$D$10))/W_SIZEHW))</f>
        <v/>
      </c>
      <c r="E432">
        <f>IF(OR(Database!$AH432="",Screener!$D$11=""),0,IF(Database!$AH432=Screener!$D$11,1,0))</f>
        <v/>
      </c>
      <c r="F432">
        <f>IF(OR(Database!$AK432="",Screener!$D$12=""),0,IF(Database!$AK432=Screener!$D$12,1,0))</f>
        <v/>
      </c>
      <c r="G432">
        <f>IF(OR(Database!$G432="",N(Screener!$D$13)&lt;=0),0,MAX(0,1-(N(Screener!$D$13)-Database!$G432)/W_RECD))</f>
        <v/>
      </c>
      <c r="H432">
        <f>IF($K$1="",0,N(ISNUMBER(SEARCH($K$1,Database!$T432&amp;""))))+IF($L$1="",0,N(ISNUMBER(SEARCH($L$1,Database!$T432&amp;""))))+IF($M$1="",0,N(ISNUMBER(SEARCH($M$1,Database!$T432&amp;""))))+IF($N$1="",0,N(ISNUMBER(SEARCH($N$1,Database!$T432&amp;""))))+IF($O$1="",0,N(ISNUMBER(SEARCH($O$1,Database!$T432&amp;""))))+IF(Screener!$B$14="",0,N(ISNUMBER(SEARCH(Screener!$B$14,Database!$T432&amp;""))))</f>
        <v/>
      </c>
      <c r="I432">
        <f>IF(OR(Database!$B432=Screener!$B$5,IF(OR(Screener!$B$17="All",AND(Screener!$B$17="With A-share",(Database!$AL432&lt;&gt;"")),AND(Screener!$B$17="Without A-share",NOT((Database!$AL432&lt;&gt;"")))),1,0)=0),-999999,IF(Screener!$B$15="cornerstone overlap first",H432*100000,0)+W_SUB*B432+W_SEC*C432*(1-B432)+W_SIZE*D432+W_PROF*E432+W_AH*F432+W_REC*G432+W_CS*H432)+ROW()/1000000</f>
        <v/>
      </c>
      <c r="K432">
        <f>Database!B424</f>
        <v/>
      </c>
      <c r="L432">
        <f>Database!D424</f>
        <v/>
      </c>
      <c r="M432">
        <f>Database!E424</f>
        <v/>
      </c>
      <c r="N432">
        <f>Database!H424</f>
        <v/>
      </c>
      <c r="O432">
        <f>Database!AH424</f>
        <v/>
      </c>
      <c r="P432">
        <f>Database!AK424</f>
        <v/>
      </c>
      <c r="Q432">
        <f>Database!G424</f>
        <v/>
      </c>
    </row>
    <row r="433">
      <c r="A433">
        <f>Database!B433</f>
        <v/>
      </c>
      <c r="B433">
        <f>IF(AND(Screener!$D$9&lt;&gt;"",Database!$E433=Screener!$D$9),1,0)</f>
        <v/>
      </c>
      <c r="C433">
        <f>IF(AND(Screener!$D$8&lt;&gt;"",Database!$D433=Screener!$D$8),1,0)</f>
        <v/>
      </c>
      <c r="D433">
        <f>IF(OR(Database!$H433="",N(Screener!$D$10)&lt;=0),0,MAX(0,1-ABS(LOG10(Database!$H433/Screener!$D$10))/W_SIZEHW))</f>
        <v/>
      </c>
      <c r="E433">
        <f>IF(OR(Database!$AH433="",Screener!$D$11=""),0,IF(Database!$AH433=Screener!$D$11,1,0))</f>
        <v/>
      </c>
      <c r="F433">
        <f>IF(OR(Database!$AK433="",Screener!$D$12=""),0,IF(Database!$AK433=Screener!$D$12,1,0))</f>
        <v/>
      </c>
      <c r="G433">
        <f>IF(OR(Database!$G433="",N(Screener!$D$13)&lt;=0),0,MAX(0,1-(N(Screener!$D$13)-Database!$G433)/W_RECD))</f>
        <v/>
      </c>
      <c r="H433">
        <f>IF($K$1="",0,N(ISNUMBER(SEARCH($K$1,Database!$T433&amp;""))))+IF($L$1="",0,N(ISNUMBER(SEARCH($L$1,Database!$T433&amp;""))))+IF($M$1="",0,N(ISNUMBER(SEARCH($M$1,Database!$T433&amp;""))))+IF($N$1="",0,N(ISNUMBER(SEARCH($N$1,Database!$T433&amp;""))))+IF($O$1="",0,N(ISNUMBER(SEARCH($O$1,Database!$T433&amp;""))))+IF(Screener!$B$14="",0,N(ISNUMBER(SEARCH(Screener!$B$14,Database!$T433&amp;""))))</f>
        <v/>
      </c>
      <c r="I433">
        <f>IF(OR(Database!$B433=Screener!$B$5,IF(OR(Screener!$B$17="All",AND(Screener!$B$17="With A-share",(Database!$AL433&lt;&gt;"")),AND(Screener!$B$17="Without A-share",NOT((Database!$AL433&lt;&gt;"")))),1,0)=0),-999999,IF(Screener!$B$15="cornerstone overlap first",H433*100000,0)+W_SUB*B433+W_SEC*C433*(1-B433)+W_SIZE*D433+W_PROF*E433+W_AH*F433+W_REC*G433+W_CS*H433)+ROW()/1000000</f>
        <v/>
      </c>
      <c r="K433">
        <f>Database!B425</f>
        <v/>
      </c>
      <c r="L433">
        <f>Database!D425</f>
        <v/>
      </c>
      <c r="M433">
        <f>Database!E425</f>
        <v/>
      </c>
      <c r="N433">
        <f>Database!H425</f>
        <v/>
      </c>
      <c r="O433">
        <f>Database!AH425</f>
        <v/>
      </c>
      <c r="P433">
        <f>Database!AK425</f>
        <v/>
      </c>
      <c r="Q433">
        <f>Database!G425</f>
        <v/>
      </c>
    </row>
    <row r="434">
      <c r="A434">
        <f>Database!B434</f>
        <v/>
      </c>
      <c r="B434">
        <f>IF(AND(Screener!$D$9&lt;&gt;"",Database!$E434=Screener!$D$9),1,0)</f>
        <v/>
      </c>
      <c r="C434">
        <f>IF(AND(Screener!$D$8&lt;&gt;"",Database!$D434=Screener!$D$8),1,0)</f>
        <v/>
      </c>
      <c r="D434">
        <f>IF(OR(Database!$H434="",N(Screener!$D$10)&lt;=0),0,MAX(0,1-ABS(LOG10(Database!$H434/Screener!$D$10))/W_SIZEHW))</f>
        <v/>
      </c>
      <c r="E434">
        <f>IF(OR(Database!$AH434="",Screener!$D$11=""),0,IF(Database!$AH434=Screener!$D$11,1,0))</f>
        <v/>
      </c>
      <c r="F434">
        <f>IF(OR(Database!$AK434="",Screener!$D$12=""),0,IF(Database!$AK434=Screener!$D$12,1,0))</f>
        <v/>
      </c>
      <c r="G434">
        <f>IF(OR(Database!$G434="",N(Screener!$D$13)&lt;=0),0,MAX(0,1-(N(Screener!$D$13)-Database!$G434)/W_RECD))</f>
        <v/>
      </c>
      <c r="H434">
        <f>IF($K$1="",0,N(ISNUMBER(SEARCH($K$1,Database!$T434&amp;""))))+IF($L$1="",0,N(ISNUMBER(SEARCH($L$1,Database!$T434&amp;""))))+IF($M$1="",0,N(ISNUMBER(SEARCH($M$1,Database!$T434&amp;""))))+IF($N$1="",0,N(ISNUMBER(SEARCH($N$1,Database!$T434&amp;""))))+IF($O$1="",0,N(ISNUMBER(SEARCH($O$1,Database!$T434&amp;""))))+IF(Screener!$B$14="",0,N(ISNUMBER(SEARCH(Screener!$B$14,Database!$T434&amp;""))))</f>
        <v/>
      </c>
      <c r="I434">
        <f>IF(OR(Database!$B434=Screener!$B$5,IF(OR(Screener!$B$17="All",AND(Screener!$B$17="With A-share",(Database!$AL434&lt;&gt;"")),AND(Screener!$B$17="Without A-share",NOT((Database!$AL434&lt;&gt;"")))),1,0)=0),-999999,IF(Screener!$B$15="cornerstone overlap first",H434*100000,0)+W_SUB*B434+W_SEC*C434*(1-B434)+W_SIZE*D434+W_PROF*E434+W_AH*F434+W_REC*G434+W_CS*H434)+ROW()/1000000</f>
        <v/>
      </c>
      <c r="K434">
        <f>Database!B426</f>
        <v/>
      </c>
      <c r="L434">
        <f>Database!D426</f>
        <v/>
      </c>
      <c r="M434">
        <f>Database!E426</f>
        <v/>
      </c>
      <c r="N434">
        <f>Database!H426</f>
        <v/>
      </c>
      <c r="O434">
        <f>Database!AH426</f>
        <v/>
      </c>
      <c r="P434">
        <f>Database!AK426</f>
        <v/>
      </c>
      <c r="Q434">
        <f>Database!G426</f>
        <v/>
      </c>
    </row>
    <row r="435">
      <c r="A435">
        <f>Database!B435</f>
        <v/>
      </c>
      <c r="B435">
        <f>IF(AND(Screener!$D$9&lt;&gt;"",Database!$E435=Screener!$D$9),1,0)</f>
        <v/>
      </c>
      <c r="C435">
        <f>IF(AND(Screener!$D$8&lt;&gt;"",Database!$D435=Screener!$D$8),1,0)</f>
        <v/>
      </c>
      <c r="D435">
        <f>IF(OR(Database!$H435="",N(Screener!$D$10)&lt;=0),0,MAX(0,1-ABS(LOG10(Database!$H435/Screener!$D$10))/W_SIZEHW))</f>
        <v/>
      </c>
      <c r="E435">
        <f>IF(OR(Database!$AH435="",Screener!$D$11=""),0,IF(Database!$AH435=Screener!$D$11,1,0))</f>
        <v/>
      </c>
      <c r="F435">
        <f>IF(OR(Database!$AK435="",Screener!$D$12=""),0,IF(Database!$AK435=Screener!$D$12,1,0))</f>
        <v/>
      </c>
      <c r="G435">
        <f>IF(OR(Database!$G435="",N(Screener!$D$13)&lt;=0),0,MAX(0,1-(N(Screener!$D$13)-Database!$G435)/W_RECD))</f>
        <v/>
      </c>
      <c r="H435">
        <f>IF($K$1="",0,N(ISNUMBER(SEARCH($K$1,Database!$T435&amp;""))))+IF($L$1="",0,N(ISNUMBER(SEARCH($L$1,Database!$T435&amp;""))))+IF($M$1="",0,N(ISNUMBER(SEARCH($M$1,Database!$T435&amp;""))))+IF($N$1="",0,N(ISNUMBER(SEARCH($N$1,Database!$T435&amp;""))))+IF($O$1="",0,N(ISNUMBER(SEARCH($O$1,Database!$T435&amp;""))))+IF(Screener!$B$14="",0,N(ISNUMBER(SEARCH(Screener!$B$14,Database!$T435&amp;""))))</f>
        <v/>
      </c>
      <c r="I435">
        <f>IF(OR(Database!$B435=Screener!$B$5,IF(OR(Screener!$B$17="All",AND(Screener!$B$17="With A-share",(Database!$AL435&lt;&gt;"")),AND(Screener!$B$17="Without A-share",NOT((Database!$AL435&lt;&gt;"")))),1,0)=0),-999999,IF(Screener!$B$15="cornerstone overlap first",H435*100000,0)+W_SUB*B435+W_SEC*C435*(1-B435)+W_SIZE*D435+W_PROF*E435+W_AH*F435+W_REC*G435+W_CS*H435)+ROW()/1000000</f>
        <v/>
      </c>
      <c r="K435">
        <f>Database!B427</f>
        <v/>
      </c>
      <c r="L435">
        <f>Database!D427</f>
        <v/>
      </c>
      <c r="M435">
        <f>Database!E427</f>
        <v/>
      </c>
      <c r="N435">
        <f>Database!H427</f>
        <v/>
      </c>
      <c r="O435">
        <f>Database!AH427</f>
        <v/>
      </c>
      <c r="P435">
        <f>Database!AK427</f>
        <v/>
      </c>
      <c r="Q435">
        <f>Database!G427</f>
        <v/>
      </c>
    </row>
    <row r="436">
      <c r="A436">
        <f>Database!B436</f>
        <v/>
      </c>
      <c r="B436">
        <f>IF(AND(Screener!$D$9&lt;&gt;"",Database!$E436=Screener!$D$9),1,0)</f>
        <v/>
      </c>
      <c r="C436">
        <f>IF(AND(Screener!$D$8&lt;&gt;"",Database!$D436=Screener!$D$8),1,0)</f>
        <v/>
      </c>
      <c r="D436">
        <f>IF(OR(Database!$H436="",N(Screener!$D$10)&lt;=0),0,MAX(0,1-ABS(LOG10(Database!$H436/Screener!$D$10))/W_SIZEHW))</f>
        <v/>
      </c>
      <c r="E436">
        <f>IF(OR(Database!$AH436="",Screener!$D$11=""),0,IF(Database!$AH436=Screener!$D$11,1,0))</f>
        <v/>
      </c>
      <c r="F436">
        <f>IF(OR(Database!$AK436="",Screener!$D$12=""),0,IF(Database!$AK436=Screener!$D$12,1,0))</f>
        <v/>
      </c>
      <c r="G436">
        <f>IF(OR(Database!$G436="",N(Screener!$D$13)&lt;=0),0,MAX(0,1-(N(Screener!$D$13)-Database!$G436)/W_RECD))</f>
        <v/>
      </c>
      <c r="H436">
        <f>IF($K$1="",0,N(ISNUMBER(SEARCH($K$1,Database!$T436&amp;""))))+IF($L$1="",0,N(ISNUMBER(SEARCH($L$1,Database!$T436&amp;""))))+IF($M$1="",0,N(ISNUMBER(SEARCH($M$1,Database!$T436&amp;""))))+IF($N$1="",0,N(ISNUMBER(SEARCH($N$1,Database!$T436&amp;""))))+IF($O$1="",0,N(ISNUMBER(SEARCH($O$1,Database!$T436&amp;""))))+IF(Screener!$B$14="",0,N(ISNUMBER(SEARCH(Screener!$B$14,Database!$T436&amp;""))))</f>
        <v/>
      </c>
      <c r="I436">
        <f>IF(OR(Database!$B436=Screener!$B$5,IF(OR(Screener!$B$17="All",AND(Screener!$B$17="With A-share",(Database!$AL436&lt;&gt;"")),AND(Screener!$B$17="Without A-share",NOT((Database!$AL436&lt;&gt;"")))),1,0)=0),-999999,IF(Screener!$B$15="cornerstone overlap first",H436*100000,0)+W_SUB*B436+W_SEC*C436*(1-B436)+W_SIZE*D436+W_PROF*E436+W_AH*F436+W_REC*G436+W_CS*H436)+ROW()/1000000</f>
        <v/>
      </c>
      <c r="K436">
        <f>Database!B428</f>
        <v/>
      </c>
      <c r="L436">
        <f>Database!D428</f>
        <v/>
      </c>
      <c r="M436">
        <f>Database!E428</f>
        <v/>
      </c>
      <c r="N436">
        <f>Database!H428</f>
        <v/>
      </c>
      <c r="O436">
        <f>Database!AH428</f>
        <v/>
      </c>
      <c r="P436">
        <f>Database!AK428</f>
        <v/>
      </c>
      <c r="Q436">
        <f>Database!G428</f>
        <v/>
      </c>
    </row>
    <row r="437">
      <c r="A437">
        <f>Database!B437</f>
        <v/>
      </c>
      <c r="B437">
        <f>IF(AND(Screener!$D$9&lt;&gt;"",Database!$E437=Screener!$D$9),1,0)</f>
        <v/>
      </c>
      <c r="C437">
        <f>IF(AND(Screener!$D$8&lt;&gt;"",Database!$D437=Screener!$D$8),1,0)</f>
        <v/>
      </c>
      <c r="D437">
        <f>IF(OR(Database!$H437="",N(Screener!$D$10)&lt;=0),0,MAX(0,1-ABS(LOG10(Database!$H437/Screener!$D$10))/W_SIZEHW))</f>
        <v/>
      </c>
      <c r="E437">
        <f>IF(OR(Database!$AH437="",Screener!$D$11=""),0,IF(Database!$AH437=Screener!$D$11,1,0))</f>
        <v/>
      </c>
      <c r="F437">
        <f>IF(OR(Database!$AK437="",Screener!$D$12=""),0,IF(Database!$AK437=Screener!$D$12,1,0))</f>
        <v/>
      </c>
      <c r="G437">
        <f>IF(OR(Database!$G437="",N(Screener!$D$13)&lt;=0),0,MAX(0,1-(N(Screener!$D$13)-Database!$G437)/W_RECD))</f>
        <v/>
      </c>
      <c r="H437">
        <f>IF($K$1="",0,N(ISNUMBER(SEARCH($K$1,Database!$T437&amp;""))))+IF($L$1="",0,N(ISNUMBER(SEARCH($L$1,Database!$T437&amp;""))))+IF($M$1="",0,N(ISNUMBER(SEARCH($M$1,Database!$T437&amp;""))))+IF($N$1="",0,N(ISNUMBER(SEARCH($N$1,Database!$T437&amp;""))))+IF($O$1="",0,N(ISNUMBER(SEARCH($O$1,Database!$T437&amp;""))))+IF(Screener!$B$14="",0,N(ISNUMBER(SEARCH(Screener!$B$14,Database!$T437&amp;""))))</f>
        <v/>
      </c>
      <c r="I437">
        <f>IF(OR(Database!$B437=Screener!$B$5,IF(OR(Screener!$B$17="All",AND(Screener!$B$17="With A-share",(Database!$AL437&lt;&gt;"")),AND(Screener!$B$17="Without A-share",NOT((Database!$AL437&lt;&gt;"")))),1,0)=0),-999999,IF(Screener!$B$15="cornerstone overlap first",H437*100000,0)+W_SUB*B437+W_SEC*C437*(1-B437)+W_SIZE*D437+W_PROF*E437+W_AH*F437+W_REC*G437+W_CS*H437)+ROW()/1000000</f>
        <v/>
      </c>
      <c r="K437">
        <f>Database!B429</f>
        <v/>
      </c>
      <c r="L437">
        <f>Database!D429</f>
        <v/>
      </c>
      <c r="M437">
        <f>Database!E429</f>
        <v/>
      </c>
      <c r="N437">
        <f>Database!H429</f>
        <v/>
      </c>
      <c r="O437">
        <f>Database!AH429</f>
        <v/>
      </c>
      <c r="P437">
        <f>Database!AK429</f>
        <v/>
      </c>
      <c r="Q437">
        <f>Database!G429</f>
        <v/>
      </c>
    </row>
    <row r="438">
      <c r="A438">
        <f>Database!B438</f>
        <v/>
      </c>
      <c r="B438">
        <f>IF(AND(Screener!$D$9&lt;&gt;"",Database!$E438=Screener!$D$9),1,0)</f>
        <v/>
      </c>
      <c r="C438">
        <f>IF(AND(Screener!$D$8&lt;&gt;"",Database!$D438=Screener!$D$8),1,0)</f>
        <v/>
      </c>
      <c r="D438">
        <f>IF(OR(Database!$H438="",N(Screener!$D$10)&lt;=0),0,MAX(0,1-ABS(LOG10(Database!$H438/Screener!$D$10))/W_SIZEHW))</f>
        <v/>
      </c>
      <c r="E438">
        <f>IF(OR(Database!$AH438="",Screener!$D$11=""),0,IF(Database!$AH438=Screener!$D$11,1,0))</f>
        <v/>
      </c>
      <c r="F438">
        <f>IF(OR(Database!$AK438="",Screener!$D$12=""),0,IF(Database!$AK438=Screener!$D$12,1,0))</f>
        <v/>
      </c>
      <c r="G438">
        <f>IF(OR(Database!$G438="",N(Screener!$D$13)&lt;=0),0,MAX(0,1-(N(Screener!$D$13)-Database!$G438)/W_RECD))</f>
        <v/>
      </c>
      <c r="H438">
        <f>IF($K$1="",0,N(ISNUMBER(SEARCH($K$1,Database!$T438&amp;""))))+IF($L$1="",0,N(ISNUMBER(SEARCH($L$1,Database!$T438&amp;""))))+IF($M$1="",0,N(ISNUMBER(SEARCH($M$1,Database!$T438&amp;""))))+IF($N$1="",0,N(ISNUMBER(SEARCH($N$1,Database!$T438&amp;""))))+IF($O$1="",0,N(ISNUMBER(SEARCH($O$1,Database!$T438&amp;""))))+IF(Screener!$B$14="",0,N(ISNUMBER(SEARCH(Screener!$B$14,Database!$T438&amp;""))))</f>
        <v/>
      </c>
      <c r="I438">
        <f>IF(OR(Database!$B438=Screener!$B$5,IF(OR(Screener!$B$17="All",AND(Screener!$B$17="With A-share",(Database!$AL438&lt;&gt;"")),AND(Screener!$B$17="Without A-share",NOT((Database!$AL438&lt;&gt;"")))),1,0)=0),-999999,IF(Screener!$B$15="cornerstone overlap first",H438*100000,0)+W_SUB*B438+W_SEC*C438*(1-B438)+W_SIZE*D438+W_PROF*E438+W_AH*F438+W_REC*G438+W_CS*H438)+ROW()/1000000</f>
        <v/>
      </c>
      <c r="K438">
        <f>Database!B430</f>
        <v/>
      </c>
      <c r="L438">
        <f>Database!D430</f>
        <v/>
      </c>
      <c r="M438">
        <f>Database!E430</f>
        <v/>
      </c>
      <c r="N438">
        <f>Database!H430</f>
        <v/>
      </c>
      <c r="O438">
        <f>Database!AH430</f>
        <v/>
      </c>
      <c r="P438">
        <f>Database!AK430</f>
        <v/>
      </c>
      <c r="Q438">
        <f>Database!G430</f>
        <v/>
      </c>
    </row>
    <row r="439">
      <c r="A439">
        <f>Database!B439</f>
        <v/>
      </c>
      <c r="B439">
        <f>IF(AND(Screener!$D$9&lt;&gt;"",Database!$E439=Screener!$D$9),1,0)</f>
        <v/>
      </c>
      <c r="C439">
        <f>IF(AND(Screener!$D$8&lt;&gt;"",Database!$D439=Screener!$D$8),1,0)</f>
        <v/>
      </c>
      <c r="D439">
        <f>IF(OR(Database!$H439="",N(Screener!$D$10)&lt;=0),0,MAX(0,1-ABS(LOG10(Database!$H439/Screener!$D$10))/W_SIZEHW))</f>
        <v/>
      </c>
      <c r="E439">
        <f>IF(OR(Database!$AH439="",Screener!$D$11=""),0,IF(Database!$AH439=Screener!$D$11,1,0))</f>
        <v/>
      </c>
      <c r="F439">
        <f>IF(OR(Database!$AK439="",Screener!$D$12=""),0,IF(Database!$AK439=Screener!$D$12,1,0))</f>
        <v/>
      </c>
      <c r="G439">
        <f>IF(OR(Database!$G439="",N(Screener!$D$13)&lt;=0),0,MAX(0,1-(N(Screener!$D$13)-Database!$G439)/W_RECD))</f>
        <v/>
      </c>
      <c r="H439">
        <f>IF($K$1="",0,N(ISNUMBER(SEARCH($K$1,Database!$T439&amp;""))))+IF($L$1="",0,N(ISNUMBER(SEARCH($L$1,Database!$T439&amp;""))))+IF($M$1="",0,N(ISNUMBER(SEARCH($M$1,Database!$T439&amp;""))))+IF($N$1="",0,N(ISNUMBER(SEARCH($N$1,Database!$T439&amp;""))))+IF($O$1="",0,N(ISNUMBER(SEARCH($O$1,Database!$T439&amp;""))))+IF(Screener!$B$14="",0,N(ISNUMBER(SEARCH(Screener!$B$14,Database!$T439&amp;""))))</f>
        <v/>
      </c>
      <c r="I439">
        <f>IF(OR(Database!$B439=Screener!$B$5,IF(OR(Screener!$B$17="All",AND(Screener!$B$17="With A-share",(Database!$AL439&lt;&gt;"")),AND(Screener!$B$17="Without A-share",NOT((Database!$AL439&lt;&gt;"")))),1,0)=0),-999999,IF(Screener!$B$15="cornerstone overlap first",H439*100000,0)+W_SUB*B439+W_SEC*C439*(1-B439)+W_SIZE*D439+W_PROF*E439+W_AH*F439+W_REC*G439+W_CS*H439)+ROW()/1000000</f>
        <v/>
      </c>
      <c r="K439">
        <f>Database!B431</f>
        <v/>
      </c>
      <c r="L439">
        <f>Database!D431</f>
        <v/>
      </c>
      <c r="M439">
        <f>Database!E431</f>
        <v/>
      </c>
      <c r="N439">
        <f>Database!H431</f>
        <v/>
      </c>
      <c r="O439">
        <f>Database!AH431</f>
        <v/>
      </c>
      <c r="P439">
        <f>Database!AK431</f>
        <v/>
      </c>
      <c r="Q439">
        <f>Database!G431</f>
        <v/>
      </c>
    </row>
    <row r="440">
      <c r="A440">
        <f>Database!B440</f>
        <v/>
      </c>
      <c r="B440">
        <f>IF(AND(Screener!$D$9&lt;&gt;"",Database!$E440=Screener!$D$9),1,0)</f>
        <v/>
      </c>
      <c r="C440">
        <f>IF(AND(Screener!$D$8&lt;&gt;"",Database!$D440=Screener!$D$8),1,0)</f>
        <v/>
      </c>
      <c r="D440">
        <f>IF(OR(Database!$H440="",N(Screener!$D$10)&lt;=0),0,MAX(0,1-ABS(LOG10(Database!$H440/Screener!$D$10))/W_SIZEHW))</f>
        <v/>
      </c>
      <c r="E440">
        <f>IF(OR(Database!$AH440="",Screener!$D$11=""),0,IF(Database!$AH440=Screener!$D$11,1,0))</f>
        <v/>
      </c>
      <c r="F440">
        <f>IF(OR(Database!$AK440="",Screener!$D$12=""),0,IF(Database!$AK440=Screener!$D$12,1,0))</f>
        <v/>
      </c>
      <c r="G440">
        <f>IF(OR(Database!$G440="",N(Screener!$D$13)&lt;=0),0,MAX(0,1-(N(Screener!$D$13)-Database!$G440)/W_RECD))</f>
        <v/>
      </c>
      <c r="H440">
        <f>IF($K$1="",0,N(ISNUMBER(SEARCH($K$1,Database!$T440&amp;""))))+IF($L$1="",0,N(ISNUMBER(SEARCH($L$1,Database!$T440&amp;""))))+IF($M$1="",0,N(ISNUMBER(SEARCH($M$1,Database!$T440&amp;""))))+IF($N$1="",0,N(ISNUMBER(SEARCH($N$1,Database!$T440&amp;""))))+IF($O$1="",0,N(ISNUMBER(SEARCH($O$1,Database!$T440&amp;""))))+IF(Screener!$B$14="",0,N(ISNUMBER(SEARCH(Screener!$B$14,Database!$T440&amp;""))))</f>
        <v/>
      </c>
      <c r="I440">
        <f>IF(OR(Database!$B440=Screener!$B$5,IF(OR(Screener!$B$17="All",AND(Screener!$B$17="With A-share",(Database!$AL440&lt;&gt;"")),AND(Screener!$B$17="Without A-share",NOT((Database!$AL440&lt;&gt;"")))),1,0)=0),-999999,IF(Screener!$B$15="cornerstone overlap first",H440*100000,0)+W_SUB*B440+W_SEC*C440*(1-B440)+W_SIZE*D440+W_PROF*E440+W_AH*F440+W_REC*G440+W_CS*H440)+ROW()/1000000</f>
        <v/>
      </c>
      <c r="K440">
        <f>Database!B432</f>
        <v/>
      </c>
      <c r="L440">
        <f>Database!D432</f>
        <v/>
      </c>
      <c r="M440">
        <f>Database!E432</f>
        <v/>
      </c>
      <c r="N440">
        <f>Database!H432</f>
        <v/>
      </c>
      <c r="O440">
        <f>Database!AH432</f>
        <v/>
      </c>
      <c r="P440">
        <f>Database!AK432</f>
        <v/>
      </c>
      <c r="Q440">
        <f>Database!G432</f>
        <v/>
      </c>
    </row>
    <row r="441">
      <c r="A441">
        <f>Database!B441</f>
        <v/>
      </c>
      <c r="B441">
        <f>IF(AND(Screener!$D$9&lt;&gt;"",Database!$E441=Screener!$D$9),1,0)</f>
        <v/>
      </c>
      <c r="C441">
        <f>IF(AND(Screener!$D$8&lt;&gt;"",Database!$D441=Screener!$D$8),1,0)</f>
        <v/>
      </c>
      <c r="D441">
        <f>IF(OR(Database!$H441="",N(Screener!$D$10)&lt;=0),0,MAX(0,1-ABS(LOG10(Database!$H441/Screener!$D$10))/W_SIZEHW))</f>
        <v/>
      </c>
      <c r="E441">
        <f>IF(OR(Database!$AH441="",Screener!$D$11=""),0,IF(Database!$AH441=Screener!$D$11,1,0))</f>
        <v/>
      </c>
      <c r="F441">
        <f>IF(OR(Database!$AK441="",Screener!$D$12=""),0,IF(Database!$AK441=Screener!$D$12,1,0))</f>
        <v/>
      </c>
      <c r="G441">
        <f>IF(OR(Database!$G441="",N(Screener!$D$13)&lt;=0),0,MAX(0,1-(N(Screener!$D$13)-Database!$G441)/W_RECD))</f>
        <v/>
      </c>
      <c r="H441">
        <f>IF($K$1="",0,N(ISNUMBER(SEARCH($K$1,Database!$T441&amp;""))))+IF($L$1="",0,N(ISNUMBER(SEARCH($L$1,Database!$T441&amp;""))))+IF($M$1="",0,N(ISNUMBER(SEARCH($M$1,Database!$T441&amp;""))))+IF($N$1="",0,N(ISNUMBER(SEARCH($N$1,Database!$T441&amp;""))))+IF($O$1="",0,N(ISNUMBER(SEARCH($O$1,Database!$T441&amp;""))))+IF(Screener!$B$14="",0,N(ISNUMBER(SEARCH(Screener!$B$14,Database!$T441&amp;""))))</f>
        <v/>
      </c>
      <c r="I441">
        <f>IF(OR(Database!$B441=Screener!$B$5,IF(OR(Screener!$B$17="All",AND(Screener!$B$17="With A-share",(Database!$AL441&lt;&gt;"")),AND(Screener!$B$17="Without A-share",NOT((Database!$AL441&lt;&gt;"")))),1,0)=0),-999999,IF(Screener!$B$15="cornerstone overlap first",H441*100000,0)+W_SUB*B441+W_SEC*C441*(1-B441)+W_SIZE*D441+W_PROF*E441+W_AH*F441+W_REC*G441+W_CS*H441)+ROW()/1000000</f>
        <v/>
      </c>
      <c r="K441">
        <f>Database!B433</f>
        <v/>
      </c>
      <c r="L441">
        <f>Database!D433</f>
        <v/>
      </c>
      <c r="M441">
        <f>Database!E433</f>
        <v/>
      </c>
      <c r="N441">
        <f>Database!H433</f>
        <v/>
      </c>
      <c r="O441">
        <f>Database!AH433</f>
        <v/>
      </c>
      <c r="P441">
        <f>Database!AK433</f>
        <v/>
      </c>
      <c r="Q441">
        <f>Database!G433</f>
        <v/>
      </c>
    </row>
    <row r="442">
      <c r="A442">
        <f>Database!B442</f>
        <v/>
      </c>
      <c r="B442">
        <f>IF(AND(Screener!$D$9&lt;&gt;"",Database!$E442=Screener!$D$9),1,0)</f>
        <v/>
      </c>
      <c r="C442">
        <f>IF(AND(Screener!$D$8&lt;&gt;"",Database!$D442=Screener!$D$8),1,0)</f>
        <v/>
      </c>
      <c r="D442">
        <f>IF(OR(Database!$H442="",N(Screener!$D$10)&lt;=0),0,MAX(0,1-ABS(LOG10(Database!$H442/Screener!$D$10))/W_SIZEHW))</f>
        <v/>
      </c>
      <c r="E442">
        <f>IF(OR(Database!$AH442="",Screener!$D$11=""),0,IF(Database!$AH442=Screener!$D$11,1,0))</f>
        <v/>
      </c>
      <c r="F442">
        <f>IF(OR(Database!$AK442="",Screener!$D$12=""),0,IF(Database!$AK442=Screener!$D$12,1,0))</f>
        <v/>
      </c>
      <c r="G442">
        <f>IF(OR(Database!$G442="",N(Screener!$D$13)&lt;=0),0,MAX(0,1-(N(Screener!$D$13)-Database!$G442)/W_RECD))</f>
        <v/>
      </c>
      <c r="H442">
        <f>IF($K$1="",0,N(ISNUMBER(SEARCH($K$1,Database!$T442&amp;""))))+IF($L$1="",0,N(ISNUMBER(SEARCH($L$1,Database!$T442&amp;""))))+IF($M$1="",0,N(ISNUMBER(SEARCH($M$1,Database!$T442&amp;""))))+IF($N$1="",0,N(ISNUMBER(SEARCH($N$1,Database!$T442&amp;""))))+IF($O$1="",0,N(ISNUMBER(SEARCH($O$1,Database!$T442&amp;""))))+IF(Screener!$B$14="",0,N(ISNUMBER(SEARCH(Screener!$B$14,Database!$T442&amp;""))))</f>
        <v/>
      </c>
      <c r="I442">
        <f>IF(OR(Database!$B442=Screener!$B$5,IF(OR(Screener!$B$17="All",AND(Screener!$B$17="With A-share",(Database!$AL442&lt;&gt;"")),AND(Screener!$B$17="Without A-share",NOT((Database!$AL442&lt;&gt;"")))),1,0)=0),-999999,IF(Screener!$B$15="cornerstone overlap first",H442*100000,0)+W_SUB*B442+W_SEC*C442*(1-B442)+W_SIZE*D442+W_PROF*E442+W_AH*F442+W_REC*G442+W_CS*H442)+ROW()/1000000</f>
        <v/>
      </c>
      <c r="K442">
        <f>Database!B434</f>
        <v/>
      </c>
      <c r="L442">
        <f>Database!D434</f>
        <v/>
      </c>
      <c r="M442">
        <f>Database!E434</f>
        <v/>
      </c>
      <c r="N442">
        <f>Database!H434</f>
        <v/>
      </c>
      <c r="O442">
        <f>Database!AH434</f>
        <v/>
      </c>
      <c r="P442">
        <f>Database!AK434</f>
        <v/>
      </c>
      <c r="Q442">
        <f>Database!G434</f>
        <v/>
      </c>
    </row>
    <row r="443">
      <c r="A443">
        <f>Database!B443</f>
        <v/>
      </c>
      <c r="B443">
        <f>IF(AND(Screener!$D$9&lt;&gt;"",Database!$E443=Screener!$D$9),1,0)</f>
        <v/>
      </c>
      <c r="C443">
        <f>IF(AND(Screener!$D$8&lt;&gt;"",Database!$D443=Screener!$D$8),1,0)</f>
        <v/>
      </c>
      <c r="D443">
        <f>IF(OR(Database!$H443="",N(Screener!$D$10)&lt;=0),0,MAX(0,1-ABS(LOG10(Database!$H443/Screener!$D$10))/W_SIZEHW))</f>
        <v/>
      </c>
      <c r="E443">
        <f>IF(OR(Database!$AH443="",Screener!$D$11=""),0,IF(Database!$AH443=Screener!$D$11,1,0))</f>
        <v/>
      </c>
      <c r="F443">
        <f>IF(OR(Database!$AK443="",Screener!$D$12=""),0,IF(Database!$AK443=Screener!$D$12,1,0))</f>
        <v/>
      </c>
      <c r="G443">
        <f>IF(OR(Database!$G443="",N(Screener!$D$13)&lt;=0),0,MAX(0,1-(N(Screener!$D$13)-Database!$G443)/W_RECD))</f>
        <v/>
      </c>
      <c r="H443">
        <f>IF($K$1="",0,N(ISNUMBER(SEARCH($K$1,Database!$T443&amp;""))))+IF($L$1="",0,N(ISNUMBER(SEARCH($L$1,Database!$T443&amp;""))))+IF($M$1="",0,N(ISNUMBER(SEARCH($M$1,Database!$T443&amp;""))))+IF($N$1="",0,N(ISNUMBER(SEARCH($N$1,Database!$T443&amp;""))))+IF($O$1="",0,N(ISNUMBER(SEARCH($O$1,Database!$T443&amp;""))))+IF(Screener!$B$14="",0,N(ISNUMBER(SEARCH(Screener!$B$14,Database!$T443&amp;""))))</f>
        <v/>
      </c>
      <c r="I443">
        <f>IF(OR(Database!$B443=Screener!$B$5,IF(OR(Screener!$B$17="All",AND(Screener!$B$17="With A-share",(Database!$AL443&lt;&gt;"")),AND(Screener!$B$17="Without A-share",NOT((Database!$AL443&lt;&gt;"")))),1,0)=0),-999999,IF(Screener!$B$15="cornerstone overlap first",H443*100000,0)+W_SUB*B443+W_SEC*C443*(1-B443)+W_SIZE*D443+W_PROF*E443+W_AH*F443+W_REC*G443+W_CS*H443)+ROW()/1000000</f>
        <v/>
      </c>
      <c r="K443">
        <f>Database!B435</f>
        <v/>
      </c>
      <c r="L443">
        <f>Database!D435</f>
        <v/>
      </c>
      <c r="M443">
        <f>Database!E435</f>
        <v/>
      </c>
      <c r="N443">
        <f>Database!H435</f>
        <v/>
      </c>
      <c r="O443">
        <f>Database!AH435</f>
        <v/>
      </c>
      <c r="P443">
        <f>Database!AK435</f>
        <v/>
      </c>
      <c r="Q443">
        <f>Database!G435</f>
        <v/>
      </c>
    </row>
    <row r="444">
      <c r="A444">
        <f>Database!B444</f>
        <v/>
      </c>
      <c r="B444">
        <f>IF(AND(Screener!$D$9&lt;&gt;"",Database!$E444=Screener!$D$9),1,0)</f>
        <v/>
      </c>
      <c r="C444">
        <f>IF(AND(Screener!$D$8&lt;&gt;"",Database!$D444=Screener!$D$8),1,0)</f>
        <v/>
      </c>
      <c r="D444">
        <f>IF(OR(Database!$H444="",N(Screener!$D$10)&lt;=0),0,MAX(0,1-ABS(LOG10(Database!$H444/Screener!$D$10))/W_SIZEHW))</f>
        <v/>
      </c>
      <c r="E444">
        <f>IF(OR(Database!$AH444="",Screener!$D$11=""),0,IF(Database!$AH444=Screener!$D$11,1,0))</f>
        <v/>
      </c>
      <c r="F444">
        <f>IF(OR(Database!$AK444="",Screener!$D$12=""),0,IF(Database!$AK444=Screener!$D$12,1,0))</f>
        <v/>
      </c>
      <c r="G444">
        <f>IF(OR(Database!$G444="",N(Screener!$D$13)&lt;=0),0,MAX(0,1-(N(Screener!$D$13)-Database!$G444)/W_RECD))</f>
        <v/>
      </c>
      <c r="H444">
        <f>IF($K$1="",0,N(ISNUMBER(SEARCH($K$1,Database!$T444&amp;""))))+IF($L$1="",0,N(ISNUMBER(SEARCH($L$1,Database!$T444&amp;""))))+IF($M$1="",0,N(ISNUMBER(SEARCH($M$1,Database!$T444&amp;""))))+IF($N$1="",0,N(ISNUMBER(SEARCH($N$1,Database!$T444&amp;""))))+IF($O$1="",0,N(ISNUMBER(SEARCH($O$1,Database!$T444&amp;""))))+IF(Screener!$B$14="",0,N(ISNUMBER(SEARCH(Screener!$B$14,Database!$T444&amp;""))))</f>
        <v/>
      </c>
      <c r="I444">
        <f>IF(OR(Database!$B444=Screener!$B$5,IF(OR(Screener!$B$17="All",AND(Screener!$B$17="With A-share",(Database!$AL444&lt;&gt;"")),AND(Screener!$B$17="Without A-share",NOT((Database!$AL444&lt;&gt;"")))),1,0)=0),-999999,IF(Screener!$B$15="cornerstone overlap first",H444*100000,0)+W_SUB*B444+W_SEC*C444*(1-B444)+W_SIZE*D444+W_PROF*E444+W_AH*F444+W_REC*G444+W_CS*H444)+ROW()/1000000</f>
        <v/>
      </c>
      <c r="K444">
        <f>Database!B436</f>
        <v/>
      </c>
      <c r="L444">
        <f>Database!D436</f>
        <v/>
      </c>
      <c r="M444">
        <f>Database!E436</f>
        <v/>
      </c>
      <c r="N444">
        <f>Database!H436</f>
        <v/>
      </c>
      <c r="O444">
        <f>Database!AH436</f>
        <v/>
      </c>
      <c r="P444">
        <f>Database!AK436</f>
        <v/>
      </c>
      <c r="Q444">
        <f>Database!G436</f>
        <v/>
      </c>
    </row>
    <row r="445">
      <c r="A445">
        <f>Database!B445</f>
        <v/>
      </c>
      <c r="B445">
        <f>IF(AND(Screener!$D$9&lt;&gt;"",Database!$E445=Screener!$D$9),1,0)</f>
        <v/>
      </c>
      <c r="C445">
        <f>IF(AND(Screener!$D$8&lt;&gt;"",Database!$D445=Screener!$D$8),1,0)</f>
        <v/>
      </c>
      <c r="D445">
        <f>IF(OR(Database!$H445="",N(Screener!$D$10)&lt;=0),0,MAX(0,1-ABS(LOG10(Database!$H445/Screener!$D$10))/W_SIZEHW))</f>
        <v/>
      </c>
      <c r="E445">
        <f>IF(OR(Database!$AH445="",Screener!$D$11=""),0,IF(Database!$AH445=Screener!$D$11,1,0))</f>
        <v/>
      </c>
      <c r="F445">
        <f>IF(OR(Database!$AK445="",Screener!$D$12=""),0,IF(Database!$AK445=Screener!$D$12,1,0))</f>
        <v/>
      </c>
      <c r="G445">
        <f>IF(OR(Database!$G445="",N(Screener!$D$13)&lt;=0),0,MAX(0,1-(N(Screener!$D$13)-Database!$G445)/W_RECD))</f>
        <v/>
      </c>
      <c r="H445">
        <f>IF($K$1="",0,N(ISNUMBER(SEARCH($K$1,Database!$T445&amp;""))))+IF($L$1="",0,N(ISNUMBER(SEARCH($L$1,Database!$T445&amp;""))))+IF($M$1="",0,N(ISNUMBER(SEARCH($M$1,Database!$T445&amp;""))))+IF($N$1="",0,N(ISNUMBER(SEARCH($N$1,Database!$T445&amp;""))))+IF($O$1="",0,N(ISNUMBER(SEARCH($O$1,Database!$T445&amp;""))))+IF(Screener!$B$14="",0,N(ISNUMBER(SEARCH(Screener!$B$14,Database!$T445&amp;""))))</f>
        <v/>
      </c>
      <c r="I445">
        <f>IF(OR(Database!$B445=Screener!$B$5,IF(OR(Screener!$B$17="All",AND(Screener!$B$17="With A-share",(Database!$AL445&lt;&gt;"")),AND(Screener!$B$17="Without A-share",NOT((Database!$AL445&lt;&gt;"")))),1,0)=0),-999999,IF(Screener!$B$15="cornerstone overlap first",H445*100000,0)+W_SUB*B445+W_SEC*C445*(1-B445)+W_SIZE*D445+W_PROF*E445+W_AH*F445+W_REC*G445+W_CS*H445)+ROW()/1000000</f>
        <v/>
      </c>
      <c r="K445">
        <f>Database!B437</f>
        <v/>
      </c>
      <c r="L445">
        <f>Database!D437</f>
        <v/>
      </c>
      <c r="M445">
        <f>Database!E437</f>
        <v/>
      </c>
      <c r="N445">
        <f>Database!H437</f>
        <v/>
      </c>
      <c r="O445">
        <f>Database!AH437</f>
        <v/>
      </c>
      <c r="P445">
        <f>Database!AK437</f>
        <v/>
      </c>
      <c r="Q445">
        <f>Database!G437</f>
        <v/>
      </c>
    </row>
    <row r="446">
      <c r="A446">
        <f>Database!B446</f>
        <v/>
      </c>
      <c r="B446">
        <f>IF(AND(Screener!$D$9&lt;&gt;"",Database!$E446=Screener!$D$9),1,0)</f>
        <v/>
      </c>
      <c r="C446">
        <f>IF(AND(Screener!$D$8&lt;&gt;"",Database!$D446=Screener!$D$8),1,0)</f>
        <v/>
      </c>
      <c r="D446">
        <f>IF(OR(Database!$H446="",N(Screener!$D$10)&lt;=0),0,MAX(0,1-ABS(LOG10(Database!$H446/Screener!$D$10))/W_SIZEHW))</f>
        <v/>
      </c>
      <c r="E446">
        <f>IF(OR(Database!$AH446="",Screener!$D$11=""),0,IF(Database!$AH446=Screener!$D$11,1,0))</f>
        <v/>
      </c>
      <c r="F446">
        <f>IF(OR(Database!$AK446="",Screener!$D$12=""),0,IF(Database!$AK446=Screener!$D$12,1,0))</f>
        <v/>
      </c>
      <c r="G446">
        <f>IF(OR(Database!$G446="",N(Screener!$D$13)&lt;=0),0,MAX(0,1-(N(Screener!$D$13)-Database!$G446)/W_RECD))</f>
        <v/>
      </c>
      <c r="H446">
        <f>IF($K$1="",0,N(ISNUMBER(SEARCH($K$1,Database!$T446&amp;""))))+IF($L$1="",0,N(ISNUMBER(SEARCH($L$1,Database!$T446&amp;""))))+IF($M$1="",0,N(ISNUMBER(SEARCH($M$1,Database!$T446&amp;""))))+IF($N$1="",0,N(ISNUMBER(SEARCH($N$1,Database!$T446&amp;""))))+IF($O$1="",0,N(ISNUMBER(SEARCH($O$1,Database!$T446&amp;""))))+IF(Screener!$B$14="",0,N(ISNUMBER(SEARCH(Screener!$B$14,Database!$T446&amp;""))))</f>
        <v/>
      </c>
      <c r="I446">
        <f>IF(OR(Database!$B446=Screener!$B$5,IF(OR(Screener!$B$17="All",AND(Screener!$B$17="With A-share",(Database!$AL446&lt;&gt;"")),AND(Screener!$B$17="Without A-share",NOT((Database!$AL446&lt;&gt;"")))),1,0)=0),-999999,IF(Screener!$B$15="cornerstone overlap first",H446*100000,0)+W_SUB*B446+W_SEC*C446*(1-B446)+W_SIZE*D446+W_PROF*E446+W_AH*F446+W_REC*G446+W_CS*H446)+ROW()/1000000</f>
        <v/>
      </c>
      <c r="K446">
        <f>Database!B438</f>
        <v/>
      </c>
      <c r="L446">
        <f>Database!D438</f>
        <v/>
      </c>
      <c r="M446">
        <f>Database!E438</f>
        <v/>
      </c>
      <c r="N446">
        <f>Database!H438</f>
        <v/>
      </c>
      <c r="O446">
        <f>Database!AH438</f>
        <v/>
      </c>
      <c r="P446">
        <f>Database!AK438</f>
        <v/>
      </c>
      <c r="Q446">
        <f>Database!G438</f>
        <v/>
      </c>
    </row>
    <row r="447">
      <c r="A447">
        <f>Database!B447</f>
        <v/>
      </c>
      <c r="B447">
        <f>IF(AND(Screener!$D$9&lt;&gt;"",Database!$E447=Screener!$D$9),1,0)</f>
        <v/>
      </c>
      <c r="C447">
        <f>IF(AND(Screener!$D$8&lt;&gt;"",Database!$D447=Screener!$D$8),1,0)</f>
        <v/>
      </c>
      <c r="D447">
        <f>IF(OR(Database!$H447="",N(Screener!$D$10)&lt;=0),0,MAX(0,1-ABS(LOG10(Database!$H447/Screener!$D$10))/W_SIZEHW))</f>
        <v/>
      </c>
      <c r="E447">
        <f>IF(OR(Database!$AH447="",Screener!$D$11=""),0,IF(Database!$AH447=Screener!$D$11,1,0))</f>
        <v/>
      </c>
      <c r="F447">
        <f>IF(OR(Database!$AK447="",Screener!$D$12=""),0,IF(Database!$AK447=Screener!$D$12,1,0))</f>
        <v/>
      </c>
      <c r="G447">
        <f>IF(OR(Database!$G447="",N(Screener!$D$13)&lt;=0),0,MAX(0,1-(N(Screener!$D$13)-Database!$G447)/W_RECD))</f>
        <v/>
      </c>
      <c r="H447">
        <f>IF($K$1="",0,N(ISNUMBER(SEARCH($K$1,Database!$T447&amp;""))))+IF($L$1="",0,N(ISNUMBER(SEARCH($L$1,Database!$T447&amp;""))))+IF($M$1="",0,N(ISNUMBER(SEARCH($M$1,Database!$T447&amp;""))))+IF($N$1="",0,N(ISNUMBER(SEARCH($N$1,Database!$T447&amp;""))))+IF($O$1="",0,N(ISNUMBER(SEARCH($O$1,Database!$T447&amp;""))))+IF(Screener!$B$14="",0,N(ISNUMBER(SEARCH(Screener!$B$14,Database!$T447&amp;""))))</f>
        <v/>
      </c>
      <c r="I447">
        <f>IF(OR(Database!$B447=Screener!$B$5,IF(OR(Screener!$B$17="All",AND(Screener!$B$17="With A-share",(Database!$AL447&lt;&gt;"")),AND(Screener!$B$17="Without A-share",NOT((Database!$AL447&lt;&gt;"")))),1,0)=0),-999999,IF(Screener!$B$15="cornerstone overlap first",H447*100000,0)+W_SUB*B447+W_SEC*C447*(1-B447)+W_SIZE*D447+W_PROF*E447+W_AH*F447+W_REC*G447+W_CS*H447)+ROW()/1000000</f>
        <v/>
      </c>
      <c r="K447">
        <f>Database!B439</f>
        <v/>
      </c>
      <c r="L447">
        <f>Database!D439</f>
        <v/>
      </c>
      <c r="M447">
        <f>Database!E439</f>
        <v/>
      </c>
      <c r="N447">
        <f>Database!H439</f>
        <v/>
      </c>
      <c r="O447">
        <f>Database!AH439</f>
        <v/>
      </c>
      <c r="P447">
        <f>Database!AK439</f>
        <v/>
      </c>
      <c r="Q447">
        <f>Database!G439</f>
        <v/>
      </c>
    </row>
    <row r="448">
      <c r="A448">
        <f>Database!B448</f>
        <v/>
      </c>
      <c r="B448">
        <f>IF(AND(Screener!$D$9&lt;&gt;"",Database!$E448=Screener!$D$9),1,0)</f>
        <v/>
      </c>
      <c r="C448">
        <f>IF(AND(Screener!$D$8&lt;&gt;"",Database!$D448=Screener!$D$8),1,0)</f>
        <v/>
      </c>
      <c r="D448">
        <f>IF(OR(Database!$H448="",N(Screener!$D$10)&lt;=0),0,MAX(0,1-ABS(LOG10(Database!$H448/Screener!$D$10))/W_SIZEHW))</f>
        <v/>
      </c>
      <c r="E448">
        <f>IF(OR(Database!$AH448="",Screener!$D$11=""),0,IF(Database!$AH448=Screener!$D$11,1,0))</f>
        <v/>
      </c>
      <c r="F448">
        <f>IF(OR(Database!$AK448="",Screener!$D$12=""),0,IF(Database!$AK448=Screener!$D$12,1,0))</f>
        <v/>
      </c>
      <c r="G448">
        <f>IF(OR(Database!$G448="",N(Screener!$D$13)&lt;=0),0,MAX(0,1-(N(Screener!$D$13)-Database!$G448)/W_RECD))</f>
        <v/>
      </c>
      <c r="H448">
        <f>IF($K$1="",0,N(ISNUMBER(SEARCH($K$1,Database!$T448&amp;""))))+IF($L$1="",0,N(ISNUMBER(SEARCH($L$1,Database!$T448&amp;""))))+IF($M$1="",0,N(ISNUMBER(SEARCH($M$1,Database!$T448&amp;""))))+IF($N$1="",0,N(ISNUMBER(SEARCH($N$1,Database!$T448&amp;""))))+IF($O$1="",0,N(ISNUMBER(SEARCH($O$1,Database!$T448&amp;""))))+IF(Screener!$B$14="",0,N(ISNUMBER(SEARCH(Screener!$B$14,Database!$T448&amp;""))))</f>
        <v/>
      </c>
      <c r="I448">
        <f>IF(OR(Database!$B448=Screener!$B$5,IF(OR(Screener!$B$17="All",AND(Screener!$B$17="With A-share",(Database!$AL448&lt;&gt;"")),AND(Screener!$B$17="Without A-share",NOT((Database!$AL448&lt;&gt;"")))),1,0)=0),-999999,IF(Screener!$B$15="cornerstone overlap first",H448*100000,0)+W_SUB*B448+W_SEC*C448*(1-B448)+W_SIZE*D448+W_PROF*E448+W_AH*F448+W_REC*G448+W_CS*H448)+ROW()/1000000</f>
        <v/>
      </c>
      <c r="K448">
        <f>Database!B440</f>
        <v/>
      </c>
      <c r="L448">
        <f>Database!D440</f>
        <v/>
      </c>
      <c r="M448">
        <f>Database!E440</f>
        <v/>
      </c>
      <c r="N448">
        <f>Database!H440</f>
        <v/>
      </c>
      <c r="O448">
        <f>Database!AH440</f>
        <v/>
      </c>
      <c r="P448">
        <f>Database!AK440</f>
        <v/>
      </c>
      <c r="Q448">
        <f>Database!G440</f>
        <v/>
      </c>
    </row>
    <row r="449">
      <c r="A449">
        <f>Database!B449</f>
        <v/>
      </c>
      <c r="B449">
        <f>IF(AND(Screener!$D$9&lt;&gt;"",Database!$E449=Screener!$D$9),1,0)</f>
        <v/>
      </c>
      <c r="C449">
        <f>IF(AND(Screener!$D$8&lt;&gt;"",Database!$D449=Screener!$D$8),1,0)</f>
        <v/>
      </c>
      <c r="D449">
        <f>IF(OR(Database!$H449="",N(Screener!$D$10)&lt;=0),0,MAX(0,1-ABS(LOG10(Database!$H449/Screener!$D$10))/W_SIZEHW))</f>
        <v/>
      </c>
      <c r="E449">
        <f>IF(OR(Database!$AH449="",Screener!$D$11=""),0,IF(Database!$AH449=Screener!$D$11,1,0))</f>
        <v/>
      </c>
      <c r="F449">
        <f>IF(OR(Database!$AK449="",Screener!$D$12=""),0,IF(Database!$AK449=Screener!$D$12,1,0))</f>
        <v/>
      </c>
      <c r="G449">
        <f>IF(OR(Database!$G449="",N(Screener!$D$13)&lt;=0),0,MAX(0,1-(N(Screener!$D$13)-Database!$G449)/W_RECD))</f>
        <v/>
      </c>
      <c r="H449">
        <f>IF($K$1="",0,N(ISNUMBER(SEARCH($K$1,Database!$T449&amp;""))))+IF($L$1="",0,N(ISNUMBER(SEARCH($L$1,Database!$T449&amp;""))))+IF($M$1="",0,N(ISNUMBER(SEARCH($M$1,Database!$T449&amp;""))))+IF($N$1="",0,N(ISNUMBER(SEARCH($N$1,Database!$T449&amp;""))))+IF($O$1="",0,N(ISNUMBER(SEARCH($O$1,Database!$T449&amp;""))))+IF(Screener!$B$14="",0,N(ISNUMBER(SEARCH(Screener!$B$14,Database!$T449&amp;""))))</f>
        <v/>
      </c>
      <c r="I449">
        <f>IF(OR(Database!$B449=Screener!$B$5,IF(OR(Screener!$B$17="All",AND(Screener!$B$17="With A-share",(Database!$AL449&lt;&gt;"")),AND(Screener!$B$17="Without A-share",NOT((Database!$AL449&lt;&gt;"")))),1,0)=0),-999999,IF(Screener!$B$15="cornerstone overlap first",H449*100000,0)+W_SUB*B449+W_SEC*C449*(1-B449)+W_SIZE*D449+W_PROF*E449+W_AH*F449+W_REC*G449+W_CS*H449)+ROW()/1000000</f>
        <v/>
      </c>
      <c r="K449">
        <f>Database!B441</f>
        <v/>
      </c>
      <c r="L449">
        <f>Database!D441</f>
        <v/>
      </c>
      <c r="M449">
        <f>Database!E441</f>
        <v/>
      </c>
      <c r="N449">
        <f>Database!H441</f>
        <v/>
      </c>
      <c r="O449">
        <f>Database!AH441</f>
        <v/>
      </c>
      <c r="P449">
        <f>Database!AK441</f>
        <v/>
      </c>
      <c r="Q449">
        <f>Database!G441</f>
        <v/>
      </c>
    </row>
    <row r="450">
      <c r="A450">
        <f>Database!B450</f>
        <v/>
      </c>
      <c r="B450">
        <f>IF(AND(Screener!$D$9&lt;&gt;"",Database!$E450=Screener!$D$9),1,0)</f>
        <v/>
      </c>
      <c r="C450">
        <f>IF(AND(Screener!$D$8&lt;&gt;"",Database!$D450=Screener!$D$8),1,0)</f>
        <v/>
      </c>
      <c r="D450">
        <f>IF(OR(Database!$H450="",N(Screener!$D$10)&lt;=0),0,MAX(0,1-ABS(LOG10(Database!$H450/Screener!$D$10))/W_SIZEHW))</f>
        <v/>
      </c>
      <c r="E450">
        <f>IF(OR(Database!$AH450="",Screener!$D$11=""),0,IF(Database!$AH450=Screener!$D$11,1,0))</f>
        <v/>
      </c>
      <c r="F450">
        <f>IF(OR(Database!$AK450="",Screener!$D$12=""),0,IF(Database!$AK450=Screener!$D$12,1,0))</f>
        <v/>
      </c>
      <c r="G450">
        <f>IF(OR(Database!$G450="",N(Screener!$D$13)&lt;=0),0,MAX(0,1-(N(Screener!$D$13)-Database!$G450)/W_RECD))</f>
        <v/>
      </c>
      <c r="H450">
        <f>IF($K$1="",0,N(ISNUMBER(SEARCH($K$1,Database!$T450&amp;""))))+IF($L$1="",0,N(ISNUMBER(SEARCH($L$1,Database!$T450&amp;""))))+IF($M$1="",0,N(ISNUMBER(SEARCH($M$1,Database!$T450&amp;""))))+IF($N$1="",0,N(ISNUMBER(SEARCH($N$1,Database!$T450&amp;""))))+IF($O$1="",0,N(ISNUMBER(SEARCH($O$1,Database!$T450&amp;""))))+IF(Screener!$B$14="",0,N(ISNUMBER(SEARCH(Screener!$B$14,Database!$T450&amp;""))))</f>
        <v/>
      </c>
      <c r="I450">
        <f>IF(OR(Database!$B450=Screener!$B$5,IF(OR(Screener!$B$17="All",AND(Screener!$B$17="With A-share",(Database!$AL450&lt;&gt;"")),AND(Screener!$B$17="Without A-share",NOT((Database!$AL450&lt;&gt;"")))),1,0)=0),-999999,IF(Screener!$B$15="cornerstone overlap first",H450*100000,0)+W_SUB*B450+W_SEC*C450*(1-B450)+W_SIZE*D450+W_PROF*E450+W_AH*F450+W_REC*G450+W_CS*H450)+ROW()/1000000</f>
        <v/>
      </c>
      <c r="K450">
        <f>Database!B442</f>
        <v/>
      </c>
      <c r="L450">
        <f>Database!D442</f>
        <v/>
      </c>
      <c r="M450">
        <f>Database!E442</f>
        <v/>
      </c>
      <c r="N450">
        <f>Database!H442</f>
        <v/>
      </c>
      <c r="O450">
        <f>Database!AH442</f>
        <v/>
      </c>
      <c r="P450">
        <f>Database!AK442</f>
        <v/>
      </c>
      <c r="Q450">
        <f>Database!G442</f>
        <v/>
      </c>
    </row>
    <row r="451">
      <c r="A451">
        <f>Database!B451</f>
        <v/>
      </c>
      <c r="B451">
        <f>IF(AND(Screener!$D$9&lt;&gt;"",Database!$E451=Screener!$D$9),1,0)</f>
        <v/>
      </c>
      <c r="C451">
        <f>IF(AND(Screener!$D$8&lt;&gt;"",Database!$D451=Screener!$D$8),1,0)</f>
        <v/>
      </c>
      <c r="D451">
        <f>IF(OR(Database!$H451="",N(Screener!$D$10)&lt;=0),0,MAX(0,1-ABS(LOG10(Database!$H451/Screener!$D$10))/W_SIZEHW))</f>
        <v/>
      </c>
      <c r="E451">
        <f>IF(OR(Database!$AH451="",Screener!$D$11=""),0,IF(Database!$AH451=Screener!$D$11,1,0))</f>
        <v/>
      </c>
      <c r="F451">
        <f>IF(OR(Database!$AK451="",Screener!$D$12=""),0,IF(Database!$AK451=Screener!$D$12,1,0))</f>
        <v/>
      </c>
      <c r="G451">
        <f>IF(OR(Database!$G451="",N(Screener!$D$13)&lt;=0),0,MAX(0,1-(N(Screener!$D$13)-Database!$G451)/W_RECD))</f>
        <v/>
      </c>
      <c r="H451">
        <f>IF($K$1="",0,N(ISNUMBER(SEARCH($K$1,Database!$T451&amp;""))))+IF($L$1="",0,N(ISNUMBER(SEARCH($L$1,Database!$T451&amp;""))))+IF($M$1="",0,N(ISNUMBER(SEARCH($M$1,Database!$T451&amp;""))))+IF($N$1="",0,N(ISNUMBER(SEARCH($N$1,Database!$T451&amp;""))))+IF($O$1="",0,N(ISNUMBER(SEARCH($O$1,Database!$T451&amp;""))))+IF(Screener!$B$14="",0,N(ISNUMBER(SEARCH(Screener!$B$14,Database!$T451&amp;""))))</f>
        <v/>
      </c>
      <c r="I451">
        <f>IF(OR(Database!$B451=Screener!$B$5,IF(OR(Screener!$B$17="All",AND(Screener!$B$17="With A-share",(Database!$AL451&lt;&gt;"")),AND(Screener!$B$17="Without A-share",NOT((Database!$AL451&lt;&gt;"")))),1,0)=0),-999999,IF(Screener!$B$15="cornerstone overlap first",H451*100000,0)+W_SUB*B451+W_SEC*C451*(1-B451)+W_SIZE*D451+W_PROF*E451+W_AH*F451+W_REC*G451+W_CS*H451)+ROW()/1000000</f>
        <v/>
      </c>
      <c r="K451">
        <f>Database!B443</f>
        <v/>
      </c>
      <c r="L451">
        <f>Database!D443</f>
        <v/>
      </c>
      <c r="M451">
        <f>Database!E443</f>
        <v/>
      </c>
      <c r="N451">
        <f>Database!H443</f>
        <v/>
      </c>
      <c r="O451">
        <f>Database!AH443</f>
        <v/>
      </c>
      <c r="P451">
        <f>Database!AK443</f>
        <v/>
      </c>
      <c r="Q451">
        <f>Database!G443</f>
        <v/>
      </c>
    </row>
    <row r="452">
      <c r="A452">
        <f>Database!B452</f>
        <v/>
      </c>
      <c r="B452">
        <f>IF(AND(Screener!$D$9&lt;&gt;"",Database!$E452=Screener!$D$9),1,0)</f>
        <v/>
      </c>
      <c r="C452">
        <f>IF(AND(Screener!$D$8&lt;&gt;"",Database!$D452=Screener!$D$8),1,0)</f>
        <v/>
      </c>
      <c r="D452">
        <f>IF(OR(Database!$H452="",N(Screener!$D$10)&lt;=0),0,MAX(0,1-ABS(LOG10(Database!$H452/Screener!$D$10))/W_SIZEHW))</f>
        <v/>
      </c>
      <c r="E452">
        <f>IF(OR(Database!$AH452="",Screener!$D$11=""),0,IF(Database!$AH452=Screener!$D$11,1,0))</f>
        <v/>
      </c>
      <c r="F452">
        <f>IF(OR(Database!$AK452="",Screener!$D$12=""),0,IF(Database!$AK452=Screener!$D$12,1,0))</f>
        <v/>
      </c>
      <c r="G452">
        <f>IF(OR(Database!$G452="",N(Screener!$D$13)&lt;=0),0,MAX(0,1-(N(Screener!$D$13)-Database!$G452)/W_RECD))</f>
        <v/>
      </c>
      <c r="H452">
        <f>IF($K$1="",0,N(ISNUMBER(SEARCH($K$1,Database!$T452&amp;""))))+IF($L$1="",0,N(ISNUMBER(SEARCH($L$1,Database!$T452&amp;""))))+IF($M$1="",0,N(ISNUMBER(SEARCH($M$1,Database!$T452&amp;""))))+IF($N$1="",0,N(ISNUMBER(SEARCH($N$1,Database!$T452&amp;""))))+IF($O$1="",0,N(ISNUMBER(SEARCH($O$1,Database!$T452&amp;""))))+IF(Screener!$B$14="",0,N(ISNUMBER(SEARCH(Screener!$B$14,Database!$T452&amp;""))))</f>
        <v/>
      </c>
      <c r="I452">
        <f>IF(OR(Database!$B452=Screener!$B$5,IF(OR(Screener!$B$17="All",AND(Screener!$B$17="With A-share",(Database!$AL452&lt;&gt;"")),AND(Screener!$B$17="Without A-share",NOT((Database!$AL452&lt;&gt;"")))),1,0)=0),-999999,IF(Screener!$B$15="cornerstone overlap first",H452*100000,0)+W_SUB*B452+W_SEC*C452*(1-B452)+W_SIZE*D452+W_PROF*E452+W_AH*F452+W_REC*G452+W_CS*H452)+ROW()/1000000</f>
        <v/>
      </c>
      <c r="K452">
        <f>Database!B444</f>
        <v/>
      </c>
      <c r="L452">
        <f>Database!D444</f>
        <v/>
      </c>
      <c r="M452">
        <f>Database!E444</f>
        <v/>
      </c>
      <c r="N452">
        <f>Database!H444</f>
        <v/>
      </c>
      <c r="O452">
        <f>Database!AH444</f>
        <v/>
      </c>
      <c r="P452">
        <f>Database!AK444</f>
        <v/>
      </c>
      <c r="Q452">
        <f>Database!G444</f>
        <v/>
      </c>
    </row>
    <row r="453">
      <c r="A453">
        <f>Database!B453</f>
        <v/>
      </c>
      <c r="B453">
        <f>IF(AND(Screener!$D$9&lt;&gt;"",Database!$E453=Screener!$D$9),1,0)</f>
        <v/>
      </c>
      <c r="C453">
        <f>IF(AND(Screener!$D$8&lt;&gt;"",Database!$D453=Screener!$D$8),1,0)</f>
        <v/>
      </c>
      <c r="D453">
        <f>IF(OR(Database!$H453="",N(Screener!$D$10)&lt;=0),0,MAX(0,1-ABS(LOG10(Database!$H453/Screener!$D$10))/W_SIZEHW))</f>
        <v/>
      </c>
      <c r="E453">
        <f>IF(OR(Database!$AH453="",Screener!$D$11=""),0,IF(Database!$AH453=Screener!$D$11,1,0))</f>
        <v/>
      </c>
      <c r="F453">
        <f>IF(OR(Database!$AK453="",Screener!$D$12=""),0,IF(Database!$AK453=Screener!$D$12,1,0))</f>
        <v/>
      </c>
      <c r="G453">
        <f>IF(OR(Database!$G453="",N(Screener!$D$13)&lt;=0),0,MAX(0,1-(N(Screener!$D$13)-Database!$G453)/W_RECD))</f>
        <v/>
      </c>
      <c r="H453">
        <f>IF($K$1="",0,N(ISNUMBER(SEARCH($K$1,Database!$T453&amp;""))))+IF($L$1="",0,N(ISNUMBER(SEARCH($L$1,Database!$T453&amp;""))))+IF($M$1="",0,N(ISNUMBER(SEARCH($M$1,Database!$T453&amp;""))))+IF($N$1="",0,N(ISNUMBER(SEARCH($N$1,Database!$T453&amp;""))))+IF($O$1="",0,N(ISNUMBER(SEARCH($O$1,Database!$T453&amp;""))))+IF(Screener!$B$14="",0,N(ISNUMBER(SEARCH(Screener!$B$14,Database!$T453&amp;""))))</f>
        <v/>
      </c>
      <c r="I453">
        <f>IF(OR(Database!$B453=Screener!$B$5,IF(OR(Screener!$B$17="All",AND(Screener!$B$17="With A-share",(Database!$AL453&lt;&gt;"")),AND(Screener!$B$17="Without A-share",NOT((Database!$AL453&lt;&gt;"")))),1,0)=0),-999999,IF(Screener!$B$15="cornerstone overlap first",H453*100000,0)+W_SUB*B453+W_SEC*C453*(1-B453)+W_SIZE*D453+W_PROF*E453+W_AH*F453+W_REC*G453+W_CS*H453)+ROW()/1000000</f>
        <v/>
      </c>
      <c r="K453">
        <f>Database!B445</f>
        <v/>
      </c>
      <c r="L453">
        <f>Database!D445</f>
        <v/>
      </c>
      <c r="M453">
        <f>Database!E445</f>
        <v/>
      </c>
      <c r="N453">
        <f>Database!H445</f>
        <v/>
      </c>
      <c r="O453">
        <f>Database!AH445</f>
        <v/>
      </c>
      <c r="P453">
        <f>Database!AK445</f>
        <v/>
      </c>
      <c r="Q453">
        <f>Database!G445</f>
        <v/>
      </c>
    </row>
    <row r="454">
      <c r="A454">
        <f>Database!B454</f>
        <v/>
      </c>
      <c r="B454">
        <f>IF(AND(Screener!$D$9&lt;&gt;"",Database!$E454=Screener!$D$9),1,0)</f>
        <v/>
      </c>
      <c r="C454">
        <f>IF(AND(Screener!$D$8&lt;&gt;"",Database!$D454=Screener!$D$8),1,0)</f>
        <v/>
      </c>
      <c r="D454">
        <f>IF(OR(Database!$H454="",N(Screener!$D$10)&lt;=0),0,MAX(0,1-ABS(LOG10(Database!$H454/Screener!$D$10))/W_SIZEHW))</f>
        <v/>
      </c>
      <c r="E454">
        <f>IF(OR(Database!$AH454="",Screener!$D$11=""),0,IF(Database!$AH454=Screener!$D$11,1,0))</f>
        <v/>
      </c>
      <c r="F454">
        <f>IF(OR(Database!$AK454="",Screener!$D$12=""),0,IF(Database!$AK454=Screener!$D$12,1,0))</f>
        <v/>
      </c>
      <c r="G454">
        <f>IF(OR(Database!$G454="",N(Screener!$D$13)&lt;=0),0,MAX(0,1-(N(Screener!$D$13)-Database!$G454)/W_RECD))</f>
        <v/>
      </c>
      <c r="H454">
        <f>IF($K$1="",0,N(ISNUMBER(SEARCH($K$1,Database!$T454&amp;""))))+IF($L$1="",0,N(ISNUMBER(SEARCH($L$1,Database!$T454&amp;""))))+IF($M$1="",0,N(ISNUMBER(SEARCH($M$1,Database!$T454&amp;""))))+IF($N$1="",0,N(ISNUMBER(SEARCH($N$1,Database!$T454&amp;""))))+IF($O$1="",0,N(ISNUMBER(SEARCH($O$1,Database!$T454&amp;""))))+IF(Screener!$B$14="",0,N(ISNUMBER(SEARCH(Screener!$B$14,Database!$T454&amp;""))))</f>
        <v/>
      </c>
      <c r="I454">
        <f>IF(OR(Database!$B454=Screener!$B$5,IF(OR(Screener!$B$17="All",AND(Screener!$B$17="With A-share",(Database!$AL454&lt;&gt;"")),AND(Screener!$B$17="Without A-share",NOT((Database!$AL454&lt;&gt;"")))),1,0)=0),-999999,IF(Screener!$B$15="cornerstone overlap first",H454*100000,0)+W_SUB*B454+W_SEC*C454*(1-B454)+W_SIZE*D454+W_PROF*E454+W_AH*F454+W_REC*G454+W_CS*H454)+ROW()/1000000</f>
        <v/>
      </c>
      <c r="K454">
        <f>Database!B446</f>
        <v/>
      </c>
      <c r="L454">
        <f>Database!D446</f>
        <v/>
      </c>
      <c r="M454">
        <f>Database!E446</f>
        <v/>
      </c>
      <c r="N454">
        <f>Database!H446</f>
        <v/>
      </c>
      <c r="O454">
        <f>Database!AH446</f>
        <v/>
      </c>
      <c r="P454">
        <f>Database!AK446</f>
        <v/>
      </c>
      <c r="Q454">
        <f>Database!G446</f>
        <v/>
      </c>
    </row>
    <row r="455">
      <c r="A455">
        <f>Database!B455</f>
        <v/>
      </c>
      <c r="B455">
        <f>IF(AND(Screener!$D$9&lt;&gt;"",Database!$E455=Screener!$D$9),1,0)</f>
        <v/>
      </c>
      <c r="C455">
        <f>IF(AND(Screener!$D$8&lt;&gt;"",Database!$D455=Screener!$D$8),1,0)</f>
        <v/>
      </c>
      <c r="D455">
        <f>IF(OR(Database!$H455="",N(Screener!$D$10)&lt;=0),0,MAX(0,1-ABS(LOG10(Database!$H455/Screener!$D$10))/W_SIZEHW))</f>
        <v/>
      </c>
      <c r="E455">
        <f>IF(OR(Database!$AH455="",Screener!$D$11=""),0,IF(Database!$AH455=Screener!$D$11,1,0))</f>
        <v/>
      </c>
      <c r="F455">
        <f>IF(OR(Database!$AK455="",Screener!$D$12=""),0,IF(Database!$AK455=Screener!$D$12,1,0))</f>
        <v/>
      </c>
      <c r="G455">
        <f>IF(OR(Database!$G455="",N(Screener!$D$13)&lt;=0),0,MAX(0,1-(N(Screener!$D$13)-Database!$G455)/W_RECD))</f>
        <v/>
      </c>
      <c r="H455">
        <f>IF($K$1="",0,N(ISNUMBER(SEARCH($K$1,Database!$T455&amp;""))))+IF($L$1="",0,N(ISNUMBER(SEARCH($L$1,Database!$T455&amp;""))))+IF($M$1="",0,N(ISNUMBER(SEARCH($M$1,Database!$T455&amp;""))))+IF($N$1="",0,N(ISNUMBER(SEARCH($N$1,Database!$T455&amp;""))))+IF($O$1="",0,N(ISNUMBER(SEARCH($O$1,Database!$T455&amp;""))))+IF(Screener!$B$14="",0,N(ISNUMBER(SEARCH(Screener!$B$14,Database!$T455&amp;""))))</f>
        <v/>
      </c>
      <c r="I455">
        <f>IF(OR(Database!$B455=Screener!$B$5,IF(OR(Screener!$B$17="All",AND(Screener!$B$17="With A-share",(Database!$AL455&lt;&gt;"")),AND(Screener!$B$17="Without A-share",NOT((Database!$AL455&lt;&gt;"")))),1,0)=0),-999999,IF(Screener!$B$15="cornerstone overlap first",H455*100000,0)+W_SUB*B455+W_SEC*C455*(1-B455)+W_SIZE*D455+W_PROF*E455+W_AH*F455+W_REC*G455+W_CS*H455)+ROW()/1000000</f>
        <v/>
      </c>
      <c r="K455">
        <f>Database!B447</f>
        <v/>
      </c>
      <c r="L455">
        <f>Database!D447</f>
        <v/>
      </c>
      <c r="M455">
        <f>Database!E447</f>
        <v/>
      </c>
      <c r="N455">
        <f>Database!H447</f>
        <v/>
      </c>
      <c r="O455">
        <f>Database!AH447</f>
        <v/>
      </c>
      <c r="P455">
        <f>Database!AK447</f>
        <v/>
      </c>
      <c r="Q455">
        <f>Database!G447</f>
        <v/>
      </c>
    </row>
    <row r="456">
      <c r="A456">
        <f>Database!B456</f>
        <v/>
      </c>
      <c r="B456">
        <f>IF(AND(Screener!$D$9&lt;&gt;"",Database!$E456=Screener!$D$9),1,0)</f>
        <v/>
      </c>
      <c r="C456">
        <f>IF(AND(Screener!$D$8&lt;&gt;"",Database!$D456=Screener!$D$8),1,0)</f>
        <v/>
      </c>
      <c r="D456">
        <f>IF(OR(Database!$H456="",N(Screener!$D$10)&lt;=0),0,MAX(0,1-ABS(LOG10(Database!$H456/Screener!$D$10))/W_SIZEHW))</f>
        <v/>
      </c>
      <c r="E456">
        <f>IF(OR(Database!$AH456="",Screener!$D$11=""),0,IF(Database!$AH456=Screener!$D$11,1,0))</f>
        <v/>
      </c>
      <c r="F456">
        <f>IF(OR(Database!$AK456="",Screener!$D$12=""),0,IF(Database!$AK456=Screener!$D$12,1,0))</f>
        <v/>
      </c>
      <c r="G456">
        <f>IF(OR(Database!$G456="",N(Screener!$D$13)&lt;=0),0,MAX(0,1-(N(Screener!$D$13)-Database!$G456)/W_RECD))</f>
        <v/>
      </c>
      <c r="H456">
        <f>IF($K$1="",0,N(ISNUMBER(SEARCH($K$1,Database!$T456&amp;""))))+IF($L$1="",0,N(ISNUMBER(SEARCH($L$1,Database!$T456&amp;""))))+IF($M$1="",0,N(ISNUMBER(SEARCH($M$1,Database!$T456&amp;""))))+IF($N$1="",0,N(ISNUMBER(SEARCH($N$1,Database!$T456&amp;""))))+IF($O$1="",0,N(ISNUMBER(SEARCH($O$1,Database!$T456&amp;""))))+IF(Screener!$B$14="",0,N(ISNUMBER(SEARCH(Screener!$B$14,Database!$T456&amp;""))))</f>
        <v/>
      </c>
      <c r="I456">
        <f>IF(OR(Database!$B456=Screener!$B$5,IF(OR(Screener!$B$17="All",AND(Screener!$B$17="With A-share",(Database!$AL456&lt;&gt;"")),AND(Screener!$B$17="Without A-share",NOT((Database!$AL456&lt;&gt;"")))),1,0)=0),-999999,IF(Screener!$B$15="cornerstone overlap first",H456*100000,0)+W_SUB*B456+W_SEC*C456*(1-B456)+W_SIZE*D456+W_PROF*E456+W_AH*F456+W_REC*G456+W_CS*H456)+ROW()/1000000</f>
        <v/>
      </c>
      <c r="K456">
        <f>Database!B448</f>
        <v/>
      </c>
      <c r="L456">
        <f>Database!D448</f>
        <v/>
      </c>
      <c r="M456">
        <f>Database!E448</f>
        <v/>
      </c>
      <c r="N456">
        <f>Database!H448</f>
        <v/>
      </c>
      <c r="O456">
        <f>Database!AH448</f>
        <v/>
      </c>
      <c r="P456">
        <f>Database!AK448</f>
        <v/>
      </c>
      <c r="Q456">
        <f>Database!G448</f>
        <v/>
      </c>
    </row>
    <row r="457">
      <c r="A457">
        <f>Database!B457</f>
        <v/>
      </c>
      <c r="B457">
        <f>IF(AND(Screener!$D$9&lt;&gt;"",Database!$E457=Screener!$D$9),1,0)</f>
        <v/>
      </c>
      <c r="C457">
        <f>IF(AND(Screener!$D$8&lt;&gt;"",Database!$D457=Screener!$D$8),1,0)</f>
        <v/>
      </c>
      <c r="D457">
        <f>IF(OR(Database!$H457="",N(Screener!$D$10)&lt;=0),0,MAX(0,1-ABS(LOG10(Database!$H457/Screener!$D$10))/W_SIZEHW))</f>
        <v/>
      </c>
      <c r="E457">
        <f>IF(OR(Database!$AH457="",Screener!$D$11=""),0,IF(Database!$AH457=Screener!$D$11,1,0))</f>
        <v/>
      </c>
      <c r="F457">
        <f>IF(OR(Database!$AK457="",Screener!$D$12=""),0,IF(Database!$AK457=Screener!$D$12,1,0))</f>
        <v/>
      </c>
      <c r="G457">
        <f>IF(OR(Database!$G457="",N(Screener!$D$13)&lt;=0),0,MAX(0,1-(N(Screener!$D$13)-Database!$G457)/W_RECD))</f>
        <v/>
      </c>
      <c r="H457">
        <f>IF($K$1="",0,N(ISNUMBER(SEARCH($K$1,Database!$T457&amp;""))))+IF($L$1="",0,N(ISNUMBER(SEARCH($L$1,Database!$T457&amp;""))))+IF($M$1="",0,N(ISNUMBER(SEARCH($M$1,Database!$T457&amp;""))))+IF($N$1="",0,N(ISNUMBER(SEARCH($N$1,Database!$T457&amp;""))))+IF($O$1="",0,N(ISNUMBER(SEARCH($O$1,Database!$T457&amp;""))))+IF(Screener!$B$14="",0,N(ISNUMBER(SEARCH(Screener!$B$14,Database!$T457&amp;""))))</f>
        <v/>
      </c>
      <c r="I457">
        <f>IF(OR(Database!$B457=Screener!$B$5,IF(OR(Screener!$B$17="All",AND(Screener!$B$17="With A-share",(Database!$AL457&lt;&gt;"")),AND(Screener!$B$17="Without A-share",NOT((Database!$AL457&lt;&gt;"")))),1,0)=0),-999999,IF(Screener!$B$15="cornerstone overlap first",H457*100000,0)+W_SUB*B457+W_SEC*C457*(1-B457)+W_SIZE*D457+W_PROF*E457+W_AH*F457+W_REC*G457+W_CS*H457)+ROW()/1000000</f>
        <v/>
      </c>
      <c r="K457">
        <f>Database!B449</f>
        <v/>
      </c>
      <c r="L457">
        <f>Database!D449</f>
        <v/>
      </c>
      <c r="M457">
        <f>Database!E449</f>
        <v/>
      </c>
      <c r="N457">
        <f>Database!H449</f>
        <v/>
      </c>
      <c r="O457">
        <f>Database!AH449</f>
        <v/>
      </c>
      <c r="P457">
        <f>Database!AK449</f>
        <v/>
      </c>
      <c r="Q457">
        <f>Database!G449</f>
        <v/>
      </c>
    </row>
    <row r="458">
      <c r="A458">
        <f>Database!B458</f>
        <v/>
      </c>
      <c r="B458">
        <f>IF(AND(Screener!$D$9&lt;&gt;"",Database!$E458=Screener!$D$9),1,0)</f>
        <v/>
      </c>
      <c r="C458">
        <f>IF(AND(Screener!$D$8&lt;&gt;"",Database!$D458=Screener!$D$8),1,0)</f>
        <v/>
      </c>
      <c r="D458">
        <f>IF(OR(Database!$H458="",N(Screener!$D$10)&lt;=0),0,MAX(0,1-ABS(LOG10(Database!$H458/Screener!$D$10))/W_SIZEHW))</f>
        <v/>
      </c>
      <c r="E458">
        <f>IF(OR(Database!$AH458="",Screener!$D$11=""),0,IF(Database!$AH458=Screener!$D$11,1,0))</f>
        <v/>
      </c>
      <c r="F458">
        <f>IF(OR(Database!$AK458="",Screener!$D$12=""),0,IF(Database!$AK458=Screener!$D$12,1,0))</f>
        <v/>
      </c>
      <c r="G458">
        <f>IF(OR(Database!$G458="",N(Screener!$D$13)&lt;=0),0,MAX(0,1-(N(Screener!$D$13)-Database!$G458)/W_RECD))</f>
        <v/>
      </c>
      <c r="H458">
        <f>IF($K$1="",0,N(ISNUMBER(SEARCH($K$1,Database!$T458&amp;""))))+IF($L$1="",0,N(ISNUMBER(SEARCH($L$1,Database!$T458&amp;""))))+IF($M$1="",0,N(ISNUMBER(SEARCH($M$1,Database!$T458&amp;""))))+IF($N$1="",0,N(ISNUMBER(SEARCH($N$1,Database!$T458&amp;""))))+IF($O$1="",0,N(ISNUMBER(SEARCH($O$1,Database!$T458&amp;""))))+IF(Screener!$B$14="",0,N(ISNUMBER(SEARCH(Screener!$B$14,Database!$T458&amp;""))))</f>
        <v/>
      </c>
      <c r="I458">
        <f>IF(OR(Database!$B458=Screener!$B$5,IF(OR(Screener!$B$17="All",AND(Screener!$B$17="With A-share",(Database!$AL458&lt;&gt;"")),AND(Screener!$B$17="Without A-share",NOT((Database!$AL458&lt;&gt;"")))),1,0)=0),-999999,IF(Screener!$B$15="cornerstone overlap first",H458*100000,0)+W_SUB*B458+W_SEC*C458*(1-B458)+W_SIZE*D458+W_PROF*E458+W_AH*F458+W_REC*G458+W_CS*H458)+ROW()/1000000</f>
        <v/>
      </c>
      <c r="K458">
        <f>Database!B450</f>
        <v/>
      </c>
      <c r="L458">
        <f>Database!D450</f>
        <v/>
      </c>
      <c r="M458">
        <f>Database!E450</f>
        <v/>
      </c>
      <c r="N458">
        <f>Database!H450</f>
        <v/>
      </c>
      <c r="O458">
        <f>Database!AH450</f>
        <v/>
      </c>
      <c r="P458">
        <f>Database!AK450</f>
        <v/>
      </c>
      <c r="Q458">
        <f>Database!G450</f>
        <v/>
      </c>
    </row>
    <row r="459">
      <c r="A459">
        <f>Database!B459</f>
        <v/>
      </c>
      <c r="B459">
        <f>IF(AND(Screener!$D$9&lt;&gt;"",Database!$E459=Screener!$D$9),1,0)</f>
        <v/>
      </c>
      <c r="C459">
        <f>IF(AND(Screener!$D$8&lt;&gt;"",Database!$D459=Screener!$D$8),1,0)</f>
        <v/>
      </c>
      <c r="D459">
        <f>IF(OR(Database!$H459="",N(Screener!$D$10)&lt;=0),0,MAX(0,1-ABS(LOG10(Database!$H459/Screener!$D$10))/W_SIZEHW))</f>
        <v/>
      </c>
      <c r="E459">
        <f>IF(OR(Database!$AH459="",Screener!$D$11=""),0,IF(Database!$AH459=Screener!$D$11,1,0))</f>
        <v/>
      </c>
      <c r="F459">
        <f>IF(OR(Database!$AK459="",Screener!$D$12=""),0,IF(Database!$AK459=Screener!$D$12,1,0))</f>
        <v/>
      </c>
      <c r="G459">
        <f>IF(OR(Database!$G459="",N(Screener!$D$13)&lt;=0),0,MAX(0,1-(N(Screener!$D$13)-Database!$G459)/W_RECD))</f>
        <v/>
      </c>
      <c r="H459">
        <f>IF($K$1="",0,N(ISNUMBER(SEARCH($K$1,Database!$T459&amp;""))))+IF($L$1="",0,N(ISNUMBER(SEARCH($L$1,Database!$T459&amp;""))))+IF($M$1="",0,N(ISNUMBER(SEARCH($M$1,Database!$T459&amp;""))))+IF($N$1="",0,N(ISNUMBER(SEARCH($N$1,Database!$T459&amp;""))))+IF($O$1="",0,N(ISNUMBER(SEARCH($O$1,Database!$T459&amp;""))))+IF(Screener!$B$14="",0,N(ISNUMBER(SEARCH(Screener!$B$14,Database!$T459&amp;""))))</f>
        <v/>
      </c>
      <c r="I459">
        <f>IF(OR(Database!$B459=Screener!$B$5,IF(OR(Screener!$B$17="All",AND(Screener!$B$17="With A-share",(Database!$AL459&lt;&gt;"")),AND(Screener!$B$17="Without A-share",NOT((Database!$AL459&lt;&gt;"")))),1,0)=0),-999999,IF(Screener!$B$15="cornerstone overlap first",H459*100000,0)+W_SUB*B459+W_SEC*C459*(1-B459)+W_SIZE*D459+W_PROF*E459+W_AH*F459+W_REC*G459+W_CS*H459)+ROW()/1000000</f>
        <v/>
      </c>
      <c r="K459">
        <f>Database!B451</f>
        <v/>
      </c>
      <c r="L459">
        <f>Database!D451</f>
        <v/>
      </c>
      <c r="M459">
        <f>Database!E451</f>
        <v/>
      </c>
      <c r="N459">
        <f>Database!H451</f>
        <v/>
      </c>
      <c r="O459">
        <f>Database!AH451</f>
        <v/>
      </c>
      <c r="P459">
        <f>Database!AK451</f>
        <v/>
      </c>
      <c r="Q459">
        <f>Database!G451</f>
        <v/>
      </c>
    </row>
    <row r="460">
      <c r="A460">
        <f>Database!B460</f>
        <v/>
      </c>
      <c r="B460">
        <f>IF(AND(Screener!$D$9&lt;&gt;"",Database!$E460=Screener!$D$9),1,0)</f>
        <v/>
      </c>
      <c r="C460">
        <f>IF(AND(Screener!$D$8&lt;&gt;"",Database!$D460=Screener!$D$8),1,0)</f>
        <v/>
      </c>
      <c r="D460">
        <f>IF(OR(Database!$H460="",N(Screener!$D$10)&lt;=0),0,MAX(0,1-ABS(LOG10(Database!$H460/Screener!$D$10))/W_SIZEHW))</f>
        <v/>
      </c>
      <c r="E460">
        <f>IF(OR(Database!$AH460="",Screener!$D$11=""),0,IF(Database!$AH460=Screener!$D$11,1,0))</f>
        <v/>
      </c>
      <c r="F460">
        <f>IF(OR(Database!$AK460="",Screener!$D$12=""),0,IF(Database!$AK460=Screener!$D$12,1,0))</f>
        <v/>
      </c>
      <c r="G460">
        <f>IF(OR(Database!$G460="",N(Screener!$D$13)&lt;=0),0,MAX(0,1-(N(Screener!$D$13)-Database!$G460)/W_RECD))</f>
        <v/>
      </c>
      <c r="H460">
        <f>IF($K$1="",0,N(ISNUMBER(SEARCH($K$1,Database!$T460&amp;""))))+IF($L$1="",0,N(ISNUMBER(SEARCH($L$1,Database!$T460&amp;""))))+IF($M$1="",0,N(ISNUMBER(SEARCH($M$1,Database!$T460&amp;""))))+IF($N$1="",0,N(ISNUMBER(SEARCH($N$1,Database!$T460&amp;""))))+IF($O$1="",0,N(ISNUMBER(SEARCH($O$1,Database!$T460&amp;""))))+IF(Screener!$B$14="",0,N(ISNUMBER(SEARCH(Screener!$B$14,Database!$T460&amp;""))))</f>
        <v/>
      </c>
      <c r="I460">
        <f>IF(OR(Database!$B460=Screener!$B$5,IF(OR(Screener!$B$17="All",AND(Screener!$B$17="With A-share",(Database!$AL460&lt;&gt;"")),AND(Screener!$B$17="Without A-share",NOT((Database!$AL460&lt;&gt;"")))),1,0)=0),-999999,IF(Screener!$B$15="cornerstone overlap first",H460*100000,0)+W_SUB*B460+W_SEC*C460*(1-B460)+W_SIZE*D460+W_PROF*E460+W_AH*F460+W_REC*G460+W_CS*H460)+ROW()/1000000</f>
        <v/>
      </c>
      <c r="K460">
        <f>Database!B452</f>
        <v/>
      </c>
      <c r="L460">
        <f>Database!D452</f>
        <v/>
      </c>
      <c r="M460">
        <f>Database!E452</f>
        <v/>
      </c>
      <c r="N460">
        <f>Database!H452</f>
        <v/>
      </c>
      <c r="O460">
        <f>Database!AH452</f>
        <v/>
      </c>
      <c r="P460">
        <f>Database!AK452</f>
        <v/>
      </c>
      <c r="Q460">
        <f>Database!G452</f>
        <v/>
      </c>
    </row>
    <row r="461">
      <c r="A461">
        <f>Database!B461</f>
        <v/>
      </c>
      <c r="B461">
        <f>IF(AND(Screener!$D$9&lt;&gt;"",Database!$E461=Screener!$D$9),1,0)</f>
        <v/>
      </c>
      <c r="C461">
        <f>IF(AND(Screener!$D$8&lt;&gt;"",Database!$D461=Screener!$D$8),1,0)</f>
        <v/>
      </c>
      <c r="D461">
        <f>IF(OR(Database!$H461="",N(Screener!$D$10)&lt;=0),0,MAX(0,1-ABS(LOG10(Database!$H461/Screener!$D$10))/W_SIZEHW))</f>
        <v/>
      </c>
      <c r="E461">
        <f>IF(OR(Database!$AH461="",Screener!$D$11=""),0,IF(Database!$AH461=Screener!$D$11,1,0))</f>
        <v/>
      </c>
      <c r="F461">
        <f>IF(OR(Database!$AK461="",Screener!$D$12=""),0,IF(Database!$AK461=Screener!$D$12,1,0))</f>
        <v/>
      </c>
      <c r="G461">
        <f>IF(OR(Database!$G461="",N(Screener!$D$13)&lt;=0),0,MAX(0,1-(N(Screener!$D$13)-Database!$G461)/W_RECD))</f>
        <v/>
      </c>
      <c r="H461">
        <f>IF($K$1="",0,N(ISNUMBER(SEARCH($K$1,Database!$T461&amp;""))))+IF($L$1="",0,N(ISNUMBER(SEARCH($L$1,Database!$T461&amp;""))))+IF($M$1="",0,N(ISNUMBER(SEARCH($M$1,Database!$T461&amp;""))))+IF($N$1="",0,N(ISNUMBER(SEARCH($N$1,Database!$T461&amp;""))))+IF($O$1="",0,N(ISNUMBER(SEARCH($O$1,Database!$T461&amp;""))))+IF(Screener!$B$14="",0,N(ISNUMBER(SEARCH(Screener!$B$14,Database!$T461&amp;""))))</f>
        <v/>
      </c>
      <c r="I461">
        <f>IF(OR(Database!$B461=Screener!$B$5,IF(OR(Screener!$B$17="All",AND(Screener!$B$17="With A-share",(Database!$AL461&lt;&gt;"")),AND(Screener!$B$17="Without A-share",NOT((Database!$AL461&lt;&gt;"")))),1,0)=0),-999999,IF(Screener!$B$15="cornerstone overlap first",H461*100000,0)+W_SUB*B461+W_SEC*C461*(1-B461)+W_SIZE*D461+W_PROF*E461+W_AH*F461+W_REC*G461+W_CS*H461)+ROW()/1000000</f>
        <v/>
      </c>
      <c r="K461">
        <f>Database!B453</f>
        <v/>
      </c>
      <c r="L461">
        <f>Database!D453</f>
        <v/>
      </c>
      <c r="M461">
        <f>Database!E453</f>
        <v/>
      </c>
      <c r="N461">
        <f>Database!H453</f>
        <v/>
      </c>
      <c r="O461">
        <f>Database!AH453</f>
        <v/>
      </c>
      <c r="P461">
        <f>Database!AK453</f>
        <v/>
      </c>
      <c r="Q461">
        <f>Database!G453</f>
        <v/>
      </c>
    </row>
    <row r="462">
      <c r="A462">
        <f>Database!B462</f>
        <v/>
      </c>
      <c r="B462">
        <f>IF(AND(Screener!$D$9&lt;&gt;"",Database!$E462=Screener!$D$9),1,0)</f>
        <v/>
      </c>
      <c r="C462">
        <f>IF(AND(Screener!$D$8&lt;&gt;"",Database!$D462=Screener!$D$8),1,0)</f>
        <v/>
      </c>
      <c r="D462">
        <f>IF(OR(Database!$H462="",N(Screener!$D$10)&lt;=0),0,MAX(0,1-ABS(LOG10(Database!$H462/Screener!$D$10))/W_SIZEHW))</f>
        <v/>
      </c>
      <c r="E462">
        <f>IF(OR(Database!$AH462="",Screener!$D$11=""),0,IF(Database!$AH462=Screener!$D$11,1,0))</f>
        <v/>
      </c>
      <c r="F462">
        <f>IF(OR(Database!$AK462="",Screener!$D$12=""),0,IF(Database!$AK462=Screener!$D$12,1,0))</f>
        <v/>
      </c>
      <c r="G462">
        <f>IF(OR(Database!$G462="",N(Screener!$D$13)&lt;=0),0,MAX(0,1-(N(Screener!$D$13)-Database!$G462)/W_RECD))</f>
        <v/>
      </c>
      <c r="H462">
        <f>IF($K$1="",0,N(ISNUMBER(SEARCH($K$1,Database!$T462&amp;""))))+IF($L$1="",0,N(ISNUMBER(SEARCH($L$1,Database!$T462&amp;""))))+IF($M$1="",0,N(ISNUMBER(SEARCH($M$1,Database!$T462&amp;""))))+IF($N$1="",0,N(ISNUMBER(SEARCH($N$1,Database!$T462&amp;""))))+IF($O$1="",0,N(ISNUMBER(SEARCH($O$1,Database!$T462&amp;""))))+IF(Screener!$B$14="",0,N(ISNUMBER(SEARCH(Screener!$B$14,Database!$T462&amp;""))))</f>
        <v/>
      </c>
      <c r="I462">
        <f>IF(OR(Database!$B462=Screener!$B$5,IF(OR(Screener!$B$17="All",AND(Screener!$B$17="With A-share",(Database!$AL462&lt;&gt;"")),AND(Screener!$B$17="Without A-share",NOT((Database!$AL462&lt;&gt;"")))),1,0)=0),-999999,IF(Screener!$B$15="cornerstone overlap first",H462*100000,0)+W_SUB*B462+W_SEC*C462*(1-B462)+W_SIZE*D462+W_PROF*E462+W_AH*F462+W_REC*G462+W_CS*H462)+ROW()/1000000</f>
        <v/>
      </c>
      <c r="K462">
        <f>Database!B454</f>
        <v/>
      </c>
      <c r="L462">
        <f>Database!D454</f>
        <v/>
      </c>
      <c r="M462">
        <f>Database!E454</f>
        <v/>
      </c>
      <c r="N462">
        <f>Database!H454</f>
        <v/>
      </c>
      <c r="O462">
        <f>Database!AH454</f>
        <v/>
      </c>
      <c r="P462">
        <f>Database!AK454</f>
        <v/>
      </c>
      <c r="Q462">
        <f>Database!G454</f>
        <v/>
      </c>
    </row>
    <row r="463">
      <c r="A463">
        <f>Database!B463</f>
        <v/>
      </c>
      <c r="B463">
        <f>IF(AND(Screener!$D$9&lt;&gt;"",Database!$E463=Screener!$D$9),1,0)</f>
        <v/>
      </c>
      <c r="C463">
        <f>IF(AND(Screener!$D$8&lt;&gt;"",Database!$D463=Screener!$D$8),1,0)</f>
        <v/>
      </c>
      <c r="D463">
        <f>IF(OR(Database!$H463="",N(Screener!$D$10)&lt;=0),0,MAX(0,1-ABS(LOG10(Database!$H463/Screener!$D$10))/W_SIZEHW))</f>
        <v/>
      </c>
      <c r="E463">
        <f>IF(OR(Database!$AH463="",Screener!$D$11=""),0,IF(Database!$AH463=Screener!$D$11,1,0))</f>
        <v/>
      </c>
      <c r="F463">
        <f>IF(OR(Database!$AK463="",Screener!$D$12=""),0,IF(Database!$AK463=Screener!$D$12,1,0))</f>
        <v/>
      </c>
      <c r="G463">
        <f>IF(OR(Database!$G463="",N(Screener!$D$13)&lt;=0),0,MAX(0,1-(N(Screener!$D$13)-Database!$G463)/W_RECD))</f>
        <v/>
      </c>
      <c r="H463">
        <f>IF($K$1="",0,N(ISNUMBER(SEARCH($K$1,Database!$T463&amp;""))))+IF($L$1="",0,N(ISNUMBER(SEARCH($L$1,Database!$T463&amp;""))))+IF($M$1="",0,N(ISNUMBER(SEARCH($M$1,Database!$T463&amp;""))))+IF($N$1="",0,N(ISNUMBER(SEARCH($N$1,Database!$T463&amp;""))))+IF($O$1="",0,N(ISNUMBER(SEARCH($O$1,Database!$T463&amp;""))))+IF(Screener!$B$14="",0,N(ISNUMBER(SEARCH(Screener!$B$14,Database!$T463&amp;""))))</f>
        <v/>
      </c>
      <c r="I463">
        <f>IF(OR(Database!$B463=Screener!$B$5,IF(OR(Screener!$B$17="All",AND(Screener!$B$17="With A-share",(Database!$AL463&lt;&gt;"")),AND(Screener!$B$17="Without A-share",NOT((Database!$AL463&lt;&gt;"")))),1,0)=0),-999999,IF(Screener!$B$15="cornerstone overlap first",H463*100000,0)+W_SUB*B463+W_SEC*C463*(1-B463)+W_SIZE*D463+W_PROF*E463+W_AH*F463+W_REC*G463+W_CS*H463)+ROW()/1000000</f>
        <v/>
      </c>
      <c r="K463">
        <f>Database!B455</f>
        <v/>
      </c>
      <c r="L463">
        <f>Database!D455</f>
        <v/>
      </c>
      <c r="M463">
        <f>Database!E455</f>
        <v/>
      </c>
      <c r="N463">
        <f>Database!H455</f>
        <v/>
      </c>
      <c r="O463">
        <f>Database!AH455</f>
        <v/>
      </c>
      <c r="P463">
        <f>Database!AK455</f>
        <v/>
      </c>
      <c r="Q463">
        <f>Database!G455</f>
        <v/>
      </c>
    </row>
    <row r="464">
      <c r="A464">
        <f>Database!B464</f>
        <v/>
      </c>
      <c r="B464">
        <f>IF(AND(Screener!$D$9&lt;&gt;"",Database!$E464=Screener!$D$9),1,0)</f>
        <v/>
      </c>
      <c r="C464">
        <f>IF(AND(Screener!$D$8&lt;&gt;"",Database!$D464=Screener!$D$8),1,0)</f>
        <v/>
      </c>
      <c r="D464">
        <f>IF(OR(Database!$H464="",N(Screener!$D$10)&lt;=0),0,MAX(0,1-ABS(LOG10(Database!$H464/Screener!$D$10))/W_SIZEHW))</f>
        <v/>
      </c>
      <c r="E464">
        <f>IF(OR(Database!$AH464="",Screener!$D$11=""),0,IF(Database!$AH464=Screener!$D$11,1,0))</f>
        <v/>
      </c>
      <c r="F464">
        <f>IF(OR(Database!$AK464="",Screener!$D$12=""),0,IF(Database!$AK464=Screener!$D$12,1,0))</f>
        <v/>
      </c>
      <c r="G464">
        <f>IF(OR(Database!$G464="",N(Screener!$D$13)&lt;=0),0,MAX(0,1-(N(Screener!$D$13)-Database!$G464)/W_RECD))</f>
        <v/>
      </c>
      <c r="H464">
        <f>IF($K$1="",0,N(ISNUMBER(SEARCH($K$1,Database!$T464&amp;""))))+IF($L$1="",0,N(ISNUMBER(SEARCH($L$1,Database!$T464&amp;""))))+IF($M$1="",0,N(ISNUMBER(SEARCH($M$1,Database!$T464&amp;""))))+IF($N$1="",0,N(ISNUMBER(SEARCH($N$1,Database!$T464&amp;""))))+IF($O$1="",0,N(ISNUMBER(SEARCH($O$1,Database!$T464&amp;""))))+IF(Screener!$B$14="",0,N(ISNUMBER(SEARCH(Screener!$B$14,Database!$T464&amp;""))))</f>
        <v/>
      </c>
      <c r="I464">
        <f>IF(OR(Database!$B464=Screener!$B$5,IF(OR(Screener!$B$17="All",AND(Screener!$B$17="With A-share",(Database!$AL464&lt;&gt;"")),AND(Screener!$B$17="Without A-share",NOT((Database!$AL464&lt;&gt;"")))),1,0)=0),-999999,IF(Screener!$B$15="cornerstone overlap first",H464*100000,0)+W_SUB*B464+W_SEC*C464*(1-B464)+W_SIZE*D464+W_PROF*E464+W_AH*F464+W_REC*G464+W_CS*H464)+ROW()/1000000</f>
        <v/>
      </c>
      <c r="K464">
        <f>Database!B456</f>
        <v/>
      </c>
      <c r="L464">
        <f>Database!D456</f>
        <v/>
      </c>
      <c r="M464">
        <f>Database!E456</f>
        <v/>
      </c>
      <c r="N464">
        <f>Database!H456</f>
        <v/>
      </c>
      <c r="O464">
        <f>Database!AH456</f>
        <v/>
      </c>
      <c r="P464">
        <f>Database!AK456</f>
        <v/>
      </c>
      <c r="Q464">
        <f>Database!G456</f>
        <v/>
      </c>
    </row>
    <row r="465">
      <c r="A465">
        <f>Database!B465</f>
        <v/>
      </c>
      <c r="B465">
        <f>IF(AND(Screener!$D$9&lt;&gt;"",Database!$E465=Screener!$D$9),1,0)</f>
        <v/>
      </c>
      <c r="C465">
        <f>IF(AND(Screener!$D$8&lt;&gt;"",Database!$D465=Screener!$D$8),1,0)</f>
        <v/>
      </c>
      <c r="D465">
        <f>IF(OR(Database!$H465="",N(Screener!$D$10)&lt;=0),0,MAX(0,1-ABS(LOG10(Database!$H465/Screener!$D$10))/W_SIZEHW))</f>
        <v/>
      </c>
      <c r="E465">
        <f>IF(OR(Database!$AH465="",Screener!$D$11=""),0,IF(Database!$AH465=Screener!$D$11,1,0))</f>
        <v/>
      </c>
      <c r="F465">
        <f>IF(OR(Database!$AK465="",Screener!$D$12=""),0,IF(Database!$AK465=Screener!$D$12,1,0))</f>
        <v/>
      </c>
      <c r="G465">
        <f>IF(OR(Database!$G465="",N(Screener!$D$13)&lt;=0),0,MAX(0,1-(N(Screener!$D$13)-Database!$G465)/W_RECD))</f>
        <v/>
      </c>
      <c r="H465">
        <f>IF($K$1="",0,N(ISNUMBER(SEARCH($K$1,Database!$T465&amp;""))))+IF($L$1="",0,N(ISNUMBER(SEARCH($L$1,Database!$T465&amp;""))))+IF($M$1="",0,N(ISNUMBER(SEARCH($M$1,Database!$T465&amp;""))))+IF($N$1="",0,N(ISNUMBER(SEARCH($N$1,Database!$T465&amp;""))))+IF($O$1="",0,N(ISNUMBER(SEARCH($O$1,Database!$T465&amp;""))))+IF(Screener!$B$14="",0,N(ISNUMBER(SEARCH(Screener!$B$14,Database!$T465&amp;""))))</f>
        <v/>
      </c>
      <c r="I465">
        <f>IF(OR(Database!$B465=Screener!$B$5,IF(OR(Screener!$B$17="All",AND(Screener!$B$17="With A-share",(Database!$AL465&lt;&gt;"")),AND(Screener!$B$17="Without A-share",NOT((Database!$AL465&lt;&gt;"")))),1,0)=0),-999999,IF(Screener!$B$15="cornerstone overlap first",H465*100000,0)+W_SUB*B465+W_SEC*C465*(1-B465)+W_SIZE*D465+W_PROF*E465+W_AH*F465+W_REC*G465+W_CS*H465)+ROW()/1000000</f>
        <v/>
      </c>
      <c r="K465">
        <f>Database!B457</f>
        <v/>
      </c>
      <c r="L465">
        <f>Database!D457</f>
        <v/>
      </c>
      <c r="M465">
        <f>Database!E457</f>
        <v/>
      </c>
      <c r="N465">
        <f>Database!H457</f>
        <v/>
      </c>
      <c r="O465">
        <f>Database!AH457</f>
        <v/>
      </c>
      <c r="P465">
        <f>Database!AK457</f>
        <v/>
      </c>
      <c r="Q465">
        <f>Database!G457</f>
        <v/>
      </c>
    </row>
    <row r="466">
      <c r="A466">
        <f>Database!B466</f>
        <v/>
      </c>
      <c r="B466">
        <f>IF(AND(Screener!$D$9&lt;&gt;"",Database!$E466=Screener!$D$9),1,0)</f>
        <v/>
      </c>
      <c r="C466">
        <f>IF(AND(Screener!$D$8&lt;&gt;"",Database!$D466=Screener!$D$8),1,0)</f>
        <v/>
      </c>
      <c r="D466">
        <f>IF(OR(Database!$H466="",N(Screener!$D$10)&lt;=0),0,MAX(0,1-ABS(LOG10(Database!$H466/Screener!$D$10))/W_SIZEHW))</f>
        <v/>
      </c>
      <c r="E466">
        <f>IF(OR(Database!$AH466="",Screener!$D$11=""),0,IF(Database!$AH466=Screener!$D$11,1,0))</f>
        <v/>
      </c>
      <c r="F466">
        <f>IF(OR(Database!$AK466="",Screener!$D$12=""),0,IF(Database!$AK466=Screener!$D$12,1,0))</f>
        <v/>
      </c>
      <c r="G466">
        <f>IF(OR(Database!$G466="",N(Screener!$D$13)&lt;=0),0,MAX(0,1-(N(Screener!$D$13)-Database!$G466)/W_RECD))</f>
        <v/>
      </c>
      <c r="H466">
        <f>IF($K$1="",0,N(ISNUMBER(SEARCH($K$1,Database!$T466&amp;""))))+IF($L$1="",0,N(ISNUMBER(SEARCH($L$1,Database!$T466&amp;""))))+IF($M$1="",0,N(ISNUMBER(SEARCH($M$1,Database!$T466&amp;""))))+IF($N$1="",0,N(ISNUMBER(SEARCH($N$1,Database!$T466&amp;""))))+IF($O$1="",0,N(ISNUMBER(SEARCH($O$1,Database!$T466&amp;""))))+IF(Screener!$B$14="",0,N(ISNUMBER(SEARCH(Screener!$B$14,Database!$T466&amp;""))))</f>
        <v/>
      </c>
      <c r="I466">
        <f>IF(OR(Database!$B466=Screener!$B$5,IF(OR(Screener!$B$17="All",AND(Screener!$B$17="With A-share",(Database!$AL466&lt;&gt;"")),AND(Screener!$B$17="Without A-share",NOT((Database!$AL466&lt;&gt;"")))),1,0)=0),-999999,IF(Screener!$B$15="cornerstone overlap first",H466*100000,0)+W_SUB*B466+W_SEC*C466*(1-B466)+W_SIZE*D466+W_PROF*E466+W_AH*F466+W_REC*G466+W_CS*H466)+ROW()/1000000</f>
        <v/>
      </c>
      <c r="K466">
        <f>Database!B458</f>
        <v/>
      </c>
      <c r="L466">
        <f>Database!D458</f>
        <v/>
      </c>
      <c r="M466">
        <f>Database!E458</f>
        <v/>
      </c>
      <c r="N466">
        <f>Database!H458</f>
        <v/>
      </c>
      <c r="O466">
        <f>Database!AH458</f>
        <v/>
      </c>
      <c r="P466">
        <f>Database!AK458</f>
        <v/>
      </c>
      <c r="Q466">
        <f>Database!G458</f>
        <v/>
      </c>
    </row>
    <row r="467">
      <c r="A467">
        <f>Database!B467</f>
        <v/>
      </c>
      <c r="B467">
        <f>IF(AND(Screener!$D$9&lt;&gt;"",Database!$E467=Screener!$D$9),1,0)</f>
        <v/>
      </c>
      <c r="C467">
        <f>IF(AND(Screener!$D$8&lt;&gt;"",Database!$D467=Screener!$D$8),1,0)</f>
        <v/>
      </c>
      <c r="D467">
        <f>IF(OR(Database!$H467="",N(Screener!$D$10)&lt;=0),0,MAX(0,1-ABS(LOG10(Database!$H467/Screener!$D$10))/W_SIZEHW))</f>
        <v/>
      </c>
      <c r="E467">
        <f>IF(OR(Database!$AH467="",Screener!$D$11=""),0,IF(Database!$AH467=Screener!$D$11,1,0))</f>
        <v/>
      </c>
      <c r="F467">
        <f>IF(OR(Database!$AK467="",Screener!$D$12=""),0,IF(Database!$AK467=Screener!$D$12,1,0))</f>
        <v/>
      </c>
      <c r="G467">
        <f>IF(OR(Database!$G467="",N(Screener!$D$13)&lt;=0),0,MAX(0,1-(N(Screener!$D$13)-Database!$G467)/W_RECD))</f>
        <v/>
      </c>
      <c r="H467">
        <f>IF($K$1="",0,N(ISNUMBER(SEARCH($K$1,Database!$T467&amp;""))))+IF($L$1="",0,N(ISNUMBER(SEARCH($L$1,Database!$T467&amp;""))))+IF($M$1="",0,N(ISNUMBER(SEARCH($M$1,Database!$T467&amp;""))))+IF($N$1="",0,N(ISNUMBER(SEARCH($N$1,Database!$T467&amp;""))))+IF($O$1="",0,N(ISNUMBER(SEARCH($O$1,Database!$T467&amp;""))))+IF(Screener!$B$14="",0,N(ISNUMBER(SEARCH(Screener!$B$14,Database!$T467&amp;""))))</f>
        <v/>
      </c>
      <c r="I467">
        <f>IF(OR(Database!$B467=Screener!$B$5,IF(OR(Screener!$B$17="All",AND(Screener!$B$17="With A-share",(Database!$AL467&lt;&gt;"")),AND(Screener!$B$17="Without A-share",NOT((Database!$AL467&lt;&gt;"")))),1,0)=0),-999999,IF(Screener!$B$15="cornerstone overlap first",H467*100000,0)+W_SUB*B467+W_SEC*C467*(1-B467)+W_SIZE*D467+W_PROF*E467+W_AH*F467+W_REC*G467+W_CS*H467)+ROW()/1000000</f>
        <v/>
      </c>
      <c r="K467">
        <f>Database!B459</f>
        <v/>
      </c>
      <c r="L467">
        <f>Database!D459</f>
        <v/>
      </c>
      <c r="M467">
        <f>Database!E459</f>
        <v/>
      </c>
      <c r="N467">
        <f>Database!H459</f>
        <v/>
      </c>
      <c r="O467">
        <f>Database!AH459</f>
        <v/>
      </c>
      <c r="P467">
        <f>Database!AK459</f>
        <v/>
      </c>
      <c r="Q467">
        <f>Database!G459</f>
        <v/>
      </c>
    </row>
    <row r="468">
      <c r="A468">
        <f>Database!B468</f>
        <v/>
      </c>
      <c r="B468">
        <f>IF(AND(Screener!$D$9&lt;&gt;"",Database!$E468=Screener!$D$9),1,0)</f>
        <v/>
      </c>
      <c r="C468">
        <f>IF(AND(Screener!$D$8&lt;&gt;"",Database!$D468=Screener!$D$8),1,0)</f>
        <v/>
      </c>
      <c r="D468">
        <f>IF(OR(Database!$H468="",N(Screener!$D$10)&lt;=0),0,MAX(0,1-ABS(LOG10(Database!$H468/Screener!$D$10))/W_SIZEHW))</f>
        <v/>
      </c>
      <c r="E468">
        <f>IF(OR(Database!$AH468="",Screener!$D$11=""),0,IF(Database!$AH468=Screener!$D$11,1,0))</f>
        <v/>
      </c>
      <c r="F468">
        <f>IF(OR(Database!$AK468="",Screener!$D$12=""),0,IF(Database!$AK468=Screener!$D$12,1,0))</f>
        <v/>
      </c>
      <c r="G468">
        <f>IF(OR(Database!$G468="",N(Screener!$D$13)&lt;=0),0,MAX(0,1-(N(Screener!$D$13)-Database!$G468)/W_RECD))</f>
        <v/>
      </c>
      <c r="H468">
        <f>IF($K$1="",0,N(ISNUMBER(SEARCH($K$1,Database!$T468&amp;""))))+IF($L$1="",0,N(ISNUMBER(SEARCH($L$1,Database!$T468&amp;""))))+IF($M$1="",0,N(ISNUMBER(SEARCH($M$1,Database!$T468&amp;""))))+IF($N$1="",0,N(ISNUMBER(SEARCH($N$1,Database!$T468&amp;""))))+IF($O$1="",0,N(ISNUMBER(SEARCH($O$1,Database!$T468&amp;""))))+IF(Screener!$B$14="",0,N(ISNUMBER(SEARCH(Screener!$B$14,Database!$T468&amp;""))))</f>
        <v/>
      </c>
      <c r="I468">
        <f>IF(OR(Database!$B468=Screener!$B$5,IF(OR(Screener!$B$17="All",AND(Screener!$B$17="With A-share",(Database!$AL468&lt;&gt;"")),AND(Screener!$B$17="Without A-share",NOT((Database!$AL468&lt;&gt;"")))),1,0)=0),-999999,IF(Screener!$B$15="cornerstone overlap first",H468*100000,0)+W_SUB*B468+W_SEC*C468*(1-B468)+W_SIZE*D468+W_PROF*E468+W_AH*F468+W_REC*G468+W_CS*H468)+ROW()/1000000</f>
        <v/>
      </c>
      <c r="K468">
        <f>Database!B460</f>
        <v/>
      </c>
      <c r="L468">
        <f>Database!D460</f>
        <v/>
      </c>
      <c r="M468">
        <f>Database!E460</f>
        <v/>
      </c>
      <c r="N468">
        <f>Database!H460</f>
        <v/>
      </c>
      <c r="O468">
        <f>Database!AH460</f>
        <v/>
      </c>
      <c r="P468">
        <f>Database!AK460</f>
        <v/>
      </c>
      <c r="Q468">
        <f>Database!G460</f>
        <v/>
      </c>
    </row>
    <row r="469">
      <c r="A469">
        <f>Database!B469</f>
        <v/>
      </c>
      <c r="B469">
        <f>IF(AND(Screener!$D$9&lt;&gt;"",Database!$E469=Screener!$D$9),1,0)</f>
        <v/>
      </c>
      <c r="C469">
        <f>IF(AND(Screener!$D$8&lt;&gt;"",Database!$D469=Screener!$D$8),1,0)</f>
        <v/>
      </c>
      <c r="D469">
        <f>IF(OR(Database!$H469="",N(Screener!$D$10)&lt;=0),0,MAX(0,1-ABS(LOG10(Database!$H469/Screener!$D$10))/W_SIZEHW))</f>
        <v/>
      </c>
      <c r="E469">
        <f>IF(OR(Database!$AH469="",Screener!$D$11=""),0,IF(Database!$AH469=Screener!$D$11,1,0))</f>
        <v/>
      </c>
      <c r="F469">
        <f>IF(OR(Database!$AK469="",Screener!$D$12=""),0,IF(Database!$AK469=Screener!$D$12,1,0))</f>
        <v/>
      </c>
      <c r="G469">
        <f>IF(OR(Database!$G469="",N(Screener!$D$13)&lt;=0),0,MAX(0,1-(N(Screener!$D$13)-Database!$G469)/W_RECD))</f>
        <v/>
      </c>
      <c r="H469">
        <f>IF($K$1="",0,N(ISNUMBER(SEARCH($K$1,Database!$T469&amp;""))))+IF($L$1="",0,N(ISNUMBER(SEARCH($L$1,Database!$T469&amp;""))))+IF($M$1="",0,N(ISNUMBER(SEARCH($M$1,Database!$T469&amp;""))))+IF($N$1="",0,N(ISNUMBER(SEARCH($N$1,Database!$T469&amp;""))))+IF($O$1="",0,N(ISNUMBER(SEARCH($O$1,Database!$T469&amp;""))))+IF(Screener!$B$14="",0,N(ISNUMBER(SEARCH(Screener!$B$14,Database!$T469&amp;""))))</f>
        <v/>
      </c>
      <c r="I469">
        <f>IF(OR(Database!$B469=Screener!$B$5,IF(OR(Screener!$B$17="All",AND(Screener!$B$17="With A-share",(Database!$AL469&lt;&gt;"")),AND(Screener!$B$17="Without A-share",NOT((Database!$AL469&lt;&gt;"")))),1,0)=0),-999999,IF(Screener!$B$15="cornerstone overlap first",H469*100000,0)+W_SUB*B469+W_SEC*C469*(1-B469)+W_SIZE*D469+W_PROF*E469+W_AH*F469+W_REC*G469+W_CS*H469)+ROW()/1000000</f>
        <v/>
      </c>
      <c r="K469">
        <f>Database!B461</f>
        <v/>
      </c>
      <c r="L469">
        <f>Database!D461</f>
        <v/>
      </c>
      <c r="M469">
        <f>Database!E461</f>
        <v/>
      </c>
      <c r="N469">
        <f>Database!H461</f>
        <v/>
      </c>
      <c r="O469">
        <f>Database!AH461</f>
        <v/>
      </c>
      <c r="P469">
        <f>Database!AK461</f>
        <v/>
      </c>
      <c r="Q469">
        <f>Database!G461</f>
        <v/>
      </c>
    </row>
    <row r="470">
      <c r="A470">
        <f>Database!B470</f>
        <v/>
      </c>
      <c r="B470">
        <f>IF(AND(Screener!$D$9&lt;&gt;"",Database!$E470=Screener!$D$9),1,0)</f>
        <v/>
      </c>
      <c r="C470">
        <f>IF(AND(Screener!$D$8&lt;&gt;"",Database!$D470=Screener!$D$8),1,0)</f>
        <v/>
      </c>
      <c r="D470">
        <f>IF(OR(Database!$H470="",N(Screener!$D$10)&lt;=0),0,MAX(0,1-ABS(LOG10(Database!$H470/Screener!$D$10))/W_SIZEHW))</f>
        <v/>
      </c>
      <c r="E470">
        <f>IF(OR(Database!$AH470="",Screener!$D$11=""),0,IF(Database!$AH470=Screener!$D$11,1,0))</f>
        <v/>
      </c>
      <c r="F470">
        <f>IF(OR(Database!$AK470="",Screener!$D$12=""),0,IF(Database!$AK470=Screener!$D$12,1,0))</f>
        <v/>
      </c>
      <c r="G470">
        <f>IF(OR(Database!$G470="",N(Screener!$D$13)&lt;=0),0,MAX(0,1-(N(Screener!$D$13)-Database!$G470)/W_RECD))</f>
        <v/>
      </c>
      <c r="H470">
        <f>IF($K$1="",0,N(ISNUMBER(SEARCH($K$1,Database!$T470&amp;""))))+IF($L$1="",0,N(ISNUMBER(SEARCH($L$1,Database!$T470&amp;""))))+IF($M$1="",0,N(ISNUMBER(SEARCH($M$1,Database!$T470&amp;""))))+IF($N$1="",0,N(ISNUMBER(SEARCH($N$1,Database!$T470&amp;""))))+IF($O$1="",0,N(ISNUMBER(SEARCH($O$1,Database!$T470&amp;""))))+IF(Screener!$B$14="",0,N(ISNUMBER(SEARCH(Screener!$B$14,Database!$T470&amp;""))))</f>
        <v/>
      </c>
      <c r="I470">
        <f>IF(OR(Database!$B470=Screener!$B$5,IF(OR(Screener!$B$17="All",AND(Screener!$B$17="With A-share",(Database!$AL470&lt;&gt;"")),AND(Screener!$B$17="Without A-share",NOT((Database!$AL470&lt;&gt;"")))),1,0)=0),-999999,IF(Screener!$B$15="cornerstone overlap first",H470*100000,0)+W_SUB*B470+W_SEC*C470*(1-B470)+W_SIZE*D470+W_PROF*E470+W_AH*F470+W_REC*G470+W_CS*H470)+ROW()/1000000</f>
        <v/>
      </c>
      <c r="K470">
        <f>Database!B462</f>
        <v/>
      </c>
      <c r="L470">
        <f>Database!D462</f>
        <v/>
      </c>
      <c r="M470">
        <f>Database!E462</f>
        <v/>
      </c>
      <c r="N470">
        <f>Database!H462</f>
        <v/>
      </c>
      <c r="O470">
        <f>Database!AH462</f>
        <v/>
      </c>
      <c r="P470">
        <f>Database!AK462</f>
        <v/>
      </c>
      <c r="Q470">
        <f>Database!G462</f>
        <v/>
      </c>
    </row>
    <row r="471">
      <c r="A471">
        <f>Database!B471</f>
        <v/>
      </c>
      <c r="B471">
        <f>IF(AND(Screener!$D$9&lt;&gt;"",Database!$E471=Screener!$D$9),1,0)</f>
        <v/>
      </c>
      <c r="C471">
        <f>IF(AND(Screener!$D$8&lt;&gt;"",Database!$D471=Screener!$D$8),1,0)</f>
        <v/>
      </c>
      <c r="D471">
        <f>IF(OR(Database!$H471="",N(Screener!$D$10)&lt;=0),0,MAX(0,1-ABS(LOG10(Database!$H471/Screener!$D$10))/W_SIZEHW))</f>
        <v/>
      </c>
      <c r="E471">
        <f>IF(OR(Database!$AH471="",Screener!$D$11=""),0,IF(Database!$AH471=Screener!$D$11,1,0))</f>
        <v/>
      </c>
      <c r="F471">
        <f>IF(OR(Database!$AK471="",Screener!$D$12=""),0,IF(Database!$AK471=Screener!$D$12,1,0))</f>
        <v/>
      </c>
      <c r="G471">
        <f>IF(OR(Database!$G471="",N(Screener!$D$13)&lt;=0),0,MAX(0,1-(N(Screener!$D$13)-Database!$G471)/W_RECD))</f>
        <v/>
      </c>
      <c r="H471">
        <f>IF($K$1="",0,N(ISNUMBER(SEARCH($K$1,Database!$T471&amp;""))))+IF($L$1="",0,N(ISNUMBER(SEARCH($L$1,Database!$T471&amp;""))))+IF($M$1="",0,N(ISNUMBER(SEARCH($M$1,Database!$T471&amp;""))))+IF($N$1="",0,N(ISNUMBER(SEARCH($N$1,Database!$T471&amp;""))))+IF($O$1="",0,N(ISNUMBER(SEARCH($O$1,Database!$T471&amp;""))))+IF(Screener!$B$14="",0,N(ISNUMBER(SEARCH(Screener!$B$14,Database!$T471&amp;""))))</f>
        <v/>
      </c>
      <c r="I471">
        <f>IF(OR(Database!$B471=Screener!$B$5,IF(OR(Screener!$B$17="All",AND(Screener!$B$17="With A-share",(Database!$AL471&lt;&gt;"")),AND(Screener!$B$17="Without A-share",NOT((Database!$AL471&lt;&gt;"")))),1,0)=0),-999999,IF(Screener!$B$15="cornerstone overlap first",H471*100000,0)+W_SUB*B471+W_SEC*C471*(1-B471)+W_SIZE*D471+W_PROF*E471+W_AH*F471+W_REC*G471+W_CS*H471)+ROW()/1000000</f>
        <v/>
      </c>
      <c r="K471">
        <f>Database!B463</f>
        <v/>
      </c>
      <c r="L471">
        <f>Database!D463</f>
        <v/>
      </c>
      <c r="M471">
        <f>Database!E463</f>
        <v/>
      </c>
      <c r="N471">
        <f>Database!H463</f>
        <v/>
      </c>
      <c r="O471">
        <f>Database!AH463</f>
        <v/>
      </c>
      <c r="P471">
        <f>Database!AK463</f>
        <v/>
      </c>
      <c r="Q471">
        <f>Database!G463</f>
        <v/>
      </c>
    </row>
    <row r="472">
      <c r="A472">
        <f>Database!B472</f>
        <v/>
      </c>
      <c r="B472">
        <f>IF(AND(Screener!$D$9&lt;&gt;"",Database!$E472=Screener!$D$9),1,0)</f>
        <v/>
      </c>
      <c r="C472">
        <f>IF(AND(Screener!$D$8&lt;&gt;"",Database!$D472=Screener!$D$8),1,0)</f>
        <v/>
      </c>
      <c r="D472">
        <f>IF(OR(Database!$H472="",N(Screener!$D$10)&lt;=0),0,MAX(0,1-ABS(LOG10(Database!$H472/Screener!$D$10))/W_SIZEHW))</f>
        <v/>
      </c>
      <c r="E472">
        <f>IF(OR(Database!$AH472="",Screener!$D$11=""),0,IF(Database!$AH472=Screener!$D$11,1,0))</f>
        <v/>
      </c>
      <c r="F472">
        <f>IF(OR(Database!$AK472="",Screener!$D$12=""),0,IF(Database!$AK472=Screener!$D$12,1,0))</f>
        <v/>
      </c>
      <c r="G472">
        <f>IF(OR(Database!$G472="",N(Screener!$D$13)&lt;=0),0,MAX(0,1-(N(Screener!$D$13)-Database!$G472)/W_RECD))</f>
        <v/>
      </c>
      <c r="H472">
        <f>IF($K$1="",0,N(ISNUMBER(SEARCH($K$1,Database!$T472&amp;""))))+IF($L$1="",0,N(ISNUMBER(SEARCH($L$1,Database!$T472&amp;""))))+IF($M$1="",0,N(ISNUMBER(SEARCH($M$1,Database!$T472&amp;""))))+IF($N$1="",0,N(ISNUMBER(SEARCH($N$1,Database!$T472&amp;""))))+IF($O$1="",0,N(ISNUMBER(SEARCH($O$1,Database!$T472&amp;""))))+IF(Screener!$B$14="",0,N(ISNUMBER(SEARCH(Screener!$B$14,Database!$T472&amp;""))))</f>
        <v/>
      </c>
      <c r="I472">
        <f>IF(OR(Database!$B472=Screener!$B$5,IF(OR(Screener!$B$17="All",AND(Screener!$B$17="With A-share",(Database!$AL472&lt;&gt;"")),AND(Screener!$B$17="Without A-share",NOT((Database!$AL472&lt;&gt;"")))),1,0)=0),-999999,IF(Screener!$B$15="cornerstone overlap first",H472*100000,0)+W_SUB*B472+W_SEC*C472*(1-B472)+W_SIZE*D472+W_PROF*E472+W_AH*F472+W_REC*G472+W_CS*H472)+ROW()/1000000</f>
        <v/>
      </c>
      <c r="K472">
        <f>Database!B464</f>
        <v/>
      </c>
      <c r="L472">
        <f>Database!D464</f>
        <v/>
      </c>
      <c r="M472">
        <f>Database!E464</f>
        <v/>
      </c>
      <c r="N472">
        <f>Database!H464</f>
        <v/>
      </c>
      <c r="O472">
        <f>Database!AH464</f>
        <v/>
      </c>
      <c r="P472">
        <f>Database!AK464</f>
        <v/>
      </c>
      <c r="Q472">
        <f>Database!G464</f>
        <v/>
      </c>
    </row>
    <row r="473">
      <c r="A473">
        <f>Database!B473</f>
        <v/>
      </c>
      <c r="B473">
        <f>IF(AND(Screener!$D$9&lt;&gt;"",Database!$E473=Screener!$D$9),1,0)</f>
        <v/>
      </c>
      <c r="C473">
        <f>IF(AND(Screener!$D$8&lt;&gt;"",Database!$D473=Screener!$D$8),1,0)</f>
        <v/>
      </c>
      <c r="D473">
        <f>IF(OR(Database!$H473="",N(Screener!$D$10)&lt;=0),0,MAX(0,1-ABS(LOG10(Database!$H473/Screener!$D$10))/W_SIZEHW))</f>
        <v/>
      </c>
      <c r="E473">
        <f>IF(OR(Database!$AH473="",Screener!$D$11=""),0,IF(Database!$AH473=Screener!$D$11,1,0))</f>
        <v/>
      </c>
      <c r="F473">
        <f>IF(OR(Database!$AK473="",Screener!$D$12=""),0,IF(Database!$AK473=Screener!$D$12,1,0))</f>
        <v/>
      </c>
      <c r="G473">
        <f>IF(OR(Database!$G473="",N(Screener!$D$13)&lt;=0),0,MAX(0,1-(N(Screener!$D$13)-Database!$G473)/W_RECD))</f>
        <v/>
      </c>
      <c r="H473">
        <f>IF($K$1="",0,N(ISNUMBER(SEARCH($K$1,Database!$T473&amp;""))))+IF($L$1="",0,N(ISNUMBER(SEARCH($L$1,Database!$T473&amp;""))))+IF($M$1="",0,N(ISNUMBER(SEARCH($M$1,Database!$T473&amp;""))))+IF($N$1="",0,N(ISNUMBER(SEARCH($N$1,Database!$T473&amp;""))))+IF($O$1="",0,N(ISNUMBER(SEARCH($O$1,Database!$T473&amp;""))))+IF(Screener!$B$14="",0,N(ISNUMBER(SEARCH(Screener!$B$14,Database!$T473&amp;""))))</f>
        <v/>
      </c>
      <c r="I473">
        <f>IF(OR(Database!$B473=Screener!$B$5,IF(OR(Screener!$B$17="All",AND(Screener!$B$17="With A-share",(Database!$AL473&lt;&gt;"")),AND(Screener!$B$17="Without A-share",NOT((Database!$AL473&lt;&gt;"")))),1,0)=0),-999999,IF(Screener!$B$15="cornerstone overlap first",H473*100000,0)+W_SUB*B473+W_SEC*C473*(1-B473)+W_SIZE*D473+W_PROF*E473+W_AH*F473+W_REC*G473+W_CS*H473)+ROW()/1000000</f>
        <v/>
      </c>
      <c r="K473">
        <f>Database!B465</f>
        <v/>
      </c>
      <c r="L473">
        <f>Database!D465</f>
        <v/>
      </c>
      <c r="M473">
        <f>Database!E465</f>
        <v/>
      </c>
      <c r="N473">
        <f>Database!H465</f>
        <v/>
      </c>
      <c r="O473">
        <f>Database!AH465</f>
        <v/>
      </c>
      <c r="P473">
        <f>Database!AK465</f>
        <v/>
      </c>
      <c r="Q473">
        <f>Database!G465</f>
        <v/>
      </c>
    </row>
    <row r="474">
      <c r="A474">
        <f>Database!B474</f>
        <v/>
      </c>
      <c r="B474">
        <f>IF(AND(Screener!$D$9&lt;&gt;"",Database!$E474=Screener!$D$9),1,0)</f>
        <v/>
      </c>
      <c r="C474">
        <f>IF(AND(Screener!$D$8&lt;&gt;"",Database!$D474=Screener!$D$8),1,0)</f>
        <v/>
      </c>
      <c r="D474">
        <f>IF(OR(Database!$H474="",N(Screener!$D$10)&lt;=0),0,MAX(0,1-ABS(LOG10(Database!$H474/Screener!$D$10))/W_SIZEHW))</f>
        <v/>
      </c>
      <c r="E474">
        <f>IF(OR(Database!$AH474="",Screener!$D$11=""),0,IF(Database!$AH474=Screener!$D$11,1,0))</f>
        <v/>
      </c>
      <c r="F474">
        <f>IF(OR(Database!$AK474="",Screener!$D$12=""),0,IF(Database!$AK474=Screener!$D$12,1,0))</f>
        <v/>
      </c>
      <c r="G474">
        <f>IF(OR(Database!$G474="",N(Screener!$D$13)&lt;=0),0,MAX(0,1-(N(Screener!$D$13)-Database!$G474)/W_RECD))</f>
        <v/>
      </c>
      <c r="H474">
        <f>IF($K$1="",0,N(ISNUMBER(SEARCH($K$1,Database!$T474&amp;""))))+IF($L$1="",0,N(ISNUMBER(SEARCH($L$1,Database!$T474&amp;""))))+IF($M$1="",0,N(ISNUMBER(SEARCH($M$1,Database!$T474&amp;""))))+IF($N$1="",0,N(ISNUMBER(SEARCH($N$1,Database!$T474&amp;""))))+IF($O$1="",0,N(ISNUMBER(SEARCH($O$1,Database!$T474&amp;""))))+IF(Screener!$B$14="",0,N(ISNUMBER(SEARCH(Screener!$B$14,Database!$T474&amp;""))))</f>
        <v/>
      </c>
      <c r="I474">
        <f>IF(OR(Database!$B474=Screener!$B$5,IF(OR(Screener!$B$17="All",AND(Screener!$B$17="With A-share",(Database!$AL474&lt;&gt;"")),AND(Screener!$B$17="Without A-share",NOT((Database!$AL474&lt;&gt;"")))),1,0)=0),-999999,IF(Screener!$B$15="cornerstone overlap first",H474*100000,0)+W_SUB*B474+W_SEC*C474*(1-B474)+W_SIZE*D474+W_PROF*E474+W_AH*F474+W_REC*G474+W_CS*H474)+ROW()/1000000</f>
        <v/>
      </c>
      <c r="K474">
        <f>Database!B466</f>
        <v/>
      </c>
      <c r="L474">
        <f>Database!D466</f>
        <v/>
      </c>
      <c r="M474">
        <f>Database!E466</f>
        <v/>
      </c>
      <c r="N474">
        <f>Database!H466</f>
        <v/>
      </c>
      <c r="O474">
        <f>Database!AH466</f>
        <v/>
      </c>
      <c r="P474">
        <f>Database!AK466</f>
        <v/>
      </c>
      <c r="Q474">
        <f>Database!G466</f>
        <v/>
      </c>
    </row>
    <row r="475">
      <c r="A475">
        <f>Database!B475</f>
        <v/>
      </c>
      <c r="B475">
        <f>IF(AND(Screener!$D$9&lt;&gt;"",Database!$E475=Screener!$D$9),1,0)</f>
        <v/>
      </c>
      <c r="C475">
        <f>IF(AND(Screener!$D$8&lt;&gt;"",Database!$D475=Screener!$D$8),1,0)</f>
        <v/>
      </c>
      <c r="D475">
        <f>IF(OR(Database!$H475="",N(Screener!$D$10)&lt;=0),0,MAX(0,1-ABS(LOG10(Database!$H475/Screener!$D$10))/W_SIZEHW))</f>
        <v/>
      </c>
      <c r="E475">
        <f>IF(OR(Database!$AH475="",Screener!$D$11=""),0,IF(Database!$AH475=Screener!$D$11,1,0))</f>
        <v/>
      </c>
      <c r="F475">
        <f>IF(OR(Database!$AK475="",Screener!$D$12=""),0,IF(Database!$AK475=Screener!$D$12,1,0))</f>
        <v/>
      </c>
      <c r="G475">
        <f>IF(OR(Database!$G475="",N(Screener!$D$13)&lt;=0),0,MAX(0,1-(N(Screener!$D$13)-Database!$G475)/W_RECD))</f>
        <v/>
      </c>
      <c r="H475">
        <f>IF($K$1="",0,N(ISNUMBER(SEARCH($K$1,Database!$T475&amp;""))))+IF($L$1="",0,N(ISNUMBER(SEARCH($L$1,Database!$T475&amp;""))))+IF($M$1="",0,N(ISNUMBER(SEARCH($M$1,Database!$T475&amp;""))))+IF($N$1="",0,N(ISNUMBER(SEARCH($N$1,Database!$T475&amp;""))))+IF($O$1="",0,N(ISNUMBER(SEARCH($O$1,Database!$T475&amp;""))))+IF(Screener!$B$14="",0,N(ISNUMBER(SEARCH(Screener!$B$14,Database!$T475&amp;""))))</f>
        <v/>
      </c>
      <c r="I475">
        <f>IF(OR(Database!$B475=Screener!$B$5,IF(OR(Screener!$B$17="All",AND(Screener!$B$17="With A-share",(Database!$AL475&lt;&gt;"")),AND(Screener!$B$17="Without A-share",NOT((Database!$AL475&lt;&gt;"")))),1,0)=0),-999999,IF(Screener!$B$15="cornerstone overlap first",H475*100000,0)+W_SUB*B475+W_SEC*C475*(1-B475)+W_SIZE*D475+W_PROF*E475+W_AH*F475+W_REC*G475+W_CS*H475)+ROW()/1000000</f>
        <v/>
      </c>
      <c r="K475">
        <f>Database!B467</f>
        <v/>
      </c>
      <c r="L475">
        <f>Database!D467</f>
        <v/>
      </c>
      <c r="M475">
        <f>Database!E467</f>
        <v/>
      </c>
      <c r="N475">
        <f>Database!H467</f>
        <v/>
      </c>
      <c r="O475">
        <f>Database!AH467</f>
        <v/>
      </c>
      <c r="P475">
        <f>Database!AK467</f>
        <v/>
      </c>
      <c r="Q475">
        <f>Database!G467</f>
        <v/>
      </c>
    </row>
    <row r="476">
      <c r="A476">
        <f>Database!B476</f>
        <v/>
      </c>
      <c r="B476">
        <f>IF(AND(Screener!$D$9&lt;&gt;"",Database!$E476=Screener!$D$9),1,0)</f>
        <v/>
      </c>
      <c r="C476">
        <f>IF(AND(Screener!$D$8&lt;&gt;"",Database!$D476=Screener!$D$8),1,0)</f>
        <v/>
      </c>
      <c r="D476">
        <f>IF(OR(Database!$H476="",N(Screener!$D$10)&lt;=0),0,MAX(0,1-ABS(LOG10(Database!$H476/Screener!$D$10))/W_SIZEHW))</f>
        <v/>
      </c>
      <c r="E476">
        <f>IF(OR(Database!$AH476="",Screener!$D$11=""),0,IF(Database!$AH476=Screener!$D$11,1,0))</f>
        <v/>
      </c>
      <c r="F476">
        <f>IF(OR(Database!$AK476="",Screener!$D$12=""),0,IF(Database!$AK476=Screener!$D$12,1,0))</f>
        <v/>
      </c>
      <c r="G476">
        <f>IF(OR(Database!$G476="",N(Screener!$D$13)&lt;=0),0,MAX(0,1-(N(Screener!$D$13)-Database!$G476)/W_RECD))</f>
        <v/>
      </c>
      <c r="H476">
        <f>IF($K$1="",0,N(ISNUMBER(SEARCH($K$1,Database!$T476&amp;""))))+IF($L$1="",0,N(ISNUMBER(SEARCH($L$1,Database!$T476&amp;""))))+IF($M$1="",0,N(ISNUMBER(SEARCH($M$1,Database!$T476&amp;""))))+IF($N$1="",0,N(ISNUMBER(SEARCH($N$1,Database!$T476&amp;""))))+IF($O$1="",0,N(ISNUMBER(SEARCH($O$1,Database!$T476&amp;""))))+IF(Screener!$B$14="",0,N(ISNUMBER(SEARCH(Screener!$B$14,Database!$T476&amp;""))))</f>
        <v/>
      </c>
      <c r="I476">
        <f>IF(OR(Database!$B476=Screener!$B$5,IF(OR(Screener!$B$17="All",AND(Screener!$B$17="With A-share",(Database!$AL476&lt;&gt;"")),AND(Screener!$B$17="Without A-share",NOT((Database!$AL476&lt;&gt;"")))),1,0)=0),-999999,IF(Screener!$B$15="cornerstone overlap first",H476*100000,0)+W_SUB*B476+W_SEC*C476*(1-B476)+W_SIZE*D476+W_PROF*E476+W_AH*F476+W_REC*G476+W_CS*H476)+ROW()/1000000</f>
        <v/>
      </c>
      <c r="K476">
        <f>Database!B468</f>
        <v/>
      </c>
      <c r="L476">
        <f>Database!D468</f>
        <v/>
      </c>
      <c r="M476">
        <f>Database!E468</f>
        <v/>
      </c>
      <c r="N476">
        <f>Database!H468</f>
        <v/>
      </c>
      <c r="O476">
        <f>Database!AH468</f>
        <v/>
      </c>
      <c r="P476">
        <f>Database!AK468</f>
        <v/>
      </c>
      <c r="Q476">
        <f>Database!G468</f>
        <v/>
      </c>
    </row>
    <row r="477">
      <c r="A477">
        <f>Database!B477</f>
        <v/>
      </c>
      <c r="B477">
        <f>IF(AND(Screener!$D$9&lt;&gt;"",Database!$E477=Screener!$D$9),1,0)</f>
        <v/>
      </c>
      <c r="C477">
        <f>IF(AND(Screener!$D$8&lt;&gt;"",Database!$D477=Screener!$D$8),1,0)</f>
        <v/>
      </c>
      <c r="D477">
        <f>IF(OR(Database!$H477="",N(Screener!$D$10)&lt;=0),0,MAX(0,1-ABS(LOG10(Database!$H477/Screener!$D$10))/W_SIZEHW))</f>
        <v/>
      </c>
      <c r="E477">
        <f>IF(OR(Database!$AH477="",Screener!$D$11=""),0,IF(Database!$AH477=Screener!$D$11,1,0))</f>
        <v/>
      </c>
      <c r="F477">
        <f>IF(OR(Database!$AK477="",Screener!$D$12=""),0,IF(Database!$AK477=Screener!$D$12,1,0))</f>
        <v/>
      </c>
      <c r="G477">
        <f>IF(OR(Database!$G477="",N(Screener!$D$13)&lt;=0),0,MAX(0,1-(N(Screener!$D$13)-Database!$G477)/W_RECD))</f>
        <v/>
      </c>
      <c r="H477">
        <f>IF($K$1="",0,N(ISNUMBER(SEARCH($K$1,Database!$T477&amp;""))))+IF($L$1="",0,N(ISNUMBER(SEARCH($L$1,Database!$T477&amp;""))))+IF($M$1="",0,N(ISNUMBER(SEARCH($M$1,Database!$T477&amp;""))))+IF($N$1="",0,N(ISNUMBER(SEARCH($N$1,Database!$T477&amp;""))))+IF($O$1="",0,N(ISNUMBER(SEARCH($O$1,Database!$T477&amp;""))))+IF(Screener!$B$14="",0,N(ISNUMBER(SEARCH(Screener!$B$14,Database!$T477&amp;""))))</f>
        <v/>
      </c>
      <c r="I477">
        <f>IF(OR(Database!$B477=Screener!$B$5,IF(OR(Screener!$B$17="All",AND(Screener!$B$17="With A-share",(Database!$AL477&lt;&gt;"")),AND(Screener!$B$17="Without A-share",NOT((Database!$AL477&lt;&gt;"")))),1,0)=0),-999999,IF(Screener!$B$15="cornerstone overlap first",H477*100000,0)+W_SUB*B477+W_SEC*C477*(1-B477)+W_SIZE*D477+W_PROF*E477+W_AH*F477+W_REC*G477+W_CS*H477)+ROW()/1000000</f>
        <v/>
      </c>
      <c r="K477">
        <f>Database!B469</f>
        <v/>
      </c>
      <c r="L477">
        <f>Database!D469</f>
        <v/>
      </c>
      <c r="M477">
        <f>Database!E469</f>
        <v/>
      </c>
      <c r="N477">
        <f>Database!H469</f>
        <v/>
      </c>
      <c r="O477">
        <f>Database!AH469</f>
        <v/>
      </c>
      <c r="P477">
        <f>Database!AK469</f>
        <v/>
      </c>
      <c r="Q477">
        <f>Database!G469</f>
        <v/>
      </c>
    </row>
    <row r="478">
      <c r="A478">
        <f>Database!B478</f>
        <v/>
      </c>
      <c r="B478">
        <f>IF(AND(Screener!$D$9&lt;&gt;"",Database!$E478=Screener!$D$9),1,0)</f>
        <v/>
      </c>
      <c r="C478">
        <f>IF(AND(Screener!$D$8&lt;&gt;"",Database!$D478=Screener!$D$8),1,0)</f>
        <v/>
      </c>
      <c r="D478">
        <f>IF(OR(Database!$H478="",N(Screener!$D$10)&lt;=0),0,MAX(0,1-ABS(LOG10(Database!$H478/Screener!$D$10))/W_SIZEHW))</f>
        <v/>
      </c>
      <c r="E478">
        <f>IF(OR(Database!$AH478="",Screener!$D$11=""),0,IF(Database!$AH478=Screener!$D$11,1,0))</f>
        <v/>
      </c>
      <c r="F478">
        <f>IF(OR(Database!$AK478="",Screener!$D$12=""),0,IF(Database!$AK478=Screener!$D$12,1,0))</f>
        <v/>
      </c>
      <c r="G478">
        <f>IF(OR(Database!$G478="",N(Screener!$D$13)&lt;=0),0,MAX(0,1-(N(Screener!$D$13)-Database!$G478)/W_RECD))</f>
        <v/>
      </c>
      <c r="H478">
        <f>IF($K$1="",0,N(ISNUMBER(SEARCH($K$1,Database!$T478&amp;""))))+IF($L$1="",0,N(ISNUMBER(SEARCH($L$1,Database!$T478&amp;""))))+IF($M$1="",0,N(ISNUMBER(SEARCH($M$1,Database!$T478&amp;""))))+IF($N$1="",0,N(ISNUMBER(SEARCH($N$1,Database!$T478&amp;""))))+IF($O$1="",0,N(ISNUMBER(SEARCH($O$1,Database!$T478&amp;""))))+IF(Screener!$B$14="",0,N(ISNUMBER(SEARCH(Screener!$B$14,Database!$T478&amp;""))))</f>
        <v/>
      </c>
      <c r="I478">
        <f>IF(OR(Database!$B478=Screener!$B$5,IF(OR(Screener!$B$17="All",AND(Screener!$B$17="With A-share",(Database!$AL478&lt;&gt;"")),AND(Screener!$B$17="Without A-share",NOT((Database!$AL478&lt;&gt;"")))),1,0)=0),-999999,IF(Screener!$B$15="cornerstone overlap first",H478*100000,0)+W_SUB*B478+W_SEC*C478*(1-B478)+W_SIZE*D478+W_PROF*E478+W_AH*F478+W_REC*G478+W_CS*H478)+ROW()/1000000</f>
        <v/>
      </c>
      <c r="K478">
        <f>Database!B470</f>
        <v/>
      </c>
      <c r="L478">
        <f>Database!D470</f>
        <v/>
      </c>
      <c r="M478">
        <f>Database!E470</f>
        <v/>
      </c>
      <c r="N478">
        <f>Database!H470</f>
        <v/>
      </c>
      <c r="O478">
        <f>Database!AH470</f>
        <v/>
      </c>
      <c r="P478">
        <f>Database!AK470</f>
        <v/>
      </c>
      <c r="Q478">
        <f>Database!G470</f>
        <v/>
      </c>
    </row>
    <row r="479">
      <c r="A479">
        <f>Database!B479</f>
        <v/>
      </c>
      <c r="B479">
        <f>IF(AND(Screener!$D$9&lt;&gt;"",Database!$E479=Screener!$D$9),1,0)</f>
        <v/>
      </c>
      <c r="C479">
        <f>IF(AND(Screener!$D$8&lt;&gt;"",Database!$D479=Screener!$D$8),1,0)</f>
        <v/>
      </c>
      <c r="D479">
        <f>IF(OR(Database!$H479="",N(Screener!$D$10)&lt;=0),0,MAX(0,1-ABS(LOG10(Database!$H479/Screener!$D$10))/W_SIZEHW))</f>
        <v/>
      </c>
      <c r="E479">
        <f>IF(OR(Database!$AH479="",Screener!$D$11=""),0,IF(Database!$AH479=Screener!$D$11,1,0))</f>
        <v/>
      </c>
      <c r="F479">
        <f>IF(OR(Database!$AK479="",Screener!$D$12=""),0,IF(Database!$AK479=Screener!$D$12,1,0))</f>
        <v/>
      </c>
      <c r="G479">
        <f>IF(OR(Database!$G479="",N(Screener!$D$13)&lt;=0),0,MAX(0,1-(N(Screener!$D$13)-Database!$G479)/W_RECD))</f>
        <v/>
      </c>
      <c r="H479">
        <f>IF($K$1="",0,N(ISNUMBER(SEARCH($K$1,Database!$T479&amp;""))))+IF($L$1="",0,N(ISNUMBER(SEARCH($L$1,Database!$T479&amp;""))))+IF($M$1="",0,N(ISNUMBER(SEARCH($M$1,Database!$T479&amp;""))))+IF($N$1="",0,N(ISNUMBER(SEARCH($N$1,Database!$T479&amp;""))))+IF($O$1="",0,N(ISNUMBER(SEARCH($O$1,Database!$T479&amp;""))))+IF(Screener!$B$14="",0,N(ISNUMBER(SEARCH(Screener!$B$14,Database!$T479&amp;""))))</f>
        <v/>
      </c>
      <c r="I479">
        <f>IF(OR(Database!$B479=Screener!$B$5,IF(OR(Screener!$B$17="All",AND(Screener!$B$17="With A-share",(Database!$AL479&lt;&gt;"")),AND(Screener!$B$17="Without A-share",NOT((Database!$AL479&lt;&gt;"")))),1,0)=0),-999999,IF(Screener!$B$15="cornerstone overlap first",H479*100000,0)+W_SUB*B479+W_SEC*C479*(1-B479)+W_SIZE*D479+W_PROF*E479+W_AH*F479+W_REC*G479+W_CS*H479)+ROW()/1000000</f>
        <v/>
      </c>
      <c r="K479">
        <f>Database!B471</f>
        <v/>
      </c>
      <c r="L479">
        <f>Database!D471</f>
        <v/>
      </c>
      <c r="M479">
        <f>Database!E471</f>
        <v/>
      </c>
      <c r="N479">
        <f>Database!H471</f>
        <v/>
      </c>
      <c r="O479">
        <f>Database!AH471</f>
        <v/>
      </c>
      <c r="P479">
        <f>Database!AK471</f>
        <v/>
      </c>
      <c r="Q479">
        <f>Database!G471</f>
        <v/>
      </c>
    </row>
    <row r="480">
      <c r="A480">
        <f>Database!B480</f>
        <v/>
      </c>
      <c r="B480">
        <f>IF(AND(Screener!$D$9&lt;&gt;"",Database!$E480=Screener!$D$9),1,0)</f>
        <v/>
      </c>
      <c r="C480">
        <f>IF(AND(Screener!$D$8&lt;&gt;"",Database!$D480=Screener!$D$8),1,0)</f>
        <v/>
      </c>
      <c r="D480">
        <f>IF(OR(Database!$H480="",N(Screener!$D$10)&lt;=0),0,MAX(0,1-ABS(LOG10(Database!$H480/Screener!$D$10))/W_SIZEHW))</f>
        <v/>
      </c>
      <c r="E480">
        <f>IF(OR(Database!$AH480="",Screener!$D$11=""),0,IF(Database!$AH480=Screener!$D$11,1,0))</f>
        <v/>
      </c>
      <c r="F480">
        <f>IF(OR(Database!$AK480="",Screener!$D$12=""),0,IF(Database!$AK480=Screener!$D$12,1,0))</f>
        <v/>
      </c>
      <c r="G480">
        <f>IF(OR(Database!$G480="",N(Screener!$D$13)&lt;=0),0,MAX(0,1-(N(Screener!$D$13)-Database!$G480)/W_RECD))</f>
        <v/>
      </c>
      <c r="H480">
        <f>IF($K$1="",0,N(ISNUMBER(SEARCH($K$1,Database!$T480&amp;""))))+IF($L$1="",0,N(ISNUMBER(SEARCH($L$1,Database!$T480&amp;""))))+IF($M$1="",0,N(ISNUMBER(SEARCH($M$1,Database!$T480&amp;""))))+IF($N$1="",0,N(ISNUMBER(SEARCH($N$1,Database!$T480&amp;""))))+IF($O$1="",0,N(ISNUMBER(SEARCH($O$1,Database!$T480&amp;""))))+IF(Screener!$B$14="",0,N(ISNUMBER(SEARCH(Screener!$B$14,Database!$T480&amp;""))))</f>
        <v/>
      </c>
      <c r="I480">
        <f>IF(OR(Database!$B480=Screener!$B$5,IF(OR(Screener!$B$17="All",AND(Screener!$B$17="With A-share",(Database!$AL480&lt;&gt;"")),AND(Screener!$B$17="Without A-share",NOT((Database!$AL480&lt;&gt;"")))),1,0)=0),-999999,IF(Screener!$B$15="cornerstone overlap first",H480*100000,0)+W_SUB*B480+W_SEC*C480*(1-B480)+W_SIZE*D480+W_PROF*E480+W_AH*F480+W_REC*G480+W_CS*H480)+ROW()/1000000</f>
        <v/>
      </c>
      <c r="K480">
        <f>Database!B472</f>
        <v/>
      </c>
      <c r="L480">
        <f>Database!D472</f>
        <v/>
      </c>
      <c r="M480">
        <f>Database!E472</f>
        <v/>
      </c>
      <c r="N480">
        <f>Database!H472</f>
        <v/>
      </c>
      <c r="O480">
        <f>Database!AH472</f>
        <v/>
      </c>
      <c r="P480">
        <f>Database!AK472</f>
        <v/>
      </c>
      <c r="Q480">
        <f>Database!G472</f>
        <v/>
      </c>
    </row>
    <row r="481">
      <c r="A481">
        <f>Database!B481</f>
        <v/>
      </c>
      <c r="B481">
        <f>IF(AND(Screener!$D$9&lt;&gt;"",Database!$E481=Screener!$D$9),1,0)</f>
        <v/>
      </c>
      <c r="C481">
        <f>IF(AND(Screener!$D$8&lt;&gt;"",Database!$D481=Screener!$D$8),1,0)</f>
        <v/>
      </c>
      <c r="D481">
        <f>IF(OR(Database!$H481="",N(Screener!$D$10)&lt;=0),0,MAX(0,1-ABS(LOG10(Database!$H481/Screener!$D$10))/W_SIZEHW))</f>
        <v/>
      </c>
      <c r="E481">
        <f>IF(OR(Database!$AH481="",Screener!$D$11=""),0,IF(Database!$AH481=Screener!$D$11,1,0))</f>
        <v/>
      </c>
      <c r="F481">
        <f>IF(OR(Database!$AK481="",Screener!$D$12=""),0,IF(Database!$AK481=Screener!$D$12,1,0))</f>
        <v/>
      </c>
      <c r="G481">
        <f>IF(OR(Database!$G481="",N(Screener!$D$13)&lt;=0),0,MAX(0,1-(N(Screener!$D$13)-Database!$G481)/W_RECD))</f>
        <v/>
      </c>
      <c r="H481">
        <f>IF($K$1="",0,N(ISNUMBER(SEARCH($K$1,Database!$T481&amp;""))))+IF($L$1="",0,N(ISNUMBER(SEARCH($L$1,Database!$T481&amp;""))))+IF($M$1="",0,N(ISNUMBER(SEARCH($M$1,Database!$T481&amp;""))))+IF($N$1="",0,N(ISNUMBER(SEARCH($N$1,Database!$T481&amp;""))))+IF($O$1="",0,N(ISNUMBER(SEARCH($O$1,Database!$T481&amp;""))))+IF(Screener!$B$14="",0,N(ISNUMBER(SEARCH(Screener!$B$14,Database!$T481&amp;""))))</f>
        <v/>
      </c>
      <c r="I481">
        <f>IF(OR(Database!$B481=Screener!$B$5,IF(OR(Screener!$B$17="All",AND(Screener!$B$17="With A-share",(Database!$AL481&lt;&gt;"")),AND(Screener!$B$17="Without A-share",NOT((Database!$AL481&lt;&gt;"")))),1,0)=0),-999999,IF(Screener!$B$15="cornerstone overlap first",H481*100000,0)+W_SUB*B481+W_SEC*C481*(1-B481)+W_SIZE*D481+W_PROF*E481+W_AH*F481+W_REC*G481+W_CS*H481)+ROW()/1000000</f>
        <v/>
      </c>
      <c r="K481">
        <f>Database!B473</f>
        <v/>
      </c>
      <c r="L481">
        <f>Database!D473</f>
        <v/>
      </c>
      <c r="M481">
        <f>Database!E473</f>
        <v/>
      </c>
      <c r="N481">
        <f>Database!H473</f>
        <v/>
      </c>
      <c r="O481">
        <f>Database!AH473</f>
        <v/>
      </c>
      <c r="P481">
        <f>Database!AK473</f>
        <v/>
      </c>
      <c r="Q481">
        <f>Database!G473</f>
        <v/>
      </c>
    </row>
    <row r="482">
      <c r="A482">
        <f>Database!B482</f>
        <v/>
      </c>
      <c r="B482">
        <f>IF(AND(Screener!$D$9&lt;&gt;"",Database!$E482=Screener!$D$9),1,0)</f>
        <v/>
      </c>
      <c r="C482">
        <f>IF(AND(Screener!$D$8&lt;&gt;"",Database!$D482=Screener!$D$8),1,0)</f>
        <v/>
      </c>
      <c r="D482">
        <f>IF(OR(Database!$H482="",N(Screener!$D$10)&lt;=0),0,MAX(0,1-ABS(LOG10(Database!$H482/Screener!$D$10))/W_SIZEHW))</f>
        <v/>
      </c>
      <c r="E482">
        <f>IF(OR(Database!$AH482="",Screener!$D$11=""),0,IF(Database!$AH482=Screener!$D$11,1,0))</f>
        <v/>
      </c>
      <c r="F482">
        <f>IF(OR(Database!$AK482="",Screener!$D$12=""),0,IF(Database!$AK482=Screener!$D$12,1,0))</f>
        <v/>
      </c>
      <c r="G482">
        <f>IF(OR(Database!$G482="",N(Screener!$D$13)&lt;=0),0,MAX(0,1-(N(Screener!$D$13)-Database!$G482)/W_RECD))</f>
        <v/>
      </c>
      <c r="H482">
        <f>IF($K$1="",0,N(ISNUMBER(SEARCH($K$1,Database!$T482&amp;""))))+IF($L$1="",0,N(ISNUMBER(SEARCH($L$1,Database!$T482&amp;""))))+IF($M$1="",0,N(ISNUMBER(SEARCH($M$1,Database!$T482&amp;""))))+IF($N$1="",0,N(ISNUMBER(SEARCH($N$1,Database!$T482&amp;""))))+IF($O$1="",0,N(ISNUMBER(SEARCH($O$1,Database!$T482&amp;""))))+IF(Screener!$B$14="",0,N(ISNUMBER(SEARCH(Screener!$B$14,Database!$T482&amp;""))))</f>
        <v/>
      </c>
      <c r="I482">
        <f>IF(OR(Database!$B482=Screener!$B$5,IF(OR(Screener!$B$17="All",AND(Screener!$B$17="With A-share",(Database!$AL482&lt;&gt;"")),AND(Screener!$B$17="Without A-share",NOT((Database!$AL482&lt;&gt;"")))),1,0)=0),-999999,IF(Screener!$B$15="cornerstone overlap first",H482*100000,0)+W_SUB*B482+W_SEC*C482*(1-B482)+W_SIZE*D482+W_PROF*E482+W_AH*F482+W_REC*G482+W_CS*H482)+ROW()/1000000</f>
        <v/>
      </c>
      <c r="K482">
        <f>Database!B474</f>
        <v/>
      </c>
      <c r="L482">
        <f>Database!D474</f>
        <v/>
      </c>
      <c r="M482">
        <f>Database!E474</f>
        <v/>
      </c>
      <c r="N482">
        <f>Database!H474</f>
        <v/>
      </c>
      <c r="O482">
        <f>Database!AH474</f>
        <v/>
      </c>
      <c r="P482">
        <f>Database!AK474</f>
        <v/>
      </c>
      <c r="Q482">
        <f>Database!G474</f>
        <v/>
      </c>
    </row>
    <row r="483">
      <c r="A483">
        <f>Database!B483</f>
        <v/>
      </c>
      <c r="B483">
        <f>IF(AND(Screener!$D$9&lt;&gt;"",Database!$E483=Screener!$D$9),1,0)</f>
        <v/>
      </c>
      <c r="C483">
        <f>IF(AND(Screener!$D$8&lt;&gt;"",Database!$D483=Screener!$D$8),1,0)</f>
        <v/>
      </c>
      <c r="D483">
        <f>IF(OR(Database!$H483="",N(Screener!$D$10)&lt;=0),0,MAX(0,1-ABS(LOG10(Database!$H483/Screener!$D$10))/W_SIZEHW))</f>
        <v/>
      </c>
      <c r="E483">
        <f>IF(OR(Database!$AH483="",Screener!$D$11=""),0,IF(Database!$AH483=Screener!$D$11,1,0))</f>
        <v/>
      </c>
      <c r="F483">
        <f>IF(OR(Database!$AK483="",Screener!$D$12=""),0,IF(Database!$AK483=Screener!$D$12,1,0))</f>
        <v/>
      </c>
      <c r="G483">
        <f>IF(OR(Database!$G483="",N(Screener!$D$13)&lt;=0),0,MAX(0,1-(N(Screener!$D$13)-Database!$G483)/W_RECD))</f>
        <v/>
      </c>
      <c r="H483">
        <f>IF($K$1="",0,N(ISNUMBER(SEARCH($K$1,Database!$T483&amp;""))))+IF($L$1="",0,N(ISNUMBER(SEARCH($L$1,Database!$T483&amp;""))))+IF($M$1="",0,N(ISNUMBER(SEARCH($M$1,Database!$T483&amp;""))))+IF($N$1="",0,N(ISNUMBER(SEARCH($N$1,Database!$T483&amp;""))))+IF($O$1="",0,N(ISNUMBER(SEARCH($O$1,Database!$T483&amp;""))))+IF(Screener!$B$14="",0,N(ISNUMBER(SEARCH(Screener!$B$14,Database!$T483&amp;""))))</f>
        <v/>
      </c>
      <c r="I483">
        <f>IF(OR(Database!$B483=Screener!$B$5,IF(OR(Screener!$B$17="All",AND(Screener!$B$17="With A-share",(Database!$AL483&lt;&gt;"")),AND(Screener!$B$17="Without A-share",NOT((Database!$AL483&lt;&gt;"")))),1,0)=0),-999999,IF(Screener!$B$15="cornerstone overlap first",H483*100000,0)+W_SUB*B483+W_SEC*C483*(1-B483)+W_SIZE*D483+W_PROF*E483+W_AH*F483+W_REC*G483+W_CS*H483)+ROW()/1000000</f>
        <v/>
      </c>
      <c r="K483">
        <f>Database!B475</f>
        <v/>
      </c>
      <c r="L483">
        <f>Database!D475</f>
        <v/>
      </c>
      <c r="M483">
        <f>Database!E475</f>
        <v/>
      </c>
      <c r="N483">
        <f>Database!H475</f>
        <v/>
      </c>
      <c r="O483">
        <f>Database!AH475</f>
        <v/>
      </c>
      <c r="P483">
        <f>Database!AK475</f>
        <v/>
      </c>
      <c r="Q483">
        <f>Database!G475</f>
        <v/>
      </c>
    </row>
    <row r="484">
      <c r="A484">
        <f>Database!B484</f>
        <v/>
      </c>
      <c r="B484">
        <f>IF(AND(Screener!$D$9&lt;&gt;"",Database!$E484=Screener!$D$9),1,0)</f>
        <v/>
      </c>
      <c r="C484">
        <f>IF(AND(Screener!$D$8&lt;&gt;"",Database!$D484=Screener!$D$8),1,0)</f>
        <v/>
      </c>
      <c r="D484">
        <f>IF(OR(Database!$H484="",N(Screener!$D$10)&lt;=0),0,MAX(0,1-ABS(LOG10(Database!$H484/Screener!$D$10))/W_SIZEHW))</f>
        <v/>
      </c>
      <c r="E484">
        <f>IF(OR(Database!$AH484="",Screener!$D$11=""),0,IF(Database!$AH484=Screener!$D$11,1,0))</f>
        <v/>
      </c>
      <c r="F484">
        <f>IF(OR(Database!$AK484="",Screener!$D$12=""),0,IF(Database!$AK484=Screener!$D$12,1,0))</f>
        <v/>
      </c>
      <c r="G484">
        <f>IF(OR(Database!$G484="",N(Screener!$D$13)&lt;=0),0,MAX(0,1-(N(Screener!$D$13)-Database!$G484)/W_RECD))</f>
        <v/>
      </c>
      <c r="H484">
        <f>IF($K$1="",0,N(ISNUMBER(SEARCH($K$1,Database!$T484&amp;""))))+IF($L$1="",0,N(ISNUMBER(SEARCH($L$1,Database!$T484&amp;""))))+IF($M$1="",0,N(ISNUMBER(SEARCH($M$1,Database!$T484&amp;""))))+IF($N$1="",0,N(ISNUMBER(SEARCH($N$1,Database!$T484&amp;""))))+IF($O$1="",0,N(ISNUMBER(SEARCH($O$1,Database!$T484&amp;""))))+IF(Screener!$B$14="",0,N(ISNUMBER(SEARCH(Screener!$B$14,Database!$T484&amp;""))))</f>
        <v/>
      </c>
      <c r="I484">
        <f>IF(OR(Database!$B484=Screener!$B$5,IF(OR(Screener!$B$17="All",AND(Screener!$B$17="With A-share",(Database!$AL484&lt;&gt;"")),AND(Screener!$B$17="Without A-share",NOT((Database!$AL484&lt;&gt;"")))),1,0)=0),-999999,IF(Screener!$B$15="cornerstone overlap first",H484*100000,0)+W_SUB*B484+W_SEC*C484*(1-B484)+W_SIZE*D484+W_PROF*E484+W_AH*F484+W_REC*G484+W_CS*H484)+ROW()/1000000</f>
        <v/>
      </c>
      <c r="K484">
        <f>Database!B476</f>
        <v/>
      </c>
      <c r="L484">
        <f>Database!D476</f>
        <v/>
      </c>
      <c r="M484">
        <f>Database!E476</f>
        <v/>
      </c>
      <c r="N484">
        <f>Database!H476</f>
        <v/>
      </c>
      <c r="O484">
        <f>Database!AH476</f>
        <v/>
      </c>
      <c r="P484">
        <f>Database!AK476</f>
        <v/>
      </c>
      <c r="Q484">
        <f>Database!G476</f>
        <v/>
      </c>
    </row>
    <row r="485">
      <c r="A485">
        <f>Database!B485</f>
        <v/>
      </c>
      <c r="B485">
        <f>IF(AND(Screener!$D$9&lt;&gt;"",Database!$E485=Screener!$D$9),1,0)</f>
        <v/>
      </c>
      <c r="C485">
        <f>IF(AND(Screener!$D$8&lt;&gt;"",Database!$D485=Screener!$D$8),1,0)</f>
        <v/>
      </c>
      <c r="D485">
        <f>IF(OR(Database!$H485="",N(Screener!$D$10)&lt;=0),0,MAX(0,1-ABS(LOG10(Database!$H485/Screener!$D$10))/W_SIZEHW))</f>
        <v/>
      </c>
      <c r="E485">
        <f>IF(OR(Database!$AH485="",Screener!$D$11=""),0,IF(Database!$AH485=Screener!$D$11,1,0))</f>
        <v/>
      </c>
      <c r="F485">
        <f>IF(OR(Database!$AK485="",Screener!$D$12=""),0,IF(Database!$AK485=Screener!$D$12,1,0))</f>
        <v/>
      </c>
      <c r="G485">
        <f>IF(OR(Database!$G485="",N(Screener!$D$13)&lt;=0),0,MAX(0,1-(N(Screener!$D$13)-Database!$G485)/W_RECD))</f>
        <v/>
      </c>
      <c r="H485">
        <f>IF($K$1="",0,N(ISNUMBER(SEARCH($K$1,Database!$T485&amp;""))))+IF($L$1="",0,N(ISNUMBER(SEARCH($L$1,Database!$T485&amp;""))))+IF($M$1="",0,N(ISNUMBER(SEARCH($M$1,Database!$T485&amp;""))))+IF($N$1="",0,N(ISNUMBER(SEARCH($N$1,Database!$T485&amp;""))))+IF($O$1="",0,N(ISNUMBER(SEARCH($O$1,Database!$T485&amp;""))))+IF(Screener!$B$14="",0,N(ISNUMBER(SEARCH(Screener!$B$14,Database!$T485&amp;""))))</f>
        <v/>
      </c>
      <c r="I485">
        <f>IF(OR(Database!$B485=Screener!$B$5,IF(OR(Screener!$B$17="All",AND(Screener!$B$17="With A-share",(Database!$AL485&lt;&gt;"")),AND(Screener!$B$17="Without A-share",NOT((Database!$AL485&lt;&gt;"")))),1,0)=0),-999999,IF(Screener!$B$15="cornerstone overlap first",H485*100000,0)+W_SUB*B485+W_SEC*C485*(1-B485)+W_SIZE*D485+W_PROF*E485+W_AH*F485+W_REC*G485+W_CS*H485)+ROW()/1000000</f>
        <v/>
      </c>
      <c r="K485">
        <f>Database!B477</f>
        <v/>
      </c>
      <c r="L485">
        <f>Database!D477</f>
        <v/>
      </c>
      <c r="M485">
        <f>Database!E477</f>
        <v/>
      </c>
      <c r="N485">
        <f>Database!H477</f>
        <v/>
      </c>
      <c r="O485">
        <f>Database!AH477</f>
        <v/>
      </c>
      <c r="P485">
        <f>Database!AK477</f>
        <v/>
      </c>
      <c r="Q485">
        <f>Database!G477</f>
        <v/>
      </c>
    </row>
    <row r="486">
      <c r="A486">
        <f>Database!B486</f>
        <v/>
      </c>
      <c r="B486">
        <f>IF(AND(Screener!$D$9&lt;&gt;"",Database!$E486=Screener!$D$9),1,0)</f>
        <v/>
      </c>
      <c r="C486">
        <f>IF(AND(Screener!$D$8&lt;&gt;"",Database!$D486=Screener!$D$8),1,0)</f>
        <v/>
      </c>
      <c r="D486">
        <f>IF(OR(Database!$H486="",N(Screener!$D$10)&lt;=0),0,MAX(0,1-ABS(LOG10(Database!$H486/Screener!$D$10))/W_SIZEHW))</f>
        <v/>
      </c>
      <c r="E486">
        <f>IF(OR(Database!$AH486="",Screener!$D$11=""),0,IF(Database!$AH486=Screener!$D$11,1,0))</f>
        <v/>
      </c>
      <c r="F486">
        <f>IF(OR(Database!$AK486="",Screener!$D$12=""),0,IF(Database!$AK486=Screener!$D$12,1,0))</f>
        <v/>
      </c>
      <c r="G486">
        <f>IF(OR(Database!$G486="",N(Screener!$D$13)&lt;=0),0,MAX(0,1-(N(Screener!$D$13)-Database!$G486)/W_RECD))</f>
        <v/>
      </c>
      <c r="H486">
        <f>IF($K$1="",0,N(ISNUMBER(SEARCH($K$1,Database!$T486&amp;""))))+IF($L$1="",0,N(ISNUMBER(SEARCH($L$1,Database!$T486&amp;""))))+IF($M$1="",0,N(ISNUMBER(SEARCH($M$1,Database!$T486&amp;""))))+IF($N$1="",0,N(ISNUMBER(SEARCH($N$1,Database!$T486&amp;""))))+IF($O$1="",0,N(ISNUMBER(SEARCH($O$1,Database!$T486&amp;""))))+IF(Screener!$B$14="",0,N(ISNUMBER(SEARCH(Screener!$B$14,Database!$T486&amp;""))))</f>
        <v/>
      </c>
      <c r="I486">
        <f>IF(OR(Database!$B486=Screener!$B$5,IF(OR(Screener!$B$17="All",AND(Screener!$B$17="With A-share",(Database!$AL486&lt;&gt;"")),AND(Screener!$B$17="Without A-share",NOT((Database!$AL486&lt;&gt;"")))),1,0)=0),-999999,IF(Screener!$B$15="cornerstone overlap first",H486*100000,0)+W_SUB*B486+W_SEC*C486*(1-B486)+W_SIZE*D486+W_PROF*E486+W_AH*F486+W_REC*G486+W_CS*H486)+ROW()/1000000</f>
        <v/>
      </c>
      <c r="K486">
        <f>Database!B478</f>
        <v/>
      </c>
      <c r="L486">
        <f>Database!D478</f>
        <v/>
      </c>
      <c r="M486">
        <f>Database!E478</f>
        <v/>
      </c>
      <c r="N486">
        <f>Database!H478</f>
        <v/>
      </c>
      <c r="O486">
        <f>Database!AH478</f>
        <v/>
      </c>
      <c r="P486">
        <f>Database!AK478</f>
        <v/>
      </c>
      <c r="Q486">
        <f>Database!G478</f>
        <v/>
      </c>
    </row>
    <row r="487">
      <c r="A487">
        <f>Database!B487</f>
        <v/>
      </c>
      <c r="B487">
        <f>IF(AND(Screener!$D$9&lt;&gt;"",Database!$E487=Screener!$D$9),1,0)</f>
        <v/>
      </c>
      <c r="C487">
        <f>IF(AND(Screener!$D$8&lt;&gt;"",Database!$D487=Screener!$D$8),1,0)</f>
        <v/>
      </c>
      <c r="D487">
        <f>IF(OR(Database!$H487="",N(Screener!$D$10)&lt;=0),0,MAX(0,1-ABS(LOG10(Database!$H487/Screener!$D$10))/W_SIZEHW))</f>
        <v/>
      </c>
      <c r="E487">
        <f>IF(OR(Database!$AH487="",Screener!$D$11=""),0,IF(Database!$AH487=Screener!$D$11,1,0))</f>
        <v/>
      </c>
      <c r="F487">
        <f>IF(OR(Database!$AK487="",Screener!$D$12=""),0,IF(Database!$AK487=Screener!$D$12,1,0))</f>
        <v/>
      </c>
      <c r="G487">
        <f>IF(OR(Database!$G487="",N(Screener!$D$13)&lt;=0),0,MAX(0,1-(N(Screener!$D$13)-Database!$G487)/W_RECD))</f>
        <v/>
      </c>
      <c r="H487">
        <f>IF($K$1="",0,N(ISNUMBER(SEARCH($K$1,Database!$T487&amp;""))))+IF($L$1="",0,N(ISNUMBER(SEARCH($L$1,Database!$T487&amp;""))))+IF($M$1="",0,N(ISNUMBER(SEARCH($M$1,Database!$T487&amp;""))))+IF($N$1="",0,N(ISNUMBER(SEARCH($N$1,Database!$T487&amp;""))))+IF($O$1="",0,N(ISNUMBER(SEARCH($O$1,Database!$T487&amp;""))))+IF(Screener!$B$14="",0,N(ISNUMBER(SEARCH(Screener!$B$14,Database!$T487&amp;""))))</f>
        <v/>
      </c>
      <c r="I487">
        <f>IF(OR(Database!$B487=Screener!$B$5,IF(OR(Screener!$B$17="All",AND(Screener!$B$17="With A-share",(Database!$AL487&lt;&gt;"")),AND(Screener!$B$17="Without A-share",NOT((Database!$AL487&lt;&gt;"")))),1,0)=0),-999999,IF(Screener!$B$15="cornerstone overlap first",H487*100000,0)+W_SUB*B487+W_SEC*C487*(1-B487)+W_SIZE*D487+W_PROF*E487+W_AH*F487+W_REC*G487+W_CS*H487)+ROW()/1000000</f>
        <v/>
      </c>
      <c r="K487">
        <f>Database!B479</f>
        <v/>
      </c>
      <c r="L487">
        <f>Database!D479</f>
        <v/>
      </c>
      <c r="M487">
        <f>Database!E479</f>
        <v/>
      </c>
      <c r="N487">
        <f>Database!H479</f>
        <v/>
      </c>
      <c r="O487">
        <f>Database!AH479</f>
        <v/>
      </c>
      <c r="P487">
        <f>Database!AK479</f>
        <v/>
      </c>
      <c r="Q487">
        <f>Database!G479</f>
        <v/>
      </c>
    </row>
    <row r="488">
      <c r="A488">
        <f>Database!B488</f>
        <v/>
      </c>
      <c r="B488">
        <f>IF(AND(Screener!$D$9&lt;&gt;"",Database!$E488=Screener!$D$9),1,0)</f>
        <v/>
      </c>
      <c r="C488">
        <f>IF(AND(Screener!$D$8&lt;&gt;"",Database!$D488=Screener!$D$8),1,0)</f>
        <v/>
      </c>
      <c r="D488">
        <f>IF(OR(Database!$H488="",N(Screener!$D$10)&lt;=0),0,MAX(0,1-ABS(LOG10(Database!$H488/Screener!$D$10))/W_SIZEHW))</f>
        <v/>
      </c>
      <c r="E488">
        <f>IF(OR(Database!$AH488="",Screener!$D$11=""),0,IF(Database!$AH488=Screener!$D$11,1,0))</f>
        <v/>
      </c>
      <c r="F488">
        <f>IF(OR(Database!$AK488="",Screener!$D$12=""),0,IF(Database!$AK488=Screener!$D$12,1,0))</f>
        <v/>
      </c>
      <c r="G488">
        <f>IF(OR(Database!$G488="",N(Screener!$D$13)&lt;=0),0,MAX(0,1-(N(Screener!$D$13)-Database!$G488)/W_RECD))</f>
        <v/>
      </c>
      <c r="H488">
        <f>IF($K$1="",0,N(ISNUMBER(SEARCH($K$1,Database!$T488&amp;""))))+IF($L$1="",0,N(ISNUMBER(SEARCH($L$1,Database!$T488&amp;""))))+IF($M$1="",0,N(ISNUMBER(SEARCH($M$1,Database!$T488&amp;""))))+IF($N$1="",0,N(ISNUMBER(SEARCH($N$1,Database!$T488&amp;""))))+IF($O$1="",0,N(ISNUMBER(SEARCH($O$1,Database!$T488&amp;""))))+IF(Screener!$B$14="",0,N(ISNUMBER(SEARCH(Screener!$B$14,Database!$T488&amp;""))))</f>
        <v/>
      </c>
      <c r="I488">
        <f>IF(OR(Database!$B488=Screener!$B$5,IF(OR(Screener!$B$17="All",AND(Screener!$B$17="With A-share",(Database!$AL488&lt;&gt;"")),AND(Screener!$B$17="Without A-share",NOT((Database!$AL488&lt;&gt;"")))),1,0)=0),-999999,IF(Screener!$B$15="cornerstone overlap first",H488*100000,0)+W_SUB*B488+W_SEC*C488*(1-B488)+W_SIZE*D488+W_PROF*E488+W_AH*F488+W_REC*G488+W_CS*H488)+ROW()/1000000</f>
        <v/>
      </c>
      <c r="K488">
        <f>Database!B480</f>
        <v/>
      </c>
      <c r="L488">
        <f>Database!D480</f>
        <v/>
      </c>
      <c r="M488">
        <f>Database!E480</f>
        <v/>
      </c>
      <c r="N488">
        <f>Database!H480</f>
        <v/>
      </c>
      <c r="O488">
        <f>Database!AH480</f>
        <v/>
      </c>
      <c r="P488">
        <f>Database!AK480</f>
        <v/>
      </c>
      <c r="Q488">
        <f>Database!G480</f>
        <v/>
      </c>
    </row>
    <row r="489">
      <c r="A489">
        <f>Database!B489</f>
        <v/>
      </c>
      <c r="B489">
        <f>IF(AND(Screener!$D$9&lt;&gt;"",Database!$E489=Screener!$D$9),1,0)</f>
        <v/>
      </c>
      <c r="C489">
        <f>IF(AND(Screener!$D$8&lt;&gt;"",Database!$D489=Screener!$D$8),1,0)</f>
        <v/>
      </c>
      <c r="D489">
        <f>IF(OR(Database!$H489="",N(Screener!$D$10)&lt;=0),0,MAX(0,1-ABS(LOG10(Database!$H489/Screener!$D$10))/W_SIZEHW))</f>
        <v/>
      </c>
      <c r="E489">
        <f>IF(OR(Database!$AH489="",Screener!$D$11=""),0,IF(Database!$AH489=Screener!$D$11,1,0))</f>
        <v/>
      </c>
      <c r="F489">
        <f>IF(OR(Database!$AK489="",Screener!$D$12=""),0,IF(Database!$AK489=Screener!$D$12,1,0))</f>
        <v/>
      </c>
      <c r="G489">
        <f>IF(OR(Database!$G489="",N(Screener!$D$13)&lt;=0),0,MAX(0,1-(N(Screener!$D$13)-Database!$G489)/W_RECD))</f>
        <v/>
      </c>
      <c r="H489">
        <f>IF($K$1="",0,N(ISNUMBER(SEARCH($K$1,Database!$T489&amp;""))))+IF($L$1="",0,N(ISNUMBER(SEARCH($L$1,Database!$T489&amp;""))))+IF($M$1="",0,N(ISNUMBER(SEARCH($M$1,Database!$T489&amp;""))))+IF($N$1="",0,N(ISNUMBER(SEARCH($N$1,Database!$T489&amp;""))))+IF($O$1="",0,N(ISNUMBER(SEARCH($O$1,Database!$T489&amp;""))))+IF(Screener!$B$14="",0,N(ISNUMBER(SEARCH(Screener!$B$14,Database!$T489&amp;""))))</f>
        <v/>
      </c>
      <c r="I489">
        <f>IF(OR(Database!$B489=Screener!$B$5,IF(OR(Screener!$B$17="All",AND(Screener!$B$17="With A-share",(Database!$AL489&lt;&gt;"")),AND(Screener!$B$17="Without A-share",NOT((Database!$AL489&lt;&gt;"")))),1,0)=0),-999999,IF(Screener!$B$15="cornerstone overlap first",H489*100000,0)+W_SUB*B489+W_SEC*C489*(1-B489)+W_SIZE*D489+W_PROF*E489+W_AH*F489+W_REC*G489+W_CS*H489)+ROW()/1000000</f>
        <v/>
      </c>
      <c r="K489">
        <f>Database!B481</f>
        <v/>
      </c>
      <c r="L489">
        <f>Database!D481</f>
        <v/>
      </c>
      <c r="M489">
        <f>Database!E481</f>
        <v/>
      </c>
      <c r="N489">
        <f>Database!H481</f>
        <v/>
      </c>
      <c r="O489">
        <f>Database!AH481</f>
        <v/>
      </c>
      <c r="P489">
        <f>Database!AK481</f>
        <v/>
      </c>
      <c r="Q489">
        <f>Database!G481</f>
        <v/>
      </c>
    </row>
    <row r="490">
      <c r="A490">
        <f>Database!B490</f>
        <v/>
      </c>
      <c r="B490">
        <f>IF(AND(Screener!$D$9&lt;&gt;"",Database!$E490=Screener!$D$9),1,0)</f>
        <v/>
      </c>
      <c r="C490">
        <f>IF(AND(Screener!$D$8&lt;&gt;"",Database!$D490=Screener!$D$8),1,0)</f>
        <v/>
      </c>
      <c r="D490">
        <f>IF(OR(Database!$H490="",N(Screener!$D$10)&lt;=0),0,MAX(0,1-ABS(LOG10(Database!$H490/Screener!$D$10))/W_SIZEHW))</f>
        <v/>
      </c>
      <c r="E490">
        <f>IF(OR(Database!$AH490="",Screener!$D$11=""),0,IF(Database!$AH490=Screener!$D$11,1,0))</f>
        <v/>
      </c>
      <c r="F490">
        <f>IF(OR(Database!$AK490="",Screener!$D$12=""),0,IF(Database!$AK490=Screener!$D$12,1,0))</f>
        <v/>
      </c>
      <c r="G490">
        <f>IF(OR(Database!$G490="",N(Screener!$D$13)&lt;=0),0,MAX(0,1-(N(Screener!$D$13)-Database!$G490)/W_RECD))</f>
        <v/>
      </c>
      <c r="H490">
        <f>IF($K$1="",0,N(ISNUMBER(SEARCH($K$1,Database!$T490&amp;""))))+IF($L$1="",0,N(ISNUMBER(SEARCH($L$1,Database!$T490&amp;""))))+IF($M$1="",0,N(ISNUMBER(SEARCH($M$1,Database!$T490&amp;""))))+IF($N$1="",0,N(ISNUMBER(SEARCH($N$1,Database!$T490&amp;""))))+IF($O$1="",0,N(ISNUMBER(SEARCH($O$1,Database!$T490&amp;""))))+IF(Screener!$B$14="",0,N(ISNUMBER(SEARCH(Screener!$B$14,Database!$T490&amp;""))))</f>
        <v/>
      </c>
      <c r="I490">
        <f>IF(OR(Database!$B490=Screener!$B$5,IF(OR(Screener!$B$17="All",AND(Screener!$B$17="With A-share",(Database!$AL490&lt;&gt;"")),AND(Screener!$B$17="Without A-share",NOT((Database!$AL490&lt;&gt;"")))),1,0)=0),-999999,IF(Screener!$B$15="cornerstone overlap first",H490*100000,0)+W_SUB*B490+W_SEC*C490*(1-B490)+W_SIZE*D490+W_PROF*E490+W_AH*F490+W_REC*G490+W_CS*H490)+ROW()/1000000</f>
        <v/>
      </c>
      <c r="K490">
        <f>Database!B482</f>
        <v/>
      </c>
      <c r="L490">
        <f>Database!D482</f>
        <v/>
      </c>
      <c r="M490">
        <f>Database!E482</f>
        <v/>
      </c>
      <c r="N490">
        <f>Database!H482</f>
        <v/>
      </c>
      <c r="O490">
        <f>Database!AH482</f>
        <v/>
      </c>
      <c r="P490">
        <f>Database!AK482</f>
        <v/>
      </c>
      <c r="Q490">
        <f>Database!G482</f>
        <v/>
      </c>
    </row>
    <row r="491">
      <c r="A491">
        <f>Database!B491</f>
        <v/>
      </c>
      <c r="B491">
        <f>IF(AND(Screener!$D$9&lt;&gt;"",Database!$E491=Screener!$D$9),1,0)</f>
        <v/>
      </c>
      <c r="C491">
        <f>IF(AND(Screener!$D$8&lt;&gt;"",Database!$D491=Screener!$D$8),1,0)</f>
        <v/>
      </c>
      <c r="D491">
        <f>IF(OR(Database!$H491="",N(Screener!$D$10)&lt;=0),0,MAX(0,1-ABS(LOG10(Database!$H491/Screener!$D$10))/W_SIZEHW))</f>
        <v/>
      </c>
      <c r="E491">
        <f>IF(OR(Database!$AH491="",Screener!$D$11=""),0,IF(Database!$AH491=Screener!$D$11,1,0))</f>
        <v/>
      </c>
      <c r="F491">
        <f>IF(OR(Database!$AK491="",Screener!$D$12=""),0,IF(Database!$AK491=Screener!$D$12,1,0))</f>
        <v/>
      </c>
      <c r="G491">
        <f>IF(OR(Database!$G491="",N(Screener!$D$13)&lt;=0),0,MAX(0,1-(N(Screener!$D$13)-Database!$G491)/W_RECD))</f>
        <v/>
      </c>
      <c r="H491">
        <f>IF($K$1="",0,N(ISNUMBER(SEARCH($K$1,Database!$T491&amp;""))))+IF($L$1="",0,N(ISNUMBER(SEARCH($L$1,Database!$T491&amp;""))))+IF($M$1="",0,N(ISNUMBER(SEARCH($M$1,Database!$T491&amp;""))))+IF($N$1="",0,N(ISNUMBER(SEARCH($N$1,Database!$T491&amp;""))))+IF($O$1="",0,N(ISNUMBER(SEARCH($O$1,Database!$T491&amp;""))))+IF(Screener!$B$14="",0,N(ISNUMBER(SEARCH(Screener!$B$14,Database!$T491&amp;""))))</f>
        <v/>
      </c>
      <c r="I491">
        <f>IF(OR(Database!$B491=Screener!$B$5,IF(OR(Screener!$B$17="All",AND(Screener!$B$17="With A-share",(Database!$AL491&lt;&gt;"")),AND(Screener!$B$17="Without A-share",NOT((Database!$AL491&lt;&gt;"")))),1,0)=0),-999999,IF(Screener!$B$15="cornerstone overlap first",H491*100000,0)+W_SUB*B491+W_SEC*C491*(1-B491)+W_SIZE*D491+W_PROF*E491+W_AH*F491+W_REC*G491+W_CS*H491)+ROW()/1000000</f>
        <v/>
      </c>
      <c r="K491">
        <f>Database!B483</f>
        <v/>
      </c>
      <c r="L491">
        <f>Database!D483</f>
        <v/>
      </c>
      <c r="M491">
        <f>Database!E483</f>
        <v/>
      </c>
      <c r="N491">
        <f>Database!H483</f>
        <v/>
      </c>
      <c r="O491">
        <f>Database!AH483</f>
        <v/>
      </c>
      <c r="P491">
        <f>Database!AK483</f>
        <v/>
      </c>
      <c r="Q491">
        <f>Database!G483</f>
        <v/>
      </c>
    </row>
    <row r="492">
      <c r="A492">
        <f>Database!B492</f>
        <v/>
      </c>
      <c r="B492">
        <f>IF(AND(Screener!$D$9&lt;&gt;"",Database!$E492=Screener!$D$9),1,0)</f>
        <v/>
      </c>
      <c r="C492">
        <f>IF(AND(Screener!$D$8&lt;&gt;"",Database!$D492=Screener!$D$8),1,0)</f>
        <v/>
      </c>
      <c r="D492">
        <f>IF(OR(Database!$H492="",N(Screener!$D$10)&lt;=0),0,MAX(0,1-ABS(LOG10(Database!$H492/Screener!$D$10))/W_SIZEHW))</f>
        <v/>
      </c>
      <c r="E492">
        <f>IF(OR(Database!$AH492="",Screener!$D$11=""),0,IF(Database!$AH492=Screener!$D$11,1,0))</f>
        <v/>
      </c>
      <c r="F492">
        <f>IF(OR(Database!$AK492="",Screener!$D$12=""),0,IF(Database!$AK492=Screener!$D$12,1,0))</f>
        <v/>
      </c>
      <c r="G492">
        <f>IF(OR(Database!$G492="",N(Screener!$D$13)&lt;=0),0,MAX(0,1-(N(Screener!$D$13)-Database!$G492)/W_RECD))</f>
        <v/>
      </c>
      <c r="H492">
        <f>IF($K$1="",0,N(ISNUMBER(SEARCH($K$1,Database!$T492&amp;""))))+IF($L$1="",0,N(ISNUMBER(SEARCH($L$1,Database!$T492&amp;""))))+IF($M$1="",0,N(ISNUMBER(SEARCH($M$1,Database!$T492&amp;""))))+IF($N$1="",0,N(ISNUMBER(SEARCH($N$1,Database!$T492&amp;""))))+IF($O$1="",0,N(ISNUMBER(SEARCH($O$1,Database!$T492&amp;""))))+IF(Screener!$B$14="",0,N(ISNUMBER(SEARCH(Screener!$B$14,Database!$T492&amp;""))))</f>
        <v/>
      </c>
      <c r="I492">
        <f>IF(OR(Database!$B492=Screener!$B$5,IF(OR(Screener!$B$17="All",AND(Screener!$B$17="With A-share",(Database!$AL492&lt;&gt;"")),AND(Screener!$B$17="Without A-share",NOT((Database!$AL492&lt;&gt;"")))),1,0)=0),-999999,IF(Screener!$B$15="cornerstone overlap first",H492*100000,0)+W_SUB*B492+W_SEC*C492*(1-B492)+W_SIZE*D492+W_PROF*E492+W_AH*F492+W_REC*G492+W_CS*H492)+ROW()/1000000</f>
        <v/>
      </c>
      <c r="K492">
        <f>Database!B484</f>
        <v/>
      </c>
      <c r="L492">
        <f>Database!D484</f>
        <v/>
      </c>
      <c r="M492">
        <f>Database!E484</f>
        <v/>
      </c>
      <c r="N492">
        <f>Database!H484</f>
        <v/>
      </c>
      <c r="O492">
        <f>Database!AH484</f>
        <v/>
      </c>
      <c r="P492">
        <f>Database!AK484</f>
        <v/>
      </c>
      <c r="Q492">
        <f>Database!G484</f>
        <v/>
      </c>
    </row>
    <row r="493">
      <c r="A493">
        <f>Database!B493</f>
        <v/>
      </c>
      <c r="B493">
        <f>IF(AND(Screener!$D$9&lt;&gt;"",Database!$E493=Screener!$D$9),1,0)</f>
        <v/>
      </c>
      <c r="C493">
        <f>IF(AND(Screener!$D$8&lt;&gt;"",Database!$D493=Screener!$D$8),1,0)</f>
        <v/>
      </c>
      <c r="D493">
        <f>IF(OR(Database!$H493="",N(Screener!$D$10)&lt;=0),0,MAX(0,1-ABS(LOG10(Database!$H493/Screener!$D$10))/W_SIZEHW))</f>
        <v/>
      </c>
      <c r="E493">
        <f>IF(OR(Database!$AH493="",Screener!$D$11=""),0,IF(Database!$AH493=Screener!$D$11,1,0))</f>
        <v/>
      </c>
      <c r="F493">
        <f>IF(OR(Database!$AK493="",Screener!$D$12=""),0,IF(Database!$AK493=Screener!$D$12,1,0))</f>
        <v/>
      </c>
      <c r="G493">
        <f>IF(OR(Database!$G493="",N(Screener!$D$13)&lt;=0),0,MAX(0,1-(N(Screener!$D$13)-Database!$G493)/W_RECD))</f>
        <v/>
      </c>
      <c r="H493">
        <f>IF($K$1="",0,N(ISNUMBER(SEARCH($K$1,Database!$T493&amp;""))))+IF($L$1="",0,N(ISNUMBER(SEARCH($L$1,Database!$T493&amp;""))))+IF($M$1="",0,N(ISNUMBER(SEARCH($M$1,Database!$T493&amp;""))))+IF($N$1="",0,N(ISNUMBER(SEARCH($N$1,Database!$T493&amp;""))))+IF($O$1="",0,N(ISNUMBER(SEARCH($O$1,Database!$T493&amp;""))))+IF(Screener!$B$14="",0,N(ISNUMBER(SEARCH(Screener!$B$14,Database!$T493&amp;""))))</f>
        <v/>
      </c>
      <c r="I493">
        <f>IF(OR(Database!$B493=Screener!$B$5,IF(OR(Screener!$B$17="All",AND(Screener!$B$17="With A-share",(Database!$AL493&lt;&gt;"")),AND(Screener!$B$17="Without A-share",NOT((Database!$AL493&lt;&gt;"")))),1,0)=0),-999999,IF(Screener!$B$15="cornerstone overlap first",H493*100000,0)+W_SUB*B493+W_SEC*C493*(1-B493)+W_SIZE*D493+W_PROF*E493+W_AH*F493+W_REC*G493+W_CS*H493)+ROW()/1000000</f>
        <v/>
      </c>
      <c r="K493">
        <f>Database!B485</f>
        <v/>
      </c>
      <c r="L493">
        <f>Database!D485</f>
        <v/>
      </c>
      <c r="M493">
        <f>Database!E485</f>
        <v/>
      </c>
      <c r="N493">
        <f>Database!H485</f>
        <v/>
      </c>
      <c r="O493">
        <f>Database!AH485</f>
        <v/>
      </c>
      <c r="P493">
        <f>Database!AK485</f>
        <v/>
      </c>
      <c r="Q493">
        <f>Database!G485</f>
        <v/>
      </c>
    </row>
    <row r="494">
      <c r="A494">
        <f>Database!B494</f>
        <v/>
      </c>
      <c r="B494">
        <f>IF(AND(Screener!$D$9&lt;&gt;"",Database!$E494=Screener!$D$9),1,0)</f>
        <v/>
      </c>
      <c r="C494">
        <f>IF(AND(Screener!$D$8&lt;&gt;"",Database!$D494=Screener!$D$8),1,0)</f>
        <v/>
      </c>
      <c r="D494">
        <f>IF(OR(Database!$H494="",N(Screener!$D$10)&lt;=0),0,MAX(0,1-ABS(LOG10(Database!$H494/Screener!$D$10))/W_SIZEHW))</f>
        <v/>
      </c>
      <c r="E494">
        <f>IF(OR(Database!$AH494="",Screener!$D$11=""),0,IF(Database!$AH494=Screener!$D$11,1,0))</f>
        <v/>
      </c>
      <c r="F494">
        <f>IF(OR(Database!$AK494="",Screener!$D$12=""),0,IF(Database!$AK494=Screener!$D$12,1,0))</f>
        <v/>
      </c>
      <c r="G494">
        <f>IF(OR(Database!$G494="",N(Screener!$D$13)&lt;=0),0,MAX(0,1-(N(Screener!$D$13)-Database!$G494)/W_RECD))</f>
        <v/>
      </c>
      <c r="H494">
        <f>IF($K$1="",0,N(ISNUMBER(SEARCH($K$1,Database!$T494&amp;""))))+IF($L$1="",0,N(ISNUMBER(SEARCH($L$1,Database!$T494&amp;""))))+IF($M$1="",0,N(ISNUMBER(SEARCH($M$1,Database!$T494&amp;""))))+IF($N$1="",0,N(ISNUMBER(SEARCH($N$1,Database!$T494&amp;""))))+IF($O$1="",0,N(ISNUMBER(SEARCH($O$1,Database!$T494&amp;""))))+IF(Screener!$B$14="",0,N(ISNUMBER(SEARCH(Screener!$B$14,Database!$T494&amp;""))))</f>
        <v/>
      </c>
      <c r="I494">
        <f>IF(OR(Database!$B494=Screener!$B$5,IF(OR(Screener!$B$17="All",AND(Screener!$B$17="With A-share",(Database!$AL494&lt;&gt;"")),AND(Screener!$B$17="Without A-share",NOT((Database!$AL494&lt;&gt;"")))),1,0)=0),-999999,IF(Screener!$B$15="cornerstone overlap first",H494*100000,0)+W_SUB*B494+W_SEC*C494*(1-B494)+W_SIZE*D494+W_PROF*E494+W_AH*F494+W_REC*G494+W_CS*H494)+ROW()/1000000</f>
        <v/>
      </c>
      <c r="K494">
        <f>Database!B486</f>
        <v/>
      </c>
      <c r="L494">
        <f>Database!D486</f>
        <v/>
      </c>
      <c r="M494">
        <f>Database!E486</f>
        <v/>
      </c>
      <c r="N494">
        <f>Database!H486</f>
        <v/>
      </c>
      <c r="O494">
        <f>Database!AH486</f>
        <v/>
      </c>
      <c r="P494">
        <f>Database!AK486</f>
        <v/>
      </c>
      <c r="Q494">
        <f>Database!G486</f>
        <v/>
      </c>
    </row>
    <row r="495">
      <c r="A495">
        <f>Database!B495</f>
        <v/>
      </c>
      <c r="B495">
        <f>IF(AND(Screener!$D$9&lt;&gt;"",Database!$E495=Screener!$D$9),1,0)</f>
        <v/>
      </c>
      <c r="C495">
        <f>IF(AND(Screener!$D$8&lt;&gt;"",Database!$D495=Screener!$D$8),1,0)</f>
        <v/>
      </c>
      <c r="D495">
        <f>IF(OR(Database!$H495="",N(Screener!$D$10)&lt;=0),0,MAX(0,1-ABS(LOG10(Database!$H495/Screener!$D$10))/W_SIZEHW))</f>
        <v/>
      </c>
      <c r="E495">
        <f>IF(OR(Database!$AH495="",Screener!$D$11=""),0,IF(Database!$AH495=Screener!$D$11,1,0))</f>
        <v/>
      </c>
      <c r="F495">
        <f>IF(OR(Database!$AK495="",Screener!$D$12=""),0,IF(Database!$AK495=Screener!$D$12,1,0))</f>
        <v/>
      </c>
      <c r="G495">
        <f>IF(OR(Database!$G495="",N(Screener!$D$13)&lt;=0),0,MAX(0,1-(N(Screener!$D$13)-Database!$G495)/W_RECD))</f>
        <v/>
      </c>
      <c r="H495">
        <f>IF($K$1="",0,N(ISNUMBER(SEARCH($K$1,Database!$T495&amp;""))))+IF($L$1="",0,N(ISNUMBER(SEARCH($L$1,Database!$T495&amp;""))))+IF($M$1="",0,N(ISNUMBER(SEARCH($M$1,Database!$T495&amp;""))))+IF($N$1="",0,N(ISNUMBER(SEARCH($N$1,Database!$T495&amp;""))))+IF($O$1="",0,N(ISNUMBER(SEARCH($O$1,Database!$T495&amp;""))))+IF(Screener!$B$14="",0,N(ISNUMBER(SEARCH(Screener!$B$14,Database!$T495&amp;""))))</f>
        <v/>
      </c>
      <c r="I495">
        <f>IF(OR(Database!$B495=Screener!$B$5,IF(OR(Screener!$B$17="All",AND(Screener!$B$17="With A-share",(Database!$AL495&lt;&gt;"")),AND(Screener!$B$17="Without A-share",NOT((Database!$AL495&lt;&gt;"")))),1,0)=0),-999999,IF(Screener!$B$15="cornerstone overlap first",H495*100000,0)+W_SUB*B495+W_SEC*C495*(1-B495)+W_SIZE*D495+W_PROF*E495+W_AH*F495+W_REC*G495+W_CS*H495)+ROW()/1000000</f>
        <v/>
      </c>
      <c r="K495">
        <f>Database!B487</f>
        <v/>
      </c>
      <c r="L495">
        <f>Database!D487</f>
        <v/>
      </c>
      <c r="M495">
        <f>Database!E487</f>
        <v/>
      </c>
      <c r="N495">
        <f>Database!H487</f>
        <v/>
      </c>
      <c r="O495">
        <f>Database!AH487</f>
        <v/>
      </c>
      <c r="P495">
        <f>Database!AK487</f>
        <v/>
      </c>
      <c r="Q495">
        <f>Database!G487</f>
        <v/>
      </c>
    </row>
    <row r="496">
      <c r="A496">
        <f>Database!B496</f>
        <v/>
      </c>
      <c r="B496">
        <f>IF(AND(Screener!$D$9&lt;&gt;"",Database!$E496=Screener!$D$9),1,0)</f>
        <v/>
      </c>
      <c r="C496">
        <f>IF(AND(Screener!$D$8&lt;&gt;"",Database!$D496=Screener!$D$8),1,0)</f>
        <v/>
      </c>
      <c r="D496">
        <f>IF(OR(Database!$H496="",N(Screener!$D$10)&lt;=0),0,MAX(0,1-ABS(LOG10(Database!$H496/Screener!$D$10))/W_SIZEHW))</f>
        <v/>
      </c>
      <c r="E496">
        <f>IF(OR(Database!$AH496="",Screener!$D$11=""),0,IF(Database!$AH496=Screener!$D$11,1,0))</f>
        <v/>
      </c>
      <c r="F496">
        <f>IF(OR(Database!$AK496="",Screener!$D$12=""),0,IF(Database!$AK496=Screener!$D$12,1,0))</f>
        <v/>
      </c>
      <c r="G496">
        <f>IF(OR(Database!$G496="",N(Screener!$D$13)&lt;=0),0,MAX(0,1-(N(Screener!$D$13)-Database!$G496)/W_RECD))</f>
        <v/>
      </c>
      <c r="H496">
        <f>IF($K$1="",0,N(ISNUMBER(SEARCH($K$1,Database!$T496&amp;""))))+IF($L$1="",0,N(ISNUMBER(SEARCH($L$1,Database!$T496&amp;""))))+IF($M$1="",0,N(ISNUMBER(SEARCH($M$1,Database!$T496&amp;""))))+IF($N$1="",0,N(ISNUMBER(SEARCH($N$1,Database!$T496&amp;""))))+IF($O$1="",0,N(ISNUMBER(SEARCH($O$1,Database!$T496&amp;""))))+IF(Screener!$B$14="",0,N(ISNUMBER(SEARCH(Screener!$B$14,Database!$T496&amp;""))))</f>
        <v/>
      </c>
      <c r="I496">
        <f>IF(OR(Database!$B496=Screener!$B$5,IF(OR(Screener!$B$17="All",AND(Screener!$B$17="With A-share",(Database!$AL496&lt;&gt;"")),AND(Screener!$B$17="Without A-share",NOT((Database!$AL496&lt;&gt;"")))),1,0)=0),-999999,IF(Screener!$B$15="cornerstone overlap first",H496*100000,0)+W_SUB*B496+W_SEC*C496*(1-B496)+W_SIZE*D496+W_PROF*E496+W_AH*F496+W_REC*G496+W_CS*H496)+ROW()/1000000</f>
        <v/>
      </c>
      <c r="K496">
        <f>Database!B488</f>
        <v/>
      </c>
      <c r="L496">
        <f>Database!D488</f>
        <v/>
      </c>
      <c r="M496">
        <f>Database!E488</f>
        <v/>
      </c>
      <c r="N496">
        <f>Database!H488</f>
        <v/>
      </c>
      <c r="O496">
        <f>Database!AH488</f>
        <v/>
      </c>
      <c r="P496">
        <f>Database!AK488</f>
        <v/>
      </c>
      <c r="Q496">
        <f>Database!G488</f>
        <v/>
      </c>
    </row>
    <row r="497">
      <c r="A497">
        <f>Database!B497</f>
        <v/>
      </c>
      <c r="B497">
        <f>IF(AND(Screener!$D$9&lt;&gt;"",Database!$E497=Screener!$D$9),1,0)</f>
        <v/>
      </c>
      <c r="C497">
        <f>IF(AND(Screener!$D$8&lt;&gt;"",Database!$D497=Screener!$D$8),1,0)</f>
        <v/>
      </c>
      <c r="D497">
        <f>IF(OR(Database!$H497="",N(Screener!$D$10)&lt;=0),0,MAX(0,1-ABS(LOG10(Database!$H497/Screener!$D$10))/W_SIZEHW))</f>
        <v/>
      </c>
      <c r="E497">
        <f>IF(OR(Database!$AH497="",Screener!$D$11=""),0,IF(Database!$AH497=Screener!$D$11,1,0))</f>
        <v/>
      </c>
      <c r="F497">
        <f>IF(OR(Database!$AK497="",Screener!$D$12=""),0,IF(Database!$AK497=Screener!$D$12,1,0))</f>
        <v/>
      </c>
      <c r="G497">
        <f>IF(OR(Database!$G497="",N(Screener!$D$13)&lt;=0),0,MAX(0,1-(N(Screener!$D$13)-Database!$G497)/W_RECD))</f>
        <v/>
      </c>
      <c r="H497">
        <f>IF($K$1="",0,N(ISNUMBER(SEARCH($K$1,Database!$T497&amp;""))))+IF($L$1="",0,N(ISNUMBER(SEARCH($L$1,Database!$T497&amp;""))))+IF($M$1="",0,N(ISNUMBER(SEARCH($M$1,Database!$T497&amp;""))))+IF($N$1="",0,N(ISNUMBER(SEARCH($N$1,Database!$T497&amp;""))))+IF($O$1="",0,N(ISNUMBER(SEARCH($O$1,Database!$T497&amp;""))))+IF(Screener!$B$14="",0,N(ISNUMBER(SEARCH(Screener!$B$14,Database!$T497&amp;""))))</f>
        <v/>
      </c>
      <c r="I497">
        <f>IF(OR(Database!$B497=Screener!$B$5,IF(OR(Screener!$B$17="All",AND(Screener!$B$17="With A-share",(Database!$AL497&lt;&gt;"")),AND(Screener!$B$17="Without A-share",NOT((Database!$AL497&lt;&gt;"")))),1,0)=0),-999999,IF(Screener!$B$15="cornerstone overlap first",H497*100000,0)+W_SUB*B497+W_SEC*C497*(1-B497)+W_SIZE*D497+W_PROF*E497+W_AH*F497+W_REC*G497+W_CS*H497)+ROW()/1000000</f>
        <v/>
      </c>
      <c r="K497">
        <f>Database!B489</f>
        <v/>
      </c>
      <c r="L497">
        <f>Database!D489</f>
        <v/>
      </c>
      <c r="M497">
        <f>Database!E489</f>
        <v/>
      </c>
      <c r="N497">
        <f>Database!H489</f>
        <v/>
      </c>
      <c r="O497">
        <f>Database!AH489</f>
        <v/>
      </c>
      <c r="P497">
        <f>Database!AK489</f>
        <v/>
      </c>
      <c r="Q497">
        <f>Database!G489</f>
        <v/>
      </c>
    </row>
    <row r="498">
      <c r="A498">
        <f>Database!B498</f>
        <v/>
      </c>
      <c r="B498">
        <f>IF(AND(Screener!$D$9&lt;&gt;"",Database!$E498=Screener!$D$9),1,0)</f>
        <v/>
      </c>
      <c r="C498">
        <f>IF(AND(Screener!$D$8&lt;&gt;"",Database!$D498=Screener!$D$8),1,0)</f>
        <v/>
      </c>
      <c r="D498">
        <f>IF(OR(Database!$H498="",N(Screener!$D$10)&lt;=0),0,MAX(0,1-ABS(LOG10(Database!$H498/Screener!$D$10))/W_SIZEHW))</f>
        <v/>
      </c>
      <c r="E498">
        <f>IF(OR(Database!$AH498="",Screener!$D$11=""),0,IF(Database!$AH498=Screener!$D$11,1,0))</f>
        <v/>
      </c>
      <c r="F498">
        <f>IF(OR(Database!$AK498="",Screener!$D$12=""),0,IF(Database!$AK498=Screener!$D$12,1,0))</f>
        <v/>
      </c>
      <c r="G498">
        <f>IF(OR(Database!$G498="",N(Screener!$D$13)&lt;=0),0,MAX(0,1-(N(Screener!$D$13)-Database!$G498)/W_RECD))</f>
        <v/>
      </c>
      <c r="H498">
        <f>IF($K$1="",0,N(ISNUMBER(SEARCH($K$1,Database!$T498&amp;""))))+IF($L$1="",0,N(ISNUMBER(SEARCH($L$1,Database!$T498&amp;""))))+IF($M$1="",0,N(ISNUMBER(SEARCH($M$1,Database!$T498&amp;""))))+IF($N$1="",0,N(ISNUMBER(SEARCH($N$1,Database!$T498&amp;""))))+IF($O$1="",0,N(ISNUMBER(SEARCH($O$1,Database!$T498&amp;""))))+IF(Screener!$B$14="",0,N(ISNUMBER(SEARCH(Screener!$B$14,Database!$T498&amp;""))))</f>
        <v/>
      </c>
      <c r="I498">
        <f>IF(OR(Database!$B498=Screener!$B$5,IF(OR(Screener!$B$17="All",AND(Screener!$B$17="With A-share",(Database!$AL498&lt;&gt;"")),AND(Screener!$B$17="Without A-share",NOT((Database!$AL498&lt;&gt;"")))),1,0)=0),-999999,IF(Screener!$B$15="cornerstone overlap first",H498*100000,0)+W_SUB*B498+W_SEC*C498*(1-B498)+W_SIZE*D498+W_PROF*E498+W_AH*F498+W_REC*G498+W_CS*H498)+ROW()/1000000</f>
        <v/>
      </c>
      <c r="K498">
        <f>Database!B490</f>
        <v/>
      </c>
      <c r="L498">
        <f>Database!D490</f>
        <v/>
      </c>
      <c r="M498">
        <f>Database!E490</f>
        <v/>
      </c>
      <c r="N498">
        <f>Database!H490</f>
        <v/>
      </c>
      <c r="O498">
        <f>Database!AH490</f>
        <v/>
      </c>
      <c r="P498">
        <f>Database!AK490</f>
        <v/>
      </c>
      <c r="Q498">
        <f>Database!G490</f>
        <v/>
      </c>
    </row>
    <row r="499">
      <c r="A499">
        <f>Database!B499</f>
        <v/>
      </c>
      <c r="B499">
        <f>IF(AND(Screener!$D$9&lt;&gt;"",Database!$E499=Screener!$D$9),1,0)</f>
        <v/>
      </c>
      <c r="C499">
        <f>IF(AND(Screener!$D$8&lt;&gt;"",Database!$D499=Screener!$D$8),1,0)</f>
        <v/>
      </c>
      <c r="D499">
        <f>IF(OR(Database!$H499="",N(Screener!$D$10)&lt;=0),0,MAX(0,1-ABS(LOG10(Database!$H499/Screener!$D$10))/W_SIZEHW))</f>
        <v/>
      </c>
      <c r="E499">
        <f>IF(OR(Database!$AH499="",Screener!$D$11=""),0,IF(Database!$AH499=Screener!$D$11,1,0))</f>
        <v/>
      </c>
      <c r="F499">
        <f>IF(OR(Database!$AK499="",Screener!$D$12=""),0,IF(Database!$AK499=Screener!$D$12,1,0))</f>
        <v/>
      </c>
      <c r="G499">
        <f>IF(OR(Database!$G499="",N(Screener!$D$13)&lt;=0),0,MAX(0,1-(N(Screener!$D$13)-Database!$G499)/W_RECD))</f>
        <v/>
      </c>
      <c r="H499">
        <f>IF($K$1="",0,N(ISNUMBER(SEARCH($K$1,Database!$T499&amp;""))))+IF($L$1="",0,N(ISNUMBER(SEARCH($L$1,Database!$T499&amp;""))))+IF($M$1="",0,N(ISNUMBER(SEARCH($M$1,Database!$T499&amp;""))))+IF($N$1="",0,N(ISNUMBER(SEARCH($N$1,Database!$T499&amp;""))))+IF($O$1="",0,N(ISNUMBER(SEARCH($O$1,Database!$T499&amp;""))))+IF(Screener!$B$14="",0,N(ISNUMBER(SEARCH(Screener!$B$14,Database!$T499&amp;""))))</f>
        <v/>
      </c>
      <c r="I499">
        <f>IF(OR(Database!$B499=Screener!$B$5,IF(OR(Screener!$B$17="All",AND(Screener!$B$17="With A-share",(Database!$AL499&lt;&gt;"")),AND(Screener!$B$17="Without A-share",NOT((Database!$AL499&lt;&gt;"")))),1,0)=0),-999999,IF(Screener!$B$15="cornerstone overlap first",H499*100000,0)+W_SUB*B499+W_SEC*C499*(1-B499)+W_SIZE*D499+W_PROF*E499+W_AH*F499+W_REC*G499+W_CS*H499)+ROW()/1000000</f>
        <v/>
      </c>
      <c r="K499">
        <f>Database!B491</f>
        <v/>
      </c>
      <c r="L499">
        <f>Database!D491</f>
        <v/>
      </c>
      <c r="M499">
        <f>Database!E491</f>
        <v/>
      </c>
      <c r="N499">
        <f>Database!H491</f>
        <v/>
      </c>
      <c r="O499">
        <f>Database!AH491</f>
        <v/>
      </c>
      <c r="P499">
        <f>Database!AK491</f>
        <v/>
      </c>
      <c r="Q499">
        <f>Database!G491</f>
        <v/>
      </c>
    </row>
    <row r="500">
      <c r="A500">
        <f>Database!B500</f>
        <v/>
      </c>
      <c r="B500">
        <f>IF(AND(Screener!$D$9&lt;&gt;"",Database!$E500=Screener!$D$9),1,0)</f>
        <v/>
      </c>
      <c r="C500">
        <f>IF(AND(Screener!$D$8&lt;&gt;"",Database!$D500=Screener!$D$8),1,0)</f>
        <v/>
      </c>
      <c r="D500">
        <f>IF(OR(Database!$H500="",N(Screener!$D$10)&lt;=0),0,MAX(0,1-ABS(LOG10(Database!$H500/Screener!$D$10))/W_SIZEHW))</f>
        <v/>
      </c>
      <c r="E500">
        <f>IF(OR(Database!$AH500="",Screener!$D$11=""),0,IF(Database!$AH500=Screener!$D$11,1,0))</f>
        <v/>
      </c>
      <c r="F500">
        <f>IF(OR(Database!$AK500="",Screener!$D$12=""),0,IF(Database!$AK500=Screener!$D$12,1,0))</f>
        <v/>
      </c>
      <c r="G500">
        <f>IF(OR(Database!$G500="",N(Screener!$D$13)&lt;=0),0,MAX(0,1-(N(Screener!$D$13)-Database!$G500)/W_RECD))</f>
        <v/>
      </c>
      <c r="H500">
        <f>IF($K$1="",0,N(ISNUMBER(SEARCH($K$1,Database!$T500&amp;""))))+IF($L$1="",0,N(ISNUMBER(SEARCH($L$1,Database!$T500&amp;""))))+IF($M$1="",0,N(ISNUMBER(SEARCH($M$1,Database!$T500&amp;""))))+IF($N$1="",0,N(ISNUMBER(SEARCH($N$1,Database!$T500&amp;""))))+IF($O$1="",0,N(ISNUMBER(SEARCH($O$1,Database!$T500&amp;""))))+IF(Screener!$B$14="",0,N(ISNUMBER(SEARCH(Screener!$B$14,Database!$T500&amp;""))))</f>
        <v/>
      </c>
      <c r="I500">
        <f>IF(OR(Database!$B500=Screener!$B$5,IF(OR(Screener!$B$17="All",AND(Screener!$B$17="With A-share",(Database!$AL500&lt;&gt;"")),AND(Screener!$B$17="Without A-share",NOT((Database!$AL500&lt;&gt;"")))),1,0)=0),-999999,IF(Screener!$B$15="cornerstone overlap first",H500*100000,0)+W_SUB*B500+W_SEC*C500*(1-B500)+W_SIZE*D500+W_PROF*E500+W_AH*F500+W_REC*G500+W_CS*H500)+ROW()/1000000</f>
        <v/>
      </c>
      <c r="K500">
        <f>Database!B492</f>
        <v/>
      </c>
      <c r="L500">
        <f>Database!D492</f>
        <v/>
      </c>
      <c r="M500">
        <f>Database!E492</f>
        <v/>
      </c>
      <c r="N500">
        <f>Database!H492</f>
        <v/>
      </c>
      <c r="O500">
        <f>Database!AH492</f>
        <v/>
      </c>
      <c r="P500">
        <f>Database!AK492</f>
        <v/>
      </c>
      <c r="Q500">
        <f>Database!G492</f>
        <v/>
      </c>
    </row>
    <row r="501">
      <c r="A501">
        <f>Database!B501</f>
        <v/>
      </c>
      <c r="B501">
        <f>IF(AND(Screener!$D$9&lt;&gt;"",Database!$E501=Screener!$D$9),1,0)</f>
        <v/>
      </c>
      <c r="C501">
        <f>IF(AND(Screener!$D$8&lt;&gt;"",Database!$D501=Screener!$D$8),1,0)</f>
        <v/>
      </c>
      <c r="D501">
        <f>IF(OR(Database!$H501="",N(Screener!$D$10)&lt;=0),0,MAX(0,1-ABS(LOG10(Database!$H501/Screener!$D$10))/W_SIZEHW))</f>
        <v/>
      </c>
      <c r="E501">
        <f>IF(OR(Database!$AH501="",Screener!$D$11=""),0,IF(Database!$AH501=Screener!$D$11,1,0))</f>
        <v/>
      </c>
      <c r="F501">
        <f>IF(OR(Database!$AK501="",Screener!$D$12=""),0,IF(Database!$AK501=Screener!$D$12,1,0))</f>
        <v/>
      </c>
      <c r="G501">
        <f>IF(OR(Database!$G501="",N(Screener!$D$13)&lt;=0),0,MAX(0,1-(N(Screener!$D$13)-Database!$G501)/W_RECD))</f>
        <v/>
      </c>
      <c r="H501">
        <f>IF($K$1="",0,N(ISNUMBER(SEARCH($K$1,Database!$T501&amp;""))))+IF($L$1="",0,N(ISNUMBER(SEARCH($L$1,Database!$T501&amp;""))))+IF($M$1="",0,N(ISNUMBER(SEARCH($M$1,Database!$T501&amp;""))))+IF($N$1="",0,N(ISNUMBER(SEARCH($N$1,Database!$T501&amp;""))))+IF($O$1="",0,N(ISNUMBER(SEARCH($O$1,Database!$T501&amp;""))))+IF(Screener!$B$14="",0,N(ISNUMBER(SEARCH(Screener!$B$14,Database!$T501&amp;""))))</f>
        <v/>
      </c>
      <c r="I501">
        <f>IF(OR(Database!$B501=Screener!$B$5,IF(OR(Screener!$B$17="All",AND(Screener!$B$17="With A-share",(Database!$AL501&lt;&gt;"")),AND(Screener!$B$17="Without A-share",NOT((Database!$AL501&lt;&gt;"")))),1,0)=0),-999999,IF(Screener!$B$15="cornerstone overlap first",H501*100000,0)+W_SUB*B501+W_SEC*C501*(1-B501)+W_SIZE*D501+W_PROF*E501+W_AH*F501+W_REC*G501+W_CS*H501)+ROW()/1000000</f>
        <v/>
      </c>
      <c r="K501">
        <f>Database!B493</f>
        <v/>
      </c>
      <c r="L501">
        <f>Database!D493</f>
        <v/>
      </c>
      <c r="M501">
        <f>Database!E493</f>
        <v/>
      </c>
      <c r="N501">
        <f>Database!H493</f>
        <v/>
      </c>
      <c r="O501">
        <f>Database!AH493</f>
        <v/>
      </c>
      <c r="P501">
        <f>Database!AK493</f>
        <v/>
      </c>
      <c r="Q501">
        <f>Database!G493</f>
        <v/>
      </c>
    </row>
    <row r="502">
      <c r="A502">
        <f>Database!B502</f>
        <v/>
      </c>
      <c r="B502">
        <f>IF(AND(Screener!$D$9&lt;&gt;"",Database!$E502=Screener!$D$9),1,0)</f>
        <v/>
      </c>
      <c r="C502">
        <f>IF(AND(Screener!$D$8&lt;&gt;"",Database!$D502=Screener!$D$8),1,0)</f>
        <v/>
      </c>
      <c r="D502">
        <f>IF(OR(Database!$H502="",N(Screener!$D$10)&lt;=0),0,MAX(0,1-ABS(LOG10(Database!$H502/Screener!$D$10))/W_SIZEHW))</f>
        <v/>
      </c>
      <c r="E502">
        <f>IF(OR(Database!$AH502="",Screener!$D$11=""),0,IF(Database!$AH502=Screener!$D$11,1,0))</f>
        <v/>
      </c>
      <c r="F502">
        <f>IF(OR(Database!$AK502="",Screener!$D$12=""),0,IF(Database!$AK502=Screener!$D$12,1,0))</f>
        <v/>
      </c>
      <c r="G502">
        <f>IF(OR(Database!$G502="",N(Screener!$D$13)&lt;=0),0,MAX(0,1-(N(Screener!$D$13)-Database!$G502)/W_RECD))</f>
        <v/>
      </c>
      <c r="H502">
        <f>IF($K$1="",0,N(ISNUMBER(SEARCH($K$1,Database!$T502&amp;""))))+IF($L$1="",0,N(ISNUMBER(SEARCH($L$1,Database!$T502&amp;""))))+IF($M$1="",0,N(ISNUMBER(SEARCH($M$1,Database!$T502&amp;""))))+IF($N$1="",0,N(ISNUMBER(SEARCH($N$1,Database!$T502&amp;""))))+IF($O$1="",0,N(ISNUMBER(SEARCH($O$1,Database!$T502&amp;""))))+IF(Screener!$B$14="",0,N(ISNUMBER(SEARCH(Screener!$B$14,Database!$T502&amp;""))))</f>
        <v/>
      </c>
      <c r="I502">
        <f>IF(OR(Database!$B502=Screener!$B$5,IF(OR(Screener!$B$17="All",AND(Screener!$B$17="With A-share",(Database!$AL502&lt;&gt;"")),AND(Screener!$B$17="Without A-share",NOT((Database!$AL502&lt;&gt;"")))),1,0)=0),-999999,IF(Screener!$B$15="cornerstone overlap first",H502*100000,0)+W_SUB*B502+W_SEC*C502*(1-B502)+W_SIZE*D502+W_PROF*E502+W_AH*F502+W_REC*G502+W_CS*H502)+ROW()/1000000</f>
        <v/>
      </c>
      <c r="K502">
        <f>Database!B494</f>
        <v/>
      </c>
      <c r="L502">
        <f>Database!D494</f>
        <v/>
      </c>
      <c r="M502">
        <f>Database!E494</f>
        <v/>
      </c>
      <c r="N502">
        <f>Database!H494</f>
        <v/>
      </c>
      <c r="O502">
        <f>Database!AH494</f>
        <v/>
      </c>
      <c r="P502">
        <f>Database!AK494</f>
        <v/>
      </c>
      <c r="Q502">
        <f>Database!G494</f>
        <v/>
      </c>
    </row>
    <row r="503">
      <c r="A503">
        <f>Database!B503</f>
        <v/>
      </c>
      <c r="B503">
        <f>IF(AND(Screener!$D$9&lt;&gt;"",Database!$E503=Screener!$D$9),1,0)</f>
        <v/>
      </c>
      <c r="C503">
        <f>IF(AND(Screener!$D$8&lt;&gt;"",Database!$D503=Screener!$D$8),1,0)</f>
        <v/>
      </c>
      <c r="D503">
        <f>IF(OR(Database!$H503="",N(Screener!$D$10)&lt;=0),0,MAX(0,1-ABS(LOG10(Database!$H503/Screener!$D$10))/W_SIZEHW))</f>
        <v/>
      </c>
      <c r="E503">
        <f>IF(OR(Database!$AH503="",Screener!$D$11=""),0,IF(Database!$AH503=Screener!$D$11,1,0))</f>
        <v/>
      </c>
      <c r="F503">
        <f>IF(OR(Database!$AK503="",Screener!$D$12=""),0,IF(Database!$AK503=Screener!$D$12,1,0))</f>
        <v/>
      </c>
      <c r="G503">
        <f>IF(OR(Database!$G503="",N(Screener!$D$13)&lt;=0),0,MAX(0,1-(N(Screener!$D$13)-Database!$G503)/W_RECD))</f>
        <v/>
      </c>
      <c r="H503">
        <f>IF($K$1="",0,N(ISNUMBER(SEARCH($K$1,Database!$T503&amp;""))))+IF($L$1="",0,N(ISNUMBER(SEARCH($L$1,Database!$T503&amp;""))))+IF($M$1="",0,N(ISNUMBER(SEARCH($M$1,Database!$T503&amp;""))))+IF($N$1="",0,N(ISNUMBER(SEARCH($N$1,Database!$T503&amp;""))))+IF($O$1="",0,N(ISNUMBER(SEARCH($O$1,Database!$T503&amp;""))))+IF(Screener!$B$14="",0,N(ISNUMBER(SEARCH(Screener!$B$14,Database!$T503&amp;""))))</f>
        <v/>
      </c>
      <c r="I503">
        <f>IF(OR(Database!$B503=Screener!$B$5,IF(OR(Screener!$B$17="All",AND(Screener!$B$17="With A-share",(Database!$AL503&lt;&gt;"")),AND(Screener!$B$17="Without A-share",NOT((Database!$AL503&lt;&gt;"")))),1,0)=0),-999999,IF(Screener!$B$15="cornerstone overlap first",H503*100000,0)+W_SUB*B503+W_SEC*C503*(1-B503)+W_SIZE*D503+W_PROF*E503+W_AH*F503+W_REC*G503+W_CS*H503)+ROW()/1000000</f>
        <v/>
      </c>
      <c r="K503">
        <f>Database!B495</f>
        <v/>
      </c>
      <c r="L503">
        <f>Database!D495</f>
        <v/>
      </c>
      <c r="M503">
        <f>Database!E495</f>
        <v/>
      </c>
      <c r="N503">
        <f>Database!H495</f>
        <v/>
      </c>
      <c r="O503">
        <f>Database!AH495</f>
        <v/>
      </c>
      <c r="P503">
        <f>Database!AK495</f>
        <v/>
      </c>
      <c r="Q503">
        <f>Database!G495</f>
        <v/>
      </c>
    </row>
    <row r="504">
      <c r="A504">
        <f>Database!B504</f>
        <v/>
      </c>
      <c r="B504">
        <f>IF(AND(Screener!$D$9&lt;&gt;"",Database!$E504=Screener!$D$9),1,0)</f>
        <v/>
      </c>
      <c r="C504">
        <f>IF(AND(Screener!$D$8&lt;&gt;"",Database!$D504=Screener!$D$8),1,0)</f>
        <v/>
      </c>
      <c r="D504">
        <f>IF(OR(Database!$H504="",N(Screener!$D$10)&lt;=0),0,MAX(0,1-ABS(LOG10(Database!$H504/Screener!$D$10))/W_SIZEHW))</f>
        <v/>
      </c>
      <c r="E504">
        <f>IF(OR(Database!$AH504="",Screener!$D$11=""),0,IF(Database!$AH504=Screener!$D$11,1,0))</f>
        <v/>
      </c>
      <c r="F504">
        <f>IF(OR(Database!$AK504="",Screener!$D$12=""),0,IF(Database!$AK504=Screener!$D$12,1,0))</f>
        <v/>
      </c>
      <c r="G504">
        <f>IF(OR(Database!$G504="",N(Screener!$D$13)&lt;=0),0,MAX(0,1-(N(Screener!$D$13)-Database!$G504)/W_RECD))</f>
        <v/>
      </c>
      <c r="H504">
        <f>IF($K$1="",0,N(ISNUMBER(SEARCH($K$1,Database!$T504&amp;""))))+IF($L$1="",0,N(ISNUMBER(SEARCH($L$1,Database!$T504&amp;""))))+IF($M$1="",0,N(ISNUMBER(SEARCH($M$1,Database!$T504&amp;""))))+IF($N$1="",0,N(ISNUMBER(SEARCH($N$1,Database!$T504&amp;""))))+IF($O$1="",0,N(ISNUMBER(SEARCH($O$1,Database!$T504&amp;""))))+IF(Screener!$B$14="",0,N(ISNUMBER(SEARCH(Screener!$B$14,Database!$T504&amp;""))))</f>
        <v/>
      </c>
      <c r="I504">
        <f>IF(OR(Database!$B504=Screener!$B$5,IF(OR(Screener!$B$17="All",AND(Screener!$B$17="With A-share",(Database!$AL504&lt;&gt;"")),AND(Screener!$B$17="Without A-share",NOT((Database!$AL504&lt;&gt;"")))),1,0)=0),-999999,IF(Screener!$B$15="cornerstone overlap first",H504*100000,0)+W_SUB*B504+W_SEC*C504*(1-B504)+W_SIZE*D504+W_PROF*E504+W_AH*F504+W_REC*G504+W_CS*H504)+ROW()/1000000</f>
        <v/>
      </c>
      <c r="K504">
        <f>Database!B496</f>
        <v/>
      </c>
      <c r="L504">
        <f>Database!D496</f>
        <v/>
      </c>
      <c r="M504">
        <f>Database!E496</f>
        <v/>
      </c>
      <c r="N504">
        <f>Database!H496</f>
        <v/>
      </c>
      <c r="O504">
        <f>Database!AH496</f>
        <v/>
      </c>
      <c r="P504">
        <f>Database!AK496</f>
        <v/>
      </c>
      <c r="Q504">
        <f>Database!G496</f>
        <v/>
      </c>
    </row>
    <row r="505">
      <c r="A505">
        <f>Database!B505</f>
        <v/>
      </c>
      <c r="B505">
        <f>IF(AND(Screener!$D$9&lt;&gt;"",Database!$E505=Screener!$D$9),1,0)</f>
        <v/>
      </c>
      <c r="C505">
        <f>IF(AND(Screener!$D$8&lt;&gt;"",Database!$D505=Screener!$D$8),1,0)</f>
        <v/>
      </c>
      <c r="D505">
        <f>IF(OR(Database!$H505="",N(Screener!$D$10)&lt;=0),0,MAX(0,1-ABS(LOG10(Database!$H505/Screener!$D$10))/W_SIZEHW))</f>
        <v/>
      </c>
      <c r="E505">
        <f>IF(OR(Database!$AH505="",Screener!$D$11=""),0,IF(Database!$AH505=Screener!$D$11,1,0))</f>
        <v/>
      </c>
      <c r="F505">
        <f>IF(OR(Database!$AK505="",Screener!$D$12=""),0,IF(Database!$AK505=Screener!$D$12,1,0))</f>
        <v/>
      </c>
      <c r="G505">
        <f>IF(OR(Database!$G505="",N(Screener!$D$13)&lt;=0),0,MAX(0,1-(N(Screener!$D$13)-Database!$G505)/W_RECD))</f>
        <v/>
      </c>
      <c r="H505">
        <f>IF($K$1="",0,N(ISNUMBER(SEARCH($K$1,Database!$T505&amp;""))))+IF($L$1="",0,N(ISNUMBER(SEARCH($L$1,Database!$T505&amp;""))))+IF($M$1="",0,N(ISNUMBER(SEARCH($M$1,Database!$T505&amp;""))))+IF($N$1="",0,N(ISNUMBER(SEARCH($N$1,Database!$T505&amp;""))))+IF($O$1="",0,N(ISNUMBER(SEARCH($O$1,Database!$T505&amp;""))))+IF(Screener!$B$14="",0,N(ISNUMBER(SEARCH(Screener!$B$14,Database!$T505&amp;""))))</f>
        <v/>
      </c>
      <c r="I505">
        <f>IF(OR(Database!$B505=Screener!$B$5,IF(OR(Screener!$B$17="All",AND(Screener!$B$17="With A-share",(Database!$AL505&lt;&gt;"")),AND(Screener!$B$17="Without A-share",NOT((Database!$AL505&lt;&gt;"")))),1,0)=0),-999999,IF(Screener!$B$15="cornerstone overlap first",H505*100000,0)+W_SUB*B505+W_SEC*C505*(1-B505)+W_SIZE*D505+W_PROF*E505+W_AH*F505+W_REC*G505+W_CS*H505)+ROW()/1000000</f>
        <v/>
      </c>
      <c r="K505">
        <f>Database!B497</f>
        <v/>
      </c>
      <c r="L505">
        <f>Database!D497</f>
        <v/>
      </c>
      <c r="M505">
        <f>Database!E497</f>
        <v/>
      </c>
      <c r="N505">
        <f>Database!H497</f>
        <v/>
      </c>
      <c r="O505">
        <f>Database!AH497</f>
        <v/>
      </c>
      <c r="P505">
        <f>Database!AK497</f>
        <v/>
      </c>
      <c r="Q505">
        <f>Database!G497</f>
        <v/>
      </c>
    </row>
    <row r="506">
      <c r="A506">
        <f>Database!B506</f>
        <v/>
      </c>
      <c r="B506">
        <f>IF(AND(Screener!$D$9&lt;&gt;"",Database!$E506=Screener!$D$9),1,0)</f>
        <v/>
      </c>
      <c r="C506">
        <f>IF(AND(Screener!$D$8&lt;&gt;"",Database!$D506=Screener!$D$8),1,0)</f>
        <v/>
      </c>
      <c r="D506">
        <f>IF(OR(Database!$H506="",N(Screener!$D$10)&lt;=0),0,MAX(0,1-ABS(LOG10(Database!$H506/Screener!$D$10))/W_SIZEHW))</f>
        <v/>
      </c>
      <c r="E506">
        <f>IF(OR(Database!$AH506="",Screener!$D$11=""),0,IF(Database!$AH506=Screener!$D$11,1,0))</f>
        <v/>
      </c>
      <c r="F506">
        <f>IF(OR(Database!$AK506="",Screener!$D$12=""),0,IF(Database!$AK506=Screener!$D$12,1,0))</f>
        <v/>
      </c>
      <c r="G506">
        <f>IF(OR(Database!$G506="",N(Screener!$D$13)&lt;=0),0,MAX(0,1-(N(Screener!$D$13)-Database!$G506)/W_RECD))</f>
        <v/>
      </c>
      <c r="H506">
        <f>IF($K$1="",0,N(ISNUMBER(SEARCH($K$1,Database!$T506&amp;""))))+IF($L$1="",0,N(ISNUMBER(SEARCH($L$1,Database!$T506&amp;""))))+IF($M$1="",0,N(ISNUMBER(SEARCH($M$1,Database!$T506&amp;""))))+IF($N$1="",0,N(ISNUMBER(SEARCH($N$1,Database!$T506&amp;""))))+IF($O$1="",0,N(ISNUMBER(SEARCH($O$1,Database!$T506&amp;""))))+IF(Screener!$B$14="",0,N(ISNUMBER(SEARCH(Screener!$B$14,Database!$T506&amp;""))))</f>
        <v/>
      </c>
      <c r="I506">
        <f>IF(OR(Database!$B506=Screener!$B$5,IF(OR(Screener!$B$17="All",AND(Screener!$B$17="With A-share",(Database!$AL506&lt;&gt;"")),AND(Screener!$B$17="Without A-share",NOT((Database!$AL506&lt;&gt;"")))),1,0)=0),-999999,IF(Screener!$B$15="cornerstone overlap first",H506*100000,0)+W_SUB*B506+W_SEC*C506*(1-B506)+W_SIZE*D506+W_PROF*E506+W_AH*F506+W_REC*G506+W_CS*H506)+ROW()/1000000</f>
        <v/>
      </c>
      <c r="K506">
        <f>Database!B498</f>
        <v/>
      </c>
      <c r="L506">
        <f>Database!D498</f>
        <v/>
      </c>
      <c r="M506">
        <f>Database!E498</f>
        <v/>
      </c>
      <c r="N506">
        <f>Database!H498</f>
        <v/>
      </c>
      <c r="O506">
        <f>Database!AH498</f>
        <v/>
      </c>
      <c r="P506">
        <f>Database!AK498</f>
        <v/>
      </c>
      <c r="Q506">
        <f>Database!G498</f>
        <v/>
      </c>
    </row>
    <row r="507">
      <c r="A507">
        <f>Database!B507</f>
        <v/>
      </c>
      <c r="B507">
        <f>IF(AND(Screener!$D$9&lt;&gt;"",Database!$E507=Screener!$D$9),1,0)</f>
        <v/>
      </c>
      <c r="C507">
        <f>IF(AND(Screener!$D$8&lt;&gt;"",Database!$D507=Screener!$D$8),1,0)</f>
        <v/>
      </c>
      <c r="D507">
        <f>IF(OR(Database!$H507="",N(Screener!$D$10)&lt;=0),0,MAX(0,1-ABS(LOG10(Database!$H507/Screener!$D$10))/W_SIZEHW))</f>
        <v/>
      </c>
      <c r="E507">
        <f>IF(OR(Database!$AH507="",Screener!$D$11=""),0,IF(Database!$AH507=Screener!$D$11,1,0))</f>
        <v/>
      </c>
      <c r="F507">
        <f>IF(OR(Database!$AK507="",Screener!$D$12=""),0,IF(Database!$AK507=Screener!$D$12,1,0))</f>
        <v/>
      </c>
      <c r="G507">
        <f>IF(OR(Database!$G507="",N(Screener!$D$13)&lt;=0),0,MAX(0,1-(N(Screener!$D$13)-Database!$G507)/W_RECD))</f>
        <v/>
      </c>
      <c r="H507">
        <f>IF($K$1="",0,N(ISNUMBER(SEARCH($K$1,Database!$T507&amp;""))))+IF($L$1="",0,N(ISNUMBER(SEARCH($L$1,Database!$T507&amp;""))))+IF($M$1="",0,N(ISNUMBER(SEARCH($M$1,Database!$T507&amp;""))))+IF($N$1="",0,N(ISNUMBER(SEARCH($N$1,Database!$T507&amp;""))))+IF($O$1="",0,N(ISNUMBER(SEARCH($O$1,Database!$T507&amp;""))))+IF(Screener!$B$14="",0,N(ISNUMBER(SEARCH(Screener!$B$14,Database!$T507&amp;""))))</f>
        <v/>
      </c>
      <c r="I507">
        <f>IF(OR(Database!$B507=Screener!$B$5,IF(OR(Screener!$B$17="All",AND(Screener!$B$17="With A-share",(Database!$AL507&lt;&gt;"")),AND(Screener!$B$17="Without A-share",NOT((Database!$AL507&lt;&gt;"")))),1,0)=0),-999999,IF(Screener!$B$15="cornerstone overlap first",H507*100000,0)+W_SUB*B507+W_SEC*C507*(1-B507)+W_SIZE*D507+W_PROF*E507+W_AH*F507+W_REC*G507+W_CS*H507)+ROW()/1000000</f>
        <v/>
      </c>
      <c r="K507">
        <f>Database!B499</f>
        <v/>
      </c>
      <c r="L507">
        <f>Database!D499</f>
        <v/>
      </c>
      <c r="M507">
        <f>Database!E499</f>
        <v/>
      </c>
      <c r="N507">
        <f>Database!H499</f>
        <v/>
      </c>
      <c r="O507">
        <f>Database!AH499</f>
        <v/>
      </c>
      <c r="P507">
        <f>Database!AK499</f>
        <v/>
      </c>
      <c r="Q507">
        <f>Database!G499</f>
        <v/>
      </c>
    </row>
    <row r="508">
      <c r="A508">
        <f>Database!B508</f>
        <v/>
      </c>
      <c r="B508">
        <f>IF(AND(Screener!$D$9&lt;&gt;"",Database!$E508=Screener!$D$9),1,0)</f>
        <v/>
      </c>
      <c r="C508">
        <f>IF(AND(Screener!$D$8&lt;&gt;"",Database!$D508=Screener!$D$8),1,0)</f>
        <v/>
      </c>
      <c r="D508">
        <f>IF(OR(Database!$H508="",N(Screener!$D$10)&lt;=0),0,MAX(0,1-ABS(LOG10(Database!$H508/Screener!$D$10))/W_SIZEHW))</f>
        <v/>
      </c>
      <c r="E508">
        <f>IF(OR(Database!$AH508="",Screener!$D$11=""),0,IF(Database!$AH508=Screener!$D$11,1,0))</f>
        <v/>
      </c>
      <c r="F508">
        <f>IF(OR(Database!$AK508="",Screener!$D$12=""),0,IF(Database!$AK508=Screener!$D$12,1,0))</f>
        <v/>
      </c>
      <c r="G508">
        <f>IF(OR(Database!$G508="",N(Screener!$D$13)&lt;=0),0,MAX(0,1-(N(Screener!$D$13)-Database!$G508)/W_RECD))</f>
        <v/>
      </c>
      <c r="H508">
        <f>IF($K$1="",0,N(ISNUMBER(SEARCH($K$1,Database!$T508&amp;""))))+IF($L$1="",0,N(ISNUMBER(SEARCH($L$1,Database!$T508&amp;""))))+IF($M$1="",0,N(ISNUMBER(SEARCH($M$1,Database!$T508&amp;""))))+IF($N$1="",0,N(ISNUMBER(SEARCH($N$1,Database!$T508&amp;""))))+IF($O$1="",0,N(ISNUMBER(SEARCH($O$1,Database!$T508&amp;""))))+IF(Screener!$B$14="",0,N(ISNUMBER(SEARCH(Screener!$B$14,Database!$T508&amp;""))))</f>
        <v/>
      </c>
      <c r="I508">
        <f>IF(OR(Database!$B508=Screener!$B$5,IF(OR(Screener!$B$17="All",AND(Screener!$B$17="With A-share",(Database!$AL508&lt;&gt;"")),AND(Screener!$B$17="Without A-share",NOT((Database!$AL508&lt;&gt;"")))),1,0)=0),-999999,IF(Screener!$B$15="cornerstone overlap first",H508*100000,0)+W_SUB*B508+W_SEC*C508*(1-B508)+W_SIZE*D508+W_PROF*E508+W_AH*F508+W_REC*G508+W_CS*H508)+ROW()/1000000</f>
        <v/>
      </c>
      <c r="K508">
        <f>Database!B500</f>
        <v/>
      </c>
      <c r="L508">
        <f>Database!D500</f>
        <v/>
      </c>
      <c r="M508">
        <f>Database!E500</f>
        <v/>
      </c>
      <c r="N508">
        <f>Database!H500</f>
        <v/>
      </c>
      <c r="O508">
        <f>Database!AH500</f>
        <v/>
      </c>
      <c r="P508">
        <f>Database!AK500</f>
        <v/>
      </c>
      <c r="Q508">
        <f>Database!G500</f>
        <v/>
      </c>
    </row>
    <row r="509">
      <c r="A509">
        <f>Database!B509</f>
        <v/>
      </c>
      <c r="B509">
        <f>IF(AND(Screener!$D$9&lt;&gt;"",Database!$E509=Screener!$D$9),1,0)</f>
        <v/>
      </c>
      <c r="C509">
        <f>IF(AND(Screener!$D$8&lt;&gt;"",Database!$D509=Screener!$D$8),1,0)</f>
        <v/>
      </c>
      <c r="D509">
        <f>IF(OR(Database!$H509="",N(Screener!$D$10)&lt;=0),0,MAX(0,1-ABS(LOG10(Database!$H509/Screener!$D$10))/W_SIZEHW))</f>
        <v/>
      </c>
      <c r="E509">
        <f>IF(OR(Database!$AH509="",Screener!$D$11=""),0,IF(Database!$AH509=Screener!$D$11,1,0))</f>
        <v/>
      </c>
      <c r="F509">
        <f>IF(OR(Database!$AK509="",Screener!$D$12=""),0,IF(Database!$AK509=Screener!$D$12,1,0))</f>
        <v/>
      </c>
      <c r="G509">
        <f>IF(OR(Database!$G509="",N(Screener!$D$13)&lt;=0),0,MAX(0,1-(N(Screener!$D$13)-Database!$G509)/W_RECD))</f>
        <v/>
      </c>
      <c r="H509">
        <f>IF($K$1="",0,N(ISNUMBER(SEARCH($K$1,Database!$T509&amp;""))))+IF($L$1="",0,N(ISNUMBER(SEARCH($L$1,Database!$T509&amp;""))))+IF($M$1="",0,N(ISNUMBER(SEARCH($M$1,Database!$T509&amp;""))))+IF($N$1="",0,N(ISNUMBER(SEARCH($N$1,Database!$T509&amp;""))))+IF($O$1="",0,N(ISNUMBER(SEARCH($O$1,Database!$T509&amp;""))))+IF(Screener!$B$14="",0,N(ISNUMBER(SEARCH(Screener!$B$14,Database!$T509&amp;""))))</f>
        <v/>
      </c>
      <c r="I509">
        <f>IF(OR(Database!$B509=Screener!$B$5,IF(OR(Screener!$B$17="All",AND(Screener!$B$17="With A-share",(Database!$AL509&lt;&gt;"")),AND(Screener!$B$17="Without A-share",NOT((Database!$AL509&lt;&gt;"")))),1,0)=0),-999999,IF(Screener!$B$15="cornerstone overlap first",H509*100000,0)+W_SUB*B509+W_SEC*C509*(1-B509)+W_SIZE*D509+W_PROF*E509+W_AH*F509+W_REC*G509+W_CS*H509)+ROW()/1000000</f>
        <v/>
      </c>
      <c r="K509">
        <f>Database!B501</f>
        <v/>
      </c>
      <c r="L509">
        <f>Database!D501</f>
        <v/>
      </c>
      <c r="M509">
        <f>Database!E501</f>
        <v/>
      </c>
      <c r="N509">
        <f>Database!H501</f>
        <v/>
      </c>
      <c r="O509">
        <f>Database!AH501</f>
        <v/>
      </c>
      <c r="P509">
        <f>Database!AK501</f>
        <v/>
      </c>
      <c r="Q509">
        <f>Database!G501</f>
        <v/>
      </c>
    </row>
    <row r="510">
      <c r="A510">
        <f>Database!B510</f>
        <v/>
      </c>
      <c r="B510">
        <f>IF(AND(Screener!$D$9&lt;&gt;"",Database!$E510=Screener!$D$9),1,0)</f>
        <v/>
      </c>
      <c r="C510">
        <f>IF(AND(Screener!$D$8&lt;&gt;"",Database!$D510=Screener!$D$8),1,0)</f>
        <v/>
      </c>
      <c r="D510">
        <f>IF(OR(Database!$H510="",N(Screener!$D$10)&lt;=0),0,MAX(0,1-ABS(LOG10(Database!$H510/Screener!$D$10))/W_SIZEHW))</f>
        <v/>
      </c>
      <c r="E510">
        <f>IF(OR(Database!$AH510="",Screener!$D$11=""),0,IF(Database!$AH510=Screener!$D$11,1,0))</f>
        <v/>
      </c>
      <c r="F510">
        <f>IF(OR(Database!$AK510="",Screener!$D$12=""),0,IF(Database!$AK510=Screener!$D$12,1,0))</f>
        <v/>
      </c>
      <c r="G510">
        <f>IF(OR(Database!$G510="",N(Screener!$D$13)&lt;=0),0,MAX(0,1-(N(Screener!$D$13)-Database!$G510)/W_RECD))</f>
        <v/>
      </c>
      <c r="H510">
        <f>IF($K$1="",0,N(ISNUMBER(SEARCH($K$1,Database!$T510&amp;""))))+IF($L$1="",0,N(ISNUMBER(SEARCH($L$1,Database!$T510&amp;""))))+IF($M$1="",0,N(ISNUMBER(SEARCH($M$1,Database!$T510&amp;""))))+IF($N$1="",0,N(ISNUMBER(SEARCH($N$1,Database!$T510&amp;""))))+IF($O$1="",0,N(ISNUMBER(SEARCH($O$1,Database!$T510&amp;""))))+IF(Screener!$B$14="",0,N(ISNUMBER(SEARCH(Screener!$B$14,Database!$T510&amp;""))))</f>
        <v/>
      </c>
      <c r="I510">
        <f>IF(OR(Database!$B510=Screener!$B$5,IF(OR(Screener!$B$17="All",AND(Screener!$B$17="With A-share",(Database!$AL510&lt;&gt;"")),AND(Screener!$B$17="Without A-share",NOT((Database!$AL510&lt;&gt;"")))),1,0)=0),-999999,IF(Screener!$B$15="cornerstone overlap first",H510*100000,0)+W_SUB*B510+W_SEC*C510*(1-B510)+W_SIZE*D510+W_PROF*E510+W_AH*F510+W_REC*G510+W_CS*H510)+ROW()/1000000</f>
        <v/>
      </c>
      <c r="K510">
        <f>Database!B502</f>
        <v/>
      </c>
      <c r="L510">
        <f>Database!D502</f>
        <v/>
      </c>
      <c r="M510">
        <f>Database!E502</f>
        <v/>
      </c>
      <c r="N510">
        <f>Database!H502</f>
        <v/>
      </c>
      <c r="O510">
        <f>Database!AH502</f>
        <v/>
      </c>
      <c r="P510">
        <f>Database!AK502</f>
        <v/>
      </c>
      <c r="Q510">
        <f>Database!G502</f>
        <v/>
      </c>
    </row>
    <row r="511">
      <c r="A511">
        <f>Database!B511</f>
        <v/>
      </c>
      <c r="B511">
        <f>IF(AND(Screener!$D$9&lt;&gt;"",Database!$E511=Screener!$D$9),1,0)</f>
        <v/>
      </c>
      <c r="C511">
        <f>IF(AND(Screener!$D$8&lt;&gt;"",Database!$D511=Screener!$D$8),1,0)</f>
        <v/>
      </c>
      <c r="D511">
        <f>IF(OR(Database!$H511="",N(Screener!$D$10)&lt;=0),0,MAX(0,1-ABS(LOG10(Database!$H511/Screener!$D$10))/W_SIZEHW))</f>
        <v/>
      </c>
      <c r="E511">
        <f>IF(OR(Database!$AH511="",Screener!$D$11=""),0,IF(Database!$AH511=Screener!$D$11,1,0))</f>
        <v/>
      </c>
      <c r="F511">
        <f>IF(OR(Database!$AK511="",Screener!$D$12=""),0,IF(Database!$AK511=Screener!$D$12,1,0))</f>
        <v/>
      </c>
      <c r="G511">
        <f>IF(OR(Database!$G511="",N(Screener!$D$13)&lt;=0),0,MAX(0,1-(N(Screener!$D$13)-Database!$G511)/W_RECD))</f>
        <v/>
      </c>
      <c r="H511">
        <f>IF($K$1="",0,N(ISNUMBER(SEARCH($K$1,Database!$T511&amp;""))))+IF($L$1="",0,N(ISNUMBER(SEARCH($L$1,Database!$T511&amp;""))))+IF($M$1="",0,N(ISNUMBER(SEARCH($M$1,Database!$T511&amp;""))))+IF($N$1="",0,N(ISNUMBER(SEARCH($N$1,Database!$T511&amp;""))))+IF($O$1="",0,N(ISNUMBER(SEARCH($O$1,Database!$T511&amp;""))))+IF(Screener!$B$14="",0,N(ISNUMBER(SEARCH(Screener!$B$14,Database!$T511&amp;""))))</f>
        <v/>
      </c>
      <c r="I511">
        <f>IF(OR(Database!$B511=Screener!$B$5,IF(OR(Screener!$B$17="All",AND(Screener!$B$17="With A-share",(Database!$AL511&lt;&gt;"")),AND(Screener!$B$17="Without A-share",NOT((Database!$AL511&lt;&gt;"")))),1,0)=0),-999999,IF(Screener!$B$15="cornerstone overlap first",H511*100000,0)+W_SUB*B511+W_SEC*C511*(1-B511)+W_SIZE*D511+W_PROF*E511+W_AH*F511+W_REC*G511+W_CS*H511)+ROW()/1000000</f>
        <v/>
      </c>
      <c r="K511">
        <f>Database!B503</f>
        <v/>
      </c>
      <c r="L511">
        <f>Database!D503</f>
        <v/>
      </c>
      <c r="M511">
        <f>Database!E503</f>
        <v/>
      </c>
      <c r="N511">
        <f>Database!H503</f>
        <v/>
      </c>
      <c r="O511">
        <f>Database!AH503</f>
        <v/>
      </c>
      <c r="P511">
        <f>Database!AK503</f>
        <v/>
      </c>
      <c r="Q511">
        <f>Database!G503</f>
        <v/>
      </c>
    </row>
    <row r="512">
      <c r="A512">
        <f>Database!B512</f>
        <v/>
      </c>
      <c r="B512">
        <f>IF(AND(Screener!$D$9&lt;&gt;"",Database!$E512=Screener!$D$9),1,0)</f>
        <v/>
      </c>
      <c r="C512">
        <f>IF(AND(Screener!$D$8&lt;&gt;"",Database!$D512=Screener!$D$8),1,0)</f>
        <v/>
      </c>
      <c r="D512">
        <f>IF(OR(Database!$H512="",N(Screener!$D$10)&lt;=0),0,MAX(0,1-ABS(LOG10(Database!$H512/Screener!$D$10))/W_SIZEHW))</f>
        <v/>
      </c>
      <c r="E512">
        <f>IF(OR(Database!$AH512="",Screener!$D$11=""),0,IF(Database!$AH512=Screener!$D$11,1,0))</f>
        <v/>
      </c>
      <c r="F512">
        <f>IF(OR(Database!$AK512="",Screener!$D$12=""),0,IF(Database!$AK512=Screener!$D$12,1,0))</f>
        <v/>
      </c>
      <c r="G512">
        <f>IF(OR(Database!$G512="",N(Screener!$D$13)&lt;=0),0,MAX(0,1-(N(Screener!$D$13)-Database!$G512)/W_RECD))</f>
        <v/>
      </c>
      <c r="H512">
        <f>IF($K$1="",0,N(ISNUMBER(SEARCH($K$1,Database!$T512&amp;""))))+IF($L$1="",0,N(ISNUMBER(SEARCH($L$1,Database!$T512&amp;""))))+IF($M$1="",0,N(ISNUMBER(SEARCH($M$1,Database!$T512&amp;""))))+IF($N$1="",0,N(ISNUMBER(SEARCH($N$1,Database!$T512&amp;""))))+IF($O$1="",0,N(ISNUMBER(SEARCH($O$1,Database!$T512&amp;""))))+IF(Screener!$B$14="",0,N(ISNUMBER(SEARCH(Screener!$B$14,Database!$T512&amp;""))))</f>
        <v/>
      </c>
      <c r="I512">
        <f>IF(OR(Database!$B512=Screener!$B$5,IF(OR(Screener!$B$17="All",AND(Screener!$B$17="With A-share",(Database!$AL512&lt;&gt;"")),AND(Screener!$B$17="Without A-share",NOT((Database!$AL512&lt;&gt;"")))),1,0)=0),-999999,IF(Screener!$B$15="cornerstone overlap first",H512*100000,0)+W_SUB*B512+W_SEC*C512*(1-B512)+W_SIZE*D512+W_PROF*E512+W_AH*F512+W_REC*G512+W_CS*H512)+ROW()/1000000</f>
        <v/>
      </c>
      <c r="K512">
        <f>Database!B504</f>
        <v/>
      </c>
      <c r="L512">
        <f>Database!D504</f>
        <v/>
      </c>
      <c r="M512">
        <f>Database!E504</f>
        <v/>
      </c>
      <c r="N512">
        <f>Database!H504</f>
        <v/>
      </c>
      <c r="O512">
        <f>Database!AH504</f>
        <v/>
      </c>
      <c r="P512">
        <f>Database!AK504</f>
        <v/>
      </c>
      <c r="Q512">
        <f>Database!G504</f>
        <v/>
      </c>
    </row>
    <row r="513">
      <c r="A513">
        <f>Database!B513</f>
        <v/>
      </c>
      <c r="B513">
        <f>IF(AND(Screener!$D$9&lt;&gt;"",Database!$E513=Screener!$D$9),1,0)</f>
        <v/>
      </c>
      <c r="C513">
        <f>IF(AND(Screener!$D$8&lt;&gt;"",Database!$D513=Screener!$D$8),1,0)</f>
        <v/>
      </c>
      <c r="D513">
        <f>IF(OR(Database!$H513="",N(Screener!$D$10)&lt;=0),0,MAX(0,1-ABS(LOG10(Database!$H513/Screener!$D$10))/W_SIZEHW))</f>
        <v/>
      </c>
      <c r="E513">
        <f>IF(OR(Database!$AH513="",Screener!$D$11=""),0,IF(Database!$AH513=Screener!$D$11,1,0))</f>
        <v/>
      </c>
      <c r="F513">
        <f>IF(OR(Database!$AK513="",Screener!$D$12=""),0,IF(Database!$AK513=Screener!$D$12,1,0))</f>
        <v/>
      </c>
      <c r="G513">
        <f>IF(OR(Database!$G513="",N(Screener!$D$13)&lt;=0),0,MAX(0,1-(N(Screener!$D$13)-Database!$G513)/W_RECD))</f>
        <v/>
      </c>
      <c r="H513">
        <f>IF($K$1="",0,N(ISNUMBER(SEARCH($K$1,Database!$T513&amp;""))))+IF($L$1="",0,N(ISNUMBER(SEARCH($L$1,Database!$T513&amp;""))))+IF($M$1="",0,N(ISNUMBER(SEARCH($M$1,Database!$T513&amp;""))))+IF($N$1="",0,N(ISNUMBER(SEARCH($N$1,Database!$T513&amp;""))))+IF($O$1="",0,N(ISNUMBER(SEARCH($O$1,Database!$T513&amp;""))))+IF(Screener!$B$14="",0,N(ISNUMBER(SEARCH(Screener!$B$14,Database!$T513&amp;""))))</f>
        <v/>
      </c>
      <c r="I513">
        <f>IF(OR(Database!$B513=Screener!$B$5,IF(OR(Screener!$B$17="All",AND(Screener!$B$17="With A-share",(Database!$AL513&lt;&gt;"")),AND(Screener!$B$17="Without A-share",NOT((Database!$AL513&lt;&gt;"")))),1,0)=0),-999999,IF(Screener!$B$15="cornerstone overlap first",H513*100000,0)+W_SUB*B513+W_SEC*C513*(1-B513)+W_SIZE*D513+W_PROF*E513+W_AH*F513+W_REC*G513+W_CS*H513)+ROW()/1000000</f>
        <v/>
      </c>
      <c r="K513">
        <f>Database!B505</f>
        <v/>
      </c>
      <c r="L513">
        <f>Database!D505</f>
        <v/>
      </c>
      <c r="M513">
        <f>Database!E505</f>
        <v/>
      </c>
      <c r="N513">
        <f>Database!H505</f>
        <v/>
      </c>
      <c r="O513">
        <f>Database!AH505</f>
        <v/>
      </c>
      <c r="P513">
        <f>Database!AK505</f>
        <v/>
      </c>
      <c r="Q513">
        <f>Database!G505</f>
        <v/>
      </c>
    </row>
    <row r="514">
      <c r="A514">
        <f>Database!B514</f>
        <v/>
      </c>
      <c r="B514">
        <f>IF(AND(Screener!$D$9&lt;&gt;"",Database!$E514=Screener!$D$9),1,0)</f>
        <v/>
      </c>
      <c r="C514">
        <f>IF(AND(Screener!$D$8&lt;&gt;"",Database!$D514=Screener!$D$8),1,0)</f>
        <v/>
      </c>
      <c r="D514">
        <f>IF(OR(Database!$H514="",N(Screener!$D$10)&lt;=0),0,MAX(0,1-ABS(LOG10(Database!$H514/Screener!$D$10))/W_SIZEHW))</f>
        <v/>
      </c>
      <c r="E514">
        <f>IF(OR(Database!$AH514="",Screener!$D$11=""),0,IF(Database!$AH514=Screener!$D$11,1,0))</f>
        <v/>
      </c>
      <c r="F514">
        <f>IF(OR(Database!$AK514="",Screener!$D$12=""),0,IF(Database!$AK514=Screener!$D$12,1,0))</f>
        <v/>
      </c>
      <c r="G514">
        <f>IF(OR(Database!$G514="",N(Screener!$D$13)&lt;=0),0,MAX(0,1-(N(Screener!$D$13)-Database!$G514)/W_RECD))</f>
        <v/>
      </c>
      <c r="H514">
        <f>IF($K$1="",0,N(ISNUMBER(SEARCH($K$1,Database!$T514&amp;""))))+IF($L$1="",0,N(ISNUMBER(SEARCH($L$1,Database!$T514&amp;""))))+IF($M$1="",0,N(ISNUMBER(SEARCH($M$1,Database!$T514&amp;""))))+IF($N$1="",0,N(ISNUMBER(SEARCH($N$1,Database!$T514&amp;""))))+IF($O$1="",0,N(ISNUMBER(SEARCH($O$1,Database!$T514&amp;""))))+IF(Screener!$B$14="",0,N(ISNUMBER(SEARCH(Screener!$B$14,Database!$T514&amp;""))))</f>
        <v/>
      </c>
      <c r="I514">
        <f>IF(OR(Database!$B514=Screener!$B$5,IF(OR(Screener!$B$17="All",AND(Screener!$B$17="With A-share",(Database!$AL514&lt;&gt;"")),AND(Screener!$B$17="Without A-share",NOT((Database!$AL514&lt;&gt;"")))),1,0)=0),-999999,IF(Screener!$B$15="cornerstone overlap first",H514*100000,0)+W_SUB*B514+W_SEC*C514*(1-B514)+W_SIZE*D514+W_PROF*E514+W_AH*F514+W_REC*G514+W_CS*H514)+ROW()/1000000</f>
        <v/>
      </c>
      <c r="K514">
        <f>Database!B506</f>
        <v/>
      </c>
      <c r="L514">
        <f>Database!D506</f>
        <v/>
      </c>
      <c r="M514">
        <f>Database!E506</f>
        <v/>
      </c>
      <c r="N514">
        <f>Database!H506</f>
        <v/>
      </c>
      <c r="O514">
        <f>Database!AH506</f>
        <v/>
      </c>
      <c r="P514">
        <f>Database!AK506</f>
        <v/>
      </c>
      <c r="Q514">
        <f>Database!G506</f>
        <v/>
      </c>
    </row>
    <row r="515">
      <c r="A515">
        <f>Database!B515</f>
        <v/>
      </c>
      <c r="B515">
        <f>IF(AND(Screener!$D$9&lt;&gt;"",Database!$E515=Screener!$D$9),1,0)</f>
        <v/>
      </c>
      <c r="C515">
        <f>IF(AND(Screener!$D$8&lt;&gt;"",Database!$D515=Screener!$D$8),1,0)</f>
        <v/>
      </c>
      <c r="D515">
        <f>IF(OR(Database!$H515="",N(Screener!$D$10)&lt;=0),0,MAX(0,1-ABS(LOG10(Database!$H515/Screener!$D$10))/W_SIZEHW))</f>
        <v/>
      </c>
      <c r="E515">
        <f>IF(OR(Database!$AH515="",Screener!$D$11=""),0,IF(Database!$AH515=Screener!$D$11,1,0))</f>
        <v/>
      </c>
      <c r="F515">
        <f>IF(OR(Database!$AK515="",Screener!$D$12=""),0,IF(Database!$AK515=Screener!$D$12,1,0))</f>
        <v/>
      </c>
      <c r="G515">
        <f>IF(OR(Database!$G515="",N(Screener!$D$13)&lt;=0),0,MAX(0,1-(N(Screener!$D$13)-Database!$G515)/W_RECD))</f>
        <v/>
      </c>
      <c r="H515">
        <f>IF($K$1="",0,N(ISNUMBER(SEARCH($K$1,Database!$T515&amp;""))))+IF($L$1="",0,N(ISNUMBER(SEARCH($L$1,Database!$T515&amp;""))))+IF($M$1="",0,N(ISNUMBER(SEARCH($M$1,Database!$T515&amp;""))))+IF($N$1="",0,N(ISNUMBER(SEARCH($N$1,Database!$T515&amp;""))))+IF($O$1="",0,N(ISNUMBER(SEARCH($O$1,Database!$T515&amp;""))))+IF(Screener!$B$14="",0,N(ISNUMBER(SEARCH(Screener!$B$14,Database!$T515&amp;""))))</f>
        <v/>
      </c>
      <c r="I515">
        <f>IF(OR(Database!$B515=Screener!$B$5,IF(OR(Screener!$B$17="All",AND(Screener!$B$17="With A-share",(Database!$AL515&lt;&gt;"")),AND(Screener!$B$17="Without A-share",NOT((Database!$AL515&lt;&gt;"")))),1,0)=0),-999999,IF(Screener!$B$15="cornerstone overlap first",H515*100000,0)+W_SUB*B515+W_SEC*C515*(1-B515)+W_SIZE*D515+W_PROF*E515+W_AH*F515+W_REC*G515+W_CS*H515)+ROW()/1000000</f>
        <v/>
      </c>
      <c r="K515">
        <f>Database!B507</f>
        <v/>
      </c>
      <c r="L515">
        <f>Database!D507</f>
        <v/>
      </c>
      <c r="M515">
        <f>Database!E507</f>
        <v/>
      </c>
      <c r="N515">
        <f>Database!H507</f>
        <v/>
      </c>
      <c r="O515">
        <f>Database!AH507</f>
        <v/>
      </c>
      <c r="P515">
        <f>Database!AK507</f>
        <v/>
      </c>
      <c r="Q515">
        <f>Database!G507</f>
        <v/>
      </c>
    </row>
    <row r="516">
      <c r="K516">
        <f>Database!B508</f>
        <v/>
      </c>
      <c r="L516">
        <f>Database!D508</f>
        <v/>
      </c>
      <c r="M516">
        <f>Database!E508</f>
        <v/>
      </c>
      <c r="N516">
        <f>Database!H508</f>
        <v/>
      </c>
      <c r="O516">
        <f>Database!AH508</f>
        <v/>
      </c>
      <c r="P516">
        <f>Database!AK508</f>
        <v/>
      </c>
      <c r="Q516">
        <f>Database!G508</f>
        <v/>
      </c>
    </row>
    <row r="517">
      <c r="K517">
        <f>Database!B509</f>
        <v/>
      </c>
      <c r="L517">
        <f>Database!D509</f>
        <v/>
      </c>
      <c r="M517">
        <f>Database!E509</f>
        <v/>
      </c>
      <c r="N517">
        <f>Database!H509</f>
        <v/>
      </c>
      <c r="O517">
        <f>Database!AH509</f>
        <v/>
      </c>
      <c r="P517">
        <f>Database!AK509</f>
        <v/>
      </c>
      <c r="Q517">
        <f>Database!G509</f>
        <v/>
      </c>
    </row>
    <row r="518">
      <c r="K518">
        <f>Database!B510</f>
        <v/>
      </c>
      <c r="L518">
        <f>Database!D510</f>
        <v/>
      </c>
      <c r="M518">
        <f>Database!E510</f>
        <v/>
      </c>
      <c r="N518">
        <f>Database!H510</f>
        <v/>
      </c>
      <c r="O518">
        <f>Database!AH510</f>
        <v/>
      </c>
      <c r="P518">
        <f>Database!AK510</f>
        <v/>
      </c>
      <c r="Q518">
        <f>Database!G510</f>
        <v/>
      </c>
    </row>
    <row r="519">
      <c r="K519">
        <f>Database!B511</f>
        <v/>
      </c>
      <c r="L519">
        <f>Database!D511</f>
        <v/>
      </c>
      <c r="M519">
        <f>Database!E511</f>
        <v/>
      </c>
      <c r="N519">
        <f>Database!H511</f>
        <v/>
      </c>
      <c r="O519">
        <f>Database!AH511</f>
        <v/>
      </c>
      <c r="P519">
        <f>Database!AK511</f>
        <v/>
      </c>
      <c r="Q519">
        <f>Database!G511</f>
        <v/>
      </c>
    </row>
    <row r="520">
      <c r="K520">
        <f>Database!B512</f>
        <v/>
      </c>
      <c r="L520">
        <f>Database!D512</f>
        <v/>
      </c>
      <c r="M520">
        <f>Database!E512</f>
        <v/>
      </c>
      <c r="N520">
        <f>Database!H512</f>
        <v/>
      </c>
      <c r="O520">
        <f>Database!AH512</f>
        <v/>
      </c>
      <c r="P520">
        <f>Database!AK512</f>
        <v/>
      </c>
      <c r="Q520">
        <f>Database!G512</f>
        <v/>
      </c>
    </row>
    <row r="521">
      <c r="K521">
        <f>Database!B513</f>
        <v/>
      </c>
      <c r="L521">
        <f>Database!D513</f>
        <v/>
      </c>
      <c r="M521">
        <f>Database!E513</f>
        <v/>
      </c>
      <c r="N521">
        <f>Database!H513</f>
        <v/>
      </c>
      <c r="O521">
        <f>Database!AH513</f>
        <v/>
      </c>
      <c r="P521">
        <f>Database!AK513</f>
        <v/>
      </c>
      <c r="Q521">
        <f>Database!G513</f>
        <v/>
      </c>
    </row>
    <row r="522">
      <c r="K522">
        <f>Database!B514</f>
        <v/>
      </c>
      <c r="L522">
        <f>Database!D514</f>
        <v/>
      </c>
      <c r="M522">
        <f>Database!E514</f>
        <v/>
      </c>
      <c r="N522">
        <f>Database!H514</f>
        <v/>
      </c>
      <c r="O522">
        <f>Database!AH514</f>
        <v/>
      </c>
      <c r="P522">
        <f>Database!AK514</f>
        <v/>
      </c>
      <c r="Q522">
        <f>Database!G514</f>
        <v/>
      </c>
    </row>
    <row r="523">
      <c r="K523">
        <f>Database!B515</f>
        <v/>
      </c>
      <c r="L523">
        <f>Database!D515</f>
        <v/>
      </c>
      <c r="M523">
        <f>Database!E515</f>
        <v/>
      </c>
      <c r="N523">
        <f>Database!H515</f>
        <v/>
      </c>
      <c r="O523">
        <f>Database!AH515</f>
        <v/>
      </c>
      <c r="P523">
        <f>Database!AK515</f>
        <v/>
      </c>
      <c r="Q523">
        <f>Database!G515</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51"/>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511 Main Board IPOs 2021-2026 + pipeline · data as of 2026-08-19</t>
        </is>
      </c>
    </row>
    <row r="3"/>
    <row r="4">
      <c r="A4" s="26" t="inlineStr"/>
      <c r="B4" s="26" t="inlineStr"/>
    </row>
    <row r="5">
      <c r="A5" s="3" t="inlineStr">
        <is>
          <t>Blue cells</t>
        </is>
      </c>
      <c r="B5" s="26" t="inlineStr">
        <is>
          <t>you type these. Everything else calculates.</t>
        </is>
      </c>
    </row>
    <row r="6">
      <c r="A6" s="3" t="inlineStr">
        <is>
          <t>Start here</t>
        </is>
      </c>
      <c r="B6" s="26" t="inlineStr">
        <is>
          <t>Screener tab — pick a deal OR type your own terms; comps rank instantly.</t>
        </is>
      </c>
    </row>
    <row r="7">
      <c r="A7" s="3" t="inlineStr">
        <is>
          <t>Screener</t>
        </is>
      </c>
      <c r="B7" s="26" t="inlineStr">
        <is>
          <t>pick any past or pipeline deal, get its closest comps.</t>
        </is>
      </c>
    </row>
    <row r="8">
      <c r="A8" s="3" t="inlineStr">
        <is>
          <t>Analogs</t>
        </is>
      </c>
      <c r="B8" s="26" t="inlineStr">
        <is>
          <t>the raw subscription-bucket history behind the Screener read-out.</t>
        </is>
      </c>
    </row>
    <row r="9">
      <c r="A9" s="3" t="inlineStr">
        <is>
          <t>Green / amber</t>
        </is>
      </c>
      <c r="B9" s="26" t="inlineStr">
        <is>
          <t>cross-checked / single-source or judgment.</t>
        </is>
      </c>
    </row>
    <row r="10">
      <c r="A10" s="3" t="inlineStr">
        <is>
          <t>Money</t>
        </is>
      </c>
      <c r="B10" s="26" t="inlineStr">
        <is>
          <t>HK$ millions. Day-1 + = closed above offer. A/H + = H rich vs A.</t>
        </is>
      </c>
    </row>
    <row r="11">
      <c r="A11" s="3" t="inlineStr">
        <is>
          <t>Subscription</t>
        </is>
      </c>
      <c r="B11" s="26" t="inlineStr">
        <is>
          <t>filing basis: 10x = ten times the shares on offer.</t>
        </is>
      </c>
    </row>
    <row r="12">
      <c r="A12" s="26" t="inlineStr"/>
      <c r="B12" s="26" t="inlineStr"/>
    </row>
    <row r="13">
      <c r="A13" s="3" t="inlineStr">
        <is>
          <t>Not captured</t>
        </is>
      </c>
      <c r="B13" s="26" t="inlineStr">
        <is>
          <t>underwriting fee splits (never public per deal).</t>
        </is>
      </c>
    </row>
    <row r="14">
      <c r="A14" s="3" t="inlineStr">
        <is>
          <t>Judgment call</t>
        </is>
      </c>
      <c r="B14" s="26" t="inlineStr">
        <is>
          <t>sector and subsector are analyst-assigned, shown amber.</t>
        </is>
      </c>
    </row>
    <row r="15"/>
    <row r="16">
      <c r="A16" s="3" t="inlineStr">
        <is>
          <t>SCREENER WEIGHTS (edit to re-tune)</t>
        </is>
      </c>
    </row>
    <row r="17">
      <c r="A17" s="3" t="inlineStr">
        <is>
          <t>W_SUB</t>
        </is>
      </c>
      <c r="B17" s="5" t="n">
        <v>1000</v>
      </c>
      <c r="C17" s="2" t="inlineStr">
        <is>
          <t>same subsector — dominant by design</t>
        </is>
      </c>
    </row>
    <row r="18">
      <c r="A18" s="3" t="inlineStr">
        <is>
          <t>W_SEC</t>
        </is>
      </c>
      <c r="B18" s="5" t="n">
        <v>300</v>
      </c>
      <c r="C18" s="2" t="inlineStr">
        <is>
          <t>same sector fallback</t>
        </is>
      </c>
    </row>
    <row r="19">
      <c r="A19" s="3" t="inlineStr">
        <is>
          <t>W_SIZE</t>
        </is>
      </c>
      <c r="B19" s="5" t="n">
        <v>200</v>
      </c>
      <c r="C19" s="2" t="inlineStr">
        <is>
          <t>size proximity</t>
        </is>
      </c>
    </row>
    <row r="20">
      <c r="A20" s="3" t="inlineStr">
        <is>
          <t>W_PROF</t>
        </is>
      </c>
      <c r="B20" s="5" t="n">
        <v>100</v>
      </c>
      <c r="C20" s="2" t="inlineStr">
        <is>
          <t>profitability match</t>
        </is>
      </c>
    </row>
    <row r="21">
      <c r="A21" s="3" t="inlineStr">
        <is>
          <t>W_AH</t>
        </is>
      </c>
      <c r="B21" s="5" t="n">
        <v>50</v>
      </c>
      <c r="C21" s="2" t="inlineStr">
        <is>
          <t>H-share match</t>
        </is>
      </c>
    </row>
    <row r="22">
      <c r="A22" s="3" t="inlineStr">
        <is>
          <t>W_REC</t>
        </is>
      </c>
      <c r="B22" s="5" t="n">
        <v>80</v>
      </c>
      <c r="C22" s="2" t="inlineStr">
        <is>
          <t>recency</t>
        </is>
      </c>
    </row>
    <row r="23">
      <c r="A23" s="3" t="inlineStr">
        <is>
          <t>W_CS</t>
        </is>
      </c>
      <c r="B23" s="5" t="n">
        <v>12</v>
      </c>
      <c r="C23" s="2" t="inlineStr">
        <is>
          <t>shares a cornerstone investor with the target</t>
        </is>
      </c>
    </row>
    <row r="24">
      <c r="A24" s="3" t="inlineStr">
        <is>
          <t>W_SIZEHW</t>
        </is>
      </c>
      <c r="B24" s="5" t="n">
        <v>1.5</v>
      </c>
      <c r="C24" s="2" t="inlineStr">
        <is>
          <t>size log half-width</t>
        </is>
      </c>
    </row>
    <row r="25">
      <c r="A25" s="3" t="inlineStr">
        <is>
          <t>W_RECD</t>
        </is>
      </c>
      <c r="B25" s="5" t="n">
        <v>1825</v>
      </c>
      <c r="C25" s="2" t="inlineStr">
        <is>
          <t>recency horizon (days)</t>
        </is>
      </c>
    </row>
    <row r="26"/>
    <row r="27">
      <c r="A27" s="3" t="inlineStr">
        <is>
          <t>WHERE EACH DATABASE COLUMN COMES FROM</t>
        </is>
      </c>
    </row>
    <row r="28">
      <c r="A28" s="7" t="inlineStr">
        <is>
          <t>Column</t>
        </is>
      </c>
      <c r="B28" s="7" t="inlineStr">
        <is>
          <t>Source and method</t>
        </is>
      </c>
    </row>
    <row r="29" ht="26" customHeight="1">
      <c r="A29" s="24" t="inlineStr">
        <is>
          <t>Code / Name / date</t>
        </is>
      </c>
      <c r="B29" s="69" t="inlineStr">
        <is>
          <t>HKEX Allotment Results announcement — every IPO must file one, so the roster is enumerated from the filings themselves, not from a list.</t>
        </is>
      </c>
    </row>
    <row r="30" ht="26" customHeight="1">
      <c r="A30" s="24" t="inlineStr">
        <is>
          <t>Name (CN)</t>
        </is>
      </c>
      <c r="B30" s="69" t="inlineStr">
        <is>
          <t>HKEX bilingual securities feed (activestock/inactivestock _c.json).</t>
        </is>
      </c>
    </row>
    <row r="31" ht="26" customHeight="1">
      <c r="A31" s="24" t="inlineStr">
        <is>
          <t>Sector / Subsector</t>
        </is>
      </c>
      <c r="B31" s="69" t="inlineStr">
        <is>
          <t>Analyst-assigned against data/taxonomy.json. New deals get a provisional keyword label (~49% exact) shown amber until relabelled.</t>
        </is>
      </c>
    </row>
    <row r="32" ht="26" customHeight="1">
      <c r="A32" s="24" t="inlineStr">
        <is>
          <t>Deal size</t>
        </is>
      </c>
      <c r="B32" s="69" t="inlineStr">
        <is>
          <t>Ladder, and the basis is printed beside it: stated gross proceeds &gt; final price x offer shares &gt; net proceeds. From the final-price announcement and the prospectus.</t>
        </is>
      </c>
    </row>
    <row r="33" ht="26" customHeight="1">
      <c r="A33" s="24" t="inlineStr">
        <is>
          <t>Range low / Max-cap</t>
        </is>
      </c>
      <c r="B33" s="69" t="inlineStr">
        <is>
          <t>Prospectus indicative range; the cap is the 'Maximum Offer Price'. A fixed-price offer has no range and is labelled as such.</t>
        </is>
      </c>
    </row>
    <row r="34" ht="26" customHeight="1">
      <c r="A34" s="24" t="inlineStr">
        <is>
          <t>Final px</t>
        </is>
      </c>
      <c r="B34" s="69" t="inlineStr">
        <is>
          <t>Allotment Results announcement (the struck price).</t>
        </is>
      </c>
    </row>
    <row r="35" ht="26" customHeight="1">
      <c r="A35" s="24" t="inlineStr">
        <is>
          <t>% of cap</t>
        </is>
      </c>
      <c r="B35" s="69" t="inlineStr">
        <is>
          <t>final price / cap. Fixed-price offers are 100% by definition.</t>
        </is>
      </c>
    </row>
    <row r="36" ht="26" customHeight="1">
      <c r="A36" s="24" t="inlineStr">
        <is>
          <t>Mkt cap at IPO</t>
        </is>
      </c>
      <c r="B36" s="69" t="inlineStr">
        <is>
          <t>Ladder, printed in 'Mkt cap basis': final price x shares on listing &gt; deal size / offer % of enlarged capital &gt; issuer-stated expected market cap &gt; AAStocks 上市市值 scaled to the struck price. Cross-checked against AAStocks; &gt;25% disagreement is flagged orange.</t>
        </is>
      </c>
    </row>
    <row r="37" ht="26" customHeight="1">
      <c r="A37" s="24" t="inlineStr">
        <is>
          <t>Public / Intl sub</t>
        </is>
      </c>
      <c r="B37" s="69" t="inlineStr">
        <is>
          <t>Allotment Results — the subscription section, read per tranche. Under-subscription (&lt;1x) is captured as data, not dropped.</t>
        </is>
      </c>
    </row>
    <row r="38" ht="26" customHeight="1">
      <c r="A38" s="24" t="inlineStr">
        <is>
          <t>Cornerstone % / investors</t>
        </is>
      </c>
      <c r="B38" s="69" t="inlineStr">
        <is>
          <t>Prospectus cornerstone section (names cleaned of PDF table damage), filled from AAStocks 機構性投資者 where the filing text did not survive extraction.</t>
        </is>
      </c>
    </row>
    <row r="39" ht="26" customHeight="1">
      <c r="A39" s="24" t="inlineStr">
        <is>
          <t>Greenshoe size</t>
        </is>
      </c>
      <c r="B39" s="69" t="inlineStr">
        <is>
          <t>over-allocated shares / offer shares, from the prospectus.</t>
        </is>
      </c>
    </row>
    <row r="40" ht="26" customHeight="1">
      <c r="A40" s="24" t="inlineStr">
        <is>
          <t>Shoe outcome</t>
        </is>
      </c>
      <c r="B40" s="69" t="inlineStr">
        <is>
          <t>The END OF STABILISATION notice filed ~30 days after listing — the allotment-day wording can only ever say 'not yet'.</t>
        </is>
      </c>
    </row>
    <row r="41" ht="26" customHeight="1">
      <c r="A41" s="24" t="inlineStr">
        <is>
          <t>Day-1</t>
        </is>
      </c>
      <c r="B41" s="69" t="inlineStr">
        <is>
          <t>Listing-day close vs the struck offer price (Yahoo). Where Yahoo has no session at the listing date the value comes from AAStocks instead — it is never measured off a later session.</t>
        </is>
      </c>
    </row>
    <row r="42" ht="26" customHeight="1">
      <c r="A42" s="24" t="inlineStr">
        <is>
          <t>1-week / 1-month / 3-month</t>
        </is>
      </c>
      <c r="B42" s="69" t="inlineStr">
        <is>
          <t>Close 5 / 21 / 63 trading bars after the debut, all vs the OFFER price.</t>
        </is>
      </c>
    </row>
    <row r="43" ht="26" customHeight="1">
      <c r="A43" s="24" t="inlineStr">
        <is>
          <t>1m ex-pop</t>
        </is>
      </c>
      <c r="B43" s="69" t="inlineStr">
        <is>
          <t>Same horizon measured from the day-1 CLOSE instead — strips the debut pop and answers whether it held.</t>
        </is>
      </c>
    </row>
    <row r="44" ht="26" customHeight="1">
      <c r="A44" s="24" t="inlineStr">
        <is>
          <t>Alpha / Index</t>
        </is>
      </c>
      <c r="B44" s="69" t="inlineStr">
        <is>
          <t>The deal's own sector index over the identical window, anchored at the index close BEFORE the listing (the moment the subscription money was committed). Index named per row; map on the Taxonomy tab.</t>
        </is>
      </c>
    </row>
    <row r="45" ht="26" customHeight="1">
      <c r="A45" s="24" t="inlineStr">
        <is>
          <t>Since IPO</t>
        </is>
      </c>
      <c r="B45" s="69" t="inlineStr">
        <is>
          <t>Latest close vs the offer price.</t>
        </is>
      </c>
    </row>
    <row r="46" ht="26" customHeight="1">
      <c r="A46" s="24" t="inlineStr">
        <is>
          <t>Revenue / NI</t>
        </is>
      </c>
      <c r="B46" s="69" t="inlineStr">
        <is>
          <t>Prospectus Financial Information section, latest full year, converted to HK$ at a fixed rate stated in the file.</t>
        </is>
      </c>
    </row>
    <row r="47" ht="26" customHeight="1">
      <c r="A47" s="24" t="inlineStr">
        <is>
          <t>P/E at IPO</t>
        </is>
      </c>
      <c r="B47" s="69" t="inlineStr">
        <is>
          <t>market cap / latest FY net income. Loss-makers read n/m — a negative P/E is meaningless — and carry P/S instead.</t>
        </is>
      </c>
    </row>
    <row r="48" ht="26" customHeight="1">
      <c r="A48" s="24" t="inlineStr">
        <is>
          <t>H disc vs A at IPO</t>
        </is>
      </c>
      <c r="B48" s="69" t="inlineStr">
        <is>
          <t>H offer price vs the A-share close on the last session BEFORE the H listing, converted at that day's CNYHKD. Negative = H struck below the A line. Verified by hand on CATL (-6.7%).</t>
        </is>
      </c>
    </row>
    <row r="49" ht="26" customHeight="1">
      <c r="A49" s="24" t="inlineStr">
        <is>
          <t>A/H premium (today)</t>
        </is>
      </c>
      <c r="B49" s="69" t="inlineStr">
        <is>
          <t>Latest A and H closes, same conversion.</t>
        </is>
      </c>
    </row>
    <row r="50" ht="26" customHeight="1">
      <c r="A50" s="24" t="inlineStr">
        <is>
          <t>Sponsors / Bookrunners</t>
        </is>
      </c>
      <c r="B50" s="69" t="inlineStr">
        <is>
          <t>Prospectus cover page. The AAStocks columns beside them are 保薦人 and 包銷商 from the deal's AAStocks page — a second, independent print of the same fact.</t>
        </is>
      </c>
    </row>
    <row r="51" ht="26" customHeight="1">
      <c r="A51" s="24" t="inlineStr">
        <is>
          <t>Prospectus / Allotment / Stabilisation</t>
        </is>
      </c>
      <c r="B51" s="69" t="inlineStr">
        <is>
          <t>Direct HKEX filing URLs,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2026-08-18T17:08:38Z</dcterms:created>
  <dcterms:modified xmlns:dcterms="http://purl.org/dc/terms/" xmlns:xsi="http://www.w3.org/2001/XMLSchema-instance" xsi:type="dcterms:W3CDTF">2026-08-18T17:08:39Z</dcterms:modified>
</cp:coreProperties>
</file>