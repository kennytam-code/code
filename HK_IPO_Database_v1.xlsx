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EW DEAL" sheetId="1" state="visible" r:id="rId1"/>
    <sheet xmlns:r="http://schemas.openxmlformats.org/officeDocument/2006/relationships" name="Screener" sheetId="2" state="visible" r:id="rId2"/>
    <sheet xmlns:r="http://schemas.openxmlformats.org/officeDocument/2006/relationships" name="Database" sheetId="3" state="visible" r:id="rId3"/>
    <sheet xmlns:r="http://schemas.openxmlformats.org/officeDocument/2006/relationships" name="Pipeline" sheetId="4" state="visible" r:id="rId4"/>
    <sheet xmlns:r="http://schemas.openxmlformats.org/officeDocument/2006/relationships" name="AH" sheetId="5" state="visible" r:id="rId5"/>
    <sheet xmlns:r="http://schemas.openxmlformats.org/officeDocument/2006/relationships" name="Analogs" sheetId="6" state="visible" r:id="rId6"/>
    <sheet xmlns:r="http://schemas.openxmlformats.org/officeDocument/2006/relationships" name="SizeBench" sheetId="7" state="visible" r:id="rId7"/>
    <sheet xmlns:r="http://schemas.openxmlformats.org/officeDocument/2006/relationships" name="Taxonomy" sheetId="8" state="visible" r:id="rId8"/>
    <sheet xmlns:r="http://schemas.openxmlformats.org/officeDocument/2006/relationships" name="Verification" sheetId="9" state="visible" r:id="rId9"/>
    <sheet xmlns:r="http://schemas.openxmlformats.org/officeDocument/2006/relationships" name="Notes" sheetId="10" state="visible" r:id="rId10"/>
  </sheets>
  <definedNames>
    <definedName name="AllDeals">Screener!$AA$2:$AA$517</definedName>
    <definedName name="AnalogKey">Analogs!$A$13:$A$145</definedName>
    <definedName name="AnalogN">Analogs!$D$13:$D$145</definedName>
    <definedName name="AnalogMed">Analogs!$E$13:$E$145</definedName>
    <definedName name="AnalogHit">Analogs!$F$13:$F$145</definedName>
    <definedName name="SubsecKey">Analogs!$A$149:$A$191</definedName>
    <definedName name="SubsecN">Analogs!$B$149:$B$191</definedName>
    <definedName name="SubsecMed">Analogs!$C$149:$C$191</definedName>
    <definedName name="SubsecHit">Analogs!$D$149:$D$191</definedName>
    <definedName name="SubsecPE">Analogs!$E$149:$E$191</definedName>
    <definedName name="SubsecPS">Analogs!$F$149:$F$191</definedName>
    <definedName name="W_SUB">Notes!$B$17</definedName>
    <definedName name="W_SEC">Notes!$B$18</definedName>
    <definedName name="W_SIZE">Notes!$B$19</definedName>
    <definedName name="W_PROF">Notes!$B$20</definedName>
    <definedName name="W_AH">Notes!$B$21</definedName>
    <definedName name="W_REC">Notes!$B$22</definedName>
    <definedName name="W_SIZEHW">Notes!$B$23</definedName>
    <definedName name="W_RECD">Notes!$B$24</definedName>
    <definedName name="SubsectorList">Taxonomy!$E$4:$E$46</definedName>
    <definedName name="_xlnm._FilterDatabase" localSheetId="2" hidden="1">'Database'!$A$4:$AE$515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0.000"/>
    <numFmt numFmtId="165" formatCode="#,##0.0"/>
    <numFmt numFmtId="166" formatCode="0.0&quot;%&quot;"/>
    <numFmt numFmtId="167" formatCode="0.0"/>
    <numFmt numFmtId="168" formatCode="0&quot;%&quot;"/>
    <numFmt numFmtId="169" formatCode="yyyy-mm-dd"/>
    <numFmt numFmtId="170" formatCode="0.0&quot;%&quot;;;&quot;none&quot;"/>
    <numFmt numFmtId="171" formatCode="0.0000"/>
    <numFmt numFmtId="172" formatCode="+0.0%;-0.0%"/>
  </numFmts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808080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FFE699"/>
      </patternFill>
    </fill>
    <fill>
      <patternFill patternType="solid">
        <fgColor rgb="00C6EFCE"/>
      </patternFill>
    </fill>
    <fill>
      <patternFill patternType="solid">
        <fgColor rgb="00FFC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5" fillId="2" borderId="1" pivotButton="0" quotePrefix="0" xfId="0"/>
    <xf numFmtId="3" fontId="5" fillId="2" borderId="1" pivotButton="0" quotePrefix="0" xfId="0"/>
    <xf numFmtId="164" fontId="5" fillId="2" borderId="1" pivotButton="0" quotePrefix="0" xfId="0"/>
    <xf numFmtId="165" fontId="5" fillId="2" borderId="1" pivotButton="0" quotePrefix="0" xfId="0"/>
    <xf numFmtId="166" fontId="5" fillId="2" borderId="1" pivotButton="0" quotePrefix="0" xfId="0"/>
    <xf numFmtId="3" fontId="4" fillId="3" borderId="1" pivotButton="0" quotePrefix="0" xfId="0"/>
    <xf numFmtId="167" fontId="4" fillId="3" borderId="1" pivotButton="0" quotePrefix="0" xfId="0"/>
    <xf numFmtId="0" fontId="4" fillId="3" borderId="1" pivotButton="0" quotePrefix="0" xfId="0"/>
    <xf numFmtId="9" fontId="4" fillId="3" borderId="1" pivotButton="0" quotePrefix="0" xfId="0"/>
    <xf numFmtId="0" fontId="6" fillId="4" borderId="1" applyAlignment="1" pivotButton="0" quotePrefix="0" xfId="0">
      <alignment horizontal="center" vertical="center" wrapText="1"/>
    </xf>
    <xf numFmtId="1" fontId="4" fillId="3" borderId="1" pivotButton="0" quotePrefix="0" xfId="0"/>
    <xf numFmtId="166" fontId="4" fillId="3" borderId="1" pivotButton="0" quotePrefix="0" xfId="0"/>
    <xf numFmtId="168" fontId="4" fillId="3" borderId="1" pivotButton="0" quotePrefix="0" xfId="0"/>
    <xf numFmtId="169" fontId="4" fillId="3" borderId="1" pivotButton="0" quotePrefix="0" xfId="0"/>
    <xf numFmtId="165" fontId="4" fillId="3" borderId="1" pivotButton="0" quotePrefix="0" xfId="0"/>
    <xf numFmtId="0" fontId="4" fillId="0" borderId="1" applyAlignment="1" pivotButton="0" quotePrefix="0" xfId="0">
      <alignment horizontal="center"/>
    </xf>
    <xf numFmtId="0" fontId="3" fillId="0" borderId="1" pivotButton="0" quotePrefix="0" xfId="0"/>
    <xf numFmtId="0" fontId="4" fillId="0" borderId="0" pivotButton="0" quotePrefix="0" xfId="0"/>
    <xf numFmtId="49" fontId="4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3" fontId="4" fillId="3" borderId="0" pivotButton="0" quotePrefix="0" xfId="0"/>
    <xf numFmtId="164" fontId="4" fillId="0" borderId="0" pivotButton="0" quotePrefix="0" xfId="0"/>
    <xf numFmtId="166" fontId="4" fillId="3" borderId="0" pivotButton="0" quotePrefix="0" xfId="0"/>
    <xf numFmtId="0" fontId="4" fillId="3" borderId="0" pivotButton="0" quotePrefix="0" xfId="0"/>
    <xf numFmtId="165" fontId="4" fillId="5" borderId="0" pivotButton="0" quotePrefix="0" xfId="0"/>
    <xf numFmtId="167" fontId="4" fillId="0" borderId="0" pivotButton="0" quotePrefix="0" xfId="0"/>
    <xf numFmtId="166" fontId="4" fillId="0" borderId="0" pivotButton="0" quotePrefix="0" xfId="0"/>
    <xf numFmtId="170" fontId="4" fillId="0" borderId="0" pivotButton="0" quotePrefix="0" xfId="0"/>
    <xf numFmtId="167" fontId="4" fillId="3" borderId="0" pivotButton="0" quotePrefix="0" xfId="0"/>
    <xf numFmtId="3" fontId="4" fillId="0" borderId="0" pivotButton="0" quotePrefix="0" xfId="0"/>
    <xf numFmtId="3" fontId="4" fillId="5" borderId="0" pivotButton="0" quotePrefix="0" xfId="0"/>
    <xf numFmtId="167" fontId="4" fillId="5" borderId="0" pivotButton="0" quotePrefix="0" xfId="0"/>
    <xf numFmtId="0" fontId="4" fillId="6" borderId="0" pivotButton="0" quotePrefix="0" xfId="0"/>
    <xf numFmtId="169" fontId="4" fillId="0" borderId="0" pivotButton="0" quotePrefix="0" xfId="0"/>
    <xf numFmtId="165" fontId="4" fillId="0" borderId="0" pivotButton="0" quotePrefix="0" xfId="0"/>
    <xf numFmtId="164" fontId="4" fillId="7" borderId="0" pivotButton="0" quotePrefix="0" xfId="0"/>
    <xf numFmtId="170" fontId="4" fillId="3" borderId="0" pivotButton="0" quotePrefix="0" xfId="0"/>
    <xf numFmtId="169" fontId="4" fillId="6" borderId="0" pivotButton="0" quotePrefix="0" xfId="0"/>
    <xf numFmtId="164" fontId="4" fillId="6" borderId="0" pivotButton="0" quotePrefix="0" xfId="0"/>
    <xf numFmtId="166" fontId="4" fillId="6" borderId="0" pivotButton="0" quotePrefix="0" xfId="0"/>
    <xf numFmtId="165" fontId="4" fillId="6" borderId="0" pivotButton="0" quotePrefix="0" xfId="0"/>
    <xf numFmtId="166" fontId="4" fillId="7" borderId="0" pivotButton="0" quotePrefix="0" xfId="0"/>
    <xf numFmtId="165" fontId="4" fillId="7" borderId="0" pivotButton="0" quotePrefix="0" xfId="0"/>
    <xf numFmtId="171" fontId="4" fillId="3" borderId="1" pivotButton="0" quotePrefix="0" xfId="0"/>
    <xf numFmtId="49" fontId="4" fillId="0" borderId="1" pivotButton="0" quotePrefix="0" xfId="0"/>
    <xf numFmtId="164" fontId="4" fillId="3" borderId="1" pivotButton="0" quotePrefix="0" xfId="0"/>
    <xf numFmtId="172" fontId="4" fillId="3" borderId="1" pivotButton="0" quotePrefix="0" xfId="0"/>
    <xf numFmtId="172" fontId="4" fillId="0" borderId="1" pivotButton="0" quotePrefix="0" xfId="0"/>
    <xf numFmtId="1" fontId="4" fillId="0" borderId="1" pivotButton="0" quotePrefix="0" xfId="0"/>
    <xf numFmtId="166" fontId="4" fillId="0" borderId="1" pivotButton="0" quotePrefix="0" xfId="0"/>
    <xf numFmtId="168" fontId="4" fillId="0" borderId="1" pivotButton="0" quotePrefix="0" xfId="0"/>
    <xf numFmtId="0" fontId="2" fillId="0" borderId="1" pivotButton="0" quotePrefix="0" xfId="0"/>
    <xf numFmtId="167" fontId="4" fillId="0" borderId="1" pivotButton="0" quotePrefix="0" xfId="0"/>
    <xf numFmtId="169" fontId="4" fillId="0" borderId="1" pivotButton="0" quotePrefix="0" xfId="0"/>
    <xf numFmtId="3" fontId="4" fillId="0" borderId="1" pivotButton="0" quotePrefix="0" xfId="0"/>
    <xf numFmtId="0" fontId="3" fillId="3" borderId="0" pivotButton="0" quotePrefix="0" xfId="0"/>
    <xf numFmtId="165" fontId="4" fillId="0" borderId="1" pivotButton="0" quotePrefix="0" xfId="0"/>
    <xf numFmtId="164" fontId="4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000"/>
        </patternFill>
      </fill>
    </dxf>
    <dxf>
      <fill>
        <patternFill patternType="solid">
          <f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12" customWidth="1" min="3" max="3"/>
    <col width="13" customWidth="1" min="4" max="4"/>
    <col width="8" customWidth="1" min="5" max="5"/>
    <col width="8" customWidth="1" min="6" max="6"/>
    <col width="13" customWidth="1" min="7" max="7"/>
    <col width="10" customWidth="1" min="8" max="8"/>
  </cols>
  <sheetData>
    <row r="1">
      <c r="A1" s="1" t="inlineStr">
        <is>
          <t>NEW DEAL — type the terms from the prospectus</t>
        </is>
      </c>
    </row>
    <row r="2">
      <c r="A2" s="2" t="inlineStr">
        <is>
          <t>Blue = you type it. Everything else calculates. Update the subscription cell daily during bookbuild.</t>
        </is>
      </c>
    </row>
    <row r="4">
      <c r="A4" s="3" t="inlineStr">
        <is>
          <t>1 · DEAL TERMS</t>
        </is>
      </c>
    </row>
    <row r="5">
      <c r="A5" s="4" t="inlineStr">
        <is>
          <t>Deal name</t>
        </is>
      </c>
      <c r="B5" s="5" t="n"/>
    </row>
    <row r="6">
      <c r="A6" s="4" t="inlineStr">
        <is>
          <t>Subsector</t>
        </is>
      </c>
      <c r="B6" s="5" t="n"/>
      <c r="C6" s="2" t="inlineStr">
        <is>
          <t>pick from the list (full list on Taxonomy tab)</t>
        </is>
      </c>
    </row>
    <row r="7">
      <c r="A7" s="4" t="inlineStr">
        <is>
          <t>Offer size (HK$m)</t>
        </is>
      </c>
      <c r="B7" s="6" t="n"/>
    </row>
    <row r="8">
      <c r="A8" s="4" t="inlineStr">
        <is>
          <t>Offer price (HK$)</t>
        </is>
      </c>
      <c r="B8" s="7" t="n"/>
    </row>
    <row r="9">
      <c r="A9" s="4" t="inlineStr">
        <is>
          <t>Max / cap price (HK$)</t>
        </is>
      </c>
      <c r="B9" s="7" t="n"/>
    </row>
    <row r="10">
      <c r="A10" s="4" t="inlineStr">
        <is>
          <t>Shares in issue after IPO (m)</t>
        </is>
      </c>
      <c r="B10" s="8" t="n"/>
    </row>
    <row r="11">
      <c r="A11" s="4" t="inlineStr">
        <is>
          <t>Latest FY revenue (HK$m)</t>
        </is>
      </c>
      <c r="B11" s="6" t="n"/>
    </row>
    <row r="12">
      <c r="A12" s="4" t="inlineStr">
        <is>
          <t>Latest FY net profit (HK$m)</t>
        </is>
      </c>
      <c r="B12" s="6" t="n"/>
    </row>
    <row r="13">
      <c r="A13" s="4" t="inlineStr">
        <is>
          <t>Cornerstone % of offer</t>
        </is>
      </c>
      <c r="B13" s="9" t="n"/>
    </row>
    <row r="14">
      <c r="A14" s="4" t="inlineStr">
        <is>
          <t>HK public subscription (x)</t>
        </is>
      </c>
      <c r="B14" s="8" t="n"/>
      <c r="C14" s="2" t="inlineStr">
        <is>
          <t>update this daily while the book is open</t>
        </is>
      </c>
    </row>
    <row r="16">
      <c r="A16" s="3" t="inlineStr">
        <is>
          <t>2 · WHAT IT IMPLIES</t>
        </is>
      </c>
    </row>
    <row r="17">
      <c r="A17" s="4" t="inlineStr">
        <is>
          <t>Market cap at IPO (HK$m)</t>
        </is>
      </c>
      <c r="B17" s="10">
        <f>IF(OR($B$8="",$B$10=""),"",$B$8*$B$10)</f>
        <v/>
      </c>
    </row>
    <row r="18">
      <c r="A18" s="4" t="inlineStr">
        <is>
          <t>Implied P/E (x)</t>
        </is>
      </c>
      <c r="B18" s="11">
        <f>IF(OR($B$17="",$B$12="",$B$12&lt;=0),"n/m — loss-making",$B$17/$B$12)</f>
        <v/>
      </c>
    </row>
    <row r="19">
      <c r="A19" s="4" t="inlineStr">
        <is>
          <t>Implied P/S (x)</t>
        </is>
      </c>
      <c r="B19" s="11">
        <f>IF(OR($B$17="",$B$11="",$B$11&lt;=0),"",$B$17/$B$11)</f>
        <v/>
      </c>
    </row>
    <row r="20">
      <c r="A20" s="4" t="inlineStr">
        <is>
          <t>Priced at the cap?</t>
        </is>
      </c>
      <c r="B20" s="12">
        <f>IF(OR($B$8="",$B$9=""),"",IF($B$8&gt;=$B$9,"YES — top of range",TEXT($B$8/$B$9,"0%")&amp;" of cap"))</f>
        <v/>
      </c>
    </row>
    <row r="21">
      <c r="A21" s="4" t="inlineStr">
        <is>
          <t>Size bucket</t>
        </is>
      </c>
      <c r="B21" s="12">
        <f>IF($B$7="","",IF($B$7&gt;=20000,"Mega",IF($B$7&gt;=5000,"Large",IF($B$7&gt;=1000,"Mid","Small"))))</f>
        <v/>
      </c>
    </row>
    <row r="22">
      <c r="A22" s="4" t="inlineStr">
        <is>
          <t>Size percentile vs 2021-26</t>
        </is>
      </c>
      <c r="B22" s="13">
        <f>IF($B$7="","",COUNTIF(Database!$H$5:$H$515,"&lt;"&amp;$B$7)/COUNT(Database!$H$5:$H$515))</f>
        <v/>
      </c>
    </row>
    <row r="24">
      <c r="A24" s="3" t="inlineStr">
        <is>
          <t>3 · VALUATION vs THE SUBSECTOR</t>
        </is>
      </c>
    </row>
    <row r="25">
      <c r="A25" s="4" t="inlineStr">
        <is>
          <t>Subsector median P/E</t>
        </is>
      </c>
      <c r="B25" s="11">
        <f>IF($B$6="","",IFERROR(INDEX(SubsecPE,MATCH($B$6,SubsecKey,0)),""))</f>
        <v/>
      </c>
      <c r="C25" s="2" t="inlineStr">
        <is>
          <t>median of priced deals in this subsector (see Analogs tab for the sample size)</t>
        </is>
      </c>
    </row>
    <row r="26">
      <c r="A26" s="4" t="inlineStr">
        <is>
          <t>Subsector median P/S</t>
        </is>
      </c>
      <c r="B26" s="11">
        <f>IF($B$6="","",IFERROR(INDEX(SubsecPS,MATCH($B$6,SubsecKey,0)),""))</f>
        <v/>
      </c>
    </row>
    <row r="27">
      <c r="A27" s="4" t="inlineStr">
        <is>
          <t>Read</t>
        </is>
      </c>
      <c r="B27" s="12">
        <f>IF(AND(ISNUMBER($B$18),ISNUMBER($B$25)),IF($B$18&gt;$B$25*1.2,"RICH on P/E vs peers",IF($B$18&lt;$B$25*0.8,"CHEAP on P/E vs peers","in line on P/E")),IF(AND(ISNUMBER($B$19),ISNUMBER($B$26)),IF($B$19&gt;$B$26*1.2,"RICH on P/S vs peers",IF($B$19&lt;$B$26*0.8,"CHEAP on P/S vs peers","in line on P/S")),"type revenue / profit above"))</f>
        <v/>
      </c>
    </row>
    <row r="29">
      <c r="A29" s="3" t="inlineStr">
        <is>
          <t>4 · DAY-1 ANALOG — what deals like this did</t>
        </is>
      </c>
    </row>
    <row r="30">
      <c r="A30" s="2" t="inlineStr">
        <is>
          <t>Check n before you lean on a row. A thin sample is a thin sample.</t>
        </is>
      </c>
    </row>
    <row r="31">
      <c r="A31" s="14" t="inlineStr">
        <is>
          <t>Comparison set</t>
        </is>
      </c>
      <c r="B31" s="14" t="inlineStr">
        <is>
          <t>n</t>
        </is>
      </c>
      <c r="C31" s="14" t="inlineStr">
        <is>
          <t>Median day-1</t>
        </is>
      </c>
      <c r="D31" s="14" t="inlineStr">
        <is>
          <t>Hit-rate</t>
        </is>
      </c>
      <c r="E31" s="14" t="inlineStr">
        <is>
          <t>Read</t>
        </is>
      </c>
    </row>
    <row r="32">
      <c r="A32" s="4" t="inlineStr">
        <is>
          <t>Same subsector + same subscription</t>
        </is>
      </c>
      <c r="B32" s="15">
        <f>IF(OR($B$6="",$B$33=""),"",IFERROR(INDEX(AnalogN,MATCH($B$6&amp;"|"&amp;$B$33,AnalogKey,0)),"no match"))</f>
        <v/>
      </c>
      <c r="C32" s="16">
        <f>IFERROR(INDEX(AnalogMed,MATCH($B$6&amp;"|"&amp;$B$33,AnalogKey,0)),"")</f>
        <v/>
      </c>
      <c r="D32" s="17">
        <f>IFERROR(INDEX(AnalogHit,MATCH($B$6&amp;"|"&amp;$B$33,AnalogKey,0)),"")</f>
        <v/>
      </c>
      <c r="E32" s="12">
        <f>IF(N(B32)&gt;=5,"usable sample",IF(N(B32)&gt;0,"THIN — widen below","no history"))</f>
        <v/>
      </c>
    </row>
    <row r="33">
      <c r="A33" s="4" t="inlineStr">
        <is>
          <t>Subscription bucket</t>
        </is>
      </c>
      <c r="B33" s="12">
        <f>IF($B$14="","",IF($B$14&gt;=1000,"&gt;=1000x",IF($B$14&gt;=100,"100-1000x",IF($B$14&gt;=10,"10-100x","&lt;10x"))))</f>
        <v/>
      </c>
    </row>
    <row r="34">
      <c r="A34" s="4" t="inlineStr">
        <is>
          <t>Same subscription, any sector</t>
        </is>
      </c>
      <c r="B34" s="15">
        <f>IF($B$33="","",IFERROR(INDEX(Analogs!$B$6:$B$9,MATCH($B$33,Analogs!$A$6:$A$9,0)),""))</f>
        <v/>
      </c>
      <c r="C34" s="16">
        <f>IFERROR(INDEX(Analogs!$C$6:$C$9,MATCH($B$33,Analogs!$A$6:$A$9,0)),"")</f>
        <v/>
      </c>
      <c r="D34" s="17">
        <f>IFERROR(INDEX(Analogs!$D$6:$D$9,MATCH($B$33,Analogs!$A$6:$A$9,0)),"")</f>
        <v/>
      </c>
      <c r="E34" s="2" t="inlineStr">
        <is>
          <t>the broad base rate</t>
        </is>
      </c>
    </row>
    <row r="35">
      <c r="A35" s="4" t="inlineStr">
        <is>
          <t>Same subsector, any subscription</t>
        </is>
      </c>
      <c r="B35" s="15">
        <f>IF($B$6="","",IFERROR(INDEX(SubsecN,MATCH($B$6,SubsecKey,0)),""))</f>
        <v/>
      </c>
      <c r="C35" s="16">
        <f>IFERROR(INDEX(SubsecMed,MATCH($B$6,SubsecKey,0)),"")</f>
        <v/>
      </c>
      <c r="D35" s="17">
        <f>IFERROR(INDEX(SubsecHit,MATCH($B$6,SubsecKey,0)),"")</f>
        <v/>
      </c>
      <c r="E35" s="2" t="inlineStr">
        <is>
          <t>sector behaviour regardless of demand</t>
        </is>
      </c>
    </row>
    <row r="37">
      <c r="A37" s="3" t="inlineStr">
        <is>
          <t>5 · CLOSEST COMPS (subsector-first)</t>
        </is>
      </c>
    </row>
    <row r="38">
      <c r="A38" s="2" t="inlineStr">
        <is>
          <t>driven by the same scorer as the Screener tab; set the Screener target to this deal's subsector to explore further</t>
        </is>
      </c>
    </row>
    <row r="39">
      <c r="A39" s="14" t="inlineStr">
        <is>
          <t>Comp</t>
        </is>
      </c>
      <c r="B39" s="14" t="inlineStr">
        <is>
          <t>Subsector</t>
        </is>
      </c>
      <c r="C39" s="14" t="inlineStr">
        <is>
          <t>IPO date</t>
        </is>
      </c>
      <c r="D39" s="14" t="inlineStr">
        <is>
          <t>Size (HK$m)</t>
        </is>
      </c>
      <c r="E39" s="14" t="inlineStr">
        <is>
          <t>P/E</t>
        </is>
      </c>
      <c r="F39" s="14" t="inlineStr">
        <is>
          <t>P/S</t>
        </is>
      </c>
      <c r="G39" s="14" t="inlineStr">
        <is>
          <t>Subscription</t>
        </is>
      </c>
      <c r="H39" s="14" t="inlineStr">
        <is>
          <t>Day-1</t>
        </is>
      </c>
    </row>
    <row r="40">
      <c r="A40" s="12">
        <f>IF($B$6="","",IFERROR(INDEX(Database!$B$5:$B$515,MATCH(LARGE(Database!$AR$5:$AR$515,1),Database!$AR$5:$AR$515,0)),""))</f>
        <v/>
      </c>
      <c r="B40" s="12">
        <f>IF($A40="","",IFERROR(INDEX(Database!$E$5:$E$515,MATCH($A40,Database!$B$5:$B$515,0)),""))</f>
        <v/>
      </c>
      <c r="C40" s="18">
        <f>IF($A40="","",IFERROR(INDEX(Database!$G$5:$G$515,MATCH($A40,Database!$B$5:$B$515,0)),""))</f>
        <v/>
      </c>
      <c r="D40" s="10">
        <f>IF($A40="","",IFERROR(INDEX(Database!$H$5:$H$515,MATCH($A40,Database!$B$5:$B$515,0)),""))</f>
        <v/>
      </c>
      <c r="E40" s="11">
        <f>IF($A40="","",IFERROR(INDEX(Database!$W$5:$W$515,MATCH($A40,Database!$B$5:$B$515,0)),""))</f>
        <v/>
      </c>
      <c r="F40" s="11">
        <f>IF($A40="","",IFERROR(INDEX(Database!$X$5:$X$515,MATCH($A40,Database!$B$5:$B$515,0)),""))</f>
        <v/>
      </c>
      <c r="G40" s="19">
        <f>IF($A40="","",IFERROR(INDEX(Database!$P$5:$P$515,MATCH($A40,Database!$B$5:$B$515,0)),""))</f>
        <v/>
      </c>
      <c r="H40" s="16">
        <f>IF($A40="","",IFERROR(INDEX(Database!$R$5:$R$515,MATCH($A40,Database!$B$5:$B$515,0)),""))</f>
        <v/>
      </c>
    </row>
    <row r="41">
      <c r="A41" s="12">
        <f>IF($B$6="","",IFERROR(INDEX(Database!$B$5:$B$515,MATCH(LARGE(Database!$AR$5:$AR$515,2),Database!$AR$5:$AR$515,0)),""))</f>
        <v/>
      </c>
      <c r="B41" s="12">
        <f>IF($A41="","",IFERROR(INDEX(Database!$E$5:$E$515,MATCH($A41,Database!$B$5:$B$515,0)),""))</f>
        <v/>
      </c>
      <c r="C41" s="18">
        <f>IF($A41="","",IFERROR(INDEX(Database!$G$5:$G$515,MATCH($A41,Database!$B$5:$B$515,0)),""))</f>
        <v/>
      </c>
      <c r="D41" s="10">
        <f>IF($A41="","",IFERROR(INDEX(Database!$H$5:$H$515,MATCH($A41,Database!$B$5:$B$515,0)),""))</f>
        <v/>
      </c>
      <c r="E41" s="11">
        <f>IF($A41="","",IFERROR(INDEX(Database!$W$5:$W$515,MATCH($A41,Database!$B$5:$B$515,0)),""))</f>
        <v/>
      </c>
      <c r="F41" s="11">
        <f>IF($A41="","",IFERROR(INDEX(Database!$X$5:$X$515,MATCH($A41,Database!$B$5:$B$515,0)),""))</f>
        <v/>
      </c>
      <c r="G41" s="19">
        <f>IF($A41="","",IFERROR(INDEX(Database!$P$5:$P$515,MATCH($A41,Database!$B$5:$B$515,0)),""))</f>
        <v/>
      </c>
      <c r="H41" s="16">
        <f>IF($A41="","",IFERROR(INDEX(Database!$R$5:$R$515,MATCH($A41,Database!$B$5:$B$515,0)),""))</f>
        <v/>
      </c>
    </row>
    <row r="42">
      <c r="A42" s="12">
        <f>IF($B$6="","",IFERROR(INDEX(Database!$B$5:$B$515,MATCH(LARGE(Database!$AR$5:$AR$515,3),Database!$AR$5:$AR$515,0)),""))</f>
        <v/>
      </c>
      <c r="B42" s="12">
        <f>IF($A42="","",IFERROR(INDEX(Database!$E$5:$E$515,MATCH($A42,Database!$B$5:$B$515,0)),""))</f>
        <v/>
      </c>
      <c r="C42" s="18">
        <f>IF($A42="","",IFERROR(INDEX(Database!$G$5:$G$515,MATCH($A42,Database!$B$5:$B$515,0)),""))</f>
        <v/>
      </c>
      <c r="D42" s="10">
        <f>IF($A42="","",IFERROR(INDEX(Database!$H$5:$H$515,MATCH($A42,Database!$B$5:$B$515,0)),""))</f>
        <v/>
      </c>
      <c r="E42" s="11">
        <f>IF($A42="","",IFERROR(INDEX(Database!$W$5:$W$515,MATCH($A42,Database!$B$5:$B$515,0)),""))</f>
        <v/>
      </c>
      <c r="F42" s="11">
        <f>IF($A42="","",IFERROR(INDEX(Database!$X$5:$X$515,MATCH($A42,Database!$B$5:$B$515,0)),""))</f>
        <v/>
      </c>
      <c r="G42" s="19">
        <f>IF($A42="","",IFERROR(INDEX(Database!$P$5:$P$515,MATCH($A42,Database!$B$5:$B$515,0)),""))</f>
        <v/>
      </c>
      <c r="H42" s="16">
        <f>IF($A42="","",IFERROR(INDEX(Database!$R$5:$R$515,MATCH($A42,Database!$B$5:$B$515,0)),""))</f>
        <v/>
      </c>
    </row>
    <row r="43">
      <c r="A43" s="12">
        <f>IF($B$6="","",IFERROR(INDEX(Database!$B$5:$B$515,MATCH(LARGE(Database!$AR$5:$AR$515,4),Database!$AR$5:$AR$515,0)),""))</f>
        <v/>
      </c>
      <c r="B43" s="12">
        <f>IF($A43="","",IFERROR(INDEX(Database!$E$5:$E$515,MATCH($A43,Database!$B$5:$B$515,0)),""))</f>
        <v/>
      </c>
      <c r="C43" s="18">
        <f>IF($A43="","",IFERROR(INDEX(Database!$G$5:$G$515,MATCH($A43,Database!$B$5:$B$515,0)),""))</f>
        <v/>
      </c>
      <c r="D43" s="10">
        <f>IF($A43="","",IFERROR(INDEX(Database!$H$5:$H$515,MATCH($A43,Database!$B$5:$B$515,0)),""))</f>
        <v/>
      </c>
      <c r="E43" s="11">
        <f>IF($A43="","",IFERROR(INDEX(Database!$W$5:$W$515,MATCH($A43,Database!$B$5:$B$515,0)),""))</f>
        <v/>
      </c>
      <c r="F43" s="11">
        <f>IF($A43="","",IFERROR(INDEX(Database!$X$5:$X$515,MATCH($A43,Database!$B$5:$B$515,0)),""))</f>
        <v/>
      </c>
      <c r="G43" s="19">
        <f>IF($A43="","",IFERROR(INDEX(Database!$P$5:$P$515,MATCH($A43,Database!$B$5:$B$515,0)),""))</f>
        <v/>
      </c>
      <c r="H43" s="16">
        <f>IF($A43="","",IFERROR(INDEX(Database!$R$5:$R$515,MATCH($A43,Database!$B$5:$B$515,0)),""))</f>
        <v/>
      </c>
    </row>
    <row r="44">
      <c r="A44" s="12">
        <f>IF($B$6="","",IFERROR(INDEX(Database!$B$5:$B$515,MATCH(LARGE(Database!$AR$5:$AR$515,5),Database!$AR$5:$AR$515,0)),""))</f>
        <v/>
      </c>
      <c r="B44" s="12">
        <f>IF($A44="","",IFERROR(INDEX(Database!$E$5:$E$515,MATCH($A44,Database!$B$5:$B$515,0)),""))</f>
        <v/>
      </c>
      <c r="C44" s="18">
        <f>IF($A44="","",IFERROR(INDEX(Database!$G$5:$G$515,MATCH($A44,Database!$B$5:$B$515,0)),""))</f>
        <v/>
      </c>
      <c r="D44" s="10">
        <f>IF($A44="","",IFERROR(INDEX(Database!$H$5:$H$515,MATCH($A44,Database!$B$5:$B$515,0)),""))</f>
        <v/>
      </c>
      <c r="E44" s="11">
        <f>IF($A44="","",IFERROR(INDEX(Database!$W$5:$W$515,MATCH($A44,Database!$B$5:$B$515,0)),""))</f>
        <v/>
      </c>
      <c r="F44" s="11">
        <f>IF($A44="","",IFERROR(INDEX(Database!$X$5:$X$515,MATCH($A44,Database!$B$5:$B$515,0)),""))</f>
        <v/>
      </c>
      <c r="G44" s="19">
        <f>IF($A44="","",IFERROR(INDEX(Database!$P$5:$P$515,MATCH($A44,Database!$B$5:$B$515,0)),""))</f>
        <v/>
      </c>
      <c r="H44" s="16">
        <f>IF($A44="","",IFERROR(INDEX(Database!$R$5:$R$515,MATCH($A44,Database!$B$5:$B$515,0)),""))</f>
        <v/>
      </c>
    </row>
    <row r="45">
      <c r="A45" s="12">
        <f>IF($B$6="","",IFERROR(INDEX(Database!$B$5:$B$515,MATCH(LARGE(Database!$AR$5:$AR$515,6),Database!$AR$5:$AR$515,0)),""))</f>
        <v/>
      </c>
      <c r="B45" s="12">
        <f>IF($A45="","",IFERROR(INDEX(Database!$E$5:$E$515,MATCH($A45,Database!$B$5:$B$515,0)),""))</f>
        <v/>
      </c>
      <c r="C45" s="18">
        <f>IF($A45="","",IFERROR(INDEX(Database!$G$5:$G$515,MATCH($A45,Database!$B$5:$B$515,0)),""))</f>
        <v/>
      </c>
      <c r="D45" s="10">
        <f>IF($A45="","",IFERROR(INDEX(Database!$H$5:$H$515,MATCH($A45,Database!$B$5:$B$515,0)),""))</f>
        <v/>
      </c>
      <c r="E45" s="11">
        <f>IF($A45="","",IFERROR(INDEX(Database!$W$5:$W$515,MATCH($A45,Database!$B$5:$B$515,0)),""))</f>
        <v/>
      </c>
      <c r="F45" s="11">
        <f>IF($A45="","",IFERROR(INDEX(Database!$X$5:$X$515,MATCH($A45,Database!$B$5:$B$515,0)),""))</f>
        <v/>
      </c>
      <c r="G45" s="19">
        <f>IF($A45="","",IFERROR(INDEX(Database!$P$5:$P$515,MATCH($A45,Database!$B$5:$B$515,0)),""))</f>
        <v/>
      </c>
      <c r="H45" s="16">
        <f>IF($A45="","",IFERROR(INDEX(Database!$R$5:$R$515,MATCH($A45,Database!$B$5:$B$515,0)),""))</f>
        <v/>
      </c>
    </row>
    <row r="46">
      <c r="A46" s="12">
        <f>IF($B$6="","",IFERROR(INDEX(Database!$B$5:$B$515,MATCH(LARGE(Database!$AR$5:$AR$515,7),Database!$AR$5:$AR$515,0)),""))</f>
        <v/>
      </c>
      <c r="B46" s="12">
        <f>IF($A46="","",IFERROR(INDEX(Database!$E$5:$E$515,MATCH($A46,Database!$B$5:$B$515,0)),""))</f>
        <v/>
      </c>
      <c r="C46" s="18">
        <f>IF($A46="","",IFERROR(INDEX(Database!$G$5:$G$515,MATCH($A46,Database!$B$5:$B$515,0)),""))</f>
        <v/>
      </c>
      <c r="D46" s="10">
        <f>IF($A46="","",IFERROR(INDEX(Database!$H$5:$H$515,MATCH($A46,Database!$B$5:$B$515,0)),""))</f>
        <v/>
      </c>
      <c r="E46" s="11">
        <f>IF($A46="","",IFERROR(INDEX(Database!$W$5:$W$515,MATCH($A46,Database!$B$5:$B$515,0)),""))</f>
        <v/>
      </c>
      <c r="F46" s="11">
        <f>IF($A46="","",IFERROR(INDEX(Database!$X$5:$X$515,MATCH($A46,Database!$B$5:$B$515,0)),""))</f>
        <v/>
      </c>
      <c r="G46" s="19">
        <f>IF($A46="","",IFERROR(INDEX(Database!$P$5:$P$515,MATCH($A46,Database!$B$5:$B$515,0)),""))</f>
        <v/>
      </c>
      <c r="H46" s="16">
        <f>IF($A46="","",IFERROR(INDEX(Database!$R$5:$R$515,MATCH($A46,Database!$B$5:$B$515,0)),""))</f>
        <v/>
      </c>
    </row>
    <row r="47">
      <c r="A47" s="12">
        <f>IF($B$6="","",IFERROR(INDEX(Database!$B$5:$B$515,MATCH(LARGE(Database!$AR$5:$AR$515,8),Database!$AR$5:$AR$515,0)),""))</f>
        <v/>
      </c>
      <c r="B47" s="12">
        <f>IF($A47="","",IFERROR(INDEX(Database!$E$5:$E$515,MATCH($A47,Database!$B$5:$B$515,0)),""))</f>
        <v/>
      </c>
      <c r="C47" s="18">
        <f>IF($A47="","",IFERROR(INDEX(Database!$G$5:$G$515,MATCH($A47,Database!$B$5:$B$515,0)),""))</f>
        <v/>
      </c>
      <c r="D47" s="10">
        <f>IF($A47="","",IFERROR(INDEX(Database!$H$5:$H$515,MATCH($A47,Database!$B$5:$B$515,0)),""))</f>
        <v/>
      </c>
      <c r="E47" s="11">
        <f>IF($A47="","",IFERROR(INDEX(Database!$W$5:$W$515,MATCH($A47,Database!$B$5:$B$515,0)),""))</f>
        <v/>
      </c>
      <c r="F47" s="11">
        <f>IF($A47="","",IFERROR(INDEX(Database!$X$5:$X$515,MATCH($A47,Database!$B$5:$B$515,0)),""))</f>
        <v/>
      </c>
      <c r="G47" s="19">
        <f>IF($A47="","",IFERROR(INDEX(Database!$P$5:$P$515,MATCH($A47,Database!$B$5:$B$515,0)),""))</f>
        <v/>
      </c>
      <c r="H47" s="16">
        <f>IF($A47="","",IFERROR(INDEX(Database!$R$5:$R$515,MATCH($A47,Database!$B$5:$B$515,0)),""))</f>
        <v/>
      </c>
    </row>
    <row r="49">
      <c r="A49" s="2" t="inlineStr">
        <is>
          <t>Comps rank by subsector match then size proximity to the deal above.</t>
        </is>
      </c>
    </row>
  </sheetData>
  <conditionalFormatting sqref="C32:C35">
    <cfRule type="expression" priority="1" dxfId="0">
      <formula>C32&gt;20</formula>
    </cfRule>
    <cfRule type="expression" priority="2" dxfId="1">
      <formula>C32&lt;0</formula>
    </cfRule>
  </conditionalFormatting>
  <dataValidations count="1">
    <dataValidation sqref="B6" showDropDown="0" showInputMessage="0" showErrorMessage="0" allowBlank="1" type="list">
      <formula1>=SubsectorList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517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4" customWidth="1" min="3" max="3"/>
    <col width="22" customWidth="1" min="4" max="4"/>
    <col width="12" customWidth="1" min="5" max="5"/>
    <col width="9" customWidth="1" min="6" max="6"/>
    <col width="9" customWidth="1" min="7" max="7"/>
    <col width="12" customWidth="1" min="8" max="8"/>
    <col width="9" customWidth="1" min="9" max="9"/>
    <col width="12" customWidth="1" min="10" max="10"/>
    <col width="13" customWidth="1" min="11" max="11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</cols>
  <sheetData>
    <row r="1">
      <c r="A1" s="1" t="inlineStr">
        <is>
          <t>NEAREST-NEIGHBOR COMPS SCREENER</t>
        </is>
      </c>
      <c r="AA1" s="2" t="inlineStr">
        <is>
          <t>name</t>
        </is>
      </c>
      <c r="AB1" s="2" t="inlineStr">
        <is>
          <t>sector</t>
        </is>
      </c>
      <c r="AC1" s="2" t="inlineStr">
        <is>
          <t>subsector</t>
        </is>
      </c>
      <c r="AD1" s="2" t="inlineStr">
        <is>
          <t>size HK$m</t>
        </is>
      </c>
      <c r="AE1" s="2" t="inlineStr">
        <is>
          <t>profitable</t>
        </is>
      </c>
      <c r="AF1" s="2" t="inlineStr">
        <is>
          <t>H-share</t>
        </is>
      </c>
      <c r="AG1" s="2" t="inlineStr">
        <is>
          <t>date</t>
        </is>
      </c>
    </row>
    <row r="2">
      <c r="A2" s="2" t="inlineStr">
        <is>
          <t>pick a deal in the blue cell · subsector-first scoring (weights on README, editable) · green comp = same subsector, amber = sector-level fallback</t>
        </is>
      </c>
      <c r="AA2">
        <f>Pipeline!B6</f>
        <v/>
      </c>
      <c r="AB2">
        <f>Pipeline!D6</f>
        <v/>
      </c>
      <c r="AC2">
        <f>Pipeline!E6</f>
        <v/>
      </c>
      <c r="AD2">
        <f>Pipeline!F6</f>
        <v/>
      </c>
      <c r="AE2">
        <f>Pipeline!K6</f>
        <v/>
      </c>
      <c r="AF2">
        <f>Pipeline!L6</f>
        <v/>
      </c>
      <c r="AG2">
        <f>Pipeline!J6</f>
        <v/>
      </c>
    </row>
    <row r="3">
      <c r="A3" s="3" t="inlineStr">
        <is>
          <t>Target deal</t>
        </is>
      </c>
      <c r="B3" s="5" t="inlineStr">
        <is>
          <t>Shein Group</t>
        </is>
      </c>
      <c r="AA3">
        <f>Pipeline!B7</f>
        <v/>
      </c>
      <c r="AB3">
        <f>Pipeline!D7</f>
        <v/>
      </c>
      <c r="AC3">
        <f>Pipeline!E7</f>
        <v/>
      </c>
      <c r="AD3">
        <f>Pipeline!F7</f>
        <v/>
      </c>
      <c r="AE3">
        <f>Pipeline!K7</f>
        <v/>
      </c>
      <c r="AF3">
        <f>Pipeline!L7</f>
        <v/>
      </c>
      <c r="AG3">
        <f>Pipeline!J7</f>
        <v/>
      </c>
    </row>
    <row r="4">
      <c r="AA4">
        <f>Pipeline!B8</f>
        <v/>
      </c>
      <c r="AB4">
        <f>Pipeline!D8</f>
        <v/>
      </c>
      <c r="AC4">
        <f>Pipeline!E8</f>
        <v/>
      </c>
      <c r="AD4">
        <f>Pipeline!F8</f>
        <v/>
      </c>
      <c r="AE4">
        <f>Pipeline!K8</f>
        <v/>
      </c>
      <c r="AF4">
        <f>Pipeline!L8</f>
        <v/>
      </c>
      <c r="AG4">
        <f>Pipeline!J8</f>
        <v/>
      </c>
    </row>
    <row r="5">
      <c r="A5" s="3" t="inlineStr">
        <is>
          <t>TARGET ATTRIBUTES</t>
        </is>
      </c>
      <c r="D5" s="3" t="inlineStr">
        <is>
          <t>SIZE BENCHMARK</t>
        </is>
      </c>
      <c r="AA5">
        <f>Pipeline!B9</f>
        <v/>
      </c>
      <c r="AB5">
        <f>Pipeline!D9</f>
        <v/>
      </c>
      <c r="AC5">
        <f>Pipeline!E9</f>
        <v/>
      </c>
      <c r="AD5">
        <f>Pipeline!F9</f>
        <v/>
      </c>
      <c r="AE5">
        <f>Pipeline!K9</f>
        <v/>
      </c>
      <c r="AF5">
        <f>Pipeline!L9</f>
        <v/>
      </c>
      <c r="AG5">
        <f>Pipeline!J9</f>
        <v/>
      </c>
    </row>
    <row r="6">
      <c r="A6" s="4" t="inlineStr">
        <is>
          <t>Sector</t>
        </is>
      </c>
      <c r="B6" s="12">
        <f>INDEX($AB$2:$AB$517,MATCH($B$3,AllDeals,0))</f>
        <v/>
      </c>
      <c r="D6" s="4" t="inlineStr">
        <is>
          <t>Percentile vs 2021-26 deals</t>
        </is>
      </c>
      <c r="E6" s="13">
        <f>COUNTIF(Database!$H$5:$H$515,"&lt;"&amp;$B$8)/COUNT(Database!$H$5:$H$515)</f>
        <v/>
      </c>
      <c r="AA6">
        <f>Pipeline!B10</f>
        <v/>
      </c>
      <c r="AB6">
        <f>Pipeline!D10</f>
        <v/>
      </c>
      <c r="AC6">
        <f>Pipeline!E10</f>
        <v/>
      </c>
      <c r="AD6">
        <f>Pipeline!F10</f>
        <v/>
      </c>
      <c r="AE6">
        <f>Pipeline!K10</f>
        <v/>
      </c>
      <c r="AF6">
        <f>Pipeline!L10</f>
        <v/>
      </c>
      <c r="AG6">
        <f>Pipeline!J10</f>
        <v/>
      </c>
    </row>
    <row r="7">
      <c r="A7" s="4" t="inlineStr">
        <is>
          <t>Subsector</t>
        </is>
      </c>
      <c r="B7" s="12">
        <f>INDEX($AC$2:$AC$517,MATCH($B$3,AllDeals,0))</f>
        <v/>
      </c>
      <c r="D7" s="4" t="inlineStr">
        <is>
          <t>Bucket</t>
        </is>
      </c>
      <c r="E7" s="12">
        <f>IF($B$8="","n/a",IF($B$8&gt;=20000,"Mega",IF($B$8&gt;=5000,"Large",IF($B$8&gt;=1000,"Mid","Small"))))</f>
        <v/>
      </c>
      <c r="AA7">
        <f>Database!B5</f>
        <v/>
      </c>
      <c r="AB7">
        <f>Database!D5</f>
        <v/>
      </c>
      <c r="AC7">
        <f>Database!E5</f>
        <v/>
      </c>
      <c r="AD7">
        <f>Database!H5</f>
        <v/>
      </c>
      <c r="AE7">
        <f>Database!V5</f>
        <v/>
      </c>
      <c r="AF7">
        <f>Database!AA5</f>
        <v/>
      </c>
      <c r="AG7">
        <f>Database!G5</f>
        <v/>
      </c>
    </row>
    <row r="8">
      <c r="A8" s="4" t="inlineStr">
        <is>
          <t>Size (HK$m)</t>
        </is>
      </c>
      <c r="B8" s="10">
        <f>INDEX($AD$2:$AD$517,MATCH($B$3,AllDeals,0))</f>
        <v/>
      </c>
      <c r="AA8">
        <f>Database!B6</f>
        <v/>
      </c>
      <c r="AB8">
        <f>Database!D6</f>
        <v/>
      </c>
      <c r="AC8">
        <f>Database!E6</f>
        <v/>
      </c>
      <c r="AD8">
        <f>Database!H6</f>
        <v/>
      </c>
      <c r="AE8">
        <f>Database!V6</f>
        <v/>
      </c>
      <c r="AF8">
        <f>Database!AA6</f>
        <v/>
      </c>
      <c r="AG8">
        <f>Database!G6</f>
        <v/>
      </c>
    </row>
    <row r="9">
      <c r="A9" s="4" t="inlineStr">
        <is>
          <t>Profitable</t>
        </is>
      </c>
      <c r="B9" s="12">
        <f>INDEX($AE$2:$AE$517,MATCH($B$3,AllDeals,0))</f>
        <v/>
      </c>
      <c r="AA9">
        <f>Database!B7</f>
        <v/>
      </c>
      <c r="AB9">
        <f>Database!D7</f>
        <v/>
      </c>
      <c r="AC9">
        <f>Database!E7</f>
        <v/>
      </c>
      <c r="AD9">
        <f>Database!H7</f>
        <v/>
      </c>
      <c r="AE9">
        <f>Database!V7</f>
        <v/>
      </c>
      <c r="AF9">
        <f>Database!AA7</f>
        <v/>
      </c>
      <c r="AG9">
        <f>Database!G7</f>
        <v/>
      </c>
    </row>
    <row r="10">
      <c r="A10" s="4" t="inlineStr">
        <is>
          <t>H-share</t>
        </is>
      </c>
      <c r="B10" s="12">
        <f>INDEX($AF$2:$AF$517,MATCH($B$3,AllDeals,0))</f>
        <v/>
      </c>
      <c r="AA10">
        <f>Database!B8</f>
        <v/>
      </c>
      <c r="AB10">
        <f>Database!D8</f>
        <v/>
      </c>
      <c r="AC10">
        <f>Database!E8</f>
        <v/>
      </c>
      <c r="AD10">
        <f>Database!H8</f>
        <v/>
      </c>
      <c r="AE10">
        <f>Database!V8</f>
        <v/>
      </c>
      <c r="AF10">
        <f>Database!AA8</f>
        <v/>
      </c>
      <c r="AG10">
        <f>Database!G8</f>
        <v/>
      </c>
    </row>
    <row r="11">
      <c r="A11" s="4" t="inlineStr">
        <is>
          <t>IPO date</t>
        </is>
      </c>
      <c r="B11" s="18">
        <f>INDEX($AG$2:$AG$517,MATCH($B$3,AllDeals,0))</f>
        <v/>
      </c>
      <c r="AA11">
        <f>Database!B9</f>
        <v/>
      </c>
      <c r="AB11">
        <f>Database!D9</f>
        <v/>
      </c>
      <c r="AC11">
        <f>Database!E9</f>
        <v/>
      </c>
      <c r="AD11">
        <f>Database!H9</f>
        <v/>
      </c>
      <c r="AE11">
        <f>Database!V9</f>
        <v/>
      </c>
      <c r="AF11">
        <f>Database!AA9</f>
        <v/>
      </c>
      <c r="AG11">
        <f>Database!G9</f>
        <v/>
      </c>
    </row>
    <row r="12">
      <c r="A12" s="4" t="inlineStr">
        <is>
          <t>Ref date (recency)</t>
        </is>
      </c>
      <c r="B12" s="18">
        <f>IF(ISNUMBER(B11),B11,TODAY())</f>
        <v/>
      </c>
      <c r="AA12">
        <f>Database!B10</f>
        <v/>
      </c>
      <c r="AB12">
        <f>Database!D10</f>
        <v/>
      </c>
      <c r="AC12">
        <f>Database!E10</f>
        <v/>
      </c>
      <c r="AD12">
        <f>Database!H10</f>
        <v/>
      </c>
      <c r="AE12">
        <f>Database!V10</f>
        <v/>
      </c>
      <c r="AF12">
        <f>Database!AA10</f>
        <v/>
      </c>
      <c r="AG12">
        <f>Database!G10</f>
        <v/>
      </c>
    </row>
    <row r="13">
      <c r="AA13">
        <f>Database!B11</f>
        <v/>
      </c>
      <c r="AB13">
        <f>Database!D11</f>
        <v/>
      </c>
      <c r="AC13">
        <f>Database!E11</f>
        <v/>
      </c>
      <c r="AD13">
        <f>Database!H11</f>
        <v/>
      </c>
      <c r="AE13">
        <f>Database!V11</f>
        <v/>
      </c>
      <c r="AF13">
        <f>Database!AA11</f>
        <v/>
      </c>
      <c r="AG13">
        <f>Database!G11</f>
        <v/>
      </c>
    </row>
    <row r="14">
      <c r="A14" s="3" t="inlineStr">
        <is>
          <t>TOP-5 COMPS (subsector-gated)</t>
        </is>
      </c>
      <c r="AA14">
        <f>Database!B12</f>
        <v/>
      </c>
      <c r="AB14">
        <f>Database!D12</f>
        <v/>
      </c>
      <c r="AC14">
        <f>Database!E12</f>
        <v/>
      </c>
      <c r="AD14">
        <f>Database!H12</f>
        <v/>
      </c>
      <c r="AE14">
        <f>Database!V12</f>
        <v/>
      </c>
      <c r="AF14">
        <f>Database!AA12</f>
        <v/>
      </c>
      <c r="AG14">
        <f>Database!G12</f>
        <v/>
      </c>
    </row>
    <row r="15">
      <c r="A15" s="14" t="inlineStr">
        <is>
          <t>Rank</t>
        </is>
      </c>
      <c r="B15" s="14" t="inlineStr">
        <is>
          <t>Name</t>
        </is>
      </c>
      <c r="C15" s="14" t="inlineStr">
        <is>
          <t>Subsector</t>
        </is>
      </c>
      <c r="D15" s="14" t="inlineStr">
        <is>
          <t>IPO date</t>
        </is>
      </c>
      <c r="E15" s="14" t="inlineStr">
        <is>
          <t>Size (HK$m)</t>
        </is>
      </c>
      <c r="F15" s="14" t="inlineStr">
        <is>
          <t>P/E (x)</t>
        </is>
      </c>
      <c r="G15" s="14" t="inlineStr">
        <is>
          <t>P/S (x)</t>
        </is>
      </c>
      <c r="H15" s="14" t="inlineStr">
        <is>
          <t>Priced in range</t>
        </is>
      </c>
      <c r="I15" s="14" t="inlineStr">
        <is>
          <t>Day-1</t>
        </is>
      </c>
      <c r="J15" s="14" t="inlineStr">
        <is>
          <t>Cornerstone %</t>
        </is>
      </c>
      <c r="K15" s="14" t="inlineStr">
        <is>
          <t>Same subsector?</t>
        </is>
      </c>
      <c r="AA15">
        <f>Database!B13</f>
        <v/>
      </c>
      <c r="AB15">
        <f>Database!D13</f>
        <v/>
      </c>
      <c r="AC15">
        <f>Database!E13</f>
        <v/>
      </c>
      <c r="AD15">
        <f>Database!H13</f>
        <v/>
      </c>
      <c r="AE15">
        <f>Database!V13</f>
        <v/>
      </c>
      <c r="AF15">
        <f>Database!AA13</f>
        <v/>
      </c>
      <c r="AG15">
        <f>Database!G13</f>
        <v/>
      </c>
    </row>
    <row r="16">
      <c r="A16" s="20" t="n">
        <v>1</v>
      </c>
      <c r="B16" s="12">
        <f>INDEX(Database!$B$5:$B$515,MATCH(LARGE(Database!$AQ$5:$AQ$515,1),Database!$AQ$5:$AQ$515,0))</f>
        <v/>
      </c>
      <c r="C16" s="12">
        <f>INDEX(Database!$E$5:$E$515,MATCH(LARGE(Database!$AQ$5:$AQ$515,1),Database!$AQ$5:$AQ$515,0))</f>
        <v/>
      </c>
      <c r="D16" s="18">
        <f>INDEX(Database!$G$5:$G$515,MATCH(LARGE(Database!$AQ$5:$AQ$515,1),Database!$AQ$5:$AQ$515,0))</f>
        <v/>
      </c>
      <c r="E16" s="10">
        <f>INDEX(Database!$H$5:$H$515,MATCH(LARGE(Database!$AQ$5:$AQ$515,1),Database!$AQ$5:$AQ$515,0))</f>
        <v/>
      </c>
      <c r="F16" s="11">
        <f>INDEX(Database!$W$5:$W$515,MATCH(LARGE(Database!$AQ$5:$AQ$515,1),Database!$AQ$5:$AQ$515,0))</f>
        <v/>
      </c>
      <c r="G16" s="11">
        <f>INDEX(Database!$X$5:$X$515,MATCH(LARGE(Database!$AQ$5:$AQ$515,1),Database!$AQ$5:$AQ$515,0))</f>
        <v/>
      </c>
      <c r="H16" s="16">
        <f>INDEX(Database!$M$5:$M$515,MATCH(LARGE(Database!$AQ$5:$AQ$515,1),Database!$AQ$5:$AQ$515,0))</f>
        <v/>
      </c>
      <c r="I16" s="16">
        <f>INDEX(Database!$R$5:$R$515,MATCH(LARGE(Database!$AQ$5:$AQ$515,1),Database!$AQ$5:$AQ$515,0))</f>
        <v/>
      </c>
      <c r="J16" s="16">
        <f>INDEX(Database!$S$5:$S$515,MATCH(LARGE(Database!$AQ$5:$AQ$515,1),Database!$AQ$5:$AQ$515,0))</f>
        <v/>
      </c>
      <c r="K16" s="12">
        <f>IF(INDEX(Database!$AK$5:$AK$515,MATCH(LARGE(Database!$AQ$5:$AQ$515,1),Database!$AQ$5:$AQ$515,0))=1,"YES","sector only")</f>
        <v/>
      </c>
      <c r="AA16">
        <f>Database!B14</f>
        <v/>
      </c>
      <c r="AB16">
        <f>Database!D14</f>
        <v/>
      </c>
      <c r="AC16">
        <f>Database!E14</f>
        <v/>
      </c>
      <c r="AD16">
        <f>Database!H14</f>
        <v/>
      </c>
      <c r="AE16">
        <f>Database!V14</f>
        <v/>
      </c>
      <c r="AF16">
        <f>Database!AA14</f>
        <v/>
      </c>
      <c r="AG16">
        <f>Database!G14</f>
        <v/>
      </c>
    </row>
    <row r="17">
      <c r="A17" s="20" t="n">
        <v>2</v>
      </c>
      <c r="B17" s="12">
        <f>INDEX(Database!$B$5:$B$515,MATCH(LARGE(Database!$AQ$5:$AQ$515,2),Database!$AQ$5:$AQ$515,0))</f>
        <v/>
      </c>
      <c r="C17" s="12">
        <f>INDEX(Database!$E$5:$E$515,MATCH(LARGE(Database!$AQ$5:$AQ$515,2),Database!$AQ$5:$AQ$515,0))</f>
        <v/>
      </c>
      <c r="D17" s="18">
        <f>INDEX(Database!$G$5:$G$515,MATCH(LARGE(Database!$AQ$5:$AQ$515,2),Database!$AQ$5:$AQ$515,0))</f>
        <v/>
      </c>
      <c r="E17" s="10">
        <f>INDEX(Database!$H$5:$H$515,MATCH(LARGE(Database!$AQ$5:$AQ$515,2),Database!$AQ$5:$AQ$515,0))</f>
        <v/>
      </c>
      <c r="F17" s="11">
        <f>INDEX(Database!$W$5:$W$515,MATCH(LARGE(Database!$AQ$5:$AQ$515,2),Database!$AQ$5:$AQ$515,0))</f>
        <v/>
      </c>
      <c r="G17" s="11">
        <f>INDEX(Database!$X$5:$X$515,MATCH(LARGE(Database!$AQ$5:$AQ$515,2),Database!$AQ$5:$AQ$515,0))</f>
        <v/>
      </c>
      <c r="H17" s="16">
        <f>INDEX(Database!$M$5:$M$515,MATCH(LARGE(Database!$AQ$5:$AQ$515,2),Database!$AQ$5:$AQ$515,0))</f>
        <v/>
      </c>
      <c r="I17" s="16">
        <f>INDEX(Database!$R$5:$R$515,MATCH(LARGE(Database!$AQ$5:$AQ$515,2),Database!$AQ$5:$AQ$515,0))</f>
        <v/>
      </c>
      <c r="J17" s="16">
        <f>INDEX(Database!$S$5:$S$515,MATCH(LARGE(Database!$AQ$5:$AQ$515,2),Database!$AQ$5:$AQ$515,0))</f>
        <v/>
      </c>
      <c r="K17" s="12">
        <f>IF(INDEX(Database!$AK$5:$AK$515,MATCH(LARGE(Database!$AQ$5:$AQ$515,2),Database!$AQ$5:$AQ$515,0))=1,"YES","sector only")</f>
        <v/>
      </c>
      <c r="AA17">
        <f>Database!B15</f>
        <v/>
      </c>
      <c r="AB17">
        <f>Database!D15</f>
        <v/>
      </c>
      <c r="AC17">
        <f>Database!E15</f>
        <v/>
      </c>
      <c r="AD17">
        <f>Database!H15</f>
        <v/>
      </c>
      <c r="AE17">
        <f>Database!V15</f>
        <v/>
      </c>
      <c r="AF17">
        <f>Database!AA15</f>
        <v/>
      </c>
      <c r="AG17">
        <f>Database!G15</f>
        <v/>
      </c>
    </row>
    <row r="18">
      <c r="A18" s="20" t="n">
        <v>3</v>
      </c>
      <c r="B18" s="12">
        <f>INDEX(Database!$B$5:$B$515,MATCH(LARGE(Database!$AQ$5:$AQ$515,3),Database!$AQ$5:$AQ$515,0))</f>
        <v/>
      </c>
      <c r="C18" s="12">
        <f>INDEX(Database!$E$5:$E$515,MATCH(LARGE(Database!$AQ$5:$AQ$515,3),Database!$AQ$5:$AQ$515,0))</f>
        <v/>
      </c>
      <c r="D18" s="18">
        <f>INDEX(Database!$G$5:$G$515,MATCH(LARGE(Database!$AQ$5:$AQ$515,3),Database!$AQ$5:$AQ$515,0))</f>
        <v/>
      </c>
      <c r="E18" s="10">
        <f>INDEX(Database!$H$5:$H$515,MATCH(LARGE(Database!$AQ$5:$AQ$515,3),Database!$AQ$5:$AQ$515,0))</f>
        <v/>
      </c>
      <c r="F18" s="11">
        <f>INDEX(Database!$W$5:$W$515,MATCH(LARGE(Database!$AQ$5:$AQ$515,3),Database!$AQ$5:$AQ$515,0))</f>
        <v/>
      </c>
      <c r="G18" s="11">
        <f>INDEX(Database!$X$5:$X$515,MATCH(LARGE(Database!$AQ$5:$AQ$515,3),Database!$AQ$5:$AQ$515,0))</f>
        <v/>
      </c>
      <c r="H18" s="16">
        <f>INDEX(Database!$M$5:$M$515,MATCH(LARGE(Database!$AQ$5:$AQ$515,3),Database!$AQ$5:$AQ$515,0))</f>
        <v/>
      </c>
      <c r="I18" s="16">
        <f>INDEX(Database!$R$5:$R$515,MATCH(LARGE(Database!$AQ$5:$AQ$515,3),Database!$AQ$5:$AQ$515,0))</f>
        <v/>
      </c>
      <c r="J18" s="16">
        <f>INDEX(Database!$S$5:$S$515,MATCH(LARGE(Database!$AQ$5:$AQ$515,3),Database!$AQ$5:$AQ$515,0))</f>
        <v/>
      </c>
      <c r="K18" s="12">
        <f>IF(INDEX(Database!$AK$5:$AK$515,MATCH(LARGE(Database!$AQ$5:$AQ$515,3),Database!$AQ$5:$AQ$515,0))=1,"YES","sector only")</f>
        <v/>
      </c>
      <c r="AA18">
        <f>Database!B16</f>
        <v/>
      </c>
      <c r="AB18">
        <f>Database!D16</f>
        <v/>
      </c>
      <c r="AC18">
        <f>Database!E16</f>
        <v/>
      </c>
      <c r="AD18">
        <f>Database!H16</f>
        <v/>
      </c>
      <c r="AE18">
        <f>Database!V16</f>
        <v/>
      </c>
      <c r="AF18">
        <f>Database!AA16</f>
        <v/>
      </c>
      <c r="AG18">
        <f>Database!G16</f>
        <v/>
      </c>
    </row>
    <row r="19">
      <c r="A19" s="20" t="n">
        <v>4</v>
      </c>
      <c r="B19" s="12">
        <f>INDEX(Database!$B$5:$B$515,MATCH(LARGE(Database!$AQ$5:$AQ$515,4),Database!$AQ$5:$AQ$515,0))</f>
        <v/>
      </c>
      <c r="C19" s="12">
        <f>INDEX(Database!$E$5:$E$515,MATCH(LARGE(Database!$AQ$5:$AQ$515,4),Database!$AQ$5:$AQ$515,0))</f>
        <v/>
      </c>
      <c r="D19" s="18">
        <f>INDEX(Database!$G$5:$G$515,MATCH(LARGE(Database!$AQ$5:$AQ$515,4),Database!$AQ$5:$AQ$515,0))</f>
        <v/>
      </c>
      <c r="E19" s="10">
        <f>INDEX(Database!$H$5:$H$515,MATCH(LARGE(Database!$AQ$5:$AQ$515,4),Database!$AQ$5:$AQ$515,0))</f>
        <v/>
      </c>
      <c r="F19" s="11">
        <f>INDEX(Database!$W$5:$W$515,MATCH(LARGE(Database!$AQ$5:$AQ$515,4),Database!$AQ$5:$AQ$515,0))</f>
        <v/>
      </c>
      <c r="G19" s="11">
        <f>INDEX(Database!$X$5:$X$515,MATCH(LARGE(Database!$AQ$5:$AQ$515,4),Database!$AQ$5:$AQ$515,0))</f>
        <v/>
      </c>
      <c r="H19" s="16">
        <f>INDEX(Database!$M$5:$M$515,MATCH(LARGE(Database!$AQ$5:$AQ$515,4),Database!$AQ$5:$AQ$515,0))</f>
        <v/>
      </c>
      <c r="I19" s="16">
        <f>INDEX(Database!$R$5:$R$515,MATCH(LARGE(Database!$AQ$5:$AQ$515,4),Database!$AQ$5:$AQ$515,0))</f>
        <v/>
      </c>
      <c r="J19" s="16">
        <f>INDEX(Database!$S$5:$S$515,MATCH(LARGE(Database!$AQ$5:$AQ$515,4),Database!$AQ$5:$AQ$515,0))</f>
        <v/>
      </c>
      <c r="K19" s="12">
        <f>IF(INDEX(Database!$AK$5:$AK$515,MATCH(LARGE(Database!$AQ$5:$AQ$515,4),Database!$AQ$5:$AQ$515,0))=1,"YES","sector only")</f>
        <v/>
      </c>
      <c r="AA19">
        <f>Database!B17</f>
        <v/>
      </c>
      <c r="AB19">
        <f>Database!D17</f>
        <v/>
      </c>
      <c r="AC19">
        <f>Database!E17</f>
        <v/>
      </c>
      <c r="AD19">
        <f>Database!H17</f>
        <v/>
      </c>
      <c r="AE19">
        <f>Database!V17</f>
        <v/>
      </c>
      <c r="AF19">
        <f>Database!AA17</f>
        <v/>
      </c>
      <c r="AG19">
        <f>Database!G17</f>
        <v/>
      </c>
    </row>
    <row r="20">
      <c r="A20" s="20" t="n">
        <v>5</v>
      </c>
      <c r="B20" s="12">
        <f>INDEX(Database!$B$5:$B$515,MATCH(LARGE(Database!$AQ$5:$AQ$515,5),Database!$AQ$5:$AQ$515,0))</f>
        <v/>
      </c>
      <c r="C20" s="12">
        <f>INDEX(Database!$E$5:$E$515,MATCH(LARGE(Database!$AQ$5:$AQ$515,5),Database!$AQ$5:$AQ$515,0))</f>
        <v/>
      </c>
      <c r="D20" s="18">
        <f>INDEX(Database!$G$5:$G$515,MATCH(LARGE(Database!$AQ$5:$AQ$515,5),Database!$AQ$5:$AQ$515,0))</f>
        <v/>
      </c>
      <c r="E20" s="10">
        <f>INDEX(Database!$H$5:$H$515,MATCH(LARGE(Database!$AQ$5:$AQ$515,5),Database!$AQ$5:$AQ$515,0))</f>
        <v/>
      </c>
      <c r="F20" s="11">
        <f>INDEX(Database!$W$5:$W$515,MATCH(LARGE(Database!$AQ$5:$AQ$515,5),Database!$AQ$5:$AQ$515,0))</f>
        <v/>
      </c>
      <c r="G20" s="11">
        <f>INDEX(Database!$X$5:$X$515,MATCH(LARGE(Database!$AQ$5:$AQ$515,5),Database!$AQ$5:$AQ$515,0))</f>
        <v/>
      </c>
      <c r="H20" s="16">
        <f>INDEX(Database!$M$5:$M$515,MATCH(LARGE(Database!$AQ$5:$AQ$515,5),Database!$AQ$5:$AQ$515,0))</f>
        <v/>
      </c>
      <c r="I20" s="16">
        <f>INDEX(Database!$R$5:$R$515,MATCH(LARGE(Database!$AQ$5:$AQ$515,5),Database!$AQ$5:$AQ$515,0))</f>
        <v/>
      </c>
      <c r="J20" s="16">
        <f>INDEX(Database!$S$5:$S$515,MATCH(LARGE(Database!$AQ$5:$AQ$515,5),Database!$AQ$5:$AQ$515,0))</f>
        <v/>
      </c>
      <c r="K20" s="12">
        <f>IF(INDEX(Database!$AK$5:$AK$515,MATCH(LARGE(Database!$AQ$5:$AQ$515,5),Database!$AQ$5:$AQ$515,0))=1,"YES","sector only")</f>
        <v/>
      </c>
      <c r="AA20">
        <f>Database!B18</f>
        <v/>
      </c>
      <c r="AB20">
        <f>Database!D18</f>
        <v/>
      </c>
      <c r="AC20">
        <f>Database!E18</f>
        <v/>
      </c>
      <c r="AD20">
        <f>Database!H18</f>
        <v/>
      </c>
      <c r="AE20">
        <f>Database!V18</f>
        <v/>
      </c>
      <c r="AF20">
        <f>Database!AA18</f>
        <v/>
      </c>
      <c r="AG20">
        <f>Database!G18</f>
        <v/>
      </c>
    </row>
    <row r="21">
      <c r="AA21">
        <f>Database!B19</f>
        <v/>
      </c>
      <c r="AB21">
        <f>Database!D19</f>
        <v/>
      </c>
      <c r="AC21">
        <f>Database!E19</f>
        <v/>
      </c>
      <c r="AD21">
        <f>Database!H19</f>
        <v/>
      </c>
      <c r="AE21">
        <f>Database!V19</f>
        <v/>
      </c>
      <c r="AF21">
        <f>Database!AA19</f>
        <v/>
      </c>
      <c r="AG21">
        <f>Database!G19</f>
        <v/>
      </c>
    </row>
    <row r="22">
      <c r="A22" s="21" t="inlineStr">
        <is>
          <t>Median of top-5</t>
        </is>
      </c>
      <c r="F22" s="11">
        <f>MEDIAN(F16:F20)</f>
        <v/>
      </c>
      <c r="G22" s="11">
        <f>MEDIAN(G16:G20)</f>
        <v/>
      </c>
      <c r="H22" s="16">
        <f>MEDIAN(H16:H20)</f>
        <v/>
      </c>
      <c r="I22" s="16">
        <f>MEDIAN(I16:I20)</f>
        <v/>
      </c>
      <c r="J22" s="16">
        <f>MEDIAN(J16:J20)</f>
        <v/>
      </c>
      <c r="AA22">
        <f>Database!B20</f>
        <v/>
      </c>
      <c r="AB22">
        <f>Database!D20</f>
        <v/>
      </c>
      <c r="AC22">
        <f>Database!E20</f>
        <v/>
      </c>
      <c r="AD22">
        <f>Database!H20</f>
        <v/>
      </c>
      <c r="AE22">
        <f>Database!V20</f>
        <v/>
      </c>
      <c r="AF22">
        <f>Database!AA20</f>
        <v/>
      </c>
      <c r="AG22">
        <f>Database!G20</f>
        <v/>
      </c>
    </row>
    <row r="23">
      <c r="A23" s="2" t="inlineStr">
        <is>
          <t>P/E is n/m for loss-makers — median P/S is the fallback multiple. Comps marked 'sector only' mean no 5 deals exist in the target subsector.</t>
        </is>
      </c>
      <c r="AA23">
        <f>Database!B21</f>
        <v/>
      </c>
      <c r="AB23">
        <f>Database!D21</f>
        <v/>
      </c>
      <c r="AC23">
        <f>Database!E21</f>
        <v/>
      </c>
      <c r="AD23">
        <f>Database!H21</f>
        <v/>
      </c>
      <c r="AE23">
        <f>Database!V21</f>
        <v/>
      </c>
      <c r="AF23">
        <f>Database!AA21</f>
        <v/>
      </c>
      <c r="AG23">
        <f>Database!G21</f>
        <v/>
      </c>
    </row>
    <row r="24">
      <c r="AA24">
        <f>Database!B22</f>
        <v/>
      </c>
      <c r="AB24">
        <f>Database!D22</f>
        <v/>
      </c>
      <c r="AC24">
        <f>Database!E22</f>
        <v/>
      </c>
      <c r="AD24">
        <f>Database!H22</f>
        <v/>
      </c>
      <c r="AE24">
        <f>Database!V22</f>
        <v/>
      </c>
      <c r="AF24">
        <f>Database!AA22</f>
        <v/>
      </c>
      <c r="AG24">
        <f>Database!G22</f>
        <v/>
      </c>
    </row>
    <row r="25">
      <c r="AA25">
        <f>Database!B23</f>
        <v/>
      </c>
      <c r="AB25">
        <f>Database!D23</f>
        <v/>
      </c>
      <c r="AC25">
        <f>Database!E23</f>
        <v/>
      </c>
      <c r="AD25">
        <f>Database!H23</f>
        <v/>
      </c>
      <c r="AE25">
        <f>Database!V23</f>
        <v/>
      </c>
      <c r="AF25">
        <f>Database!AA23</f>
        <v/>
      </c>
      <c r="AG25">
        <f>Database!G23</f>
        <v/>
      </c>
    </row>
    <row r="26">
      <c r="A26" s="3" t="inlineStr">
        <is>
          <t>MOST-SIMILAR DEAL — side by side</t>
        </is>
      </c>
      <c r="AA26">
        <f>Database!B24</f>
        <v/>
      </c>
      <c r="AB26">
        <f>Database!D24</f>
        <v/>
      </c>
      <c r="AC26">
        <f>Database!E24</f>
        <v/>
      </c>
      <c r="AD26">
        <f>Database!H24</f>
        <v/>
      </c>
      <c r="AE26">
        <f>Database!V24</f>
        <v/>
      </c>
      <c r="AF26">
        <f>Database!AA24</f>
        <v/>
      </c>
      <c r="AG26">
        <f>Database!G24</f>
        <v/>
      </c>
    </row>
    <row r="27">
      <c r="A27" s="22" t="inlineStr"/>
      <c r="B27" s="14" t="inlineStr">
        <is>
          <t>Target</t>
        </is>
      </c>
      <c r="C27" s="14" t="inlineStr">
        <is>
          <t>Comp #1</t>
        </is>
      </c>
      <c r="AA27">
        <f>Database!B25</f>
        <v/>
      </c>
      <c r="AB27">
        <f>Database!D25</f>
        <v/>
      </c>
      <c r="AC27">
        <f>Database!E25</f>
        <v/>
      </c>
      <c r="AD27">
        <f>Database!H25</f>
        <v/>
      </c>
      <c r="AE27">
        <f>Database!V25</f>
        <v/>
      </c>
      <c r="AF27">
        <f>Database!AA25</f>
        <v/>
      </c>
      <c r="AG27">
        <f>Database!G25</f>
        <v/>
      </c>
    </row>
    <row r="28">
      <c r="A28" s="4" t="inlineStr">
        <is>
          <t>Name</t>
        </is>
      </c>
      <c r="B28" s="12">
        <f>B3</f>
        <v/>
      </c>
      <c r="C28" s="12">
        <f>B16</f>
        <v/>
      </c>
      <c r="AA28">
        <f>Database!B26</f>
        <v/>
      </c>
      <c r="AB28">
        <f>Database!D26</f>
        <v/>
      </c>
      <c r="AC28">
        <f>Database!E26</f>
        <v/>
      </c>
      <c r="AD28">
        <f>Database!H26</f>
        <v/>
      </c>
      <c r="AE28">
        <f>Database!V26</f>
        <v/>
      </c>
      <c r="AF28">
        <f>Database!AA26</f>
        <v/>
      </c>
      <c r="AG28">
        <f>Database!G26</f>
        <v/>
      </c>
    </row>
    <row r="29">
      <c r="A29" s="4" t="inlineStr">
        <is>
          <t>Subsector</t>
        </is>
      </c>
      <c r="B29" s="12">
        <f>B7</f>
        <v/>
      </c>
      <c r="C29" s="12">
        <f>C16</f>
        <v/>
      </c>
      <c r="AA29">
        <f>Database!B27</f>
        <v/>
      </c>
      <c r="AB29">
        <f>Database!D27</f>
        <v/>
      </c>
      <c r="AC29">
        <f>Database!E27</f>
        <v/>
      </c>
      <c r="AD29">
        <f>Database!H27</f>
        <v/>
      </c>
      <c r="AE29">
        <f>Database!V27</f>
        <v/>
      </c>
      <c r="AF29">
        <f>Database!AA27</f>
        <v/>
      </c>
      <c r="AG29">
        <f>Database!G27</f>
        <v/>
      </c>
    </row>
    <row r="30">
      <c r="A30" s="4" t="inlineStr">
        <is>
          <t>Size HK$m</t>
        </is>
      </c>
      <c r="B30" s="12">
        <f>B8</f>
        <v/>
      </c>
      <c r="C30" s="12">
        <f>E16</f>
        <v/>
      </c>
      <c r="AA30">
        <f>Database!B28</f>
        <v/>
      </c>
      <c r="AB30">
        <f>Database!D28</f>
        <v/>
      </c>
      <c r="AC30">
        <f>Database!E28</f>
        <v/>
      </c>
      <c r="AD30">
        <f>Database!H28</f>
        <v/>
      </c>
      <c r="AE30">
        <f>Database!V28</f>
        <v/>
      </c>
      <c r="AF30">
        <f>Database!AA28</f>
        <v/>
      </c>
      <c r="AG30">
        <f>Database!G28</f>
        <v/>
      </c>
    </row>
    <row r="31">
      <c r="A31" s="4" t="inlineStr">
        <is>
          <t>P/E (x)</t>
        </is>
      </c>
      <c r="B31" s="12" t="inlineStr">
        <is>
          <t>see fundamentals</t>
        </is>
      </c>
      <c r="C31" s="12">
        <f>F16</f>
        <v/>
      </c>
      <c r="AA31">
        <f>Database!B29</f>
        <v/>
      </c>
      <c r="AB31">
        <f>Database!D29</f>
        <v/>
      </c>
      <c r="AC31">
        <f>Database!E29</f>
        <v/>
      </c>
      <c r="AD31">
        <f>Database!H29</f>
        <v/>
      </c>
      <c r="AE31">
        <f>Database!V29</f>
        <v/>
      </c>
      <c r="AF31">
        <f>Database!AA29</f>
        <v/>
      </c>
      <c r="AG31">
        <f>Database!G29</f>
        <v/>
      </c>
    </row>
    <row r="32">
      <c r="A32" s="4" t="inlineStr">
        <is>
          <t>Priced in range</t>
        </is>
      </c>
      <c r="B32" s="12" t="inlineStr">
        <is>
          <t>—</t>
        </is>
      </c>
      <c r="C32" s="12">
        <f>H16</f>
        <v/>
      </c>
      <c r="AA32">
        <f>Database!B30</f>
        <v/>
      </c>
      <c r="AB32">
        <f>Database!D30</f>
        <v/>
      </c>
      <c r="AC32">
        <f>Database!E30</f>
        <v/>
      </c>
      <c r="AD32">
        <f>Database!H30</f>
        <v/>
      </c>
      <c r="AE32">
        <f>Database!V30</f>
        <v/>
      </c>
      <c r="AF32">
        <f>Database!AA30</f>
        <v/>
      </c>
      <c r="AG32">
        <f>Database!G30</f>
        <v/>
      </c>
    </row>
    <row r="33">
      <c r="A33" s="4" t="inlineStr">
        <is>
          <t>Day-1</t>
        </is>
      </c>
      <c r="B33" s="12" t="inlineStr">
        <is>
          <t>—</t>
        </is>
      </c>
      <c r="C33" s="12">
        <f>I16</f>
        <v/>
      </c>
      <c r="AA33">
        <f>Database!B31</f>
        <v/>
      </c>
      <c r="AB33">
        <f>Database!D31</f>
        <v/>
      </c>
      <c r="AC33">
        <f>Database!E31</f>
        <v/>
      </c>
      <c r="AD33">
        <f>Database!H31</f>
        <v/>
      </c>
      <c r="AE33">
        <f>Database!V31</f>
        <v/>
      </c>
      <c r="AF33">
        <f>Database!AA31</f>
        <v/>
      </c>
      <c r="AG33">
        <f>Database!G31</f>
        <v/>
      </c>
    </row>
    <row r="34">
      <c r="AA34">
        <f>Database!B32</f>
        <v/>
      </c>
      <c r="AB34">
        <f>Database!D32</f>
        <v/>
      </c>
      <c r="AC34">
        <f>Database!E32</f>
        <v/>
      </c>
      <c r="AD34">
        <f>Database!H32</f>
        <v/>
      </c>
      <c r="AE34">
        <f>Database!V32</f>
        <v/>
      </c>
      <c r="AF34">
        <f>Database!AA32</f>
        <v/>
      </c>
      <c r="AG34">
        <f>Database!G32</f>
        <v/>
      </c>
    </row>
    <row r="35">
      <c r="AA35">
        <f>Database!B33</f>
        <v/>
      </c>
      <c r="AB35">
        <f>Database!D33</f>
        <v/>
      </c>
      <c r="AC35">
        <f>Database!E33</f>
        <v/>
      </c>
      <c r="AD35">
        <f>Database!H33</f>
        <v/>
      </c>
      <c r="AE35">
        <f>Database!V33</f>
        <v/>
      </c>
      <c r="AF35">
        <f>Database!AA33</f>
        <v/>
      </c>
      <c r="AG35">
        <f>Database!G33</f>
        <v/>
      </c>
    </row>
    <row r="36">
      <c r="AA36">
        <f>Database!B34</f>
        <v/>
      </c>
      <c r="AB36">
        <f>Database!D34</f>
        <v/>
      </c>
      <c r="AC36">
        <f>Database!E34</f>
        <v/>
      </c>
      <c r="AD36">
        <f>Database!H34</f>
        <v/>
      </c>
      <c r="AE36">
        <f>Database!V34</f>
        <v/>
      </c>
      <c r="AF36">
        <f>Database!AA34</f>
        <v/>
      </c>
      <c r="AG36">
        <f>Database!G34</f>
        <v/>
      </c>
    </row>
    <row r="37">
      <c r="AA37">
        <f>Database!B35</f>
        <v/>
      </c>
      <c r="AB37">
        <f>Database!D35</f>
        <v/>
      </c>
      <c r="AC37">
        <f>Database!E35</f>
        <v/>
      </c>
      <c r="AD37">
        <f>Database!H35</f>
        <v/>
      </c>
      <c r="AE37">
        <f>Database!V35</f>
        <v/>
      </c>
      <c r="AF37">
        <f>Database!AA35</f>
        <v/>
      </c>
      <c r="AG37">
        <f>Database!G35</f>
        <v/>
      </c>
    </row>
    <row r="38">
      <c r="AA38">
        <f>Database!B36</f>
        <v/>
      </c>
      <c r="AB38">
        <f>Database!D36</f>
        <v/>
      </c>
      <c r="AC38">
        <f>Database!E36</f>
        <v/>
      </c>
      <c r="AD38">
        <f>Database!H36</f>
        <v/>
      </c>
      <c r="AE38">
        <f>Database!V36</f>
        <v/>
      </c>
      <c r="AF38">
        <f>Database!AA36</f>
        <v/>
      </c>
      <c r="AG38">
        <f>Database!G36</f>
        <v/>
      </c>
    </row>
    <row r="39">
      <c r="AA39">
        <f>Database!B37</f>
        <v/>
      </c>
      <c r="AB39">
        <f>Database!D37</f>
        <v/>
      </c>
      <c r="AC39">
        <f>Database!E37</f>
        <v/>
      </c>
      <c r="AD39">
        <f>Database!H37</f>
        <v/>
      </c>
      <c r="AE39">
        <f>Database!V37</f>
        <v/>
      </c>
      <c r="AF39">
        <f>Database!AA37</f>
        <v/>
      </c>
      <c r="AG39">
        <f>Database!G37</f>
        <v/>
      </c>
    </row>
    <row r="40">
      <c r="AA40">
        <f>Database!B38</f>
        <v/>
      </c>
      <c r="AB40">
        <f>Database!D38</f>
        <v/>
      </c>
      <c r="AC40">
        <f>Database!E38</f>
        <v/>
      </c>
      <c r="AD40">
        <f>Database!H38</f>
        <v/>
      </c>
      <c r="AE40">
        <f>Database!V38</f>
        <v/>
      </c>
      <c r="AF40">
        <f>Database!AA38</f>
        <v/>
      </c>
      <c r="AG40">
        <f>Database!G38</f>
        <v/>
      </c>
    </row>
    <row r="41">
      <c r="AA41">
        <f>Database!B39</f>
        <v/>
      </c>
      <c r="AB41">
        <f>Database!D39</f>
        <v/>
      </c>
      <c r="AC41">
        <f>Database!E39</f>
        <v/>
      </c>
      <c r="AD41">
        <f>Database!H39</f>
        <v/>
      </c>
      <c r="AE41">
        <f>Database!V39</f>
        <v/>
      </c>
      <c r="AF41">
        <f>Database!AA39</f>
        <v/>
      </c>
      <c r="AG41">
        <f>Database!G39</f>
        <v/>
      </c>
    </row>
    <row r="42">
      <c r="AA42">
        <f>Database!B40</f>
        <v/>
      </c>
      <c r="AB42">
        <f>Database!D40</f>
        <v/>
      </c>
      <c r="AC42">
        <f>Database!E40</f>
        <v/>
      </c>
      <c r="AD42">
        <f>Database!H40</f>
        <v/>
      </c>
      <c r="AE42">
        <f>Database!V40</f>
        <v/>
      </c>
      <c r="AF42">
        <f>Database!AA40</f>
        <v/>
      </c>
      <c r="AG42">
        <f>Database!G40</f>
        <v/>
      </c>
    </row>
    <row r="43">
      <c r="AA43">
        <f>Database!B41</f>
        <v/>
      </c>
      <c r="AB43">
        <f>Database!D41</f>
        <v/>
      </c>
      <c r="AC43">
        <f>Database!E41</f>
        <v/>
      </c>
      <c r="AD43">
        <f>Database!H41</f>
        <v/>
      </c>
      <c r="AE43">
        <f>Database!V41</f>
        <v/>
      </c>
      <c r="AF43">
        <f>Database!AA41</f>
        <v/>
      </c>
      <c r="AG43">
        <f>Database!G41</f>
        <v/>
      </c>
    </row>
    <row r="44">
      <c r="AA44">
        <f>Database!B42</f>
        <v/>
      </c>
      <c r="AB44">
        <f>Database!D42</f>
        <v/>
      </c>
      <c r="AC44">
        <f>Database!E42</f>
        <v/>
      </c>
      <c r="AD44">
        <f>Database!H42</f>
        <v/>
      </c>
      <c r="AE44">
        <f>Database!V42</f>
        <v/>
      </c>
      <c r="AF44">
        <f>Database!AA42</f>
        <v/>
      </c>
      <c r="AG44">
        <f>Database!G42</f>
        <v/>
      </c>
    </row>
    <row r="45">
      <c r="AA45">
        <f>Database!B43</f>
        <v/>
      </c>
      <c r="AB45">
        <f>Database!D43</f>
        <v/>
      </c>
      <c r="AC45">
        <f>Database!E43</f>
        <v/>
      </c>
      <c r="AD45">
        <f>Database!H43</f>
        <v/>
      </c>
      <c r="AE45">
        <f>Database!V43</f>
        <v/>
      </c>
      <c r="AF45">
        <f>Database!AA43</f>
        <v/>
      </c>
      <c r="AG45">
        <f>Database!G43</f>
        <v/>
      </c>
    </row>
    <row r="46">
      <c r="AA46">
        <f>Database!B44</f>
        <v/>
      </c>
      <c r="AB46">
        <f>Database!D44</f>
        <v/>
      </c>
      <c r="AC46">
        <f>Database!E44</f>
        <v/>
      </c>
      <c r="AD46">
        <f>Database!H44</f>
        <v/>
      </c>
      <c r="AE46">
        <f>Database!V44</f>
        <v/>
      </c>
      <c r="AF46">
        <f>Database!AA44</f>
        <v/>
      </c>
      <c r="AG46">
        <f>Database!G44</f>
        <v/>
      </c>
    </row>
    <row r="47">
      <c r="AA47">
        <f>Database!B45</f>
        <v/>
      </c>
      <c r="AB47">
        <f>Database!D45</f>
        <v/>
      </c>
      <c r="AC47">
        <f>Database!E45</f>
        <v/>
      </c>
      <c r="AD47">
        <f>Database!H45</f>
        <v/>
      </c>
      <c r="AE47">
        <f>Database!V45</f>
        <v/>
      </c>
      <c r="AF47">
        <f>Database!AA45</f>
        <v/>
      </c>
      <c r="AG47">
        <f>Database!G45</f>
        <v/>
      </c>
    </row>
    <row r="48">
      <c r="AA48">
        <f>Database!B46</f>
        <v/>
      </c>
      <c r="AB48">
        <f>Database!D46</f>
        <v/>
      </c>
      <c r="AC48">
        <f>Database!E46</f>
        <v/>
      </c>
      <c r="AD48">
        <f>Database!H46</f>
        <v/>
      </c>
      <c r="AE48">
        <f>Database!V46</f>
        <v/>
      </c>
      <c r="AF48">
        <f>Database!AA46</f>
        <v/>
      </c>
      <c r="AG48">
        <f>Database!G46</f>
        <v/>
      </c>
    </row>
    <row r="49">
      <c r="AA49">
        <f>Database!B47</f>
        <v/>
      </c>
      <c r="AB49">
        <f>Database!D47</f>
        <v/>
      </c>
      <c r="AC49">
        <f>Database!E47</f>
        <v/>
      </c>
      <c r="AD49">
        <f>Database!H47</f>
        <v/>
      </c>
      <c r="AE49">
        <f>Database!V47</f>
        <v/>
      </c>
      <c r="AF49">
        <f>Database!AA47</f>
        <v/>
      </c>
      <c r="AG49">
        <f>Database!G47</f>
        <v/>
      </c>
    </row>
    <row r="50">
      <c r="AA50">
        <f>Database!B48</f>
        <v/>
      </c>
      <c r="AB50">
        <f>Database!D48</f>
        <v/>
      </c>
      <c r="AC50">
        <f>Database!E48</f>
        <v/>
      </c>
      <c r="AD50">
        <f>Database!H48</f>
        <v/>
      </c>
      <c r="AE50">
        <f>Database!V48</f>
        <v/>
      </c>
      <c r="AF50">
        <f>Database!AA48</f>
        <v/>
      </c>
      <c r="AG50">
        <f>Database!G48</f>
        <v/>
      </c>
    </row>
    <row r="51">
      <c r="AA51">
        <f>Database!B49</f>
        <v/>
      </c>
      <c r="AB51">
        <f>Database!D49</f>
        <v/>
      </c>
      <c r="AC51">
        <f>Database!E49</f>
        <v/>
      </c>
      <c r="AD51">
        <f>Database!H49</f>
        <v/>
      </c>
      <c r="AE51">
        <f>Database!V49</f>
        <v/>
      </c>
      <c r="AF51">
        <f>Database!AA49</f>
        <v/>
      </c>
      <c r="AG51">
        <f>Database!G49</f>
        <v/>
      </c>
    </row>
    <row r="52">
      <c r="AA52">
        <f>Database!B50</f>
        <v/>
      </c>
      <c r="AB52">
        <f>Database!D50</f>
        <v/>
      </c>
      <c r="AC52">
        <f>Database!E50</f>
        <v/>
      </c>
      <c r="AD52">
        <f>Database!H50</f>
        <v/>
      </c>
      <c r="AE52">
        <f>Database!V50</f>
        <v/>
      </c>
      <c r="AF52">
        <f>Database!AA50</f>
        <v/>
      </c>
      <c r="AG52">
        <f>Database!G50</f>
        <v/>
      </c>
    </row>
    <row r="53">
      <c r="AA53">
        <f>Database!B51</f>
        <v/>
      </c>
      <c r="AB53">
        <f>Database!D51</f>
        <v/>
      </c>
      <c r="AC53">
        <f>Database!E51</f>
        <v/>
      </c>
      <c r="AD53">
        <f>Database!H51</f>
        <v/>
      </c>
      <c r="AE53">
        <f>Database!V51</f>
        <v/>
      </c>
      <c r="AF53">
        <f>Database!AA51</f>
        <v/>
      </c>
      <c r="AG53">
        <f>Database!G51</f>
        <v/>
      </c>
    </row>
    <row r="54">
      <c r="AA54">
        <f>Database!B52</f>
        <v/>
      </c>
      <c r="AB54">
        <f>Database!D52</f>
        <v/>
      </c>
      <c r="AC54">
        <f>Database!E52</f>
        <v/>
      </c>
      <c r="AD54">
        <f>Database!H52</f>
        <v/>
      </c>
      <c r="AE54">
        <f>Database!V52</f>
        <v/>
      </c>
      <c r="AF54">
        <f>Database!AA52</f>
        <v/>
      </c>
      <c r="AG54">
        <f>Database!G52</f>
        <v/>
      </c>
    </row>
    <row r="55">
      <c r="AA55">
        <f>Database!B53</f>
        <v/>
      </c>
      <c r="AB55">
        <f>Database!D53</f>
        <v/>
      </c>
      <c r="AC55">
        <f>Database!E53</f>
        <v/>
      </c>
      <c r="AD55">
        <f>Database!H53</f>
        <v/>
      </c>
      <c r="AE55">
        <f>Database!V53</f>
        <v/>
      </c>
      <c r="AF55">
        <f>Database!AA53</f>
        <v/>
      </c>
      <c r="AG55">
        <f>Database!G53</f>
        <v/>
      </c>
    </row>
    <row r="56">
      <c r="AA56">
        <f>Database!B54</f>
        <v/>
      </c>
      <c r="AB56">
        <f>Database!D54</f>
        <v/>
      </c>
      <c r="AC56">
        <f>Database!E54</f>
        <v/>
      </c>
      <c r="AD56">
        <f>Database!H54</f>
        <v/>
      </c>
      <c r="AE56">
        <f>Database!V54</f>
        <v/>
      </c>
      <c r="AF56">
        <f>Database!AA54</f>
        <v/>
      </c>
      <c r="AG56">
        <f>Database!G54</f>
        <v/>
      </c>
    </row>
    <row r="57">
      <c r="AA57">
        <f>Database!B55</f>
        <v/>
      </c>
      <c r="AB57">
        <f>Database!D55</f>
        <v/>
      </c>
      <c r="AC57">
        <f>Database!E55</f>
        <v/>
      </c>
      <c r="AD57">
        <f>Database!H55</f>
        <v/>
      </c>
      <c r="AE57">
        <f>Database!V55</f>
        <v/>
      </c>
      <c r="AF57">
        <f>Database!AA55</f>
        <v/>
      </c>
      <c r="AG57">
        <f>Database!G55</f>
        <v/>
      </c>
    </row>
    <row r="58">
      <c r="AA58">
        <f>Database!B56</f>
        <v/>
      </c>
      <c r="AB58">
        <f>Database!D56</f>
        <v/>
      </c>
      <c r="AC58">
        <f>Database!E56</f>
        <v/>
      </c>
      <c r="AD58">
        <f>Database!H56</f>
        <v/>
      </c>
      <c r="AE58">
        <f>Database!V56</f>
        <v/>
      </c>
      <c r="AF58">
        <f>Database!AA56</f>
        <v/>
      </c>
      <c r="AG58">
        <f>Database!G56</f>
        <v/>
      </c>
    </row>
    <row r="59">
      <c r="AA59">
        <f>Database!B57</f>
        <v/>
      </c>
      <c r="AB59">
        <f>Database!D57</f>
        <v/>
      </c>
      <c r="AC59">
        <f>Database!E57</f>
        <v/>
      </c>
      <c r="AD59">
        <f>Database!H57</f>
        <v/>
      </c>
      <c r="AE59">
        <f>Database!V57</f>
        <v/>
      </c>
      <c r="AF59">
        <f>Database!AA57</f>
        <v/>
      </c>
      <c r="AG59">
        <f>Database!G57</f>
        <v/>
      </c>
    </row>
    <row r="60">
      <c r="AA60">
        <f>Database!B58</f>
        <v/>
      </c>
      <c r="AB60">
        <f>Database!D58</f>
        <v/>
      </c>
      <c r="AC60">
        <f>Database!E58</f>
        <v/>
      </c>
      <c r="AD60">
        <f>Database!H58</f>
        <v/>
      </c>
      <c r="AE60">
        <f>Database!V58</f>
        <v/>
      </c>
      <c r="AF60">
        <f>Database!AA58</f>
        <v/>
      </c>
      <c r="AG60">
        <f>Database!G58</f>
        <v/>
      </c>
    </row>
    <row r="61">
      <c r="AA61">
        <f>Database!B59</f>
        <v/>
      </c>
      <c r="AB61">
        <f>Database!D59</f>
        <v/>
      </c>
      <c r="AC61">
        <f>Database!E59</f>
        <v/>
      </c>
      <c r="AD61">
        <f>Database!H59</f>
        <v/>
      </c>
      <c r="AE61">
        <f>Database!V59</f>
        <v/>
      </c>
      <c r="AF61">
        <f>Database!AA59</f>
        <v/>
      </c>
      <c r="AG61">
        <f>Database!G59</f>
        <v/>
      </c>
    </row>
    <row r="62">
      <c r="AA62">
        <f>Database!B60</f>
        <v/>
      </c>
      <c r="AB62">
        <f>Database!D60</f>
        <v/>
      </c>
      <c r="AC62">
        <f>Database!E60</f>
        <v/>
      </c>
      <c r="AD62">
        <f>Database!H60</f>
        <v/>
      </c>
      <c r="AE62">
        <f>Database!V60</f>
        <v/>
      </c>
      <c r="AF62">
        <f>Database!AA60</f>
        <v/>
      </c>
      <c r="AG62">
        <f>Database!G60</f>
        <v/>
      </c>
    </row>
    <row r="63">
      <c r="AA63">
        <f>Database!B61</f>
        <v/>
      </c>
      <c r="AB63">
        <f>Database!D61</f>
        <v/>
      </c>
      <c r="AC63">
        <f>Database!E61</f>
        <v/>
      </c>
      <c r="AD63">
        <f>Database!H61</f>
        <v/>
      </c>
      <c r="AE63">
        <f>Database!V61</f>
        <v/>
      </c>
      <c r="AF63">
        <f>Database!AA61</f>
        <v/>
      </c>
      <c r="AG63">
        <f>Database!G61</f>
        <v/>
      </c>
    </row>
    <row r="64">
      <c r="AA64">
        <f>Database!B62</f>
        <v/>
      </c>
      <c r="AB64">
        <f>Database!D62</f>
        <v/>
      </c>
      <c r="AC64">
        <f>Database!E62</f>
        <v/>
      </c>
      <c r="AD64">
        <f>Database!H62</f>
        <v/>
      </c>
      <c r="AE64">
        <f>Database!V62</f>
        <v/>
      </c>
      <c r="AF64">
        <f>Database!AA62</f>
        <v/>
      </c>
      <c r="AG64">
        <f>Database!G62</f>
        <v/>
      </c>
    </row>
    <row r="65">
      <c r="AA65">
        <f>Database!B63</f>
        <v/>
      </c>
      <c r="AB65">
        <f>Database!D63</f>
        <v/>
      </c>
      <c r="AC65">
        <f>Database!E63</f>
        <v/>
      </c>
      <c r="AD65">
        <f>Database!H63</f>
        <v/>
      </c>
      <c r="AE65">
        <f>Database!V63</f>
        <v/>
      </c>
      <c r="AF65">
        <f>Database!AA63</f>
        <v/>
      </c>
      <c r="AG65">
        <f>Database!G63</f>
        <v/>
      </c>
    </row>
    <row r="66">
      <c r="AA66">
        <f>Database!B64</f>
        <v/>
      </c>
      <c r="AB66">
        <f>Database!D64</f>
        <v/>
      </c>
      <c r="AC66">
        <f>Database!E64</f>
        <v/>
      </c>
      <c r="AD66">
        <f>Database!H64</f>
        <v/>
      </c>
      <c r="AE66">
        <f>Database!V64</f>
        <v/>
      </c>
      <c r="AF66">
        <f>Database!AA64</f>
        <v/>
      </c>
      <c r="AG66">
        <f>Database!G64</f>
        <v/>
      </c>
    </row>
    <row r="67">
      <c r="AA67">
        <f>Database!B65</f>
        <v/>
      </c>
      <c r="AB67">
        <f>Database!D65</f>
        <v/>
      </c>
      <c r="AC67">
        <f>Database!E65</f>
        <v/>
      </c>
      <c r="AD67">
        <f>Database!H65</f>
        <v/>
      </c>
      <c r="AE67">
        <f>Database!V65</f>
        <v/>
      </c>
      <c r="AF67">
        <f>Database!AA65</f>
        <v/>
      </c>
      <c r="AG67">
        <f>Database!G65</f>
        <v/>
      </c>
    </row>
    <row r="68">
      <c r="AA68">
        <f>Database!B66</f>
        <v/>
      </c>
      <c r="AB68">
        <f>Database!D66</f>
        <v/>
      </c>
      <c r="AC68">
        <f>Database!E66</f>
        <v/>
      </c>
      <c r="AD68">
        <f>Database!H66</f>
        <v/>
      </c>
      <c r="AE68">
        <f>Database!V66</f>
        <v/>
      </c>
      <c r="AF68">
        <f>Database!AA66</f>
        <v/>
      </c>
      <c r="AG68">
        <f>Database!G66</f>
        <v/>
      </c>
    </row>
    <row r="69">
      <c r="AA69">
        <f>Database!B67</f>
        <v/>
      </c>
      <c r="AB69">
        <f>Database!D67</f>
        <v/>
      </c>
      <c r="AC69">
        <f>Database!E67</f>
        <v/>
      </c>
      <c r="AD69">
        <f>Database!H67</f>
        <v/>
      </c>
      <c r="AE69">
        <f>Database!V67</f>
        <v/>
      </c>
      <c r="AF69">
        <f>Database!AA67</f>
        <v/>
      </c>
      <c r="AG69">
        <f>Database!G67</f>
        <v/>
      </c>
    </row>
    <row r="70">
      <c r="AA70">
        <f>Database!B68</f>
        <v/>
      </c>
      <c r="AB70">
        <f>Database!D68</f>
        <v/>
      </c>
      <c r="AC70">
        <f>Database!E68</f>
        <v/>
      </c>
      <c r="AD70">
        <f>Database!H68</f>
        <v/>
      </c>
      <c r="AE70">
        <f>Database!V68</f>
        <v/>
      </c>
      <c r="AF70">
        <f>Database!AA68</f>
        <v/>
      </c>
      <c r="AG70">
        <f>Database!G68</f>
        <v/>
      </c>
    </row>
    <row r="71">
      <c r="AA71">
        <f>Database!B69</f>
        <v/>
      </c>
      <c r="AB71">
        <f>Database!D69</f>
        <v/>
      </c>
      <c r="AC71">
        <f>Database!E69</f>
        <v/>
      </c>
      <c r="AD71">
        <f>Database!H69</f>
        <v/>
      </c>
      <c r="AE71">
        <f>Database!V69</f>
        <v/>
      </c>
      <c r="AF71">
        <f>Database!AA69</f>
        <v/>
      </c>
      <c r="AG71">
        <f>Database!G69</f>
        <v/>
      </c>
    </row>
    <row r="72">
      <c r="AA72">
        <f>Database!B70</f>
        <v/>
      </c>
      <c r="AB72">
        <f>Database!D70</f>
        <v/>
      </c>
      <c r="AC72">
        <f>Database!E70</f>
        <v/>
      </c>
      <c r="AD72">
        <f>Database!H70</f>
        <v/>
      </c>
      <c r="AE72">
        <f>Database!V70</f>
        <v/>
      </c>
      <c r="AF72">
        <f>Database!AA70</f>
        <v/>
      </c>
      <c r="AG72">
        <f>Database!G70</f>
        <v/>
      </c>
    </row>
    <row r="73">
      <c r="AA73">
        <f>Database!B71</f>
        <v/>
      </c>
      <c r="AB73">
        <f>Database!D71</f>
        <v/>
      </c>
      <c r="AC73">
        <f>Database!E71</f>
        <v/>
      </c>
      <c r="AD73">
        <f>Database!H71</f>
        <v/>
      </c>
      <c r="AE73">
        <f>Database!V71</f>
        <v/>
      </c>
      <c r="AF73">
        <f>Database!AA71</f>
        <v/>
      </c>
      <c r="AG73">
        <f>Database!G71</f>
        <v/>
      </c>
    </row>
    <row r="74">
      <c r="AA74">
        <f>Database!B72</f>
        <v/>
      </c>
      <c r="AB74">
        <f>Database!D72</f>
        <v/>
      </c>
      <c r="AC74">
        <f>Database!E72</f>
        <v/>
      </c>
      <c r="AD74">
        <f>Database!H72</f>
        <v/>
      </c>
      <c r="AE74">
        <f>Database!V72</f>
        <v/>
      </c>
      <c r="AF74">
        <f>Database!AA72</f>
        <v/>
      </c>
      <c r="AG74">
        <f>Database!G72</f>
        <v/>
      </c>
    </row>
    <row r="75">
      <c r="AA75">
        <f>Database!B73</f>
        <v/>
      </c>
      <c r="AB75">
        <f>Database!D73</f>
        <v/>
      </c>
      <c r="AC75">
        <f>Database!E73</f>
        <v/>
      </c>
      <c r="AD75">
        <f>Database!H73</f>
        <v/>
      </c>
      <c r="AE75">
        <f>Database!V73</f>
        <v/>
      </c>
      <c r="AF75">
        <f>Database!AA73</f>
        <v/>
      </c>
      <c r="AG75">
        <f>Database!G73</f>
        <v/>
      </c>
    </row>
    <row r="76">
      <c r="AA76">
        <f>Database!B74</f>
        <v/>
      </c>
      <c r="AB76">
        <f>Database!D74</f>
        <v/>
      </c>
      <c r="AC76">
        <f>Database!E74</f>
        <v/>
      </c>
      <c r="AD76">
        <f>Database!H74</f>
        <v/>
      </c>
      <c r="AE76">
        <f>Database!V74</f>
        <v/>
      </c>
      <c r="AF76">
        <f>Database!AA74</f>
        <v/>
      </c>
      <c r="AG76">
        <f>Database!G74</f>
        <v/>
      </c>
    </row>
    <row r="77">
      <c r="AA77">
        <f>Database!B75</f>
        <v/>
      </c>
      <c r="AB77">
        <f>Database!D75</f>
        <v/>
      </c>
      <c r="AC77">
        <f>Database!E75</f>
        <v/>
      </c>
      <c r="AD77">
        <f>Database!H75</f>
        <v/>
      </c>
      <c r="AE77">
        <f>Database!V75</f>
        <v/>
      </c>
      <c r="AF77">
        <f>Database!AA75</f>
        <v/>
      </c>
      <c r="AG77">
        <f>Database!G75</f>
        <v/>
      </c>
    </row>
    <row r="78">
      <c r="AA78">
        <f>Database!B76</f>
        <v/>
      </c>
      <c r="AB78">
        <f>Database!D76</f>
        <v/>
      </c>
      <c r="AC78">
        <f>Database!E76</f>
        <v/>
      </c>
      <c r="AD78">
        <f>Database!H76</f>
        <v/>
      </c>
      <c r="AE78">
        <f>Database!V76</f>
        <v/>
      </c>
      <c r="AF78">
        <f>Database!AA76</f>
        <v/>
      </c>
      <c r="AG78">
        <f>Database!G76</f>
        <v/>
      </c>
    </row>
    <row r="79">
      <c r="AA79">
        <f>Database!B77</f>
        <v/>
      </c>
      <c r="AB79">
        <f>Database!D77</f>
        <v/>
      </c>
      <c r="AC79">
        <f>Database!E77</f>
        <v/>
      </c>
      <c r="AD79">
        <f>Database!H77</f>
        <v/>
      </c>
      <c r="AE79">
        <f>Database!V77</f>
        <v/>
      </c>
      <c r="AF79">
        <f>Database!AA77</f>
        <v/>
      </c>
      <c r="AG79">
        <f>Database!G77</f>
        <v/>
      </c>
    </row>
    <row r="80">
      <c r="AA80">
        <f>Database!B78</f>
        <v/>
      </c>
      <c r="AB80">
        <f>Database!D78</f>
        <v/>
      </c>
      <c r="AC80">
        <f>Database!E78</f>
        <v/>
      </c>
      <c r="AD80">
        <f>Database!H78</f>
        <v/>
      </c>
      <c r="AE80">
        <f>Database!V78</f>
        <v/>
      </c>
      <c r="AF80">
        <f>Database!AA78</f>
        <v/>
      </c>
      <c r="AG80">
        <f>Database!G78</f>
        <v/>
      </c>
    </row>
    <row r="81">
      <c r="AA81">
        <f>Database!B79</f>
        <v/>
      </c>
      <c r="AB81">
        <f>Database!D79</f>
        <v/>
      </c>
      <c r="AC81">
        <f>Database!E79</f>
        <v/>
      </c>
      <c r="AD81">
        <f>Database!H79</f>
        <v/>
      </c>
      <c r="AE81">
        <f>Database!V79</f>
        <v/>
      </c>
      <c r="AF81">
        <f>Database!AA79</f>
        <v/>
      </c>
      <c r="AG81">
        <f>Database!G79</f>
        <v/>
      </c>
    </row>
    <row r="82">
      <c r="AA82">
        <f>Database!B80</f>
        <v/>
      </c>
      <c r="AB82">
        <f>Database!D80</f>
        <v/>
      </c>
      <c r="AC82">
        <f>Database!E80</f>
        <v/>
      </c>
      <c r="AD82">
        <f>Database!H80</f>
        <v/>
      </c>
      <c r="AE82">
        <f>Database!V80</f>
        <v/>
      </c>
      <c r="AF82">
        <f>Database!AA80</f>
        <v/>
      </c>
      <c r="AG82">
        <f>Database!G80</f>
        <v/>
      </c>
    </row>
    <row r="83">
      <c r="AA83">
        <f>Database!B81</f>
        <v/>
      </c>
      <c r="AB83">
        <f>Database!D81</f>
        <v/>
      </c>
      <c r="AC83">
        <f>Database!E81</f>
        <v/>
      </c>
      <c r="AD83">
        <f>Database!H81</f>
        <v/>
      </c>
      <c r="AE83">
        <f>Database!V81</f>
        <v/>
      </c>
      <c r="AF83">
        <f>Database!AA81</f>
        <v/>
      </c>
      <c r="AG83">
        <f>Database!G81</f>
        <v/>
      </c>
    </row>
    <row r="84">
      <c r="AA84">
        <f>Database!B82</f>
        <v/>
      </c>
      <c r="AB84">
        <f>Database!D82</f>
        <v/>
      </c>
      <c r="AC84">
        <f>Database!E82</f>
        <v/>
      </c>
      <c r="AD84">
        <f>Database!H82</f>
        <v/>
      </c>
      <c r="AE84">
        <f>Database!V82</f>
        <v/>
      </c>
      <c r="AF84">
        <f>Database!AA82</f>
        <v/>
      </c>
      <c r="AG84">
        <f>Database!G82</f>
        <v/>
      </c>
    </row>
    <row r="85">
      <c r="AA85">
        <f>Database!B83</f>
        <v/>
      </c>
      <c r="AB85">
        <f>Database!D83</f>
        <v/>
      </c>
      <c r="AC85">
        <f>Database!E83</f>
        <v/>
      </c>
      <c r="AD85">
        <f>Database!H83</f>
        <v/>
      </c>
      <c r="AE85">
        <f>Database!V83</f>
        <v/>
      </c>
      <c r="AF85">
        <f>Database!AA83</f>
        <v/>
      </c>
      <c r="AG85">
        <f>Database!G83</f>
        <v/>
      </c>
    </row>
    <row r="86">
      <c r="AA86">
        <f>Database!B84</f>
        <v/>
      </c>
      <c r="AB86">
        <f>Database!D84</f>
        <v/>
      </c>
      <c r="AC86">
        <f>Database!E84</f>
        <v/>
      </c>
      <c r="AD86">
        <f>Database!H84</f>
        <v/>
      </c>
      <c r="AE86">
        <f>Database!V84</f>
        <v/>
      </c>
      <c r="AF86">
        <f>Database!AA84</f>
        <v/>
      </c>
      <c r="AG86">
        <f>Database!G84</f>
        <v/>
      </c>
    </row>
    <row r="87">
      <c r="AA87">
        <f>Database!B85</f>
        <v/>
      </c>
      <c r="AB87">
        <f>Database!D85</f>
        <v/>
      </c>
      <c r="AC87">
        <f>Database!E85</f>
        <v/>
      </c>
      <c r="AD87">
        <f>Database!H85</f>
        <v/>
      </c>
      <c r="AE87">
        <f>Database!V85</f>
        <v/>
      </c>
      <c r="AF87">
        <f>Database!AA85</f>
        <v/>
      </c>
      <c r="AG87">
        <f>Database!G85</f>
        <v/>
      </c>
    </row>
    <row r="88">
      <c r="AA88">
        <f>Database!B86</f>
        <v/>
      </c>
      <c r="AB88">
        <f>Database!D86</f>
        <v/>
      </c>
      <c r="AC88">
        <f>Database!E86</f>
        <v/>
      </c>
      <c r="AD88">
        <f>Database!H86</f>
        <v/>
      </c>
      <c r="AE88">
        <f>Database!V86</f>
        <v/>
      </c>
      <c r="AF88">
        <f>Database!AA86</f>
        <v/>
      </c>
      <c r="AG88">
        <f>Database!G86</f>
        <v/>
      </c>
    </row>
    <row r="89">
      <c r="AA89">
        <f>Database!B87</f>
        <v/>
      </c>
      <c r="AB89">
        <f>Database!D87</f>
        <v/>
      </c>
      <c r="AC89">
        <f>Database!E87</f>
        <v/>
      </c>
      <c r="AD89">
        <f>Database!H87</f>
        <v/>
      </c>
      <c r="AE89">
        <f>Database!V87</f>
        <v/>
      </c>
      <c r="AF89">
        <f>Database!AA87</f>
        <v/>
      </c>
      <c r="AG89">
        <f>Database!G87</f>
        <v/>
      </c>
    </row>
    <row r="90">
      <c r="AA90">
        <f>Database!B88</f>
        <v/>
      </c>
      <c r="AB90">
        <f>Database!D88</f>
        <v/>
      </c>
      <c r="AC90">
        <f>Database!E88</f>
        <v/>
      </c>
      <c r="AD90">
        <f>Database!H88</f>
        <v/>
      </c>
      <c r="AE90">
        <f>Database!V88</f>
        <v/>
      </c>
      <c r="AF90">
        <f>Database!AA88</f>
        <v/>
      </c>
      <c r="AG90">
        <f>Database!G88</f>
        <v/>
      </c>
    </row>
    <row r="91">
      <c r="AA91">
        <f>Database!B89</f>
        <v/>
      </c>
      <c r="AB91">
        <f>Database!D89</f>
        <v/>
      </c>
      <c r="AC91">
        <f>Database!E89</f>
        <v/>
      </c>
      <c r="AD91">
        <f>Database!H89</f>
        <v/>
      </c>
      <c r="AE91">
        <f>Database!V89</f>
        <v/>
      </c>
      <c r="AF91">
        <f>Database!AA89</f>
        <v/>
      </c>
      <c r="AG91">
        <f>Database!G89</f>
        <v/>
      </c>
    </row>
    <row r="92">
      <c r="AA92">
        <f>Database!B90</f>
        <v/>
      </c>
      <c r="AB92">
        <f>Database!D90</f>
        <v/>
      </c>
      <c r="AC92">
        <f>Database!E90</f>
        <v/>
      </c>
      <c r="AD92">
        <f>Database!H90</f>
        <v/>
      </c>
      <c r="AE92">
        <f>Database!V90</f>
        <v/>
      </c>
      <c r="AF92">
        <f>Database!AA90</f>
        <v/>
      </c>
      <c r="AG92">
        <f>Database!G90</f>
        <v/>
      </c>
    </row>
    <row r="93">
      <c r="AA93">
        <f>Database!B91</f>
        <v/>
      </c>
      <c r="AB93">
        <f>Database!D91</f>
        <v/>
      </c>
      <c r="AC93">
        <f>Database!E91</f>
        <v/>
      </c>
      <c r="AD93">
        <f>Database!H91</f>
        <v/>
      </c>
      <c r="AE93">
        <f>Database!V91</f>
        <v/>
      </c>
      <c r="AF93">
        <f>Database!AA91</f>
        <v/>
      </c>
      <c r="AG93">
        <f>Database!G91</f>
        <v/>
      </c>
    </row>
    <row r="94">
      <c r="AA94">
        <f>Database!B92</f>
        <v/>
      </c>
      <c r="AB94">
        <f>Database!D92</f>
        <v/>
      </c>
      <c r="AC94">
        <f>Database!E92</f>
        <v/>
      </c>
      <c r="AD94">
        <f>Database!H92</f>
        <v/>
      </c>
      <c r="AE94">
        <f>Database!V92</f>
        <v/>
      </c>
      <c r="AF94">
        <f>Database!AA92</f>
        <v/>
      </c>
      <c r="AG94">
        <f>Database!G92</f>
        <v/>
      </c>
    </row>
    <row r="95">
      <c r="AA95">
        <f>Database!B93</f>
        <v/>
      </c>
      <c r="AB95">
        <f>Database!D93</f>
        <v/>
      </c>
      <c r="AC95">
        <f>Database!E93</f>
        <v/>
      </c>
      <c r="AD95">
        <f>Database!H93</f>
        <v/>
      </c>
      <c r="AE95">
        <f>Database!V93</f>
        <v/>
      </c>
      <c r="AF95">
        <f>Database!AA93</f>
        <v/>
      </c>
      <c r="AG95">
        <f>Database!G93</f>
        <v/>
      </c>
    </row>
    <row r="96">
      <c r="AA96">
        <f>Database!B94</f>
        <v/>
      </c>
      <c r="AB96">
        <f>Database!D94</f>
        <v/>
      </c>
      <c r="AC96">
        <f>Database!E94</f>
        <v/>
      </c>
      <c r="AD96">
        <f>Database!H94</f>
        <v/>
      </c>
      <c r="AE96">
        <f>Database!V94</f>
        <v/>
      </c>
      <c r="AF96">
        <f>Database!AA94</f>
        <v/>
      </c>
      <c r="AG96">
        <f>Database!G94</f>
        <v/>
      </c>
    </row>
    <row r="97">
      <c r="AA97">
        <f>Database!B95</f>
        <v/>
      </c>
      <c r="AB97">
        <f>Database!D95</f>
        <v/>
      </c>
      <c r="AC97">
        <f>Database!E95</f>
        <v/>
      </c>
      <c r="AD97">
        <f>Database!H95</f>
        <v/>
      </c>
      <c r="AE97">
        <f>Database!V95</f>
        <v/>
      </c>
      <c r="AF97">
        <f>Database!AA95</f>
        <v/>
      </c>
      <c r="AG97">
        <f>Database!G95</f>
        <v/>
      </c>
    </row>
    <row r="98">
      <c r="AA98">
        <f>Database!B96</f>
        <v/>
      </c>
      <c r="AB98">
        <f>Database!D96</f>
        <v/>
      </c>
      <c r="AC98">
        <f>Database!E96</f>
        <v/>
      </c>
      <c r="AD98">
        <f>Database!H96</f>
        <v/>
      </c>
      <c r="AE98">
        <f>Database!V96</f>
        <v/>
      </c>
      <c r="AF98">
        <f>Database!AA96</f>
        <v/>
      </c>
      <c r="AG98">
        <f>Database!G96</f>
        <v/>
      </c>
    </row>
    <row r="99">
      <c r="AA99">
        <f>Database!B97</f>
        <v/>
      </c>
      <c r="AB99">
        <f>Database!D97</f>
        <v/>
      </c>
      <c r="AC99">
        <f>Database!E97</f>
        <v/>
      </c>
      <c r="AD99">
        <f>Database!H97</f>
        <v/>
      </c>
      <c r="AE99">
        <f>Database!V97</f>
        <v/>
      </c>
      <c r="AF99">
        <f>Database!AA97</f>
        <v/>
      </c>
      <c r="AG99">
        <f>Database!G97</f>
        <v/>
      </c>
    </row>
    <row r="100">
      <c r="AA100">
        <f>Database!B98</f>
        <v/>
      </c>
      <c r="AB100">
        <f>Database!D98</f>
        <v/>
      </c>
      <c r="AC100">
        <f>Database!E98</f>
        <v/>
      </c>
      <c r="AD100">
        <f>Database!H98</f>
        <v/>
      </c>
      <c r="AE100">
        <f>Database!V98</f>
        <v/>
      </c>
      <c r="AF100">
        <f>Database!AA98</f>
        <v/>
      </c>
      <c r="AG100">
        <f>Database!G98</f>
        <v/>
      </c>
    </row>
    <row r="101">
      <c r="AA101">
        <f>Database!B99</f>
        <v/>
      </c>
      <c r="AB101">
        <f>Database!D99</f>
        <v/>
      </c>
      <c r="AC101">
        <f>Database!E99</f>
        <v/>
      </c>
      <c r="AD101">
        <f>Database!H99</f>
        <v/>
      </c>
      <c r="AE101">
        <f>Database!V99</f>
        <v/>
      </c>
      <c r="AF101">
        <f>Database!AA99</f>
        <v/>
      </c>
      <c r="AG101">
        <f>Database!G99</f>
        <v/>
      </c>
    </row>
    <row r="102">
      <c r="AA102">
        <f>Database!B100</f>
        <v/>
      </c>
      <c r="AB102">
        <f>Database!D100</f>
        <v/>
      </c>
      <c r="AC102">
        <f>Database!E100</f>
        <v/>
      </c>
      <c r="AD102">
        <f>Database!H100</f>
        <v/>
      </c>
      <c r="AE102">
        <f>Database!V100</f>
        <v/>
      </c>
      <c r="AF102">
        <f>Database!AA100</f>
        <v/>
      </c>
      <c r="AG102">
        <f>Database!G100</f>
        <v/>
      </c>
    </row>
    <row r="103">
      <c r="AA103">
        <f>Database!B101</f>
        <v/>
      </c>
      <c r="AB103">
        <f>Database!D101</f>
        <v/>
      </c>
      <c r="AC103">
        <f>Database!E101</f>
        <v/>
      </c>
      <c r="AD103">
        <f>Database!H101</f>
        <v/>
      </c>
      <c r="AE103">
        <f>Database!V101</f>
        <v/>
      </c>
      <c r="AF103">
        <f>Database!AA101</f>
        <v/>
      </c>
      <c r="AG103">
        <f>Database!G101</f>
        <v/>
      </c>
    </row>
    <row r="104">
      <c r="AA104">
        <f>Database!B102</f>
        <v/>
      </c>
      <c r="AB104">
        <f>Database!D102</f>
        <v/>
      </c>
      <c r="AC104">
        <f>Database!E102</f>
        <v/>
      </c>
      <c r="AD104">
        <f>Database!H102</f>
        <v/>
      </c>
      <c r="AE104">
        <f>Database!V102</f>
        <v/>
      </c>
      <c r="AF104">
        <f>Database!AA102</f>
        <v/>
      </c>
      <c r="AG104">
        <f>Database!G102</f>
        <v/>
      </c>
    </row>
    <row r="105">
      <c r="AA105">
        <f>Database!B103</f>
        <v/>
      </c>
      <c r="AB105">
        <f>Database!D103</f>
        <v/>
      </c>
      <c r="AC105">
        <f>Database!E103</f>
        <v/>
      </c>
      <c r="AD105">
        <f>Database!H103</f>
        <v/>
      </c>
      <c r="AE105">
        <f>Database!V103</f>
        <v/>
      </c>
      <c r="AF105">
        <f>Database!AA103</f>
        <v/>
      </c>
      <c r="AG105">
        <f>Database!G103</f>
        <v/>
      </c>
    </row>
    <row r="106">
      <c r="AA106">
        <f>Database!B104</f>
        <v/>
      </c>
      <c r="AB106">
        <f>Database!D104</f>
        <v/>
      </c>
      <c r="AC106">
        <f>Database!E104</f>
        <v/>
      </c>
      <c r="AD106">
        <f>Database!H104</f>
        <v/>
      </c>
      <c r="AE106">
        <f>Database!V104</f>
        <v/>
      </c>
      <c r="AF106">
        <f>Database!AA104</f>
        <v/>
      </c>
      <c r="AG106">
        <f>Database!G104</f>
        <v/>
      </c>
    </row>
    <row r="107">
      <c r="AA107">
        <f>Database!B105</f>
        <v/>
      </c>
      <c r="AB107">
        <f>Database!D105</f>
        <v/>
      </c>
      <c r="AC107">
        <f>Database!E105</f>
        <v/>
      </c>
      <c r="AD107">
        <f>Database!H105</f>
        <v/>
      </c>
      <c r="AE107">
        <f>Database!V105</f>
        <v/>
      </c>
      <c r="AF107">
        <f>Database!AA105</f>
        <v/>
      </c>
      <c r="AG107">
        <f>Database!G105</f>
        <v/>
      </c>
    </row>
    <row r="108">
      <c r="AA108">
        <f>Database!B106</f>
        <v/>
      </c>
      <c r="AB108">
        <f>Database!D106</f>
        <v/>
      </c>
      <c r="AC108">
        <f>Database!E106</f>
        <v/>
      </c>
      <c r="AD108">
        <f>Database!H106</f>
        <v/>
      </c>
      <c r="AE108">
        <f>Database!V106</f>
        <v/>
      </c>
      <c r="AF108">
        <f>Database!AA106</f>
        <v/>
      </c>
      <c r="AG108">
        <f>Database!G106</f>
        <v/>
      </c>
    </row>
    <row r="109">
      <c r="AA109">
        <f>Database!B107</f>
        <v/>
      </c>
      <c r="AB109">
        <f>Database!D107</f>
        <v/>
      </c>
      <c r="AC109">
        <f>Database!E107</f>
        <v/>
      </c>
      <c r="AD109">
        <f>Database!H107</f>
        <v/>
      </c>
      <c r="AE109">
        <f>Database!V107</f>
        <v/>
      </c>
      <c r="AF109">
        <f>Database!AA107</f>
        <v/>
      </c>
      <c r="AG109">
        <f>Database!G107</f>
        <v/>
      </c>
    </row>
    <row r="110">
      <c r="AA110">
        <f>Database!B108</f>
        <v/>
      </c>
      <c r="AB110">
        <f>Database!D108</f>
        <v/>
      </c>
      <c r="AC110">
        <f>Database!E108</f>
        <v/>
      </c>
      <c r="AD110">
        <f>Database!H108</f>
        <v/>
      </c>
      <c r="AE110">
        <f>Database!V108</f>
        <v/>
      </c>
      <c r="AF110">
        <f>Database!AA108</f>
        <v/>
      </c>
      <c r="AG110">
        <f>Database!G108</f>
        <v/>
      </c>
    </row>
    <row r="111">
      <c r="AA111">
        <f>Database!B109</f>
        <v/>
      </c>
      <c r="AB111">
        <f>Database!D109</f>
        <v/>
      </c>
      <c r="AC111">
        <f>Database!E109</f>
        <v/>
      </c>
      <c r="AD111">
        <f>Database!H109</f>
        <v/>
      </c>
      <c r="AE111">
        <f>Database!V109</f>
        <v/>
      </c>
      <c r="AF111">
        <f>Database!AA109</f>
        <v/>
      </c>
      <c r="AG111">
        <f>Database!G109</f>
        <v/>
      </c>
    </row>
    <row r="112">
      <c r="AA112">
        <f>Database!B110</f>
        <v/>
      </c>
      <c r="AB112">
        <f>Database!D110</f>
        <v/>
      </c>
      <c r="AC112">
        <f>Database!E110</f>
        <v/>
      </c>
      <c r="AD112">
        <f>Database!H110</f>
        <v/>
      </c>
      <c r="AE112">
        <f>Database!V110</f>
        <v/>
      </c>
      <c r="AF112">
        <f>Database!AA110</f>
        <v/>
      </c>
      <c r="AG112">
        <f>Database!G110</f>
        <v/>
      </c>
    </row>
    <row r="113">
      <c r="AA113">
        <f>Database!B111</f>
        <v/>
      </c>
      <c r="AB113">
        <f>Database!D111</f>
        <v/>
      </c>
      <c r="AC113">
        <f>Database!E111</f>
        <v/>
      </c>
      <c r="AD113">
        <f>Database!H111</f>
        <v/>
      </c>
      <c r="AE113">
        <f>Database!V111</f>
        <v/>
      </c>
      <c r="AF113">
        <f>Database!AA111</f>
        <v/>
      </c>
      <c r="AG113">
        <f>Database!G111</f>
        <v/>
      </c>
    </row>
    <row r="114">
      <c r="AA114">
        <f>Database!B112</f>
        <v/>
      </c>
      <c r="AB114">
        <f>Database!D112</f>
        <v/>
      </c>
      <c r="AC114">
        <f>Database!E112</f>
        <v/>
      </c>
      <c r="AD114">
        <f>Database!H112</f>
        <v/>
      </c>
      <c r="AE114">
        <f>Database!V112</f>
        <v/>
      </c>
      <c r="AF114">
        <f>Database!AA112</f>
        <v/>
      </c>
      <c r="AG114">
        <f>Database!G112</f>
        <v/>
      </c>
    </row>
    <row r="115">
      <c r="AA115">
        <f>Database!B113</f>
        <v/>
      </c>
      <c r="AB115">
        <f>Database!D113</f>
        <v/>
      </c>
      <c r="AC115">
        <f>Database!E113</f>
        <v/>
      </c>
      <c r="AD115">
        <f>Database!H113</f>
        <v/>
      </c>
      <c r="AE115">
        <f>Database!V113</f>
        <v/>
      </c>
      <c r="AF115">
        <f>Database!AA113</f>
        <v/>
      </c>
      <c r="AG115">
        <f>Database!G113</f>
        <v/>
      </c>
    </row>
    <row r="116">
      <c r="AA116">
        <f>Database!B114</f>
        <v/>
      </c>
      <c r="AB116">
        <f>Database!D114</f>
        <v/>
      </c>
      <c r="AC116">
        <f>Database!E114</f>
        <v/>
      </c>
      <c r="AD116">
        <f>Database!H114</f>
        <v/>
      </c>
      <c r="AE116">
        <f>Database!V114</f>
        <v/>
      </c>
      <c r="AF116">
        <f>Database!AA114</f>
        <v/>
      </c>
      <c r="AG116">
        <f>Database!G114</f>
        <v/>
      </c>
    </row>
    <row r="117">
      <c r="AA117">
        <f>Database!B115</f>
        <v/>
      </c>
      <c r="AB117">
        <f>Database!D115</f>
        <v/>
      </c>
      <c r="AC117">
        <f>Database!E115</f>
        <v/>
      </c>
      <c r="AD117">
        <f>Database!H115</f>
        <v/>
      </c>
      <c r="AE117">
        <f>Database!V115</f>
        <v/>
      </c>
      <c r="AF117">
        <f>Database!AA115</f>
        <v/>
      </c>
      <c r="AG117">
        <f>Database!G115</f>
        <v/>
      </c>
    </row>
    <row r="118">
      <c r="AA118">
        <f>Database!B116</f>
        <v/>
      </c>
      <c r="AB118">
        <f>Database!D116</f>
        <v/>
      </c>
      <c r="AC118">
        <f>Database!E116</f>
        <v/>
      </c>
      <c r="AD118">
        <f>Database!H116</f>
        <v/>
      </c>
      <c r="AE118">
        <f>Database!V116</f>
        <v/>
      </c>
      <c r="AF118">
        <f>Database!AA116</f>
        <v/>
      </c>
      <c r="AG118">
        <f>Database!G116</f>
        <v/>
      </c>
    </row>
    <row r="119">
      <c r="AA119">
        <f>Database!B117</f>
        <v/>
      </c>
      <c r="AB119">
        <f>Database!D117</f>
        <v/>
      </c>
      <c r="AC119">
        <f>Database!E117</f>
        <v/>
      </c>
      <c r="AD119">
        <f>Database!H117</f>
        <v/>
      </c>
      <c r="AE119">
        <f>Database!V117</f>
        <v/>
      </c>
      <c r="AF119">
        <f>Database!AA117</f>
        <v/>
      </c>
      <c r="AG119">
        <f>Database!G117</f>
        <v/>
      </c>
    </row>
    <row r="120">
      <c r="AA120">
        <f>Database!B118</f>
        <v/>
      </c>
      <c r="AB120">
        <f>Database!D118</f>
        <v/>
      </c>
      <c r="AC120">
        <f>Database!E118</f>
        <v/>
      </c>
      <c r="AD120">
        <f>Database!H118</f>
        <v/>
      </c>
      <c r="AE120">
        <f>Database!V118</f>
        <v/>
      </c>
      <c r="AF120">
        <f>Database!AA118</f>
        <v/>
      </c>
      <c r="AG120">
        <f>Database!G118</f>
        <v/>
      </c>
    </row>
    <row r="121">
      <c r="AA121">
        <f>Database!B119</f>
        <v/>
      </c>
      <c r="AB121">
        <f>Database!D119</f>
        <v/>
      </c>
      <c r="AC121">
        <f>Database!E119</f>
        <v/>
      </c>
      <c r="AD121">
        <f>Database!H119</f>
        <v/>
      </c>
      <c r="AE121">
        <f>Database!V119</f>
        <v/>
      </c>
      <c r="AF121">
        <f>Database!AA119</f>
        <v/>
      </c>
      <c r="AG121">
        <f>Database!G119</f>
        <v/>
      </c>
    </row>
    <row r="122">
      <c r="AA122">
        <f>Database!B120</f>
        <v/>
      </c>
      <c r="AB122">
        <f>Database!D120</f>
        <v/>
      </c>
      <c r="AC122">
        <f>Database!E120</f>
        <v/>
      </c>
      <c r="AD122">
        <f>Database!H120</f>
        <v/>
      </c>
      <c r="AE122">
        <f>Database!V120</f>
        <v/>
      </c>
      <c r="AF122">
        <f>Database!AA120</f>
        <v/>
      </c>
      <c r="AG122">
        <f>Database!G120</f>
        <v/>
      </c>
    </row>
    <row r="123">
      <c r="AA123">
        <f>Database!B121</f>
        <v/>
      </c>
      <c r="AB123">
        <f>Database!D121</f>
        <v/>
      </c>
      <c r="AC123">
        <f>Database!E121</f>
        <v/>
      </c>
      <c r="AD123">
        <f>Database!H121</f>
        <v/>
      </c>
      <c r="AE123">
        <f>Database!V121</f>
        <v/>
      </c>
      <c r="AF123">
        <f>Database!AA121</f>
        <v/>
      </c>
      <c r="AG123">
        <f>Database!G121</f>
        <v/>
      </c>
    </row>
    <row r="124">
      <c r="AA124">
        <f>Database!B122</f>
        <v/>
      </c>
      <c r="AB124">
        <f>Database!D122</f>
        <v/>
      </c>
      <c r="AC124">
        <f>Database!E122</f>
        <v/>
      </c>
      <c r="AD124">
        <f>Database!H122</f>
        <v/>
      </c>
      <c r="AE124">
        <f>Database!V122</f>
        <v/>
      </c>
      <c r="AF124">
        <f>Database!AA122</f>
        <v/>
      </c>
      <c r="AG124">
        <f>Database!G122</f>
        <v/>
      </c>
    </row>
    <row r="125">
      <c r="AA125">
        <f>Database!B123</f>
        <v/>
      </c>
      <c r="AB125">
        <f>Database!D123</f>
        <v/>
      </c>
      <c r="AC125">
        <f>Database!E123</f>
        <v/>
      </c>
      <c r="AD125">
        <f>Database!H123</f>
        <v/>
      </c>
      <c r="AE125">
        <f>Database!V123</f>
        <v/>
      </c>
      <c r="AF125">
        <f>Database!AA123</f>
        <v/>
      </c>
      <c r="AG125">
        <f>Database!G123</f>
        <v/>
      </c>
    </row>
    <row r="126">
      <c r="AA126">
        <f>Database!B124</f>
        <v/>
      </c>
      <c r="AB126">
        <f>Database!D124</f>
        <v/>
      </c>
      <c r="AC126">
        <f>Database!E124</f>
        <v/>
      </c>
      <c r="AD126">
        <f>Database!H124</f>
        <v/>
      </c>
      <c r="AE126">
        <f>Database!V124</f>
        <v/>
      </c>
      <c r="AF126">
        <f>Database!AA124</f>
        <v/>
      </c>
      <c r="AG126">
        <f>Database!G124</f>
        <v/>
      </c>
    </row>
    <row r="127">
      <c r="AA127">
        <f>Database!B125</f>
        <v/>
      </c>
      <c r="AB127">
        <f>Database!D125</f>
        <v/>
      </c>
      <c r="AC127">
        <f>Database!E125</f>
        <v/>
      </c>
      <c r="AD127">
        <f>Database!H125</f>
        <v/>
      </c>
      <c r="AE127">
        <f>Database!V125</f>
        <v/>
      </c>
      <c r="AF127">
        <f>Database!AA125</f>
        <v/>
      </c>
      <c r="AG127">
        <f>Database!G125</f>
        <v/>
      </c>
    </row>
    <row r="128">
      <c r="AA128">
        <f>Database!B126</f>
        <v/>
      </c>
      <c r="AB128">
        <f>Database!D126</f>
        <v/>
      </c>
      <c r="AC128">
        <f>Database!E126</f>
        <v/>
      </c>
      <c r="AD128">
        <f>Database!H126</f>
        <v/>
      </c>
      <c r="AE128">
        <f>Database!V126</f>
        <v/>
      </c>
      <c r="AF128">
        <f>Database!AA126</f>
        <v/>
      </c>
      <c r="AG128">
        <f>Database!G126</f>
        <v/>
      </c>
    </row>
    <row r="129">
      <c r="AA129">
        <f>Database!B127</f>
        <v/>
      </c>
      <c r="AB129">
        <f>Database!D127</f>
        <v/>
      </c>
      <c r="AC129">
        <f>Database!E127</f>
        <v/>
      </c>
      <c r="AD129">
        <f>Database!H127</f>
        <v/>
      </c>
      <c r="AE129">
        <f>Database!V127</f>
        <v/>
      </c>
      <c r="AF129">
        <f>Database!AA127</f>
        <v/>
      </c>
      <c r="AG129">
        <f>Database!G127</f>
        <v/>
      </c>
    </row>
    <row r="130">
      <c r="AA130">
        <f>Database!B128</f>
        <v/>
      </c>
      <c r="AB130">
        <f>Database!D128</f>
        <v/>
      </c>
      <c r="AC130">
        <f>Database!E128</f>
        <v/>
      </c>
      <c r="AD130">
        <f>Database!H128</f>
        <v/>
      </c>
      <c r="AE130">
        <f>Database!V128</f>
        <v/>
      </c>
      <c r="AF130">
        <f>Database!AA128</f>
        <v/>
      </c>
      <c r="AG130">
        <f>Database!G128</f>
        <v/>
      </c>
    </row>
    <row r="131">
      <c r="AA131">
        <f>Database!B129</f>
        <v/>
      </c>
      <c r="AB131">
        <f>Database!D129</f>
        <v/>
      </c>
      <c r="AC131">
        <f>Database!E129</f>
        <v/>
      </c>
      <c r="AD131">
        <f>Database!H129</f>
        <v/>
      </c>
      <c r="AE131">
        <f>Database!V129</f>
        <v/>
      </c>
      <c r="AF131">
        <f>Database!AA129</f>
        <v/>
      </c>
      <c r="AG131">
        <f>Database!G129</f>
        <v/>
      </c>
    </row>
    <row r="132">
      <c r="AA132">
        <f>Database!B130</f>
        <v/>
      </c>
      <c r="AB132">
        <f>Database!D130</f>
        <v/>
      </c>
      <c r="AC132">
        <f>Database!E130</f>
        <v/>
      </c>
      <c r="AD132">
        <f>Database!H130</f>
        <v/>
      </c>
      <c r="AE132">
        <f>Database!V130</f>
        <v/>
      </c>
      <c r="AF132">
        <f>Database!AA130</f>
        <v/>
      </c>
      <c r="AG132">
        <f>Database!G130</f>
        <v/>
      </c>
    </row>
    <row r="133">
      <c r="AA133">
        <f>Database!B131</f>
        <v/>
      </c>
      <c r="AB133">
        <f>Database!D131</f>
        <v/>
      </c>
      <c r="AC133">
        <f>Database!E131</f>
        <v/>
      </c>
      <c r="AD133">
        <f>Database!H131</f>
        <v/>
      </c>
      <c r="AE133">
        <f>Database!V131</f>
        <v/>
      </c>
      <c r="AF133">
        <f>Database!AA131</f>
        <v/>
      </c>
      <c r="AG133">
        <f>Database!G131</f>
        <v/>
      </c>
    </row>
    <row r="134">
      <c r="AA134">
        <f>Database!B132</f>
        <v/>
      </c>
      <c r="AB134">
        <f>Database!D132</f>
        <v/>
      </c>
      <c r="AC134">
        <f>Database!E132</f>
        <v/>
      </c>
      <c r="AD134">
        <f>Database!H132</f>
        <v/>
      </c>
      <c r="AE134">
        <f>Database!V132</f>
        <v/>
      </c>
      <c r="AF134">
        <f>Database!AA132</f>
        <v/>
      </c>
      <c r="AG134">
        <f>Database!G132</f>
        <v/>
      </c>
    </row>
    <row r="135">
      <c r="AA135">
        <f>Database!B133</f>
        <v/>
      </c>
      <c r="AB135">
        <f>Database!D133</f>
        <v/>
      </c>
      <c r="AC135">
        <f>Database!E133</f>
        <v/>
      </c>
      <c r="AD135">
        <f>Database!H133</f>
        <v/>
      </c>
      <c r="AE135">
        <f>Database!V133</f>
        <v/>
      </c>
      <c r="AF135">
        <f>Database!AA133</f>
        <v/>
      </c>
      <c r="AG135">
        <f>Database!G133</f>
        <v/>
      </c>
    </row>
    <row r="136">
      <c r="AA136">
        <f>Database!B134</f>
        <v/>
      </c>
      <c r="AB136">
        <f>Database!D134</f>
        <v/>
      </c>
      <c r="AC136">
        <f>Database!E134</f>
        <v/>
      </c>
      <c r="AD136">
        <f>Database!H134</f>
        <v/>
      </c>
      <c r="AE136">
        <f>Database!V134</f>
        <v/>
      </c>
      <c r="AF136">
        <f>Database!AA134</f>
        <v/>
      </c>
      <c r="AG136">
        <f>Database!G134</f>
        <v/>
      </c>
    </row>
    <row r="137">
      <c r="AA137">
        <f>Database!B135</f>
        <v/>
      </c>
      <c r="AB137">
        <f>Database!D135</f>
        <v/>
      </c>
      <c r="AC137">
        <f>Database!E135</f>
        <v/>
      </c>
      <c r="AD137">
        <f>Database!H135</f>
        <v/>
      </c>
      <c r="AE137">
        <f>Database!V135</f>
        <v/>
      </c>
      <c r="AF137">
        <f>Database!AA135</f>
        <v/>
      </c>
      <c r="AG137">
        <f>Database!G135</f>
        <v/>
      </c>
    </row>
    <row r="138">
      <c r="AA138">
        <f>Database!B136</f>
        <v/>
      </c>
      <c r="AB138">
        <f>Database!D136</f>
        <v/>
      </c>
      <c r="AC138">
        <f>Database!E136</f>
        <v/>
      </c>
      <c r="AD138">
        <f>Database!H136</f>
        <v/>
      </c>
      <c r="AE138">
        <f>Database!V136</f>
        <v/>
      </c>
      <c r="AF138">
        <f>Database!AA136</f>
        <v/>
      </c>
      <c r="AG138">
        <f>Database!G136</f>
        <v/>
      </c>
    </row>
    <row r="139">
      <c r="AA139">
        <f>Database!B137</f>
        <v/>
      </c>
      <c r="AB139">
        <f>Database!D137</f>
        <v/>
      </c>
      <c r="AC139">
        <f>Database!E137</f>
        <v/>
      </c>
      <c r="AD139">
        <f>Database!H137</f>
        <v/>
      </c>
      <c r="AE139">
        <f>Database!V137</f>
        <v/>
      </c>
      <c r="AF139">
        <f>Database!AA137</f>
        <v/>
      </c>
      <c r="AG139">
        <f>Database!G137</f>
        <v/>
      </c>
    </row>
    <row r="140">
      <c r="AA140">
        <f>Database!B138</f>
        <v/>
      </c>
      <c r="AB140">
        <f>Database!D138</f>
        <v/>
      </c>
      <c r="AC140">
        <f>Database!E138</f>
        <v/>
      </c>
      <c r="AD140">
        <f>Database!H138</f>
        <v/>
      </c>
      <c r="AE140">
        <f>Database!V138</f>
        <v/>
      </c>
      <c r="AF140">
        <f>Database!AA138</f>
        <v/>
      </c>
      <c r="AG140">
        <f>Database!G138</f>
        <v/>
      </c>
    </row>
    <row r="141">
      <c r="AA141">
        <f>Database!B139</f>
        <v/>
      </c>
      <c r="AB141">
        <f>Database!D139</f>
        <v/>
      </c>
      <c r="AC141">
        <f>Database!E139</f>
        <v/>
      </c>
      <c r="AD141">
        <f>Database!H139</f>
        <v/>
      </c>
      <c r="AE141">
        <f>Database!V139</f>
        <v/>
      </c>
      <c r="AF141">
        <f>Database!AA139</f>
        <v/>
      </c>
      <c r="AG141">
        <f>Database!G139</f>
        <v/>
      </c>
    </row>
    <row r="142">
      <c r="AA142">
        <f>Database!B140</f>
        <v/>
      </c>
      <c r="AB142">
        <f>Database!D140</f>
        <v/>
      </c>
      <c r="AC142">
        <f>Database!E140</f>
        <v/>
      </c>
      <c r="AD142">
        <f>Database!H140</f>
        <v/>
      </c>
      <c r="AE142">
        <f>Database!V140</f>
        <v/>
      </c>
      <c r="AF142">
        <f>Database!AA140</f>
        <v/>
      </c>
      <c r="AG142">
        <f>Database!G140</f>
        <v/>
      </c>
    </row>
    <row r="143">
      <c r="AA143">
        <f>Database!B141</f>
        <v/>
      </c>
      <c r="AB143">
        <f>Database!D141</f>
        <v/>
      </c>
      <c r="AC143">
        <f>Database!E141</f>
        <v/>
      </c>
      <c r="AD143">
        <f>Database!H141</f>
        <v/>
      </c>
      <c r="AE143">
        <f>Database!V141</f>
        <v/>
      </c>
      <c r="AF143">
        <f>Database!AA141</f>
        <v/>
      </c>
      <c r="AG143">
        <f>Database!G141</f>
        <v/>
      </c>
    </row>
    <row r="144">
      <c r="AA144">
        <f>Database!B142</f>
        <v/>
      </c>
      <c r="AB144">
        <f>Database!D142</f>
        <v/>
      </c>
      <c r="AC144">
        <f>Database!E142</f>
        <v/>
      </c>
      <c r="AD144">
        <f>Database!H142</f>
        <v/>
      </c>
      <c r="AE144">
        <f>Database!V142</f>
        <v/>
      </c>
      <c r="AF144">
        <f>Database!AA142</f>
        <v/>
      </c>
      <c r="AG144">
        <f>Database!G142</f>
        <v/>
      </c>
    </row>
    <row r="145">
      <c r="AA145">
        <f>Database!B143</f>
        <v/>
      </c>
      <c r="AB145">
        <f>Database!D143</f>
        <v/>
      </c>
      <c r="AC145">
        <f>Database!E143</f>
        <v/>
      </c>
      <c r="AD145">
        <f>Database!H143</f>
        <v/>
      </c>
      <c r="AE145">
        <f>Database!V143</f>
        <v/>
      </c>
      <c r="AF145">
        <f>Database!AA143</f>
        <v/>
      </c>
      <c r="AG145">
        <f>Database!G143</f>
        <v/>
      </c>
    </row>
    <row r="146">
      <c r="AA146">
        <f>Database!B144</f>
        <v/>
      </c>
      <c r="AB146">
        <f>Database!D144</f>
        <v/>
      </c>
      <c r="AC146">
        <f>Database!E144</f>
        <v/>
      </c>
      <c r="AD146">
        <f>Database!H144</f>
        <v/>
      </c>
      <c r="AE146">
        <f>Database!V144</f>
        <v/>
      </c>
      <c r="AF146">
        <f>Database!AA144</f>
        <v/>
      </c>
      <c r="AG146">
        <f>Database!G144</f>
        <v/>
      </c>
    </row>
    <row r="147">
      <c r="AA147">
        <f>Database!B145</f>
        <v/>
      </c>
      <c r="AB147">
        <f>Database!D145</f>
        <v/>
      </c>
      <c r="AC147">
        <f>Database!E145</f>
        <v/>
      </c>
      <c r="AD147">
        <f>Database!H145</f>
        <v/>
      </c>
      <c r="AE147">
        <f>Database!V145</f>
        <v/>
      </c>
      <c r="AF147">
        <f>Database!AA145</f>
        <v/>
      </c>
      <c r="AG147">
        <f>Database!G145</f>
        <v/>
      </c>
    </row>
    <row r="148">
      <c r="AA148">
        <f>Database!B146</f>
        <v/>
      </c>
      <c r="AB148">
        <f>Database!D146</f>
        <v/>
      </c>
      <c r="AC148">
        <f>Database!E146</f>
        <v/>
      </c>
      <c r="AD148">
        <f>Database!H146</f>
        <v/>
      </c>
      <c r="AE148">
        <f>Database!V146</f>
        <v/>
      </c>
      <c r="AF148">
        <f>Database!AA146</f>
        <v/>
      </c>
      <c r="AG148">
        <f>Database!G146</f>
        <v/>
      </c>
    </row>
    <row r="149">
      <c r="AA149">
        <f>Database!B147</f>
        <v/>
      </c>
      <c r="AB149">
        <f>Database!D147</f>
        <v/>
      </c>
      <c r="AC149">
        <f>Database!E147</f>
        <v/>
      </c>
      <c r="AD149">
        <f>Database!H147</f>
        <v/>
      </c>
      <c r="AE149">
        <f>Database!V147</f>
        <v/>
      </c>
      <c r="AF149">
        <f>Database!AA147</f>
        <v/>
      </c>
      <c r="AG149">
        <f>Database!G147</f>
        <v/>
      </c>
    </row>
    <row r="150">
      <c r="AA150">
        <f>Database!B148</f>
        <v/>
      </c>
      <c r="AB150">
        <f>Database!D148</f>
        <v/>
      </c>
      <c r="AC150">
        <f>Database!E148</f>
        <v/>
      </c>
      <c r="AD150">
        <f>Database!H148</f>
        <v/>
      </c>
      <c r="AE150">
        <f>Database!V148</f>
        <v/>
      </c>
      <c r="AF150">
        <f>Database!AA148</f>
        <v/>
      </c>
      <c r="AG150">
        <f>Database!G148</f>
        <v/>
      </c>
    </row>
    <row r="151">
      <c r="AA151">
        <f>Database!B149</f>
        <v/>
      </c>
      <c r="AB151">
        <f>Database!D149</f>
        <v/>
      </c>
      <c r="AC151">
        <f>Database!E149</f>
        <v/>
      </c>
      <c r="AD151">
        <f>Database!H149</f>
        <v/>
      </c>
      <c r="AE151">
        <f>Database!V149</f>
        <v/>
      </c>
      <c r="AF151">
        <f>Database!AA149</f>
        <v/>
      </c>
      <c r="AG151">
        <f>Database!G149</f>
        <v/>
      </c>
    </row>
    <row r="152">
      <c r="AA152">
        <f>Database!B150</f>
        <v/>
      </c>
      <c r="AB152">
        <f>Database!D150</f>
        <v/>
      </c>
      <c r="AC152">
        <f>Database!E150</f>
        <v/>
      </c>
      <c r="AD152">
        <f>Database!H150</f>
        <v/>
      </c>
      <c r="AE152">
        <f>Database!V150</f>
        <v/>
      </c>
      <c r="AF152">
        <f>Database!AA150</f>
        <v/>
      </c>
      <c r="AG152">
        <f>Database!G150</f>
        <v/>
      </c>
    </row>
    <row r="153">
      <c r="AA153">
        <f>Database!B151</f>
        <v/>
      </c>
      <c r="AB153">
        <f>Database!D151</f>
        <v/>
      </c>
      <c r="AC153">
        <f>Database!E151</f>
        <v/>
      </c>
      <c r="AD153">
        <f>Database!H151</f>
        <v/>
      </c>
      <c r="AE153">
        <f>Database!V151</f>
        <v/>
      </c>
      <c r="AF153">
        <f>Database!AA151</f>
        <v/>
      </c>
      <c r="AG153">
        <f>Database!G151</f>
        <v/>
      </c>
    </row>
    <row r="154">
      <c r="AA154">
        <f>Database!B152</f>
        <v/>
      </c>
      <c r="AB154">
        <f>Database!D152</f>
        <v/>
      </c>
      <c r="AC154">
        <f>Database!E152</f>
        <v/>
      </c>
      <c r="AD154">
        <f>Database!H152</f>
        <v/>
      </c>
      <c r="AE154">
        <f>Database!V152</f>
        <v/>
      </c>
      <c r="AF154">
        <f>Database!AA152</f>
        <v/>
      </c>
      <c r="AG154">
        <f>Database!G152</f>
        <v/>
      </c>
    </row>
    <row r="155">
      <c r="AA155">
        <f>Database!B153</f>
        <v/>
      </c>
      <c r="AB155">
        <f>Database!D153</f>
        <v/>
      </c>
      <c r="AC155">
        <f>Database!E153</f>
        <v/>
      </c>
      <c r="AD155">
        <f>Database!H153</f>
        <v/>
      </c>
      <c r="AE155">
        <f>Database!V153</f>
        <v/>
      </c>
      <c r="AF155">
        <f>Database!AA153</f>
        <v/>
      </c>
      <c r="AG155">
        <f>Database!G153</f>
        <v/>
      </c>
    </row>
    <row r="156">
      <c r="AA156">
        <f>Database!B154</f>
        <v/>
      </c>
      <c r="AB156">
        <f>Database!D154</f>
        <v/>
      </c>
      <c r="AC156">
        <f>Database!E154</f>
        <v/>
      </c>
      <c r="AD156">
        <f>Database!H154</f>
        <v/>
      </c>
      <c r="AE156">
        <f>Database!V154</f>
        <v/>
      </c>
      <c r="AF156">
        <f>Database!AA154</f>
        <v/>
      </c>
      <c r="AG156">
        <f>Database!G154</f>
        <v/>
      </c>
    </row>
    <row r="157">
      <c r="AA157">
        <f>Database!B155</f>
        <v/>
      </c>
      <c r="AB157">
        <f>Database!D155</f>
        <v/>
      </c>
      <c r="AC157">
        <f>Database!E155</f>
        <v/>
      </c>
      <c r="AD157">
        <f>Database!H155</f>
        <v/>
      </c>
      <c r="AE157">
        <f>Database!V155</f>
        <v/>
      </c>
      <c r="AF157">
        <f>Database!AA155</f>
        <v/>
      </c>
      <c r="AG157">
        <f>Database!G155</f>
        <v/>
      </c>
    </row>
    <row r="158">
      <c r="AA158">
        <f>Database!B156</f>
        <v/>
      </c>
      <c r="AB158">
        <f>Database!D156</f>
        <v/>
      </c>
      <c r="AC158">
        <f>Database!E156</f>
        <v/>
      </c>
      <c r="AD158">
        <f>Database!H156</f>
        <v/>
      </c>
      <c r="AE158">
        <f>Database!V156</f>
        <v/>
      </c>
      <c r="AF158">
        <f>Database!AA156</f>
        <v/>
      </c>
      <c r="AG158">
        <f>Database!G156</f>
        <v/>
      </c>
    </row>
    <row r="159">
      <c r="AA159">
        <f>Database!B157</f>
        <v/>
      </c>
      <c r="AB159">
        <f>Database!D157</f>
        <v/>
      </c>
      <c r="AC159">
        <f>Database!E157</f>
        <v/>
      </c>
      <c r="AD159">
        <f>Database!H157</f>
        <v/>
      </c>
      <c r="AE159">
        <f>Database!V157</f>
        <v/>
      </c>
      <c r="AF159">
        <f>Database!AA157</f>
        <v/>
      </c>
      <c r="AG159">
        <f>Database!G157</f>
        <v/>
      </c>
    </row>
    <row r="160">
      <c r="AA160">
        <f>Database!B158</f>
        <v/>
      </c>
      <c r="AB160">
        <f>Database!D158</f>
        <v/>
      </c>
      <c r="AC160">
        <f>Database!E158</f>
        <v/>
      </c>
      <c r="AD160">
        <f>Database!H158</f>
        <v/>
      </c>
      <c r="AE160">
        <f>Database!V158</f>
        <v/>
      </c>
      <c r="AF160">
        <f>Database!AA158</f>
        <v/>
      </c>
      <c r="AG160">
        <f>Database!G158</f>
        <v/>
      </c>
    </row>
    <row r="161">
      <c r="AA161">
        <f>Database!B159</f>
        <v/>
      </c>
      <c r="AB161">
        <f>Database!D159</f>
        <v/>
      </c>
      <c r="AC161">
        <f>Database!E159</f>
        <v/>
      </c>
      <c r="AD161">
        <f>Database!H159</f>
        <v/>
      </c>
      <c r="AE161">
        <f>Database!V159</f>
        <v/>
      </c>
      <c r="AF161">
        <f>Database!AA159</f>
        <v/>
      </c>
      <c r="AG161">
        <f>Database!G159</f>
        <v/>
      </c>
    </row>
    <row r="162">
      <c r="AA162">
        <f>Database!B160</f>
        <v/>
      </c>
      <c r="AB162">
        <f>Database!D160</f>
        <v/>
      </c>
      <c r="AC162">
        <f>Database!E160</f>
        <v/>
      </c>
      <c r="AD162">
        <f>Database!H160</f>
        <v/>
      </c>
      <c r="AE162">
        <f>Database!V160</f>
        <v/>
      </c>
      <c r="AF162">
        <f>Database!AA160</f>
        <v/>
      </c>
      <c r="AG162">
        <f>Database!G160</f>
        <v/>
      </c>
    </row>
    <row r="163">
      <c r="AA163">
        <f>Database!B161</f>
        <v/>
      </c>
      <c r="AB163">
        <f>Database!D161</f>
        <v/>
      </c>
      <c r="AC163">
        <f>Database!E161</f>
        <v/>
      </c>
      <c r="AD163">
        <f>Database!H161</f>
        <v/>
      </c>
      <c r="AE163">
        <f>Database!V161</f>
        <v/>
      </c>
      <c r="AF163">
        <f>Database!AA161</f>
        <v/>
      </c>
      <c r="AG163">
        <f>Database!G161</f>
        <v/>
      </c>
    </row>
    <row r="164">
      <c r="AA164">
        <f>Database!B162</f>
        <v/>
      </c>
      <c r="AB164">
        <f>Database!D162</f>
        <v/>
      </c>
      <c r="AC164">
        <f>Database!E162</f>
        <v/>
      </c>
      <c r="AD164">
        <f>Database!H162</f>
        <v/>
      </c>
      <c r="AE164">
        <f>Database!V162</f>
        <v/>
      </c>
      <c r="AF164">
        <f>Database!AA162</f>
        <v/>
      </c>
      <c r="AG164">
        <f>Database!G162</f>
        <v/>
      </c>
    </row>
    <row r="165">
      <c r="AA165">
        <f>Database!B163</f>
        <v/>
      </c>
      <c r="AB165">
        <f>Database!D163</f>
        <v/>
      </c>
      <c r="AC165">
        <f>Database!E163</f>
        <v/>
      </c>
      <c r="AD165">
        <f>Database!H163</f>
        <v/>
      </c>
      <c r="AE165">
        <f>Database!V163</f>
        <v/>
      </c>
      <c r="AF165">
        <f>Database!AA163</f>
        <v/>
      </c>
      <c r="AG165">
        <f>Database!G163</f>
        <v/>
      </c>
    </row>
    <row r="166">
      <c r="AA166">
        <f>Database!B164</f>
        <v/>
      </c>
      <c r="AB166">
        <f>Database!D164</f>
        <v/>
      </c>
      <c r="AC166">
        <f>Database!E164</f>
        <v/>
      </c>
      <c r="AD166">
        <f>Database!H164</f>
        <v/>
      </c>
      <c r="AE166">
        <f>Database!V164</f>
        <v/>
      </c>
      <c r="AF166">
        <f>Database!AA164</f>
        <v/>
      </c>
      <c r="AG166">
        <f>Database!G164</f>
        <v/>
      </c>
    </row>
    <row r="167">
      <c r="AA167">
        <f>Database!B165</f>
        <v/>
      </c>
      <c r="AB167">
        <f>Database!D165</f>
        <v/>
      </c>
      <c r="AC167">
        <f>Database!E165</f>
        <v/>
      </c>
      <c r="AD167">
        <f>Database!H165</f>
        <v/>
      </c>
      <c r="AE167">
        <f>Database!V165</f>
        <v/>
      </c>
      <c r="AF167">
        <f>Database!AA165</f>
        <v/>
      </c>
      <c r="AG167">
        <f>Database!G165</f>
        <v/>
      </c>
    </row>
    <row r="168">
      <c r="AA168">
        <f>Database!B166</f>
        <v/>
      </c>
      <c r="AB168">
        <f>Database!D166</f>
        <v/>
      </c>
      <c r="AC168">
        <f>Database!E166</f>
        <v/>
      </c>
      <c r="AD168">
        <f>Database!H166</f>
        <v/>
      </c>
      <c r="AE168">
        <f>Database!V166</f>
        <v/>
      </c>
      <c r="AF168">
        <f>Database!AA166</f>
        <v/>
      </c>
      <c r="AG168">
        <f>Database!G166</f>
        <v/>
      </c>
    </row>
    <row r="169">
      <c r="AA169">
        <f>Database!B167</f>
        <v/>
      </c>
      <c r="AB169">
        <f>Database!D167</f>
        <v/>
      </c>
      <c r="AC169">
        <f>Database!E167</f>
        <v/>
      </c>
      <c r="AD169">
        <f>Database!H167</f>
        <v/>
      </c>
      <c r="AE169">
        <f>Database!V167</f>
        <v/>
      </c>
      <c r="AF169">
        <f>Database!AA167</f>
        <v/>
      </c>
      <c r="AG169">
        <f>Database!G167</f>
        <v/>
      </c>
    </row>
    <row r="170">
      <c r="AA170">
        <f>Database!B168</f>
        <v/>
      </c>
      <c r="AB170">
        <f>Database!D168</f>
        <v/>
      </c>
      <c r="AC170">
        <f>Database!E168</f>
        <v/>
      </c>
      <c r="AD170">
        <f>Database!H168</f>
        <v/>
      </c>
      <c r="AE170">
        <f>Database!V168</f>
        <v/>
      </c>
      <c r="AF170">
        <f>Database!AA168</f>
        <v/>
      </c>
      <c r="AG170">
        <f>Database!G168</f>
        <v/>
      </c>
    </row>
    <row r="171">
      <c r="AA171">
        <f>Database!B169</f>
        <v/>
      </c>
      <c r="AB171">
        <f>Database!D169</f>
        <v/>
      </c>
      <c r="AC171">
        <f>Database!E169</f>
        <v/>
      </c>
      <c r="AD171">
        <f>Database!H169</f>
        <v/>
      </c>
      <c r="AE171">
        <f>Database!V169</f>
        <v/>
      </c>
      <c r="AF171">
        <f>Database!AA169</f>
        <v/>
      </c>
      <c r="AG171">
        <f>Database!G169</f>
        <v/>
      </c>
    </row>
    <row r="172">
      <c r="AA172">
        <f>Database!B170</f>
        <v/>
      </c>
      <c r="AB172">
        <f>Database!D170</f>
        <v/>
      </c>
      <c r="AC172">
        <f>Database!E170</f>
        <v/>
      </c>
      <c r="AD172">
        <f>Database!H170</f>
        <v/>
      </c>
      <c r="AE172">
        <f>Database!V170</f>
        <v/>
      </c>
      <c r="AF172">
        <f>Database!AA170</f>
        <v/>
      </c>
      <c r="AG172">
        <f>Database!G170</f>
        <v/>
      </c>
    </row>
    <row r="173">
      <c r="AA173">
        <f>Database!B171</f>
        <v/>
      </c>
      <c r="AB173">
        <f>Database!D171</f>
        <v/>
      </c>
      <c r="AC173">
        <f>Database!E171</f>
        <v/>
      </c>
      <c r="AD173">
        <f>Database!H171</f>
        <v/>
      </c>
      <c r="AE173">
        <f>Database!V171</f>
        <v/>
      </c>
      <c r="AF173">
        <f>Database!AA171</f>
        <v/>
      </c>
      <c r="AG173">
        <f>Database!G171</f>
        <v/>
      </c>
    </row>
    <row r="174">
      <c r="AA174">
        <f>Database!B172</f>
        <v/>
      </c>
      <c r="AB174">
        <f>Database!D172</f>
        <v/>
      </c>
      <c r="AC174">
        <f>Database!E172</f>
        <v/>
      </c>
      <c r="AD174">
        <f>Database!H172</f>
        <v/>
      </c>
      <c r="AE174">
        <f>Database!V172</f>
        <v/>
      </c>
      <c r="AF174">
        <f>Database!AA172</f>
        <v/>
      </c>
      <c r="AG174">
        <f>Database!G172</f>
        <v/>
      </c>
    </row>
    <row r="175">
      <c r="AA175">
        <f>Database!B173</f>
        <v/>
      </c>
      <c r="AB175">
        <f>Database!D173</f>
        <v/>
      </c>
      <c r="AC175">
        <f>Database!E173</f>
        <v/>
      </c>
      <c r="AD175">
        <f>Database!H173</f>
        <v/>
      </c>
      <c r="AE175">
        <f>Database!V173</f>
        <v/>
      </c>
      <c r="AF175">
        <f>Database!AA173</f>
        <v/>
      </c>
      <c r="AG175">
        <f>Database!G173</f>
        <v/>
      </c>
    </row>
    <row r="176">
      <c r="AA176">
        <f>Database!B174</f>
        <v/>
      </c>
      <c r="AB176">
        <f>Database!D174</f>
        <v/>
      </c>
      <c r="AC176">
        <f>Database!E174</f>
        <v/>
      </c>
      <c r="AD176">
        <f>Database!H174</f>
        <v/>
      </c>
      <c r="AE176">
        <f>Database!V174</f>
        <v/>
      </c>
      <c r="AF176">
        <f>Database!AA174</f>
        <v/>
      </c>
      <c r="AG176">
        <f>Database!G174</f>
        <v/>
      </c>
    </row>
    <row r="177">
      <c r="AA177">
        <f>Database!B175</f>
        <v/>
      </c>
      <c r="AB177">
        <f>Database!D175</f>
        <v/>
      </c>
      <c r="AC177">
        <f>Database!E175</f>
        <v/>
      </c>
      <c r="AD177">
        <f>Database!H175</f>
        <v/>
      </c>
      <c r="AE177">
        <f>Database!V175</f>
        <v/>
      </c>
      <c r="AF177">
        <f>Database!AA175</f>
        <v/>
      </c>
      <c r="AG177">
        <f>Database!G175</f>
        <v/>
      </c>
    </row>
    <row r="178">
      <c r="AA178">
        <f>Database!B176</f>
        <v/>
      </c>
      <c r="AB178">
        <f>Database!D176</f>
        <v/>
      </c>
      <c r="AC178">
        <f>Database!E176</f>
        <v/>
      </c>
      <c r="AD178">
        <f>Database!H176</f>
        <v/>
      </c>
      <c r="AE178">
        <f>Database!V176</f>
        <v/>
      </c>
      <c r="AF178">
        <f>Database!AA176</f>
        <v/>
      </c>
      <c r="AG178">
        <f>Database!G176</f>
        <v/>
      </c>
    </row>
    <row r="179">
      <c r="AA179">
        <f>Database!B177</f>
        <v/>
      </c>
      <c r="AB179">
        <f>Database!D177</f>
        <v/>
      </c>
      <c r="AC179">
        <f>Database!E177</f>
        <v/>
      </c>
      <c r="AD179">
        <f>Database!H177</f>
        <v/>
      </c>
      <c r="AE179">
        <f>Database!V177</f>
        <v/>
      </c>
      <c r="AF179">
        <f>Database!AA177</f>
        <v/>
      </c>
      <c r="AG179">
        <f>Database!G177</f>
        <v/>
      </c>
    </row>
    <row r="180">
      <c r="AA180">
        <f>Database!B178</f>
        <v/>
      </c>
      <c r="AB180">
        <f>Database!D178</f>
        <v/>
      </c>
      <c r="AC180">
        <f>Database!E178</f>
        <v/>
      </c>
      <c r="AD180">
        <f>Database!H178</f>
        <v/>
      </c>
      <c r="AE180">
        <f>Database!V178</f>
        <v/>
      </c>
      <c r="AF180">
        <f>Database!AA178</f>
        <v/>
      </c>
      <c r="AG180">
        <f>Database!G178</f>
        <v/>
      </c>
    </row>
    <row r="181">
      <c r="AA181">
        <f>Database!B179</f>
        <v/>
      </c>
      <c r="AB181">
        <f>Database!D179</f>
        <v/>
      </c>
      <c r="AC181">
        <f>Database!E179</f>
        <v/>
      </c>
      <c r="AD181">
        <f>Database!H179</f>
        <v/>
      </c>
      <c r="AE181">
        <f>Database!V179</f>
        <v/>
      </c>
      <c r="AF181">
        <f>Database!AA179</f>
        <v/>
      </c>
      <c r="AG181">
        <f>Database!G179</f>
        <v/>
      </c>
    </row>
    <row r="182">
      <c r="AA182">
        <f>Database!B180</f>
        <v/>
      </c>
      <c r="AB182">
        <f>Database!D180</f>
        <v/>
      </c>
      <c r="AC182">
        <f>Database!E180</f>
        <v/>
      </c>
      <c r="AD182">
        <f>Database!H180</f>
        <v/>
      </c>
      <c r="AE182">
        <f>Database!V180</f>
        <v/>
      </c>
      <c r="AF182">
        <f>Database!AA180</f>
        <v/>
      </c>
      <c r="AG182">
        <f>Database!G180</f>
        <v/>
      </c>
    </row>
    <row r="183">
      <c r="AA183">
        <f>Database!B181</f>
        <v/>
      </c>
      <c r="AB183">
        <f>Database!D181</f>
        <v/>
      </c>
      <c r="AC183">
        <f>Database!E181</f>
        <v/>
      </c>
      <c r="AD183">
        <f>Database!H181</f>
        <v/>
      </c>
      <c r="AE183">
        <f>Database!V181</f>
        <v/>
      </c>
      <c r="AF183">
        <f>Database!AA181</f>
        <v/>
      </c>
      <c r="AG183">
        <f>Database!G181</f>
        <v/>
      </c>
    </row>
    <row r="184">
      <c r="AA184">
        <f>Database!B182</f>
        <v/>
      </c>
      <c r="AB184">
        <f>Database!D182</f>
        <v/>
      </c>
      <c r="AC184">
        <f>Database!E182</f>
        <v/>
      </c>
      <c r="AD184">
        <f>Database!H182</f>
        <v/>
      </c>
      <c r="AE184">
        <f>Database!V182</f>
        <v/>
      </c>
      <c r="AF184">
        <f>Database!AA182</f>
        <v/>
      </c>
      <c r="AG184">
        <f>Database!G182</f>
        <v/>
      </c>
    </row>
    <row r="185">
      <c r="AA185">
        <f>Database!B183</f>
        <v/>
      </c>
      <c r="AB185">
        <f>Database!D183</f>
        <v/>
      </c>
      <c r="AC185">
        <f>Database!E183</f>
        <v/>
      </c>
      <c r="AD185">
        <f>Database!H183</f>
        <v/>
      </c>
      <c r="AE185">
        <f>Database!V183</f>
        <v/>
      </c>
      <c r="AF185">
        <f>Database!AA183</f>
        <v/>
      </c>
      <c r="AG185">
        <f>Database!G183</f>
        <v/>
      </c>
    </row>
    <row r="186">
      <c r="AA186">
        <f>Database!B184</f>
        <v/>
      </c>
      <c r="AB186">
        <f>Database!D184</f>
        <v/>
      </c>
      <c r="AC186">
        <f>Database!E184</f>
        <v/>
      </c>
      <c r="AD186">
        <f>Database!H184</f>
        <v/>
      </c>
      <c r="AE186">
        <f>Database!V184</f>
        <v/>
      </c>
      <c r="AF186">
        <f>Database!AA184</f>
        <v/>
      </c>
      <c r="AG186">
        <f>Database!G184</f>
        <v/>
      </c>
    </row>
    <row r="187">
      <c r="AA187">
        <f>Database!B185</f>
        <v/>
      </c>
      <c r="AB187">
        <f>Database!D185</f>
        <v/>
      </c>
      <c r="AC187">
        <f>Database!E185</f>
        <v/>
      </c>
      <c r="AD187">
        <f>Database!H185</f>
        <v/>
      </c>
      <c r="AE187">
        <f>Database!V185</f>
        <v/>
      </c>
      <c r="AF187">
        <f>Database!AA185</f>
        <v/>
      </c>
      <c r="AG187">
        <f>Database!G185</f>
        <v/>
      </c>
    </row>
    <row r="188">
      <c r="AA188">
        <f>Database!B186</f>
        <v/>
      </c>
      <c r="AB188">
        <f>Database!D186</f>
        <v/>
      </c>
      <c r="AC188">
        <f>Database!E186</f>
        <v/>
      </c>
      <c r="AD188">
        <f>Database!H186</f>
        <v/>
      </c>
      <c r="AE188">
        <f>Database!V186</f>
        <v/>
      </c>
      <c r="AF188">
        <f>Database!AA186</f>
        <v/>
      </c>
      <c r="AG188">
        <f>Database!G186</f>
        <v/>
      </c>
    </row>
    <row r="189">
      <c r="AA189">
        <f>Database!B187</f>
        <v/>
      </c>
      <c r="AB189">
        <f>Database!D187</f>
        <v/>
      </c>
      <c r="AC189">
        <f>Database!E187</f>
        <v/>
      </c>
      <c r="AD189">
        <f>Database!H187</f>
        <v/>
      </c>
      <c r="AE189">
        <f>Database!V187</f>
        <v/>
      </c>
      <c r="AF189">
        <f>Database!AA187</f>
        <v/>
      </c>
      <c r="AG189">
        <f>Database!G187</f>
        <v/>
      </c>
    </row>
    <row r="190">
      <c r="AA190">
        <f>Database!B188</f>
        <v/>
      </c>
      <c r="AB190">
        <f>Database!D188</f>
        <v/>
      </c>
      <c r="AC190">
        <f>Database!E188</f>
        <v/>
      </c>
      <c r="AD190">
        <f>Database!H188</f>
        <v/>
      </c>
      <c r="AE190">
        <f>Database!V188</f>
        <v/>
      </c>
      <c r="AF190">
        <f>Database!AA188</f>
        <v/>
      </c>
      <c r="AG190">
        <f>Database!G188</f>
        <v/>
      </c>
    </row>
    <row r="191">
      <c r="AA191">
        <f>Database!B189</f>
        <v/>
      </c>
      <c r="AB191">
        <f>Database!D189</f>
        <v/>
      </c>
      <c r="AC191">
        <f>Database!E189</f>
        <v/>
      </c>
      <c r="AD191">
        <f>Database!H189</f>
        <v/>
      </c>
      <c r="AE191">
        <f>Database!V189</f>
        <v/>
      </c>
      <c r="AF191">
        <f>Database!AA189</f>
        <v/>
      </c>
      <c r="AG191">
        <f>Database!G189</f>
        <v/>
      </c>
    </row>
    <row r="192">
      <c r="AA192">
        <f>Database!B190</f>
        <v/>
      </c>
      <c r="AB192">
        <f>Database!D190</f>
        <v/>
      </c>
      <c r="AC192">
        <f>Database!E190</f>
        <v/>
      </c>
      <c r="AD192">
        <f>Database!H190</f>
        <v/>
      </c>
      <c r="AE192">
        <f>Database!V190</f>
        <v/>
      </c>
      <c r="AF192">
        <f>Database!AA190</f>
        <v/>
      </c>
      <c r="AG192">
        <f>Database!G190</f>
        <v/>
      </c>
    </row>
    <row r="193">
      <c r="AA193">
        <f>Database!B191</f>
        <v/>
      </c>
      <c r="AB193">
        <f>Database!D191</f>
        <v/>
      </c>
      <c r="AC193">
        <f>Database!E191</f>
        <v/>
      </c>
      <c r="AD193">
        <f>Database!H191</f>
        <v/>
      </c>
      <c r="AE193">
        <f>Database!V191</f>
        <v/>
      </c>
      <c r="AF193">
        <f>Database!AA191</f>
        <v/>
      </c>
      <c r="AG193">
        <f>Database!G191</f>
        <v/>
      </c>
    </row>
    <row r="194">
      <c r="AA194">
        <f>Database!B192</f>
        <v/>
      </c>
      <c r="AB194">
        <f>Database!D192</f>
        <v/>
      </c>
      <c r="AC194">
        <f>Database!E192</f>
        <v/>
      </c>
      <c r="AD194">
        <f>Database!H192</f>
        <v/>
      </c>
      <c r="AE194">
        <f>Database!V192</f>
        <v/>
      </c>
      <c r="AF194">
        <f>Database!AA192</f>
        <v/>
      </c>
      <c r="AG194">
        <f>Database!G192</f>
        <v/>
      </c>
    </row>
    <row r="195">
      <c r="AA195">
        <f>Database!B193</f>
        <v/>
      </c>
      <c r="AB195">
        <f>Database!D193</f>
        <v/>
      </c>
      <c r="AC195">
        <f>Database!E193</f>
        <v/>
      </c>
      <c r="AD195">
        <f>Database!H193</f>
        <v/>
      </c>
      <c r="AE195">
        <f>Database!V193</f>
        <v/>
      </c>
      <c r="AF195">
        <f>Database!AA193</f>
        <v/>
      </c>
      <c r="AG195">
        <f>Database!G193</f>
        <v/>
      </c>
    </row>
    <row r="196">
      <c r="AA196">
        <f>Database!B194</f>
        <v/>
      </c>
      <c r="AB196">
        <f>Database!D194</f>
        <v/>
      </c>
      <c r="AC196">
        <f>Database!E194</f>
        <v/>
      </c>
      <c r="AD196">
        <f>Database!H194</f>
        <v/>
      </c>
      <c r="AE196">
        <f>Database!V194</f>
        <v/>
      </c>
      <c r="AF196">
        <f>Database!AA194</f>
        <v/>
      </c>
      <c r="AG196">
        <f>Database!G194</f>
        <v/>
      </c>
    </row>
    <row r="197">
      <c r="AA197">
        <f>Database!B195</f>
        <v/>
      </c>
      <c r="AB197">
        <f>Database!D195</f>
        <v/>
      </c>
      <c r="AC197">
        <f>Database!E195</f>
        <v/>
      </c>
      <c r="AD197">
        <f>Database!H195</f>
        <v/>
      </c>
      <c r="AE197">
        <f>Database!V195</f>
        <v/>
      </c>
      <c r="AF197">
        <f>Database!AA195</f>
        <v/>
      </c>
      <c r="AG197">
        <f>Database!G195</f>
        <v/>
      </c>
    </row>
    <row r="198">
      <c r="AA198">
        <f>Database!B196</f>
        <v/>
      </c>
      <c r="AB198">
        <f>Database!D196</f>
        <v/>
      </c>
      <c r="AC198">
        <f>Database!E196</f>
        <v/>
      </c>
      <c r="AD198">
        <f>Database!H196</f>
        <v/>
      </c>
      <c r="AE198">
        <f>Database!V196</f>
        <v/>
      </c>
      <c r="AF198">
        <f>Database!AA196</f>
        <v/>
      </c>
      <c r="AG198">
        <f>Database!G196</f>
        <v/>
      </c>
    </row>
    <row r="199">
      <c r="AA199">
        <f>Database!B197</f>
        <v/>
      </c>
      <c r="AB199">
        <f>Database!D197</f>
        <v/>
      </c>
      <c r="AC199">
        <f>Database!E197</f>
        <v/>
      </c>
      <c r="AD199">
        <f>Database!H197</f>
        <v/>
      </c>
      <c r="AE199">
        <f>Database!V197</f>
        <v/>
      </c>
      <c r="AF199">
        <f>Database!AA197</f>
        <v/>
      </c>
      <c r="AG199">
        <f>Database!G197</f>
        <v/>
      </c>
    </row>
    <row r="200">
      <c r="AA200">
        <f>Database!B198</f>
        <v/>
      </c>
      <c r="AB200">
        <f>Database!D198</f>
        <v/>
      </c>
      <c r="AC200">
        <f>Database!E198</f>
        <v/>
      </c>
      <c r="AD200">
        <f>Database!H198</f>
        <v/>
      </c>
      <c r="AE200">
        <f>Database!V198</f>
        <v/>
      </c>
      <c r="AF200">
        <f>Database!AA198</f>
        <v/>
      </c>
      <c r="AG200">
        <f>Database!G198</f>
        <v/>
      </c>
    </row>
    <row r="201">
      <c r="AA201">
        <f>Database!B199</f>
        <v/>
      </c>
      <c r="AB201">
        <f>Database!D199</f>
        <v/>
      </c>
      <c r="AC201">
        <f>Database!E199</f>
        <v/>
      </c>
      <c r="AD201">
        <f>Database!H199</f>
        <v/>
      </c>
      <c r="AE201">
        <f>Database!V199</f>
        <v/>
      </c>
      <c r="AF201">
        <f>Database!AA199</f>
        <v/>
      </c>
      <c r="AG201">
        <f>Database!G199</f>
        <v/>
      </c>
    </row>
    <row r="202">
      <c r="AA202">
        <f>Database!B200</f>
        <v/>
      </c>
      <c r="AB202">
        <f>Database!D200</f>
        <v/>
      </c>
      <c r="AC202">
        <f>Database!E200</f>
        <v/>
      </c>
      <c r="AD202">
        <f>Database!H200</f>
        <v/>
      </c>
      <c r="AE202">
        <f>Database!V200</f>
        <v/>
      </c>
      <c r="AF202">
        <f>Database!AA200</f>
        <v/>
      </c>
      <c r="AG202">
        <f>Database!G200</f>
        <v/>
      </c>
    </row>
    <row r="203">
      <c r="AA203">
        <f>Database!B201</f>
        <v/>
      </c>
      <c r="AB203">
        <f>Database!D201</f>
        <v/>
      </c>
      <c r="AC203">
        <f>Database!E201</f>
        <v/>
      </c>
      <c r="AD203">
        <f>Database!H201</f>
        <v/>
      </c>
      <c r="AE203">
        <f>Database!V201</f>
        <v/>
      </c>
      <c r="AF203">
        <f>Database!AA201</f>
        <v/>
      </c>
      <c r="AG203">
        <f>Database!G201</f>
        <v/>
      </c>
    </row>
    <row r="204">
      <c r="AA204">
        <f>Database!B202</f>
        <v/>
      </c>
      <c r="AB204">
        <f>Database!D202</f>
        <v/>
      </c>
      <c r="AC204">
        <f>Database!E202</f>
        <v/>
      </c>
      <c r="AD204">
        <f>Database!H202</f>
        <v/>
      </c>
      <c r="AE204">
        <f>Database!V202</f>
        <v/>
      </c>
      <c r="AF204">
        <f>Database!AA202</f>
        <v/>
      </c>
      <c r="AG204">
        <f>Database!G202</f>
        <v/>
      </c>
    </row>
    <row r="205">
      <c r="AA205">
        <f>Database!B203</f>
        <v/>
      </c>
      <c r="AB205">
        <f>Database!D203</f>
        <v/>
      </c>
      <c r="AC205">
        <f>Database!E203</f>
        <v/>
      </c>
      <c r="AD205">
        <f>Database!H203</f>
        <v/>
      </c>
      <c r="AE205">
        <f>Database!V203</f>
        <v/>
      </c>
      <c r="AF205">
        <f>Database!AA203</f>
        <v/>
      </c>
      <c r="AG205">
        <f>Database!G203</f>
        <v/>
      </c>
    </row>
    <row r="206">
      <c r="AA206">
        <f>Database!B204</f>
        <v/>
      </c>
      <c r="AB206">
        <f>Database!D204</f>
        <v/>
      </c>
      <c r="AC206">
        <f>Database!E204</f>
        <v/>
      </c>
      <c r="AD206">
        <f>Database!H204</f>
        <v/>
      </c>
      <c r="AE206">
        <f>Database!V204</f>
        <v/>
      </c>
      <c r="AF206">
        <f>Database!AA204</f>
        <v/>
      </c>
      <c r="AG206">
        <f>Database!G204</f>
        <v/>
      </c>
    </row>
    <row r="207">
      <c r="AA207">
        <f>Database!B205</f>
        <v/>
      </c>
      <c r="AB207">
        <f>Database!D205</f>
        <v/>
      </c>
      <c r="AC207">
        <f>Database!E205</f>
        <v/>
      </c>
      <c r="AD207">
        <f>Database!H205</f>
        <v/>
      </c>
      <c r="AE207">
        <f>Database!V205</f>
        <v/>
      </c>
      <c r="AF207">
        <f>Database!AA205</f>
        <v/>
      </c>
      <c r="AG207">
        <f>Database!G205</f>
        <v/>
      </c>
    </row>
    <row r="208">
      <c r="AA208">
        <f>Database!B206</f>
        <v/>
      </c>
      <c r="AB208">
        <f>Database!D206</f>
        <v/>
      </c>
      <c r="AC208">
        <f>Database!E206</f>
        <v/>
      </c>
      <c r="AD208">
        <f>Database!H206</f>
        <v/>
      </c>
      <c r="AE208">
        <f>Database!V206</f>
        <v/>
      </c>
      <c r="AF208">
        <f>Database!AA206</f>
        <v/>
      </c>
      <c r="AG208">
        <f>Database!G206</f>
        <v/>
      </c>
    </row>
    <row r="209">
      <c r="AA209">
        <f>Database!B207</f>
        <v/>
      </c>
      <c r="AB209">
        <f>Database!D207</f>
        <v/>
      </c>
      <c r="AC209">
        <f>Database!E207</f>
        <v/>
      </c>
      <c r="AD209">
        <f>Database!H207</f>
        <v/>
      </c>
      <c r="AE209">
        <f>Database!V207</f>
        <v/>
      </c>
      <c r="AF209">
        <f>Database!AA207</f>
        <v/>
      </c>
      <c r="AG209">
        <f>Database!G207</f>
        <v/>
      </c>
    </row>
    <row r="210">
      <c r="AA210">
        <f>Database!B208</f>
        <v/>
      </c>
      <c r="AB210">
        <f>Database!D208</f>
        <v/>
      </c>
      <c r="AC210">
        <f>Database!E208</f>
        <v/>
      </c>
      <c r="AD210">
        <f>Database!H208</f>
        <v/>
      </c>
      <c r="AE210">
        <f>Database!V208</f>
        <v/>
      </c>
      <c r="AF210">
        <f>Database!AA208</f>
        <v/>
      </c>
      <c r="AG210">
        <f>Database!G208</f>
        <v/>
      </c>
    </row>
    <row r="211">
      <c r="AA211">
        <f>Database!B209</f>
        <v/>
      </c>
      <c r="AB211">
        <f>Database!D209</f>
        <v/>
      </c>
      <c r="AC211">
        <f>Database!E209</f>
        <v/>
      </c>
      <c r="AD211">
        <f>Database!H209</f>
        <v/>
      </c>
      <c r="AE211">
        <f>Database!V209</f>
        <v/>
      </c>
      <c r="AF211">
        <f>Database!AA209</f>
        <v/>
      </c>
      <c r="AG211">
        <f>Database!G209</f>
        <v/>
      </c>
    </row>
    <row r="212">
      <c r="AA212">
        <f>Database!B210</f>
        <v/>
      </c>
      <c r="AB212">
        <f>Database!D210</f>
        <v/>
      </c>
      <c r="AC212">
        <f>Database!E210</f>
        <v/>
      </c>
      <c r="AD212">
        <f>Database!H210</f>
        <v/>
      </c>
      <c r="AE212">
        <f>Database!V210</f>
        <v/>
      </c>
      <c r="AF212">
        <f>Database!AA210</f>
        <v/>
      </c>
      <c r="AG212">
        <f>Database!G210</f>
        <v/>
      </c>
    </row>
    <row r="213">
      <c r="AA213">
        <f>Database!B211</f>
        <v/>
      </c>
      <c r="AB213">
        <f>Database!D211</f>
        <v/>
      </c>
      <c r="AC213">
        <f>Database!E211</f>
        <v/>
      </c>
      <c r="AD213">
        <f>Database!H211</f>
        <v/>
      </c>
      <c r="AE213">
        <f>Database!V211</f>
        <v/>
      </c>
      <c r="AF213">
        <f>Database!AA211</f>
        <v/>
      </c>
      <c r="AG213">
        <f>Database!G211</f>
        <v/>
      </c>
    </row>
    <row r="214">
      <c r="AA214">
        <f>Database!B212</f>
        <v/>
      </c>
      <c r="AB214">
        <f>Database!D212</f>
        <v/>
      </c>
      <c r="AC214">
        <f>Database!E212</f>
        <v/>
      </c>
      <c r="AD214">
        <f>Database!H212</f>
        <v/>
      </c>
      <c r="AE214">
        <f>Database!V212</f>
        <v/>
      </c>
      <c r="AF214">
        <f>Database!AA212</f>
        <v/>
      </c>
      <c r="AG214">
        <f>Database!G212</f>
        <v/>
      </c>
    </row>
    <row r="215">
      <c r="AA215">
        <f>Database!B213</f>
        <v/>
      </c>
      <c r="AB215">
        <f>Database!D213</f>
        <v/>
      </c>
      <c r="AC215">
        <f>Database!E213</f>
        <v/>
      </c>
      <c r="AD215">
        <f>Database!H213</f>
        <v/>
      </c>
      <c r="AE215">
        <f>Database!V213</f>
        <v/>
      </c>
      <c r="AF215">
        <f>Database!AA213</f>
        <v/>
      </c>
      <c r="AG215">
        <f>Database!G213</f>
        <v/>
      </c>
    </row>
    <row r="216">
      <c r="AA216">
        <f>Database!B214</f>
        <v/>
      </c>
      <c r="AB216">
        <f>Database!D214</f>
        <v/>
      </c>
      <c r="AC216">
        <f>Database!E214</f>
        <v/>
      </c>
      <c r="AD216">
        <f>Database!H214</f>
        <v/>
      </c>
      <c r="AE216">
        <f>Database!V214</f>
        <v/>
      </c>
      <c r="AF216">
        <f>Database!AA214</f>
        <v/>
      </c>
      <c r="AG216">
        <f>Database!G214</f>
        <v/>
      </c>
    </row>
    <row r="217">
      <c r="AA217">
        <f>Database!B215</f>
        <v/>
      </c>
      <c r="AB217">
        <f>Database!D215</f>
        <v/>
      </c>
      <c r="AC217">
        <f>Database!E215</f>
        <v/>
      </c>
      <c r="AD217">
        <f>Database!H215</f>
        <v/>
      </c>
      <c r="AE217">
        <f>Database!V215</f>
        <v/>
      </c>
      <c r="AF217">
        <f>Database!AA215</f>
        <v/>
      </c>
      <c r="AG217">
        <f>Database!G215</f>
        <v/>
      </c>
    </row>
    <row r="218">
      <c r="AA218">
        <f>Database!B216</f>
        <v/>
      </c>
      <c r="AB218">
        <f>Database!D216</f>
        <v/>
      </c>
      <c r="AC218">
        <f>Database!E216</f>
        <v/>
      </c>
      <c r="AD218">
        <f>Database!H216</f>
        <v/>
      </c>
      <c r="AE218">
        <f>Database!V216</f>
        <v/>
      </c>
      <c r="AF218">
        <f>Database!AA216</f>
        <v/>
      </c>
      <c r="AG218">
        <f>Database!G216</f>
        <v/>
      </c>
    </row>
    <row r="219">
      <c r="AA219">
        <f>Database!B217</f>
        <v/>
      </c>
      <c r="AB219">
        <f>Database!D217</f>
        <v/>
      </c>
      <c r="AC219">
        <f>Database!E217</f>
        <v/>
      </c>
      <c r="AD219">
        <f>Database!H217</f>
        <v/>
      </c>
      <c r="AE219">
        <f>Database!V217</f>
        <v/>
      </c>
      <c r="AF219">
        <f>Database!AA217</f>
        <v/>
      </c>
      <c r="AG219">
        <f>Database!G217</f>
        <v/>
      </c>
    </row>
    <row r="220">
      <c r="AA220">
        <f>Database!B218</f>
        <v/>
      </c>
      <c r="AB220">
        <f>Database!D218</f>
        <v/>
      </c>
      <c r="AC220">
        <f>Database!E218</f>
        <v/>
      </c>
      <c r="AD220">
        <f>Database!H218</f>
        <v/>
      </c>
      <c r="AE220">
        <f>Database!V218</f>
        <v/>
      </c>
      <c r="AF220">
        <f>Database!AA218</f>
        <v/>
      </c>
      <c r="AG220">
        <f>Database!G218</f>
        <v/>
      </c>
    </row>
    <row r="221">
      <c r="AA221">
        <f>Database!B219</f>
        <v/>
      </c>
      <c r="AB221">
        <f>Database!D219</f>
        <v/>
      </c>
      <c r="AC221">
        <f>Database!E219</f>
        <v/>
      </c>
      <c r="AD221">
        <f>Database!H219</f>
        <v/>
      </c>
      <c r="AE221">
        <f>Database!V219</f>
        <v/>
      </c>
      <c r="AF221">
        <f>Database!AA219</f>
        <v/>
      </c>
      <c r="AG221">
        <f>Database!G219</f>
        <v/>
      </c>
    </row>
    <row r="222">
      <c r="AA222">
        <f>Database!B220</f>
        <v/>
      </c>
      <c r="AB222">
        <f>Database!D220</f>
        <v/>
      </c>
      <c r="AC222">
        <f>Database!E220</f>
        <v/>
      </c>
      <c r="AD222">
        <f>Database!H220</f>
        <v/>
      </c>
      <c r="AE222">
        <f>Database!V220</f>
        <v/>
      </c>
      <c r="AF222">
        <f>Database!AA220</f>
        <v/>
      </c>
      <c r="AG222">
        <f>Database!G220</f>
        <v/>
      </c>
    </row>
    <row r="223">
      <c r="AA223">
        <f>Database!B221</f>
        <v/>
      </c>
      <c r="AB223">
        <f>Database!D221</f>
        <v/>
      </c>
      <c r="AC223">
        <f>Database!E221</f>
        <v/>
      </c>
      <c r="AD223">
        <f>Database!H221</f>
        <v/>
      </c>
      <c r="AE223">
        <f>Database!V221</f>
        <v/>
      </c>
      <c r="AF223">
        <f>Database!AA221</f>
        <v/>
      </c>
      <c r="AG223">
        <f>Database!G221</f>
        <v/>
      </c>
    </row>
    <row r="224">
      <c r="AA224">
        <f>Database!B222</f>
        <v/>
      </c>
      <c r="AB224">
        <f>Database!D222</f>
        <v/>
      </c>
      <c r="AC224">
        <f>Database!E222</f>
        <v/>
      </c>
      <c r="AD224">
        <f>Database!H222</f>
        <v/>
      </c>
      <c r="AE224">
        <f>Database!V222</f>
        <v/>
      </c>
      <c r="AF224">
        <f>Database!AA222</f>
        <v/>
      </c>
      <c r="AG224">
        <f>Database!G222</f>
        <v/>
      </c>
    </row>
    <row r="225">
      <c r="AA225">
        <f>Database!B223</f>
        <v/>
      </c>
      <c r="AB225">
        <f>Database!D223</f>
        <v/>
      </c>
      <c r="AC225">
        <f>Database!E223</f>
        <v/>
      </c>
      <c r="AD225">
        <f>Database!H223</f>
        <v/>
      </c>
      <c r="AE225">
        <f>Database!V223</f>
        <v/>
      </c>
      <c r="AF225">
        <f>Database!AA223</f>
        <v/>
      </c>
      <c r="AG225">
        <f>Database!G223</f>
        <v/>
      </c>
    </row>
    <row r="226">
      <c r="AA226">
        <f>Database!B224</f>
        <v/>
      </c>
      <c r="AB226">
        <f>Database!D224</f>
        <v/>
      </c>
      <c r="AC226">
        <f>Database!E224</f>
        <v/>
      </c>
      <c r="AD226">
        <f>Database!H224</f>
        <v/>
      </c>
      <c r="AE226">
        <f>Database!V224</f>
        <v/>
      </c>
      <c r="AF226">
        <f>Database!AA224</f>
        <v/>
      </c>
      <c r="AG226">
        <f>Database!G224</f>
        <v/>
      </c>
    </row>
    <row r="227">
      <c r="AA227">
        <f>Database!B225</f>
        <v/>
      </c>
      <c r="AB227">
        <f>Database!D225</f>
        <v/>
      </c>
      <c r="AC227">
        <f>Database!E225</f>
        <v/>
      </c>
      <c r="AD227">
        <f>Database!H225</f>
        <v/>
      </c>
      <c r="AE227">
        <f>Database!V225</f>
        <v/>
      </c>
      <c r="AF227">
        <f>Database!AA225</f>
        <v/>
      </c>
      <c r="AG227">
        <f>Database!G225</f>
        <v/>
      </c>
    </row>
    <row r="228">
      <c r="AA228">
        <f>Database!B226</f>
        <v/>
      </c>
      <c r="AB228">
        <f>Database!D226</f>
        <v/>
      </c>
      <c r="AC228">
        <f>Database!E226</f>
        <v/>
      </c>
      <c r="AD228">
        <f>Database!H226</f>
        <v/>
      </c>
      <c r="AE228">
        <f>Database!V226</f>
        <v/>
      </c>
      <c r="AF228">
        <f>Database!AA226</f>
        <v/>
      </c>
      <c r="AG228">
        <f>Database!G226</f>
        <v/>
      </c>
    </row>
    <row r="229">
      <c r="AA229">
        <f>Database!B227</f>
        <v/>
      </c>
      <c r="AB229">
        <f>Database!D227</f>
        <v/>
      </c>
      <c r="AC229">
        <f>Database!E227</f>
        <v/>
      </c>
      <c r="AD229">
        <f>Database!H227</f>
        <v/>
      </c>
      <c r="AE229">
        <f>Database!V227</f>
        <v/>
      </c>
      <c r="AF229">
        <f>Database!AA227</f>
        <v/>
      </c>
      <c r="AG229">
        <f>Database!G227</f>
        <v/>
      </c>
    </row>
    <row r="230">
      <c r="AA230">
        <f>Database!B228</f>
        <v/>
      </c>
      <c r="AB230">
        <f>Database!D228</f>
        <v/>
      </c>
      <c r="AC230">
        <f>Database!E228</f>
        <v/>
      </c>
      <c r="AD230">
        <f>Database!H228</f>
        <v/>
      </c>
      <c r="AE230">
        <f>Database!V228</f>
        <v/>
      </c>
      <c r="AF230">
        <f>Database!AA228</f>
        <v/>
      </c>
      <c r="AG230">
        <f>Database!G228</f>
        <v/>
      </c>
    </row>
    <row r="231">
      <c r="AA231">
        <f>Database!B229</f>
        <v/>
      </c>
      <c r="AB231">
        <f>Database!D229</f>
        <v/>
      </c>
      <c r="AC231">
        <f>Database!E229</f>
        <v/>
      </c>
      <c r="AD231">
        <f>Database!H229</f>
        <v/>
      </c>
      <c r="AE231">
        <f>Database!V229</f>
        <v/>
      </c>
      <c r="AF231">
        <f>Database!AA229</f>
        <v/>
      </c>
      <c r="AG231">
        <f>Database!G229</f>
        <v/>
      </c>
    </row>
    <row r="232">
      <c r="AA232">
        <f>Database!B230</f>
        <v/>
      </c>
      <c r="AB232">
        <f>Database!D230</f>
        <v/>
      </c>
      <c r="AC232">
        <f>Database!E230</f>
        <v/>
      </c>
      <c r="AD232">
        <f>Database!H230</f>
        <v/>
      </c>
      <c r="AE232">
        <f>Database!V230</f>
        <v/>
      </c>
      <c r="AF232">
        <f>Database!AA230</f>
        <v/>
      </c>
      <c r="AG232">
        <f>Database!G230</f>
        <v/>
      </c>
    </row>
    <row r="233">
      <c r="AA233">
        <f>Database!B231</f>
        <v/>
      </c>
      <c r="AB233">
        <f>Database!D231</f>
        <v/>
      </c>
      <c r="AC233">
        <f>Database!E231</f>
        <v/>
      </c>
      <c r="AD233">
        <f>Database!H231</f>
        <v/>
      </c>
      <c r="AE233">
        <f>Database!V231</f>
        <v/>
      </c>
      <c r="AF233">
        <f>Database!AA231</f>
        <v/>
      </c>
      <c r="AG233">
        <f>Database!G231</f>
        <v/>
      </c>
    </row>
    <row r="234">
      <c r="AA234">
        <f>Database!B232</f>
        <v/>
      </c>
      <c r="AB234">
        <f>Database!D232</f>
        <v/>
      </c>
      <c r="AC234">
        <f>Database!E232</f>
        <v/>
      </c>
      <c r="AD234">
        <f>Database!H232</f>
        <v/>
      </c>
      <c r="AE234">
        <f>Database!V232</f>
        <v/>
      </c>
      <c r="AF234">
        <f>Database!AA232</f>
        <v/>
      </c>
      <c r="AG234">
        <f>Database!G232</f>
        <v/>
      </c>
    </row>
    <row r="235">
      <c r="AA235">
        <f>Database!B233</f>
        <v/>
      </c>
      <c r="AB235">
        <f>Database!D233</f>
        <v/>
      </c>
      <c r="AC235">
        <f>Database!E233</f>
        <v/>
      </c>
      <c r="AD235">
        <f>Database!H233</f>
        <v/>
      </c>
      <c r="AE235">
        <f>Database!V233</f>
        <v/>
      </c>
      <c r="AF235">
        <f>Database!AA233</f>
        <v/>
      </c>
      <c r="AG235">
        <f>Database!G233</f>
        <v/>
      </c>
    </row>
    <row r="236">
      <c r="AA236">
        <f>Database!B234</f>
        <v/>
      </c>
      <c r="AB236">
        <f>Database!D234</f>
        <v/>
      </c>
      <c r="AC236">
        <f>Database!E234</f>
        <v/>
      </c>
      <c r="AD236">
        <f>Database!H234</f>
        <v/>
      </c>
      <c r="AE236">
        <f>Database!V234</f>
        <v/>
      </c>
      <c r="AF236">
        <f>Database!AA234</f>
        <v/>
      </c>
      <c r="AG236">
        <f>Database!G234</f>
        <v/>
      </c>
    </row>
    <row r="237">
      <c r="AA237">
        <f>Database!B235</f>
        <v/>
      </c>
      <c r="AB237">
        <f>Database!D235</f>
        <v/>
      </c>
      <c r="AC237">
        <f>Database!E235</f>
        <v/>
      </c>
      <c r="AD237">
        <f>Database!H235</f>
        <v/>
      </c>
      <c r="AE237">
        <f>Database!V235</f>
        <v/>
      </c>
      <c r="AF237">
        <f>Database!AA235</f>
        <v/>
      </c>
      <c r="AG237">
        <f>Database!G235</f>
        <v/>
      </c>
    </row>
    <row r="238">
      <c r="AA238">
        <f>Database!B236</f>
        <v/>
      </c>
      <c r="AB238">
        <f>Database!D236</f>
        <v/>
      </c>
      <c r="AC238">
        <f>Database!E236</f>
        <v/>
      </c>
      <c r="AD238">
        <f>Database!H236</f>
        <v/>
      </c>
      <c r="AE238">
        <f>Database!V236</f>
        <v/>
      </c>
      <c r="AF238">
        <f>Database!AA236</f>
        <v/>
      </c>
      <c r="AG238">
        <f>Database!G236</f>
        <v/>
      </c>
    </row>
    <row r="239">
      <c r="AA239">
        <f>Database!B237</f>
        <v/>
      </c>
      <c r="AB239">
        <f>Database!D237</f>
        <v/>
      </c>
      <c r="AC239">
        <f>Database!E237</f>
        <v/>
      </c>
      <c r="AD239">
        <f>Database!H237</f>
        <v/>
      </c>
      <c r="AE239">
        <f>Database!V237</f>
        <v/>
      </c>
      <c r="AF239">
        <f>Database!AA237</f>
        <v/>
      </c>
      <c r="AG239">
        <f>Database!G237</f>
        <v/>
      </c>
    </row>
    <row r="240">
      <c r="AA240">
        <f>Database!B238</f>
        <v/>
      </c>
      <c r="AB240">
        <f>Database!D238</f>
        <v/>
      </c>
      <c r="AC240">
        <f>Database!E238</f>
        <v/>
      </c>
      <c r="AD240">
        <f>Database!H238</f>
        <v/>
      </c>
      <c r="AE240">
        <f>Database!V238</f>
        <v/>
      </c>
      <c r="AF240">
        <f>Database!AA238</f>
        <v/>
      </c>
      <c r="AG240">
        <f>Database!G238</f>
        <v/>
      </c>
    </row>
    <row r="241">
      <c r="AA241">
        <f>Database!B239</f>
        <v/>
      </c>
      <c r="AB241">
        <f>Database!D239</f>
        <v/>
      </c>
      <c r="AC241">
        <f>Database!E239</f>
        <v/>
      </c>
      <c r="AD241">
        <f>Database!H239</f>
        <v/>
      </c>
      <c r="AE241">
        <f>Database!V239</f>
        <v/>
      </c>
      <c r="AF241">
        <f>Database!AA239</f>
        <v/>
      </c>
      <c r="AG241">
        <f>Database!G239</f>
        <v/>
      </c>
    </row>
    <row r="242">
      <c r="AA242">
        <f>Database!B240</f>
        <v/>
      </c>
      <c r="AB242">
        <f>Database!D240</f>
        <v/>
      </c>
      <c r="AC242">
        <f>Database!E240</f>
        <v/>
      </c>
      <c r="AD242">
        <f>Database!H240</f>
        <v/>
      </c>
      <c r="AE242">
        <f>Database!V240</f>
        <v/>
      </c>
      <c r="AF242">
        <f>Database!AA240</f>
        <v/>
      </c>
      <c r="AG242">
        <f>Database!G240</f>
        <v/>
      </c>
    </row>
    <row r="243">
      <c r="AA243">
        <f>Database!B241</f>
        <v/>
      </c>
      <c r="AB243">
        <f>Database!D241</f>
        <v/>
      </c>
      <c r="AC243">
        <f>Database!E241</f>
        <v/>
      </c>
      <c r="AD243">
        <f>Database!H241</f>
        <v/>
      </c>
      <c r="AE243">
        <f>Database!V241</f>
        <v/>
      </c>
      <c r="AF243">
        <f>Database!AA241</f>
        <v/>
      </c>
      <c r="AG243">
        <f>Database!G241</f>
        <v/>
      </c>
    </row>
    <row r="244">
      <c r="AA244">
        <f>Database!B242</f>
        <v/>
      </c>
      <c r="AB244">
        <f>Database!D242</f>
        <v/>
      </c>
      <c r="AC244">
        <f>Database!E242</f>
        <v/>
      </c>
      <c r="AD244">
        <f>Database!H242</f>
        <v/>
      </c>
      <c r="AE244">
        <f>Database!V242</f>
        <v/>
      </c>
      <c r="AF244">
        <f>Database!AA242</f>
        <v/>
      </c>
      <c r="AG244">
        <f>Database!G242</f>
        <v/>
      </c>
    </row>
    <row r="245">
      <c r="AA245">
        <f>Database!B243</f>
        <v/>
      </c>
      <c r="AB245">
        <f>Database!D243</f>
        <v/>
      </c>
      <c r="AC245">
        <f>Database!E243</f>
        <v/>
      </c>
      <c r="AD245">
        <f>Database!H243</f>
        <v/>
      </c>
      <c r="AE245">
        <f>Database!V243</f>
        <v/>
      </c>
      <c r="AF245">
        <f>Database!AA243</f>
        <v/>
      </c>
      <c r="AG245">
        <f>Database!G243</f>
        <v/>
      </c>
    </row>
    <row r="246">
      <c r="AA246">
        <f>Database!B244</f>
        <v/>
      </c>
      <c r="AB246">
        <f>Database!D244</f>
        <v/>
      </c>
      <c r="AC246">
        <f>Database!E244</f>
        <v/>
      </c>
      <c r="AD246">
        <f>Database!H244</f>
        <v/>
      </c>
      <c r="AE246">
        <f>Database!V244</f>
        <v/>
      </c>
      <c r="AF246">
        <f>Database!AA244</f>
        <v/>
      </c>
      <c r="AG246">
        <f>Database!G244</f>
        <v/>
      </c>
    </row>
    <row r="247">
      <c r="AA247">
        <f>Database!B245</f>
        <v/>
      </c>
      <c r="AB247">
        <f>Database!D245</f>
        <v/>
      </c>
      <c r="AC247">
        <f>Database!E245</f>
        <v/>
      </c>
      <c r="AD247">
        <f>Database!H245</f>
        <v/>
      </c>
      <c r="AE247">
        <f>Database!V245</f>
        <v/>
      </c>
      <c r="AF247">
        <f>Database!AA245</f>
        <v/>
      </c>
      <c r="AG247">
        <f>Database!G245</f>
        <v/>
      </c>
    </row>
    <row r="248">
      <c r="AA248">
        <f>Database!B246</f>
        <v/>
      </c>
      <c r="AB248">
        <f>Database!D246</f>
        <v/>
      </c>
      <c r="AC248">
        <f>Database!E246</f>
        <v/>
      </c>
      <c r="AD248">
        <f>Database!H246</f>
        <v/>
      </c>
      <c r="AE248">
        <f>Database!V246</f>
        <v/>
      </c>
      <c r="AF248">
        <f>Database!AA246</f>
        <v/>
      </c>
      <c r="AG248">
        <f>Database!G246</f>
        <v/>
      </c>
    </row>
    <row r="249">
      <c r="AA249">
        <f>Database!B247</f>
        <v/>
      </c>
      <c r="AB249">
        <f>Database!D247</f>
        <v/>
      </c>
      <c r="AC249">
        <f>Database!E247</f>
        <v/>
      </c>
      <c r="AD249">
        <f>Database!H247</f>
        <v/>
      </c>
      <c r="AE249">
        <f>Database!V247</f>
        <v/>
      </c>
      <c r="AF249">
        <f>Database!AA247</f>
        <v/>
      </c>
      <c r="AG249">
        <f>Database!G247</f>
        <v/>
      </c>
    </row>
    <row r="250">
      <c r="AA250">
        <f>Database!B248</f>
        <v/>
      </c>
      <c r="AB250">
        <f>Database!D248</f>
        <v/>
      </c>
      <c r="AC250">
        <f>Database!E248</f>
        <v/>
      </c>
      <c r="AD250">
        <f>Database!H248</f>
        <v/>
      </c>
      <c r="AE250">
        <f>Database!V248</f>
        <v/>
      </c>
      <c r="AF250">
        <f>Database!AA248</f>
        <v/>
      </c>
      <c r="AG250">
        <f>Database!G248</f>
        <v/>
      </c>
    </row>
    <row r="251">
      <c r="AA251">
        <f>Database!B249</f>
        <v/>
      </c>
      <c r="AB251">
        <f>Database!D249</f>
        <v/>
      </c>
      <c r="AC251">
        <f>Database!E249</f>
        <v/>
      </c>
      <c r="AD251">
        <f>Database!H249</f>
        <v/>
      </c>
      <c r="AE251">
        <f>Database!V249</f>
        <v/>
      </c>
      <c r="AF251">
        <f>Database!AA249</f>
        <v/>
      </c>
      <c r="AG251">
        <f>Database!G249</f>
        <v/>
      </c>
    </row>
    <row r="252">
      <c r="AA252">
        <f>Database!B250</f>
        <v/>
      </c>
      <c r="AB252">
        <f>Database!D250</f>
        <v/>
      </c>
      <c r="AC252">
        <f>Database!E250</f>
        <v/>
      </c>
      <c r="AD252">
        <f>Database!H250</f>
        <v/>
      </c>
      <c r="AE252">
        <f>Database!V250</f>
        <v/>
      </c>
      <c r="AF252">
        <f>Database!AA250</f>
        <v/>
      </c>
      <c r="AG252">
        <f>Database!G250</f>
        <v/>
      </c>
    </row>
    <row r="253">
      <c r="AA253">
        <f>Database!B251</f>
        <v/>
      </c>
      <c r="AB253">
        <f>Database!D251</f>
        <v/>
      </c>
      <c r="AC253">
        <f>Database!E251</f>
        <v/>
      </c>
      <c r="AD253">
        <f>Database!H251</f>
        <v/>
      </c>
      <c r="AE253">
        <f>Database!V251</f>
        <v/>
      </c>
      <c r="AF253">
        <f>Database!AA251</f>
        <v/>
      </c>
      <c r="AG253">
        <f>Database!G251</f>
        <v/>
      </c>
    </row>
    <row r="254">
      <c r="AA254">
        <f>Database!B252</f>
        <v/>
      </c>
      <c r="AB254">
        <f>Database!D252</f>
        <v/>
      </c>
      <c r="AC254">
        <f>Database!E252</f>
        <v/>
      </c>
      <c r="AD254">
        <f>Database!H252</f>
        <v/>
      </c>
      <c r="AE254">
        <f>Database!V252</f>
        <v/>
      </c>
      <c r="AF254">
        <f>Database!AA252</f>
        <v/>
      </c>
      <c r="AG254">
        <f>Database!G252</f>
        <v/>
      </c>
    </row>
    <row r="255">
      <c r="AA255">
        <f>Database!B253</f>
        <v/>
      </c>
      <c r="AB255">
        <f>Database!D253</f>
        <v/>
      </c>
      <c r="AC255">
        <f>Database!E253</f>
        <v/>
      </c>
      <c r="AD255">
        <f>Database!H253</f>
        <v/>
      </c>
      <c r="AE255">
        <f>Database!V253</f>
        <v/>
      </c>
      <c r="AF255">
        <f>Database!AA253</f>
        <v/>
      </c>
      <c r="AG255">
        <f>Database!G253</f>
        <v/>
      </c>
    </row>
    <row r="256">
      <c r="AA256">
        <f>Database!B254</f>
        <v/>
      </c>
      <c r="AB256">
        <f>Database!D254</f>
        <v/>
      </c>
      <c r="AC256">
        <f>Database!E254</f>
        <v/>
      </c>
      <c r="AD256">
        <f>Database!H254</f>
        <v/>
      </c>
      <c r="AE256">
        <f>Database!V254</f>
        <v/>
      </c>
      <c r="AF256">
        <f>Database!AA254</f>
        <v/>
      </c>
      <c r="AG256">
        <f>Database!G254</f>
        <v/>
      </c>
    </row>
    <row r="257">
      <c r="AA257">
        <f>Database!B255</f>
        <v/>
      </c>
      <c r="AB257">
        <f>Database!D255</f>
        <v/>
      </c>
      <c r="AC257">
        <f>Database!E255</f>
        <v/>
      </c>
      <c r="AD257">
        <f>Database!H255</f>
        <v/>
      </c>
      <c r="AE257">
        <f>Database!V255</f>
        <v/>
      </c>
      <c r="AF257">
        <f>Database!AA255</f>
        <v/>
      </c>
      <c r="AG257">
        <f>Database!G255</f>
        <v/>
      </c>
    </row>
    <row r="258">
      <c r="AA258">
        <f>Database!B256</f>
        <v/>
      </c>
      <c r="AB258">
        <f>Database!D256</f>
        <v/>
      </c>
      <c r="AC258">
        <f>Database!E256</f>
        <v/>
      </c>
      <c r="AD258">
        <f>Database!H256</f>
        <v/>
      </c>
      <c r="AE258">
        <f>Database!V256</f>
        <v/>
      </c>
      <c r="AF258">
        <f>Database!AA256</f>
        <v/>
      </c>
      <c r="AG258">
        <f>Database!G256</f>
        <v/>
      </c>
    </row>
    <row r="259">
      <c r="AA259">
        <f>Database!B257</f>
        <v/>
      </c>
      <c r="AB259">
        <f>Database!D257</f>
        <v/>
      </c>
      <c r="AC259">
        <f>Database!E257</f>
        <v/>
      </c>
      <c r="AD259">
        <f>Database!H257</f>
        <v/>
      </c>
      <c r="AE259">
        <f>Database!V257</f>
        <v/>
      </c>
      <c r="AF259">
        <f>Database!AA257</f>
        <v/>
      </c>
      <c r="AG259">
        <f>Database!G257</f>
        <v/>
      </c>
    </row>
    <row r="260">
      <c r="AA260">
        <f>Database!B258</f>
        <v/>
      </c>
      <c r="AB260">
        <f>Database!D258</f>
        <v/>
      </c>
      <c r="AC260">
        <f>Database!E258</f>
        <v/>
      </c>
      <c r="AD260">
        <f>Database!H258</f>
        <v/>
      </c>
      <c r="AE260">
        <f>Database!V258</f>
        <v/>
      </c>
      <c r="AF260">
        <f>Database!AA258</f>
        <v/>
      </c>
      <c r="AG260">
        <f>Database!G258</f>
        <v/>
      </c>
    </row>
    <row r="261">
      <c r="AA261">
        <f>Database!B259</f>
        <v/>
      </c>
      <c r="AB261">
        <f>Database!D259</f>
        <v/>
      </c>
      <c r="AC261">
        <f>Database!E259</f>
        <v/>
      </c>
      <c r="AD261">
        <f>Database!H259</f>
        <v/>
      </c>
      <c r="AE261">
        <f>Database!V259</f>
        <v/>
      </c>
      <c r="AF261">
        <f>Database!AA259</f>
        <v/>
      </c>
      <c r="AG261">
        <f>Database!G259</f>
        <v/>
      </c>
    </row>
    <row r="262">
      <c r="AA262">
        <f>Database!B260</f>
        <v/>
      </c>
      <c r="AB262">
        <f>Database!D260</f>
        <v/>
      </c>
      <c r="AC262">
        <f>Database!E260</f>
        <v/>
      </c>
      <c r="AD262">
        <f>Database!H260</f>
        <v/>
      </c>
      <c r="AE262">
        <f>Database!V260</f>
        <v/>
      </c>
      <c r="AF262">
        <f>Database!AA260</f>
        <v/>
      </c>
      <c r="AG262">
        <f>Database!G260</f>
        <v/>
      </c>
    </row>
    <row r="263">
      <c r="AA263">
        <f>Database!B261</f>
        <v/>
      </c>
      <c r="AB263">
        <f>Database!D261</f>
        <v/>
      </c>
      <c r="AC263">
        <f>Database!E261</f>
        <v/>
      </c>
      <c r="AD263">
        <f>Database!H261</f>
        <v/>
      </c>
      <c r="AE263">
        <f>Database!V261</f>
        <v/>
      </c>
      <c r="AF263">
        <f>Database!AA261</f>
        <v/>
      </c>
      <c r="AG263">
        <f>Database!G261</f>
        <v/>
      </c>
    </row>
    <row r="264">
      <c r="AA264">
        <f>Database!B262</f>
        <v/>
      </c>
      <c r="AB264">
        <f>Database!D262</f>
        <v/>
      </c>
      <c r="AC264">
        <f>Database!E262</f>
        <v/>
      </c>
      <c r="AD264">
        <f>Database!H262</f>
        <v/>
      </c>
      <c r="AE264">
        <f>Database!V262</f>
        <v/>
      </c>
      <c r="AF264">
        <f>Database!AA262</f>
        <v/>
      </c>
      <c r="AG264">
        <f>Database!G262</f>
        <v/>
      </c>
    </row>
    <row r="265">
      <c r="AA265">
        <f>Database!B263</f>
        <v/>
      </c>
      <c r="AB265">
        <f>Database!D263</f>
        <v/>
      </c>
      <c r="AC265">
        <f>Database!E263</f>
        <v/>
      </c>
      <c r="AD265">
        <f>Database!H263</f>
        <v/>
      </c>
      <c r="AE265">
        <f>Database!V263</f>
        <v/>
      </c>
      <c r="AF265">
        <f>Database!AA263</f>
        <v/>
      </c>
      <c r="AG265">
        <f>Database!G263</f>
        <v/>
      </c>
    </row>
    <row r="266">
      <c r="AA266">
        <f>Database!B264</f>
        <v/>
      </c>
      <c r="AB266">
        <f>Database!D264</f>
        <v/>
      </c>
      <c r="AC266">
        <f>Database!E264</f>
        <v/>
      </c>
      <c r="AD266">
        <f>Database!H264</f>
        <v/>
      </c>
      <c r="AE266">
        <f>Database!V264</f>
        <v/>
      </c>
      <c r="AF266">
        <f>Database!AA264</f>
        <v/>
      </c>
      <c r="AG266">
        <f>Database!G264</f>
        <v/>
      </c>
    </row>
    <row r="267">
      <c r="AA267">
        <f>Database!B265</f>
        <v/>
      </c>
      <c r="AB267">
        <f>Database!D265</f>
        <v/>
      </c>
      <c r="AC267">
        <f>Database!E265</f>
        <v/>
      </c>
      <c r="AD267">
        <f>Database!H265</f>
        <v/>
      </c>
      <c r="AE267">
        <f>Database!V265</f>
        <v/>
      </c>
      <c r="AF267">
        <f>Database!AA265</f>
        <v/>
      </c>
      <c r="AG267">
        <f>Database!G265</f>
        <v/>
      </c>
    </row>
    <row r="268">
      <c r="AA268">
        <f>Database!B266</f>
        <v/>
      </c>
      <c r="AB268">
        <f>Database!D266</f>
        <v/>
      </c>
      <c r="AC268">
        <f>Database!E266</f>
        <v/>
      </c>
      <c r="AD268">
        <f>Database!H266</f>
        <v/>
      </c>
      <c r="AE268">
        <f>Database!V266</f>
        <v/>
      </c>
      <c r="AF268">
        <f>Database!AA266</f>
        <v/>
      </c>
      <c r="AG268">
        <f>Database!G266</f>
        <v/>
      </c>
    </row>
    <row r="269">
      <c r="AA269">
        <f>Database!B267</f>
        <v/>
      </c>
      <c r="AB269">
        <f>Database!D267</f>
        <v/>
      </c>
      <c r="AC269">
        <f>Database!E267</f>
        <v/>
      </c>
      <c r="AD269">
        <f>Database!H267</f>
        <v/>
      </c>
      <c r="AE269">
        <f>Database!V267</f>
        <v/>
      </c>
      <c r="AF269">
        <f>Database!AA267</f>
        <v/>
      </c>
      <c r="AG269">
        <f>Database!G267</f>
        <v/>
      </c>
    </row>
    <row r="270">
      <c r="AA270">
        <f>Database!B268</f>
        <v/>
      </c>
      <c r="AB270">
        <f>Database!D268</f>
        <v/>
      </c>
      <c r="AC270">
        <f>Database!E268</f>
        <v/>
      </c>
      <c r="AD270">
        <f>Database!H268</f>
        <v/>
      </c>
      <c r="AE270">
        <f>Database!V268</f>
        <v/>
      </c>
      <c r="AF270">
        <f>Database!AA268</f>
        <v/>
      </c>
      <c r="AG270">
        <f>Database!G268</f>
        <v/>
      </c>
    </row>
    <row r="271">
      <c r="AA271">
        <f>Database!B269</f>
        <v/>
      </c>
      <c r="AB271">
        <f>Database!D269</f>
        <v/>
      </c>
      <c r="AC271">
        <f>Database!E269</f>
        <v/>
      </c>
      <c r="AD271">
        <f>Database!H269</f>
        <v/>
      </c>
      <c r="AE271">
        <f>Database!V269</f>
        <v/>
      </c>
      <c r="AF271">
        <f>Database!AA269</f>
        <v/>
      </c>
      <c r="AG271">
        <f>Database!G269</f>
        <v/>
      </c>
    </row>
    <row r="272">
      <c r="AA272">
        <f>Database!B270</f>
        <v/>
      </c>
      <c r="AB272">
        <f>Database!D270</f>
        <v/>
      </c>
      <c r="AC272">
        <f>Database!E270</f>
        <v/>
      </c>
      <c r="AD272">
        <f>Database!H270</f>
        <v/>
      </c>
      <c r="AE272">
        <f>Database!V270</f>
        <v/>
      </c>
      <c r="AF272">
        <f>Database!AA270</f>
        <v/>
      </c>
      <c r="AG272">
        <f>Database!G270</f>
        <v/>
      </c>
    </row>
    <row r="273">
      <c r="AA273">
        <f>Database!B271</f>
        <v/>
      </c>
      <c r="AB273">
        <f>Database!D271</f>
        <v/>
      </c>
      <c r="AC273">
        <f>Database!E271</f>
        <v/>
      </c>
      <c r="AD273">
        <f>Database!H271</f>
        <v/>
      </c>
      <c r="AE273">
        <f>Database!V271</f>
        <v/>
      </c>
      <c r="AF273">
        <f>Database!AA271</f>
        <v/>
      </c>
      <c r="AG273">
        <f>Database!G271</f>
        <v/>
      </c>
    </row>
    <row r="274">
      <c r="AA274">
        <f>Database!B272</f>
        <v/>
      </c>
      <c r="AB274">
        <f>Database!D272</f>
        <v/>
      </c>
      <c r="AC274">
        <f>Database!E272</f>
        <v/>
      </c>
      <c r="AD274">
        <f>Database!H272</f>
        <v/>
      </c>
      <c r="AE274">
        <f>Database!V272</f>
        <v/>
      </c>
      <c r="AF274">
        <f>Database!AA272</f>
        <v/>
      </c>
      <c r="AG274">
        <f>Database!G272</f>
        <v/>
      </c>
    </row>
    <row r="275">
      <c r="AA275">
        <f>Database!B273</f>
        <v/>
      </c>
      <c r="AB275">
        <f>Database!D273</f>
        <v/>
      </c>
      <c r="AC275">
        <f>Database!E273</f>
        <v/>
      </c>
      <c r="AD275">
        <f>Database!H273</f>
        <v/>
      </c>
      <c r="AE275">
        <f>Database!V273</f>
        <v/>
      </c>
      <c r="AF275">
        <f>Database!AA273</f>
        <v/>
      </c>
      <c r="AG275">
        <f>Database!G273</f>
        <v/>
      </c>
    </row>
    <row r="276">
      <c r="AA276">
        <f>Database!B274</f>
        <v/>
      </c>
      <c r="AB276">
        <f>Database!D274</f>
        <v/>
      </c>
      <c r="AC276">
        <f>Database!E274</f>
        <v/>
      </c>
      <c r="AD276">
        <f>Database!H274</f>
        <v/>
      </c>
      <c r="AE276">
        <f>Database!V274</f>
        <v/>
      </c>
      <c r="AF276">
        <f>Database!AA274</f>
        <v/>
      </c>
      <c r="AG276">
        <f>Database!G274</f>
        <v/>
      </c>
    </row>
    <row r="277">
      <c r="AA277">
        <f>Database!B275</f>
        <v/>
      </c>
      <c r="AB277">
        <f>Database!D275</f>
        <v/>
      </c>
      <c r="AC277">
        <f>Database!E275</f>
        <v/>
      </c>
      <c r="AD277">
        <f>Database!H275</f>
        <v/>
      </c>
      <c r="AE277">
        <f>Database!V275</f>
        <v/>
      </c>
      <c r="AF277">
        <f>Database!AA275</f>
        <v/>
      </c>
      <c r="AG277">
        <f>Database!G275</f>
        <v/>
      </c>
    </row>
    <row r="278">
      <c r="AA278">
        <f>Database!B276</f>
        <v/>
      </c>
      <c r="AB278">
        <f>Database!D276</f>
        <v/>
      </c>
      <c r="AC278">
        <f>Database!E276</f>
        <v/>
      </c>
      <c r="AD278">
        <f>Database!H276</f>
        <v/>
      </c>
      <c r="AE278">
        <f>Database!V276</f>
        <v/>
      </c>
      <c r="AF278">
        <f>Database!AA276</f>
        <v/>
      </c>
      <c r="AG278">
        <f>Database!G276</f>
        <v/>
      </c>
    </row>
    <row r="279">
      <c r="AA279">
        <f>Database!B277</f>
        <v/>
      </c>
      <c r="AB279">
        <f>Database!D277</f>
        <v/>
      </c>
      <c r="AC279">
        <f>Database!E277</f>
        <v/>
      </c>
      <c r="AD279">
        <f>Database!H277</f>
        <v/>
      </c>
      <c r="AE279">
        <f>Database!V277</f>
        <v/>
      </c>
      <c r="AF279">
        <f>Database!AA277</f>
        <v/>
      </c>
      <c r="AG279">
        <f>Database!G277</f>
        <v/>
      </c>
    </row>
    <row r="280">
      <c r="AA280">
        <f>Database!B278</f>
        <v/>
      </c>
      <c r="AB280">
        <f>Database!D278</f>
        <v/>
      </c>
      <c r="AC280">
        <f>Database!E278</f>
        <v/>
      </c>
      <c r="AD280">
        <f>Database!H278</f>
        <v/>
      </c>
      <c r="AE280">
        <f>Database!V278</f>
        <v/>
      </c>
      <c r="AF280">
        <f>Database!AA278</f>
        <v/>
      </c>
      <c r="AG280">
        <f>Database!G278</f>
        <v/>
      </c>
    </row>
    <row r="281">
      <c r="AA281">
        <f>Database!B279</f>
        <v/>
      </c>
      <c r="AB281">
        <f>Database!D279</f>
        <v/>
      </c>
      <c r="AC281">
        <f>Database!E279</f>
        <v/>
      </c>
      <c r="AD281">
        <f>Database!H279</f>
        <v/>
      </c>
      <c r="AE281">
        <f>Database!V279</f>
        <v/>
      </c>
      <c r="AF281">
        <f>Database!AA279</f>
        <v/>
      </c>
      <c r="AG281">
        <f>Database!G279</f>
        <v/>
      </c>
    </row>
    <row r="282">
      <c r="AA282">
        <f>Database!B280</f>
        <v/>
      </c>
      <c r="AB282">
        <f>Database!D280</f>
        <v/>
      </c>
      <c r="AC282">
        <f>Database!E280</f>
        <v/>
      </c>
      <c r="AD282">
        <f>Database!H280</f>
        <v/>
      </c>
      <c r="AE282">
        <f>Database!V280</f>
        <v/>
      </c>
      <c r="AF282">
        <f>Database!AA280</f>
        <v/>
      </c>
      <c r="AG282">
        <f>Database!G280</f>
        <v/>
      </c>
    </row>
    <row r="283">
      <c r="AA283">
        <f>Database!B281</f>
        <v/>
      </c>
      <c r="AB283">
        <f>Database!D281</f>
        <v/>
      </c>
      <c r="AC283">
        <f>Database!E281</f>
        <v/>
      </c>
      <c r="AD283">
        <f>Database!H281</f>
        <v/>
      </c>
      <c r="AE283">
        <f>Database!V281</f>
        <v/>
      </c>
      <c r="AF283">
        <f>Database!AA281</f>
        <v/>
      </c>
      <c r="AG283">
        <f>Database!G281</f>
        <v/>
      </c>
    </row>
    <row r="284">
      <c r="AA284">
        <f>Database!B282</f>
        <v/>
      </c>
      <c r="AB284">
        <f>Database!D282</f>
        <v/>
      </c>
      <c r="AC284">
        <f>Database!E282</f>
        <v/>
      </c>
      <c r="AD284">
        <f>Database!H282</f>
        <v/>
      </c>
      <c r="AE284">
        <f>Database!V282</f>
        <v/>
      </c>
      <c r="AF284">
        <f>Database!AA282</f>
        <v/>
      </c>
      <c r="AG284">
        <f>Database!G282</f>
        <v/>
      </c>
    </row>
    <row r="285">
      <c r="AA285">
        <f>Database!B283</f>
        <v/>
      </c>
      <c r="AB285">
        <f>Database!D283</f>
        <v/>
      </c>
      <c r="AC285">
        <f>Database!E283</f>
        <v/>
      </c>
      <c r="AD285">
        <f>Database!H283</f>
        <v/>
      </c>
      <c r="AE285">
        <f>Database!V283</f>
        <v/>
      </c>
      <c r="AF285">
        <f>Database!AA283</f>
        <v/>
      </c>
      <c r="AG285">
        <f>Database!G283</f>
        <v/>
      </c>
    </row>
    <row r="286">
      <c r="AA286">
        <f>Database!B284</f>
        <v/>
      </c>
      <c r="AB286">
        <f>Database!D284</f>
        <v/>
      </c>
      <c r="AC286">
        <f>Database!E284</f>
        <v/>
      </c>
      <c r="AD286">
        <f>Database!H284</f>
        <v/>
      </c>
      <c r="AE286">
        <f>Database!V284</f>
        <v/>
      </c>
      <c r="AF286">
        <f>Database!AA284</f>
        <v/>
      </c>
      <c r="AG286">
        <f>Database!G284</f>
        <v/>
      </c>
    </row>
    <row r="287">
      <c r="AA287">
        <f>Database!B285</f>
        <v/>
      </c>
      <c r="AB287">
        <f>Database!D285</f>
        <v/>
      </c>
      <c r="AC287">
        <f>Database!E285</f>
        <v/>
      </c>
      <c r="AD287">
        <f>Database!H285</f>
        <v/>
      </c>
      <c r="AE287">
        <f>Database!V285</f>
        <v/>
      </c>
      <c r="AF287">
        <f>Database!AA285</f>
        <v/>
      </c>
      <c r="AG287">
        <f>Database!G285</f>
        <v/>
      </c>
    </row>
    <row r="288">
      <c r="AA288">
        <f>Database!B286</f>
        <v/>
      </c>
      <c r="AB288">
        <f>Database!D286</f>
        <v/>
      </c>
      <c r="AC288">
        <f>Database!E286</f>
        <v/>
      </c>
      <c r="AD288">
        <f>Database!H286</f>
        <v/>
      </c>
      <c r="AE288">
        <f>Database!V286</f>
        <v/>
      </c>
      <c r="AF288">
        <f>Database!AA286</f>
        <v/>
      </c>
      <c r="AG288">
        <f>Database!G286</f>
        <v/>
      </c>
    </row>
    <row r="289">
      <c r="AA289">
        <f>Database!B287</f>
        <v/>
      </c>
      <c r="AB289">
        <f>Database!D287</f>
        <v/>
      </c>
      <c r="AC289">
        <f>Database!E287</f>
        <v/>
      </c>
      <c r="AD289">
        <f>Database!H287</f>
        <v/>
      </c>
      <c r="AE289">
        <f>Database!V287</f>
        <v/>
      </c>
      <c r="AF289">
        <f>Database!AA287</f>
        <v/>
      </c>
      <c r="AG289">
        <f>Database!G287</f>
        <v/>
      </c>
    </row>
    <row r="290">
      <c r="AA290">
        <f>Database!B288</f>
        <v/>
      </c>
      <c r="AB290">
        <f>Database!D288</f>
        <v/>
      </c>
      <c r="AC290">
        <f>Database!E288</f>
        <v/>
      </c>
      <c r="AD290">
        <f>Database!H288</f>
        <v/>
      </c>
      <c r="AE290">
        <f>Database!V288</f>
        <v/>
      </c>
      <c r="AF290">
        <f>Database!AA288</f>
        <v/>
      </c>
      <c r="AG290">
        <f>Database!G288</f>
        <v/>
      </c>
    </row>
    <row r="291">
      <c r="AA291">
        <f>Database!B289</f>
        <v/>
      </c>
      <c r="AB291">
        <f>Database!D289</f>
        <v/>
      </c>
      <c r="AC291">
        <f>Database!E289</f>
        <v/>
      </c>
      <c r="AD291">
        <f>Database!H289</f>
        <v/>
      </c>
      <c r="AE291">
        <f>Database!V289</f>
        <v/>
      </c>
      <c r="AF291">
        <f>Database!AA289</f>
        <v/>
      </c>
      <c r="AG291">
        <f>Database!G289</f>
        <v/>
      </c>
    </row>
    <row r="292">
      <c r="AA292">
        <f>Database!B290</f>
        <v/>
      </c>
      <c r="AB292">
        <f>Database!D290</f>
        <v/>
      </c>
      <c r="AC292">
        <f>Database!E290</f>
        <v/>
      </c>
      <c r="AD292">
        <f>Database!H290</f>
        <v/>
      </c>
      <c r="AE292">
        <f>Database!V290</f>
        <v/>
      </c>
      <c r="AF292">
        <f>Database!AA290</f>
        <v/>
      </c>
      <c r="AG292">
        <f>Database!G290</f>
        <v/>
      </c>
    </row>
    <row r="293">
      <c r="AA293">
        <f>Database!B291</f>
        <v/>
      </c>
      <c r="AB293">
        <f>Database!D291</f>
        <v/>
      </c>
      <c r="AC293">
        <f>Database!E291</f>
        <v/>
      </c>
      <c r="AD293">
        <f>Database!H291</f>
        <v/>
      </c>
      <c r="AE293">
        <f>Database!V291</f>
        <v/>
      </c>
      <c r="AF293">
        <f>Database!AA291</f>
        <v/>
      </c>
      <c r="AG293">
        <f>Database!G291</f>
        <v/>
      </c>
    </row>
    <row r="294">
      <c r="AA294">
        <f>Database!B292</f>
        <v/>
      </c>
      <c r="AB294">
        <f>Database!D292</f>
        <v/>
      </c>
      <c r="AC294">
        <f>Database!E292</f>
        <v/>
      </c>
      <c r="AD294">
        <f>Database!H292</f>
        <v/>
      </c>
      <c r="AE294">
        <f>Database!V292</f>
        <v/>
      </c>
      <c r="AF294">
        <f>Database!AA292</f>
        <v/>
      </c>
      <c r="AG294">
        <f>Database!G292</f>
        <v/>
      </c>
    </row>
    <row r="295">
      <c r="AA295">
        <f>Database!B293</f>
        <v/>
      </c>
      <c r="AB295">
        <f>Database!D293</f>
        <v/>
      </c>
      <c r="AC295">
        <f>Database!E293</f>
        <v/>
      </c>
      <c r="AD295">
        <f>Database!H293</f>
        <v/>
      </c>
      <c r="AE295">
        <f>Database!V293</f>
        <v/>
      </c>
      <c r="AF295">
        <f>Database!AA293</f>
        <v/>
      </c>
      <c r="AG295">
        <f>Database!G293</f>
        <v/>
      </c>
    </row>
    <row r="296">
      <c r="AA296">
        <f>Database!B294</f>
        <v/>
      </c>
      <c r="AB296">
        <f>Database!D294</f>
        <v/>
      </c>
      <c r="AC296">
        <f>Database!E294</f>
        <v/>
      </c>
      <c r="AD296">
        <f>Database!H294</f>
        <v/>
      </c>
      <c r="AE296">
        <f>Database!V294</f>
        <v/>
      </c>
      <c r="AF296">
        <f>Database!AA294</f>
        <v/>
      </c>
      <c r="AG296">
        <f>Database!G294</f>
        <v/>
      </c>
    </row>
    <row r="297">
      <c r="AA297">
        <f>Database!B295</f>
        <v/>
      </c>
      <c r="AB297">
        <f>Database!D295</f>
        <v/>
      </c>
      <c r="AC297">
        <f>Database!E295</f>
        <v/>
      </c>
      <c r="AD297">
        <f>Database!H295</f>
        <v/>
      </c>
      <c r="AE297">
        <f>Database!V295</f>
        <v/>
      </c>
      <c r="AF297">
        <f>Database!AA295</f>
        <v/>
      </c>
      <c r="AG297">
        <f>Database!G295</f>
        <v/>
      </c>
    </row>
    <row r="298">
      <c r="AA298">
        <f>Database!B296</f>
        <v/>
      </c>
      <c r="AB298">
        <f>Database!D296</f>
        <v/>
      </c>
      <c r="AC298">
        <f>Database!E296</f>
        <v/>
      </c>
      <c r="AD298">
        <f>Database!H296</f>
        <v/>
      </c>
      <c r="AE298">
        <f>Database!V296</f>
        <v/>
      </c>
      <c r="AF298">
        <f>Database!AA296</f>
        <v/>
      </c>
      <c r="AG298">
        <f>Database!G296</f>
        <v/>
      </c>
    </row>
    <row r="299">
      <c r="AA299">
        <f>Database!B297</f>
        <v/>
      </c>
      <c r="AB299">
        <f>Database!D297</f>
        <v/>
      </c>
      <c r="AC299">
        <f>Database!E297</f>
        <v/>
      </c>
      <c r="AD299">
        <f>Database!H297</f>
        <v/>
      </c>
      <c r="AE299">
        <f>Database!V297</f>
        <v/>
      </c>
      <c r="AF299">
        <f>Database!AA297</f>
        <v/>
      </c>
      <c r="AG299">
        <f>Database!G297</f>
        <v/>
      </c>
    </row>
    <row r="300">
      <c r="AA300">
        <f>Database!B298</f>
        <v/>
      </c>
      <c r="AB300">
        <f>Database!D298</f>
        <v/>
      </c>
      <c r="AC300">
        <f>Database!E298</f>
        <v/>
      </c>
      <c r="AD300">
        <f>Database!H298</f>
        <v/>
      </c>
      <c r="AE300">
        <f>Database!V298</f>
        <v/>
      </c>
      <c r="AF300">
        <f>Database!AA298</f>
        <v/>
      </c>
      <c r="AG300">
        <f>Database!G298</f>
        <v/>
      </c>
    </row>
    <row r="301">
      <c r="AA301">
        <f>Database!B299</f>
        <v/>
      </c>
      <c r="AB301">
        <f>Database!D299</f>
        <v/>
      </c>
      <c r="AC301">
        <f>Database!E299</f>
        <v/>
      </c>
      <c r="AD301">
        <f>Database!H299</f>
        <v/>
      </c>
      <c r="AE301">
        <f>Database!V299</f>
        <v/>
      </c>
      <c r="AF301">
        <f>Database!AA299</f>
        <v/>
      </c>
      <c r="AG301">
        <f>Database!G299</f>
        <v/>
      </c>
    </row>
    <row r="302">
      <c r="AA302">
        <f>Database!B300</f>
        <v/>
      </c>
      <c r="AB302">
        <f>Database!D300</f>
        <v/>
      </c>
      <c r="AC302">
        <f>Database!E300</f>
        <v/>
      </c>
      <c r="AD302">
        <f>Database!H300</f>
        <v/>
      </c>
      <c r="AE302">
        <f>Database!V300</f>
        <v/>
      </c>
      <c r="AF302">
        <f>Database!AA300</f>
        <v/>
      </c>
      <c r="AG302">
        <f>Database!G300</f>
        <v/>
      </c>
    </row>
    <row r="303">
      <c r="AA303">
        <f>Database!B301</f>
        <v/>
      </c>
      <c r="AB303">
        <f>Database!D301</f>
        <v/>
      </c>
      <c r="AC303">
        <f>Database!E301</f>
        <v/>
      </c>
      <c r="AD303">
        <f>Database!H301</f>
        <v/>
      </c>
      <c r="AE303">
        <f>Database!V301</f>
        <v/>
      </c>
      <c r="AF303">
        <f>Database!AA301</f>
        <v/>
      </c>
      <c r="AG303">
        <f>Database!G301</f>
        <v/>
      </c>
    </row>
    <row r="304">
      <c r="AA304">
        <f>Database!B302</f>
        <v/>
      </c>
      <c r="AB304">
        <f>Database!D302</f>
        <v/>
      </c>
      <c r="AC304">
        <f>Database!E302</f>
        <v/>
      </c>
      <c r="AD304">
        <f>Database!H302</f>
        <v/>
      </c>
      <c r="AE304">
        <f>Database!V302</f>
        <v/>
      </c>
      <c r="AF304">
        <f>Database!AA302</f>
        <v/>
      </c>
      <c r="AG304">
        <f>Database!G302</f>
        <v/>
      </c>
    </row>
    <row r="305">
      <c r="AA305">
        <f>Database!B303</f>
        <v/>
      </c>
      <c r="AB305">
        <f>Database!D303</f>
        <v/>
      </c>
      <c r="AC305">
        <f>Database!E303</f>
        <v/>
      </c>
      <c r="AD305">
        <f>Database!H303</f>
        <v/>
      </c>
      <c r="AE305">
        <f>Database!V303</f>
        <v/>
      </c>
      <c r="AF305">
        <f>Database!AA303</f>
        <v/>
      </c>
      <c r="AG305">
        <f>Database!G303</f>
        <v/>
      </c>
    </row>
    <row r="306">
      <c r="AA306">
        <f>Database!B304</f>
        <v/>
      </c>
      <c r="AB306">
        <f>Database!D304</f>
        <v/>
      </c>
      <c r="AC306">
        <f>Database!E304</f>
        <v/>
      </c>
      <c r="AD306">
        <f>Database!H304</f>
        <v/>
      </c>
      <c r="AE306">
        <f>Database!V304</f>
        <v/>
      </c>
      <c r="AF306">
        <f>Database!AA304</f>
        <v/>
      </c>
      <c r="AG306">
        <f>Database!G304</f>
        <v/>
      </c>
    </row>
    <row r="307">
      <c r="AA307">
        <f>Database!B305</f>
        <v/>
      </c>
      <c r="AB307">
        <f>Database!D305</f>
        <v/>
      </c>
      <c r="AC307">
        <f>Database!E305</f>
        <v/>
      </c>
      <c r="AD307">
        <f>Database!H305</f>
        <v/>
      </c>
      <c r="AE307">
        <f>Database!V305</f>
        <v/>
      </c>
      <c r="AF307">
        <f>Database!AA305</f>
        <v/>
      </c>
      <c r="AG307">
        <f>Database!G305</f>
        <v/>
      </c>
    </row>
    <row r="308">
      <c r="AA308">
        <f>Database!B306</f>
        <v/>
      </c>
      <c r="AB308">
        <f>Database!D306</f>
        <v/>
      </c>
      <c r="AC308">
        <f>Database!E306</f>
        <v/>
      </c>
      <c r="AD308">
        <f>Database!H306</f>
        <v/>
      </c>
      <c r="AE308">
        <f>Database!V306</f>
        <v/>
      </c>
      <c r="AF308">
        <f>Database!AA306</f>
        <v/>
      </c>
      <c r="AG308">
        <f>Database!G306</f>
        <v/>
      </c>
    </row>
    <row r="309">
      <c r="AA309">
        <f>Database!B307</f>
        <v/>
      </c>
      <c r="AB309">
        <f>Database!D307</f>
        <v/>
      </c>
      <c r="AC309">
        <f>Database!E307</f>
        <v/>
      </c>
      <c r="AD309">
        <f>Database!H307</f>
        <v/>
      </c>
      <c r="AE309">
        <f>Database!V307</f>
        <v/>
      </c>
      <c r="AF309">
        <f>Database!AA307</f>
        <v/>
      </c>
      <c r="AG309">
        <f>Database!G307</f>
        <v/>
      </c>
    </row>
    <row r="310">
      <c r="AA310">
        <f>Database!B308</f>
        <v/>
      </c>
      <c r="AB310">
        <f>Database!D308</f>
        <v/>
      </c>
      <c r="AC310">
        <f>Database!E308</f>
        <v/>
      </c>
      <c r="AD310">
        <f>Database!H308</f>
        <v/>
      </c>
      <c r="AE310">
        <f>Database!V308</f>
        <v/>
      </c>
      <c r="AF310">
        <f>Database!AA308</f>
        <v/>
      </c>
      <c r="AG310">
        <f>Database!G308</f>
        <v/>
      </c>
    </row>
    <row r="311">
      <c r="AA311">
        <f>Database!B309</f>
        <v/>
      </c>
      <c r="AB311">
        <f>Database!D309</f>
        <v/>
      </c>
      <c r="AC311">
        <f>Database!E309</f>
        <v/>
      </c>
      <c r="AD311">
        <f>Database!H309</f>
        <v/>
      </c>
      <c r="AE311">
        <f>Database!V309</f>
        <v/>
      </c>
      <c r="AF311">
        <f>Database!AA309</f>
        <v/>
      </c>
      <c r="AG311">
        <f>Database!G309</f>
        <v/>
      </c>
    </row>
    <row r="312">
      <c r="AA312">
        <f>Database!B310</f>
        <v/>
      </c>
      <c r="AB312">
        <f>Database!D310</f>
        <v/>
      </c>
      <c r="AC312">
        <f>Database!E310</f>
        <v/>
      </c>
      <c r="AD312">
        <f>Database!H310</f>
        <v/>
      </c>
      <c r="AE312">
        <f>Database!V310</f>
        <v/>
      </c>
      <c r="AF312">
        <f>Database!AA310</f>
        <v/>
      </c>
      <c r="AG312">
        <f>Database!G310</f>
        <v/>
      </c>
    </row>
    <row r="313">
      <c r="AA313">
        <f>Database!B311</f>
        <v/>
      </c>
      <c r="AB313">
        <f>Database!D311</f>
        <v/>
      </c>
      <c r="AC313">
        <f>Database!E311</f>
        <v/>
      </c>
      <c r="AD313">
        <f>Database!H311</f>
        <v/>
      </c>
      <c r="AE313">
        <f>Database!V311</f>
        <v/>
      </c>
      <c r="AF313">
        <f>Database!AA311</f>
        <v/>
      </c>
      <c r="AG313">
        <f>Database!G311</f>
        <v/>
      </c>
    </row>
    <row r="314">
      <c r="AA314">
        <f>Database!B312</f>
        <v/>
      </c>
      <c r="AB314">
        <f>Database!D312</f>
        <v/>
      </c>
      <c r="AC314">
        <f>Database!E312</f>
        <v/>
      </c>
      <c r="AD314">
        <f>Database!H312</f>
        <v/>
      </c>
      <c r="AE314">
        <f>Database!V312</f>
        <v/>
      </c>
      <c r="AF314">
        <f>Database!AA312</f>
        <v/>
      </c>
      <c r="AG314">
        <f>Database!G312</f>
        <v/>
      </c>
    </row>
    <row r="315">
      <c r="AA315">
        <f>Database!B313</f>
        <v/>
      </c>
      <c r="AB315">
        <f>Database!D313</f>
        <v/>
      </c>
      <c r="AC315">
        <f>Database!E313</f>
        <v/>
      </c>
      <c r="AD315">
        <f>Database!H313</f>
        <v/>
      </c>
      <c r="AE315">
        <f>Database!V313</f>
        <v/>
      </c>
      <c r="AF315">
        <f>Database!AA313</f>
        <v/>
      </c>
      <c r="AG315">
        <f>Database!G313</f>
        <v/>
      </c>
    </row>
    <row r="316">
      <c r="AA316">
        <f>Database!B314</f>
        <v/>
      </c>
      <c r="AB316">
        <f>Database!D314</f>
        <v/>
      </c>
      <c r="AC316">
        <f>Database!E314</f>
        <v/>
      </c>
      <c r="AD316">
        <f>Database!H314</f>
        <v/>
      </c>
      <c r="AE316">
        <f>Database!V314</f>
        <v/>
      </c>
      <c r="AF316">
        <f>Database!AA314</f>
        <v/>
      </c>
      <c r="AG316">
        <f>Database!G314</f>
        <v/>
      </c>
    </row>
    <row r="317">
      <c r="AA317">
        <f>Database!B315</f>
        <v/>
      </c>
      <c r="AB317">
        <f>Database!D315</f>
        <v/>
      </c>
      <c r="AC317">
        <f>Database!E315</f>
        <v/>
      </c>
      <c r="AD317">
        <f>Database!H315</f>
        <v/>
      </c>
      <c r="AE317">
        <f>Database!V315</f>
        <v/>
      </c>
      <c r="AF317">
        <f>Database!AA315</f>
        <v/>
      </c>
      <c r="AG317">
        <f>Database!G315</f>
        <v/>
      </c>
    </row>
    <row r="318">
      <c r="AA318">
        <f>Database!B316</f>
        <v/>
      </c>
      <c r="AB318">
        <f>Database!D316</f>
        <v/>
      </c>
      <c r="AC318">
        <f>Database!E316</f>
        <v/>
      </c>
      <c r="AD318">
        <f>Database!H316</f>
        <v/>
      </c>
      <c r="AE318">
        <f>Database!V316</f>
        <v/>
      </c>
      <c r="AF318">
        <f>Database!AA316</f>
        <v/>
      </c>
      <c r="AG318">
        <f>Database!G316</f>
        <v/>
      </c>
    </row>
    <row r="319">
      <c r="AA319">
        <f>Database!B317</f>
        <v/>
      </c>
      <c r="AB319">
        <f>Database!D317</f>
        <v/>
      </c>
      <c r="AC319">
        <f>Database!E317</f>
        <v/>
      </c>
      <c r="AD319">
        <f>Database!H317</f>
        <v/>
      </c>
      <c r="AE319">
        <f>Database!V317</f>
        <v/>
      </c>
      <c r="AF319">
        <f>Database!AA317</f>
        <v/>
      </c>
      <c r="AG319">
        <f>Database!G317</f>
        <v/>
      </c>
    </row>
    <row r="320">
      <c r="AA320">
        <f>Database!B318</f>
        <v/>
      </c>
      <c r="AB320">
        <f>Database!D318</f>
        <v/>
      </c>
      <c r="AC320">
        <f>Database!E318</f>
        <v/>
      </c>
      <c r="AD320">
        <f>Database!H318</f>
        <v/>
      </c>
      <c r="AE320">
        <f>Database!V318</f>
        <v/>
      </c>
      <c r="AF320">
        <f>Database!AA318</f>
        <v/>
      </c>
      <c r="AG320">
        <f>Database!G318</f>
        <v/>
      </c>
    </row>
    <row r="321">
      <c r="AA321">
        <f>Database!B319</f>
        <v/>
      </c>
      <c r="AB321">
        <f>Database!D319</f>
        <v/>
      </c>
      <c r="AC321">
        <f>Database!E319</f>
        <v/>
      </c>
      <c r="AD321">
        <f>Database!H319</f>
        <v/>
      </c>
      <c r="AE321">
        <f>Database!V319</f>
        <v/>
      </c>
      <c r="AF321">
        <f>Database!AA319</f>
        <v/>
      </c>
      <c r="AG321">
        <f>Database!G319</f>
        <v/>
      </c>
    </row>
    <row r="322">
      <c r="AA322">
        <f>Database!B320</f>
        <v/>
      </c>
      <c r="AB322">
        <f>Database!D320</f>
        <v/>
      </c>
      <c r="AC322">
        <f>Database!E320</f>
        <v/>
      </c>
      <c r="AD322">
        <f>Database!H320</f>
        <v/>
      </c>
      <c r="AE322">
        <f>Database!V320</f>
        <v/>
      </c>
      <c r="AF322">
        <f>Database!AA320</f>
        <v/>
      </c>
      <c r="AG322">
        <f>Database!G320</f>
        <v/>
      </c>
    </row>
    <row r="323">
      <c r="AA323">
        <f>Database!B321</f>
        <v/>
      </c>
      <c r="AB323">
        <f>Database!D321</f>
        <v/>
      </c>
      <c r="AC323">
        <f>Database!E321</f>
        <v/>
      </c>
      <c r="AD323">
        <f>Database!H321</f>
        <v/>
      </c>
      <c r="AE323">
        <f>Database!V321</f>
        <v/>
      </c>
      <c r="AF323">
        <f>Database!AA321</f>
        <v/>
      </c>
      <c r="AG323">
        <f>Database!G321</f>
        <v/>
      </c>
    </row>
    <row r="324">
      <c r="AA324">
        <f>Database!B322</f>
        <v/>
      </c>
      <c r="AB324">
        <f>Database!D322</f>
        <v/>
      </c>
      <c r="AC324">
        <f>Database!E322</f>
        <v/>
      </c>
      <c r="AD324">
        <f>Database!H322</f>
        <v/>
      </c>
      <c r="AE324">
        <f>Database!V322</f>
        <v/>
      </c>
      <c r="AF324">
        <f>Database!AA322</f>
        <v/>
      </c>
      <c r="AG324">
        <f>Database!G322</f>
        <v/>
      </c>
    </row>
    <row r="325">
      <c r="AA325">
        <f>Database!B323</f>
        <v/>
      </c>
      <c r="AB325">
        <f>Database!D323</f>
        <v/>
      </c>
      <c r="AC325">
        <f>Database!E323</f>
        <v/>
      </c>
      <c r="AD325">
        <f>Database!H323</f>
        <v/>
      </c>
      <c r="AE325">
        <f>Database!V323</f>
        <v/>
      </c>
      <c r="AF325">
        <f>Database!AA323</f>
        <v/>
      </c>
      <c r="AG325">
        <f>Database!G323</f>
        <v/>
      </c>
    </row>
    <row r="326">
      <c r="AA326">
        <f>Database!B324</f>
        <v/>
      </c>
      <c r="AB326">
        <f>Database!D324</f>
        <v/>
      </c>
      <c r="AC326">
        <f>Database!E324</f>
        <v/>
      </c>
      <c r="AD326">
        <f>Database!H324</f>
        <v/>
      </c>
      <c r="AE326">
        <f>Database!V324</f>
        <v/>
      </c>
      <c r="AF326">
        <f>Database!AA324</f>
        <v/>
      </c>
      <c r="AG326">
        <f>Database!G324</f>
        <v/>
      </c>
    </row>
    <row r="327">
      <c r="AA327">
        <f>Database!B325</f>
        <v/>
      </c>
      <c r="AB327">
        <f>Database!D325</f>
        <v/>
      </c>
      <c r="AC327">
        <f>Database!E325</f>
        <v/>
      </c>
      <c r="AD327">
        <f>Database!H325</f>
        <v/>
      </c>
      <c r="AE327">
        <f>Database!V325</f>
        <v/>
      </c>
      <c r="AF327">
        <f>Database!AA325</f>
        <v/>
      </c>
      <c r="AG327">
        <f>Database!G325</f>
        <v/>
      </c>
    </row>
    <row r="328">
      <c r="AA328">
        <f>Database!B326</f>
        <v/>
      </c>
      <c r="AB328">
        <f>Database!D326</f>
        <v/>
      </c>
      <c r="AC328">
        <f>Database!E326</f>
        <v/>
      </c>
      <c r="AD328">
        <f>Database!H326</f>
        <v/>
      </c>
      <c r="AE328">
        <f>Database!V326</f>
        <v/>
      </c>
      <c r="AF328">
        <f>Database!AA326</f>
        <v/>
      </c>
      <c r="AG328">
        <f>Database!G326</f>
        <v/>
      </c>
    </row>
    <row r="329">
      <c r="AA329">
        <f>Database!B327</f>
        <v/>
      </c>
      <c r="AB329">
        <f>Database!D327</f>
        <v/>
      </c>
      <c r="AC329">
        <f>Database!E327</f>
        <v/>
      </c>
      <c r="AD329">
        <f>Database!H327</f>
        <v/>
      </c>
      <c r="AE329">
        <f>Database!V327</f>
        <v/>
      </c>
      <c r="AF329">
        <f>Database!AA327</f>
        <v/>
      </c>
      <c r="AG329">
        <f>Database!G327</f>
        <v/>
      </c>
    </row>
    <row r="330">
      <c r="AA330">
        <f>Database!B328</f>
        <v/>
      </c>
      <c r="AB330">
        <f>Database!D328</f>
        <v/>
      </c>
      <c r="AC330">
        <f>Database!E328</f>
        <v/>
      </c>
      <c r="AD330">
        <f>Database!H328</f>
        <v/>
      </c>
      <c r="AE330">
        <f>Database!V328</f>
        <v/>
      </c>
      <c r="AF330">
        <f>Database!AA328</f>
        <v/>
      </c>
      <c r="AG330">
        <f>Database!G328</f>
        <v/>
      </c>
    </row>
    <row r="331">
      <c r="AA331">
        <f>Database!B329</f>
        <v/>
      </c>
      <c r="AB331">
        <f>Database!D329</f>
        <v/>
      </c>
      <c r="AC331">
        <f>Database!E329</f>
        <v/>
      </c>
      <c r="AD331">
        <f>Database!H329</f>
        <v/>
      </c>
      <c r="AE331">
        <f>Database!V329</f>
        <v/>
      </c>
      <c r="AF331">
        <f>Database!AA329</f>
        <v/>
      </c>
      <c r="AG331">
        <f>Database!G329</f>
        <v/>
      </c>
    </row>
    <row r="332">
      <c r="AA332">
        <f>Database!B330</f>
        <v/>
      </c>
      <c r="AB332">
        <f>Database!D330</f>
        <v/>
      </c>
      <c r="AC332">
        <f>Database!E330</f>
        <v/>
      </c>
      <c r="AD332">
        <f>Database!H330</f>
        <v/>
      </c>
      <c r="AE332">
        <f>Database!V330</f>
        <v/>
      </c>
      <c r="AF332">
        <f>Database!AA330</f>
        <v/>
      </c>
      <c r="AG332">
        <f>Database!G330</f>
        <v/>
      </c>
    </row>
    <row r="333">
      <c r="AA333">
        <f>Database!B331</f>
        <v/>
      </c>
      <c r="AB333">
        <f>Database!D331</f>
        <v/>
      </c>
      <c r="AC333">
        <f>Database!E331</f>
        <v/>
      </c>
      <c r="AD333">
        <f>Database!H331</f>
        <v/>
      </c>
      <c r="AE333">
        <f>Database!V331</f>
        <v/>
      </c>
      <c r="AF333">
        <f>Database!AA331</f>
        <v/>
      </c>
      <c r="AG333">
        <f>Database!G331</f>
        <v/>
      </c>
    </row>
    <row r="334">
      <c r="AA334">
        <f>Database!B332</f>
        <v/>
      </c>
      <c r="AB334">
        <f>Database!D332</f>
        <v/>
      </c>
      <c r="AC334">
        <f>Database!E332</f>
        <v/>
      </c>
      <c r="AD334">
        <f>Database!H332</f>
        <v/>
      </c>
      <c r="AE334">
        <f>Database!V332</f>
        <v/>
      </c>
      <c r="AF334">
        <f>Database!AA332</f>
        <v/>
      </c>
      <c r="AG334">
        <f>Database!G332</f>
        <v/>
      </c>
    </row>
    <row r="335">
      <c r="AA335">
        <f>Database!B333</f>
        <v/>
      </c>
      <c r="AB335">
        <f>Database!D333</f>
        <v/>
      </c>
      <c r="AC335">
        <f>Database!E333</f>
        <v/>
      </c>
      <c r="AD335">
        <f>Database!H333</f>
        <v/>
      </c>
      <c r="AE335">
        <f>Database!V333</f>
        <v/>
      </c>
      <c r="AF335">
        <f>Database!AA333</f>
        <v/>
      </c>
      <c r="AG335">
        <f>Database!G333</f>
        <v/>
      </c>
    </row>
    <row r="336">
      <c r="AA336">
        <f>Database!B334</f>
        <v/>
      </c>
      <c r="AB336">
        <f>Database!D334</f>
        <v/>
      </c>
      <c r="AC336">
        <f>Database!E334</f>
        <v/>
      </c>
      <c r="AD336">
        <f>Database!H334</f>
        <v/>
      </c>
      <c r="AE336">
        <f>Database!V334</f>
        <v/>
      </c>
      <c r="AF336">
        <f>Database!AA334</f>
        <v/>
      </c>
      <c r="AG336">
        <f>Database!G334</f>
        <v/>
      </c>
    </row>
    <row r="337">
      <c r="AA337">
        <f>Database!B335</f>
        <v/>
      </c>
      <c r="AB337">
        <f>Database!D335</f>
        <v/>
      </c>
      <c r="AC337">
        <f>Database!E335</f>
        <v/>
      </c>
      <c r="AD337">
        <f>Database!H335</f>
        <v/>
      </c>
      <c r="AE337">
        <f>Database!V335</f>
        <v/>
      </c>
      <c r="AF337">
        <f>Database!AA335</f>
        <v/>
      </c>
      <c r="AG337">
        <f>Database!G335</f>
        <v/>
      </c>
    </row>
    <row r="338">
      <c r="AA338">
        <f>Database!B336</f>
        <v/>
      </c>
      <c r="AB338">
        <f>Database!D336</f>
        <v/>
      </c>
      <c r="AC338">
        <f>Database!E336</f>
        <v/>
      </c>
      <c r="AD338">
        <f>Database!H336</f>
        <v/>
      </c>
      <c r="AE338">
        <f>Database!V336</f>
        <v/>
      </c>
      <c r="AF338">
        <f>Database!AA336</f>
        <v/>
      </c>
      <c r="AG338">
        <f>Database!G336</f>
        <v/>
      </c>
    </row>
    <row r="339">
      <c r="AA339">
        <f>Database!B337</f>
        <v/>
      </c>
      <c r="AB339">
        <f>Database!D337</f>
        <v/>
      </c>
      <c r="AC339">
        <f>Database!E337</f>
        <v/>
      </c>
      <c r="AD339">
        <f>Database!H337</f>
        <v/>
      </c>
      <c r="AE339">
        <f>Database!V337</f>
        <v/>
      </c>
      <c r="AF339">
        <f>Database!AA337</f>
        <v/>
      </c>
      <c r="AG339">
        <f>Database!G337</f>
        <v/>
      </c>
    </row>
    <row r="340">
      <c r="AA340">
        <f>Database!B338</f>
        <v/>
      </c>
      <c r="AB340">
        <f>Database!D338</f>
        <v/>
      </c>
      <c r="AC340">
        <f>Database!E338</f>
        <v/>
      </c>
      <c r="AD340">
        <f>Database!H338</f>
        <v/>
      </c>
      <c r="AE340">
        <f>Database!V338</f>
        <v/>
      </c>
      <c r="AF340">
        <f>Database!AA338</f>
        <v/>
      </c>
      <c r="AG340">
        <f>Database!G338</f>
        <v/>
      </c>
    </row>
    <row r="341">
      <c r="AA341">
        <f>Database!B339</f>
        <v/>
      </c>
      <c r="AB341">
        <f>Database!D339</f>
        <v/>
      </c>
      <c r="AC341">
        <f>Database!E339</f>
        <v/>
      </c>
      <c r="AD341">
        <f>Database!H339</f>
        <v/>
      </c>
      <c r="AE341">
        <f>Database!V339</f>
        <v/>
      </c>
      <c r="AF341">
        <f>Database!AA339</f>
        <v/>
      </c>
      <c r="AG341">
        <f>Database!G339</f>
        <v/>
      </c>
    </row>
    <row r="342">
      <c r="AA342">
        <f>Database!B340</f>
        <v/>
      </c>
      <c r="AB342">
        <f>Database!D340</f>
        <v/>
      </c>
      <c r="AC342">
        <f>Database!E340</f>
        <v/>
      </c>
      <c r="AD342">
        <f>Database!H340</f>
        <v/>
      </c>
      <c r="AE342">
        <f>Database!V340</f>
        <v/>
      </c>
      <c r="AF342">
        <f>Database!AA340</f>
        <v/>
      </c>
      <c r="AG342">
        <f>Database!G340</f>
        <v/>
      </c>
    </row>
    <row r="343">
      <c r="AA343">
        <f>Database!B341</f>
        <v/>
      </c>
      <c r="AB343">
        <f>Database!D341</f>
        <v/>
      </c>
      <c r="AC343">
        <f>Database!E341</f>
        <v/>
      </c>
      <c r="AD343">
        <f>Database!H341</f>
        <v/>
      </c>
      <c r="AE343">
        <f>Database!V341</f>
        <v/>
      </c>
      <c r="AF343">
        <f>Database!AA341</f>
        <v/>
      </c>
      <c r="AG343">
        <f>Database!G341</f>
        <v/>
      </c>
    </row>
    <row r="344">
      <c r="AA344">
        <f>Database!B342</f>
        <v/>
      </c>
      <c r="AB344">
        <f>Database!D342</f>
        <v/>
      </c>
      <c r="AC344">
        <f>Database!E342</f>
        <v/>
      </c>
      <c r="AD344">
        <f>Database!H342</f>
        <v/>
      </c>
      <c r="AE344">
        <f>Database!V342</f>
        <v/>
      </c>
      <c r="AF344">
        <f>Database!AA342</f>
        <v/>
      </c>
      <c r="AG344">
        <f>Database!G342</f>
        <v/>
      </c>
    </row>
    <row r="345">
      <c r="AA345">
        <f>Database!B343</f>
        <v/>
      </c>
      <c r="AB345">
        <f>Database!D343</f>
        <v/>
      </c>
      <c r="AC345">
        <f>Database!E343</f>
        <v/>
      </c>
      <c r="AD345">
        <f>Database!H343</f>
        <v/>
      </c>
      <c r="AE345">
        <f>Database!V343</f>
        <v/>
      </c>
      <c r="AF345">
        <f>Database!AA343</f>
        <v/>
      </c>
      <c r="AG345">
        <f>Database!G343</f>
        <v/>
      </c>
    </row>
    <row r="346">
      <c r="AA346">
        <f>Database!B344</f>
        <v/>
      </c>
      <c r="AB346">
        <f>Database!D344</f>
        <v/>
      </c>
      <c r="AC346">
        <f>Database!E344</f>
        <v/>
      </c>
      <c r="AD346">
        <f>Database!H344</f>
        <v/>
      </c>
      <c r="AE346">
        <f>Database!V344</f>
        <v/>
      </c>
      <c r="AF346">
        <f>Database!AA344</f>
        <v/>
      </c>
      <c r="AG346">
        <f>Database!G344</f>
        <v/>
      </c>
    </row>
    <row r="347">
      <c r="AA347">
        <f>Database!B345</f>
        <v/>
      </c>
      <c r="AB347">
        <f>Database!D345</f>
        <v/>
      </c>
      <c r="AC347">
        <f>Database!E345</f>
        <v/>
      </c>
      <c r="AD347">
        <f>Database!H345</f>
        <v/>
      </c>
      <c r="AE347">
        <f>Database!V345</f>
        <v/>
      </c>
      <c r="AF347">
        <f>Database!AA345</f>
        <v/>
      </c>
      <c r="AG347">
        <f>Database!G345</f>
        <v/>
      </c>
    </row>
    <row r="348">
      <c r="AA348">
        <f>Database!B346</f>
        <v/>
      </c>
      <c r="AB348">
        <f>Database!D346</f>
        <v/>
      </c>
      <c r="AC348">
        <f>Database!E346</f>
        <v/>
      </c>
      <c r="AD348">
        <f>Database!H346</f>
        <v/>
      </c>
      <c r="AE348">
        <f>Database!V346</f>
        <v/>
      </c>
      <c r="AF348">
        <f>Database!AA346</f>
        <v/>
      </c>
      <c r="AG348">
        <f>Database!G346</f>
        <v/>
      </c>
    </row>
    <row r="349">
      <c r="AA349">
        <f>Database!B347</f>
        <v/>
      </c>
      <c r="AB349">
        <f>Database!D347</f>
        <v/>
      </c>
      <c r="AC349">
        <f>Database!E347</f>
        <v/>
      </c>
      <c r="AD349">
        <f>Database!H347</f>
        <v/>
      </c>
      <c r="AE349">
        <f>Database!V347</f>
        <v/>
      </c>
      <c r="AF349">
        <f>Database!AA347</f>
        <v/>
      </c>
      <c r="AG349">
        <f>Database!G347</f>
        <v/>
      </c>
    </row>
    <row r="350">
      <c r="AA350">
        <f>Database!B348</f>
        <v/>
      </c>
      <c r="AB350">
        <f>Database!D348</f>
        <v/>
      </c>
      <c r="AC350">
        <f>Database!E348</f>
        <v/>
      </c>
      <c r="AD350">
        <f>Database!H348</f>
        <v/>
      </c>
      <c r="AE350">
        <f>Database!V348</f>
        <v/>
      </c>
      <c r="AF350">
        <f>Database!AA348</f>
        <v/>
      </c>
      <c r="AG350">
        <f>Database!G348</f>
        <v/>
      </c>
    </row>
    <row r="351">
      <c r="AA351">
        <f>Database!B349</f>
        <v/>
      </c>
      <c r="AB351">
        <f>Database!D349</f>
        <v/>
      </c>
      <c r="AC351">
        <f>Database!E349</f>
        <v/>
      </c>
      <c r="AD351">
        <f>Database!H349</f>
        <v/>
      </c>
      <c r="AE351">
        <f>Database!V349</f>
        <v/>
      </c>
      <c r="AF351">
        <f>Database!AA349</f>
        <v/>
      </c>
      <c r="AG351">
        <f>Database!G349</f>
        <v/>
      </c>
    </row>
    <row r="352">
      <c r="AA352">
        <f>Database!B350</f>
        <v/>
      </c>
      <c r="AB352">
        <f>Database!D350</f>
        <v/>
      </c>
      <c r="AC352">
        <f>Database!E350</f>
        <v/>
      </c>
      <c r="AD352">
        <f>Database!H350</f>
        <v/>
      </c>
      <c r="AE352">
        <f>Database!V350</f>
        <v/>
      </c>
      <c r="AF352">
        <f>Database!AA350</f>
        <v/>
      </c>
      <c r="AG352">
        <f>Database!G350</f>
        <v/>
      </c>
    </row>
    <row r="353">
      <c r="AA353">
        <f>Database!B351</f>
        <v/>
      </c>
      <c r="AB353">
        <f>Database!D351</f>
        <v/>
      </c>
      <c r="AC353">
        <f>Database!E351</f>
        <v/>
      </c>
      <c r="AD353">
        <f>Database!H351</f>
        <v/>
      </c>
      <c r="AE353">
        <f>Database!V351</f>
        <v/>
      </c>
      <c r="AF353">
        <f>Database!AA351</f>
        <v/>
      </c>
      <c r="AG353">
        <f>Database!G351</f>
        <v/>
      </c>
    </row>
    <row r="354">
      <c r="AA354">
        <f>Database!B352</f>
        <v/>
      </c>
      <c r="AB354">
        <f>Database!D352</f>
        <v/>
      </c>
      <c r="AC354">
        <f>Database!E352</f>
        <v/>
      </c>
      <c r="AD354">
        <f>Database!H352</f>
        <v/>
      </c>
      <c r="AE354">
        <f>Database!V352</f>
        <v/>
      </c>
      <c r="AF354">
        <f>Database!AA352</f>
        <v/>
      </c>
      <c r="AG354">
        <f>Database!G352</f>
        <v/>
      </c>
    </row>
    <row r="355">
      <c r="AA355">
        <f>Database!B353</f>
        <v/>
      </c>
      <c r="AB355">
        <f>Database!D353</f>
        <v/>
      </c>
      <c r="AC355">
        <f>Database!E353</f>
        <v/>
      </c>
      <c r="AD355">
        <f>Database!H353</f>
        <v/>
      </c>
      <c r="AE355">
        <f>Database!V353</f>
        <v/>
      </c>
      <c r="AF355">
        <f>Database!AA353</f>
        <v/>
      </c>
      <c r="AG355">
        <f>Database!G353</f>
        <v/>
      </c>
    </row>
    <row r="356">
      <c r="AA356">
        <f>Database!B354</f>
        <v/>
      </c>
      <c r="AB356">
        <f>Database!D354</f>
        <v/>
      </c>
      <c r="AC356">
        <f>Database!E354</f>
        <v/>
      </c>
      <c r="AD356">
        <f>Database!H354</f>
        <v/>
      </c>
      <c r="AE356">
        <f>Database!V354</f>
        <v/>
      </c>
      <c r="AF356">
        <f>Database!AA354</f>
        <v/>
      </c>
      <c r="AG356">
        <f>Database!G354</f>
        <v/>
      </c>
    </row>
    <row r="357">
      <c r="AA357">
        <f>Database!B355</f>
        <v/>
      </c>
      <c r="AB357">
        <f>Database!D355</f>
        <v/>
      </c>
      <c r="AC357">
        <f>Database!E355</f>
        <v/>
      </c>
      <c r="AD357">
        <f>Database!H355</f>
        <v/>
      </c>
      <c r="AE357">
        <f>Database!V355</f>
        <v/>
      </c>
      <c r="AF357">
        <f>Database!AA355</f>
        <v/>
      </c>
      <c r="AG357">
        <f>Database!G355</f>
        <v/>
      </c>
    </row>
    <row r="358">
      <c r="AA358">
        <f>Database!B356</f>
        <v/>
      </c>
      <c r="AB358">
        <f>Database!D356</f>
        <v/>
      </c>
      <c r="AC358">
        <f>Database!E356</f>
        <v/>
      </c>
      <c r="AD358">
        <f>Database!H356</f>
        <v/>
      </c>
      <c r="AE358">
        <f>Database!V356</f>
        <v/>
      </c>
      <c r="AF358">
        <f>Database!AA356</f>
        <v/>
      </c>
      <c r="AG358">
        <f>Database!G356</f>
        <v/>
      </c>
    </row>
    <row r="359">
      <c r="AA359">
        <f>Database!B357</f>
        <v/>
      </c>
      <c r="AB359">
        <f>Database!D357</f>
        <v/>
      </c>
      <c r="AC359">
        <f>Database!E357</f>
        <v/>
      </c>
      <c r="AD359">
        <f>Database!H357</f>
        <v/>
      </c>
      <c r="AE359">
        <f>Database!V357</f>
        <v/>
      </c>
      <c r="AF359">
        <f>Database!AA357</f>
        <v/>
      </c>
      <c r="AG359">
        <f>Database!G357</f>
        <v/>
      </c>
    </row>
    <row r="360">
      <c r="AA360">
        <f>Database!B358</f>
        <v/>
      </c>
      <c r="AB360">
        <f>Database!D358</f>
        <v/>
      </c>
      <c r="AC360">
        <f>Database!E358</f>
        <v/>
      </c>
      <c r="AD360">
        <f>Database!H358</f>
        <v/>
      </c>
      <c r="AE360">
        <f>Database!V358</f>
        <v/>
      </c>
      <c r="AF360">
        <f>Database!AA358</f>
        <v/>
      </c>
      <c r="AG360">
        <f>Database!G358</f>
        <v/>
      </c>
    </row>
    <row r="361">
      <c r="AA361">
        <f>Database!B359</f>
        <v/>
      </c>
      <c r="AB361">
        <f>Database!D359</f>
        <v/>
      </c>
      <c r="AC361">
        <f>Database!E359</f>
        <v/>
      </c>
      <c r="AD361">
        <f>Database!H359</f>
        <v/>
      </c>
      <c r="AE361">
        <f>Database!V359</f>
        <v/>
      </c>
      <c r="AF361">
        <f>Database!AA359</f>
        <v/>
      </c>
      <c r="AG361">
        <f>Database!G359</f>
        <v/>
      </c>
    </row>
    <row r="362">
      <c r="AA362">
        <f>Database!B360</f>
        <v/>
      </c>
      <c r="AB362">
        <f>Database!D360</f>
        <v/>
      </c>
      <c r="AC362">
        <f>Database!E360</f>
        <v/>
      </c>
      <c r="AD362">
        <f>Database!H360</f>
        <v/>
      </c>
      <c r="AE362">
        <f>Database!V360</f>
        <v/>
      </c>
      <c r="AF362">
        <f>Database!AA360</f>
        <v/>
      </c>
      <c r="AG362">
        <f>Database!G360</f>
        <v/>
      </c>
    </row>
    <row r="363">
      <c r="AA363">
        <f>Database!B361</f>
        <v/>
      </c>
      <c r="AB363">
        <f>Database!D361</f>
        <v/>
      </c>
      <c r="AC363">
        <f>Database!E361</f>
        <v/>
      </c>
      <c r="AD363">
        <f>Database!H361</f>
        <v/>
      </c>
      <c r="AE363">
        <f>Database!V361</f>
        <v/>
      </c>
      <c r="AF363">
        <f>Database!AA361</f>
        <v/>
      </c>
      <c r="AG363">
        <f>Database!G361</f>
        <v/>
      </c>
    </row>
    <row r="364">
      <c r="AA364">
        <f>Database!B362</f>
        <v/>
      </c>
      <c r="AB364">
        <f>Database!D362</f>
        <v/>
      </c>
      <c r="AC364">
        <f>Database!E362</f>
        <v/>
      </c>
      <c r="AD364">
        <f>Database!H362</f>
        <v/>
      </c>
      <c r="AE364">
        <f>Database!V362</f>
        <v/>
      </c>
      <c r="AF364">
        <f>Database!AA362</f>
        <v/>
      </c>
      <c r="AG364">
        <f>Database!G362</f>
        <v/>
      </c>
    </row>
    <row r="365">
      <c r="AA365">
        <f>Database!B363</f>
        <v/>
      </c>
      <c r="AB365">
        <f>Database!D363</f>
        <v/>
      </c>
      <c r="AC365">
        <f>Database!E363</f>
        <v/>
      </c>
      <c r="AD365">
        <f>Database!H363</f>
        <v/>
      </c>
      <c r="AE365">
        <f>Database!V363</f>
        <v/>
      </c>
      <c r="AF365">
        <f>Database!AA363</f>
        <v/>
      </c>
      <c r="AG365">
        <f>Database!G363</f>
        <v/>
      </c>
    </row>
    <row r="366">
      <c r="AA366">
        <f>Database!B364</f>
        <v/>
      </c>
      <c r="AB366">
        <f>Database!D364</f>
        <v/>
      </c>
      <c r="AC366">
        <f>Database!E364</f>
        <v/>
      </c>
      <c r="AD366">
        <f>Database!H364</f>
        <v/>
      </c>
      <c r="AE366">
        <f>Database!V364</f>
        <v/>
      </c>
      <c r="AF366">
        <f>Database!AA364</f>
        <v/>
      </c>
      <c r="AG366">
        <f>Database!G364</f>
        <v/>
      </c>
    </row>
    <row r="367">
      <c r="AA367">
        <f>Database!B365</f>
        <v/>
      </c>
      <c r="AB367">
        <f>Database!D365</f>
        <v/>
      </c>
      <c r="AC367">
        <f>Database!E365</f>
        <v/>
      </c>
      <c r="AD367">
        <f>Database!H365</f>
        <v/>
      </c>
      <c r="AE367">
        <f>Database!V365</f>
        <v/>
      </c>
      <c r="AF367">
        <f>Database!AA365</f>
        <v/>
      </c>
      <c r="AG367">
        <f>Database!G365</f>
        <v/>
      </c>
    </row>
    <row r="368">
      <c r="AA368">
        <f>Database!B366</f>
        <v/>
      </c>
      <c r="AB368">
        <f>Database!D366</f>
        <v/>
      </c>
      <c r="AC368">
        <f>Database!E366</f>
        <v/>
      </c>
      <c r="AD368">
        <f>Database!H366</f>
        <v/>
      </c>
      <c r="AE368">
        <f>Database!V366</f>
        <v/>
      </c>
      <c r="AF368">
        <f>Database!AA366</f>
        <v/>
      </c>
      <c r="AG368">
        <f>Database!G366</f>
        <v/>
      </c>
    </row>
    <row r="369">
      <c r="AA369">
        <f>Database!B367</f>
        <v/>
      </c>
      <c r="AB369">
        <f>Database!D367</f>
        <v/>
      </c>
      <c r="AC369">
        <f>Database!E367</f>
        <v/>
      </c>
      <c r="AD369">
        <f>Database!H367</f>
        <v/>
      </c>
      <c r="AE369">
        <f>Database!V367</f>
        <v/>
      </c>
      <c r="AF369">
        <f>Database!AA367</f>
        <v/>
      </c>
      <c r="AG369">
        <f>Database!G367</f>
        <v/>
      </c>
    </row>
    <row r="370">
      <c r="AA370">
        <f>Database!B368</f>
        <v/>
      </c>
      <c r="AB370">
        <f>Database!D368</f>
        <v/>
      </c>
      <c r="AC370">
        <f>Database!E368</f>
        <v/>
      </c>
      <c r="AD370">
        <f>Database!H368</f>
        <v/>
      </c>
      <c r="AE370">
        <f>Database!V368</f>
        <v/>
      </c>
      <c r="AF370">
        <f>Database!AA368</f>
        <v/>
      </c>
      <c r="AG370">
        <f>Database!G368</f>
        <v/>
      </c>
    </row>
    <row r="371">
      <c r="AA371">
        <f>Database!B369</f>
        <v/>
      </c>
      <c r="AB371">
        <f>Database!D369</f>
        <v/>
      </c>
      <c r="AC371">
        <f>Database!E369</f>
        <v/>
      </c>
      <c r="AD371">
        <f>Database!H369</f>
        <v/>
      </c>
      <c r="AE371">
        <f>Database!V369</f>
        <v/>
      </c>
      <c r="AF371">
        <f>Database!AA369</f>
        <v/>
      </c>
      <c r="AG371">
        <f>Database!G369</f>
        <v/>
      </c>
    </row>
    <row r="372">
      <c r="AA372">
        <f>Database!B370</f>
        <v/>
      </c>
      <c r="AB372">
        <f>Database!D370</f>
        <v/>
      </c>
      <c r="AC372">
        <f>Database!E370</f>
        <v/>
      </c>
      <c r="AD372">
        <f>Database!H370</f>
        <v/>
      </c>
      <c r="AE372">
        <f>Database!V370</f>
        <v/>
      </c>
      <c r="AF372">
        <f>Database!AA370</f>
        <v/>
      </c>
      <c r="AG372">
        <f>Database!G370</f>
        <v/>
      </c>
    </row>
    <row r="373">
      <c r="AA373">
        <f>Database!B371</f>
        <v/>
      </c>
      <c r="AB373">
        <f>Database!D371</f>
        <v/>
      </c>
      <c r="AC373">
        <f>Database!E371</f>
        <v/>
      </c>
      <c r="AD373">
        <f>Database!H371</f>
        <v/>
      </c>
      <c r="AE373">
        <f>Database!V371</f>
        <v/>
      </c>
      <c r="AF373">
        <f>Database!AA371</f>
        <v/>
      </c>
      <c r="AG373">
        <f>Database!G371</f>
        <v/>
      </c>
    </row>
    <row r="374">
      <c r="AA374">
        <f>Database!B372</f>
        <v/>
      </c>
      <c r="AB374">
        <f>Database!D372</f>
        <v/>
      </c>
      <c r="AC374">
        <f>Database!E372</f>
        <v/>
      </c>
      <c r="AD374">
        <f>Database!H372</f>
        <v/>
      </c>
      <c r="AE374">
        <f>Database!V372</f>
        <v/>
      </c>
      <c r="AF374">
        <f>Database!AA372</f>
        <v/>
      </c>
      <c r="AG374">
        <f>Database!G372</f>
        <v/>
      </c>
    </row>
    <row r="375">
      <c r="AA375">
        <f>Database!B373</f>
        <v/>
      </c>
      <c r="AB375">
        <f>Database!D373</f>
        <v/>
      </c>
      <c r="AC375">
        <f>Database!E373</f>
        <v/>
      </c>
      <c r="AD375">
        <f>Database!H373</f>
        <v/>
      </c>
      <c r="AE375">
        <f>Database!V373</f>
        <v/>
      </c>
      <c r="AF375">
        <f>Database!AA373</f>
        <v/>
      </c>
      <c r="AG375">
        <f>Database!G373</f>
        <v/>
      </c>
    </row>
    <row r="376">
      <c r="AA376">
        <f>Database!B374</f>
        <v/>
      </c>
      <c r="AB376">
        <f>Database!D374</f>
        <v/>
      </c>
      <c r="AC376">
        <f>Database!E374</f>
        <v/>
      </c>
      <c r="AD376">
        <f>Database!H374</f>
        <v/>
      </c>
      <c r="AE376">
        <f>Database!V374</f>
        <v/>
      </c>
      <c r="AF376">
        <f>Database!AA374</f>
        <v/>
      </c>
      <c r="AG376">
        <f>Database!G374</f>
        <v/>
      </c>
    </row>
    <row r="377">
      <c r="AA377">
        <f>Database!B375</f>
        <v/>
      </c>
      <c r="AB377">
        <f>Database!D375</f>
        <v/>
      </c>
      <c r="AC377">
        <f>Database!E375</f>
        <v/>
      </c>
      <c r="AD377">
        <f>Database!H375</f>
        <v/>
      </c>
      <c r="AE377">
        <f>Database!V375</f>
        <v/>
      </c>
      <c r="AF377">
        <f>Database!AA375</f>
        <v/>
      </c>
      <c r="AG377">
        <f>Database!G375</f>
        <v/>
      </c>
    </row>
    <row r="378">
      <c r="AA378">
        <f>Database!B376</f>
        <v/>
      </c>
      <c r="AB378">
        <f>Database!D376</f>
        <v/>
      </c>
      <c r="AC378">
        <f>Database!E376</f>
        <v/>
      </c>
      <c r="AD378">
        <f>Database!H376</f>
        <v/>
      </c>
      <c r="AE378">
        <f>Database!V376</f>
        <v/>
      </c>
      <c r="AF378">
        <f>Database!AA376</f>
        <v/>
      </c>
      <c r="AG378">
        <f>Database!G376</f>
        <v/>
      </c>
    </row>
    <row r="379">
      <c r="AA379">
        <f>Database!B377</f>
        <v/>
      </c>
      <c r="AB379">
        <f>Database!D377</f>
        <v/>
      </c>
      <c r="AC379">
        <f>Database!E377</f>
        <v/>
      </c>
      <c r="AD379">
        <f>Database!H377</f>
        <v/>
      </c>
      <c r="AE379">
        <f>Database!V377</f>
        <v/>
      </c>
      <c r="AF379">
        <f>Database!AA377</f>
        <v/>
      </c>
      <c r="AG379">
        <f>Database!G377</f>
        <v/>
      </c>
    </row>
    <row r="380">
      <c r="AA380">
        <f>Database!B378</f>
        <v/>
      </c>
      <c r="AB380">
        <f>Database!D378</f>
        <v/>
      </c>
      <c r="AC380">
        <f>Database!E378</f>
        <v/>
      </c>
      <c r="AD380">
        <f>Database!H378</f>
        <v/>
      </c>
      <c r="AE380">
        <f>Database!V378</f>
        <v/>
      </c>
      <c r="AF380">
        <f>Database!AA378</f>
        <v/>
      </c>
      <c r="AG380">
        <f>Database!G378</f>
        <v/>
      </c>
    </row>
    <row r="381">
      <c r="AA381">
        <f>Database!B379</f>
        <v/>
      </c>
      <c r="AB381">
        <f>Database!D379</f>
        <v/>
      </c>
      <c r="AC381">
        <f>Database!E379</f>
        <v/>
      </c>
      <c r="AD381">
        <f>Database!H379</f>
        <v/>
      </c>
      <c r="AE381">
        <f>Database!V379</f>
        <v/>
      </c>
      <c r="AF381">
        <f>Database!AA379</f>
        <v/>
      </c>
      <c r="AG381">
        <f>Database!G379</f>
        <v/>
      </c>
    </row>
    <row r="382">
      <c r="AA382">
        <f>Database!B380</f>
        <v/>
      </c>
      <c r="AB382">
        <f>Database!D380</f>
        <v/>
      </c>
      <c r="AC382">
        <f>Database!E380</f>
        <v/>
      </c>
      <c r="AD382">
        <f>Database!H380</f>
        <v/>
      </c>
      <c r="AE382">
        <f>Database!V380</f>
        <v/>
      </c>
      <c r="AF382">
        <f>Database!AA380</f>
        <v/>
      </c>
      <c r="AG382">
        <f>Database!G380</f>
        <v/>
      </c>
    </row>
    <row r="383">
      <c r="AA383">
        <f>Database!B381</f>
        <v/>
      </c>
      <c r="AB383">
        <f>Database!D381</f>
        <v/>
      </c>
      <c r="AC383">
        <f>Database!E381</f>
        <v/>
      </c>
      <c r="AD383">
        <f>Database!H381</f>
        <v/>
      </c>
      <c r="AE383">
        <f>Database!V381</f>
        <v/>
      </c>
      <c r="AF383">
        <f>Database!AA381</f>
        <v/>
      </c>
      <c r="AG383">
        <f>Database!G381</f>
        <v/>
      </c>
    </row>
    <row r="384">
      <c r="AA384">
        <f>Database!B382</f>
        <v/>
      </c>
      <c r="AB384">
        <f>Database!D382</f>
        <v/>
      </c>
      <c r="AC384">
        <f>Database!E382</f>
        <v/>
      </c>
      <c r="AD384">
        <f>Database!H382</f>
        <v/>
      </c>
      <c r="AE384">
        <f>Database!V382</f>
        <v/>
      </c>
      <c r="AF384">
        <f>Database!AA382</f>
        <v/>
      </c>
      <c r="AG384">
        <f>Database!G382</f>
        <v/>
      </c>
    </row>
    <row r="385">
      <c r="AA385">
        <f>Database!B383</f>
        <v/>
      </c>
      <c r="AB385">
        <f>Database!D383</f>
        <v/>
      </c>
      <c r="AC385">
        <f>Database!E383</f>
        <v/>
      </c>
      <c r="AD385">
        <f>Database!H383</f>
        <v/>
      </c>
      <c r="AE385">
        <f>Database!V383</f>
        <v/>
      </c>
      <c r="AF385">
        <f>Database!AA383</f>
        <v/>
      </c>
      <c r="AG385">
        <f>Database!G383</f>
        <v/>
      </c>
    </row>
    <row r="386">
      <c r="AA386">
        <f>Database!B384</f>
        <v/>
      </c>
      <c r="AB386">
        <f>Database!D384</f>
        <v/>
      </c>
      <c r="AC386">
        <f>Database!E384</f>
        <v/>
      </c>
      <c r="AD386">
        <f>Database!H384</f>
        <v/>
      </c>
      <c r="AE386">
        <f>Database!V384</f>
        <v/>
      </c>
      <c r="AF386">
        <f>Database!AA384</f>
        <v/>
      </c>
      <c r="AG386">
        <f>Database!G384</f>
        <v/>
      </c>
    </row>
    <row r="387">
      <c r="AA387">
        <f>Database!B385</f>
        <v/>
      </c>
      <c r="AB387">
        <f>Database!D385</f>
        <v/>
      </c>
      <c r="AC387">
        <f>Database!E385</f>
        <v/>
      </c>
      <c r="AD387">
        <f>Database!H385</f>
        <v/>
      </c>
      <c r="AE387">
        <f>Database!V385</f>
        <v/>
      </c>
      <c r="AF387">
        <f>Database!AA385</f>
        <v/>
      </c>
      <c r="AG387">
        <f>Database!G385</f>
        <v/>
      </c>
    </row>
    <row r="388">
      <c r="AA388">
        <f>Database!B386</f>
        <v/>
      </c>
      <c r="AB388">
        <f>Database!D386</f>
        <v/>
      </c>
      <c r="AC388">
        <f>Database!E386</f>
        <v/>
      </c>
      <c r="AD388">
        <f>Database!H386</f>
        <v/>
      </c>
      <c r="AE388">
        <f>Database!V386</f>
        <v/>
      </c>
      <c r="AF388">
        <f>Database!AA386</f>
        <v/>
      </c>
      <c r="AG388">
        <f>Database!G386</f>
        <v/>
      </c>
    </row>
    <row r="389">
      <c r="AA389">
        <f>Database!B387</f>
        <v/>
      </c>
      <c r="AB389">
        <f>Database!D387</f>
        <v/>
      </c>
      <c r="AC389">
        <f>Database!E387</f>
        <v/>
      </c>
      <c r="AD389">
        <f>Database!H387</f>
        <v/>
      </c>
      <c r="AE389">
        <f>Database!V387</f>
        <v/>
      </c>
      <c r="AF389">
        <f>Database!AA387</f>
        <v/>
      </c>
      <c r="AG389">
        <f>Database!G387</f>
        <v/>
      </c>
    </row>
    <row r="390">
      <c r="AA390">
        <f>Database!B388</f>
        <v/>
      </c>
      <c r="AB390">
        <f>Database!D388</f>
        <v/>
      </c>
      <c r="AC390">
        <f>Database!E388</f>
        <v/>
      </c>
      <c r="AD390">
        <f>Database!H388</f>
        <v/>
      </c>
      <c r="AE390">
        <f>Database!V388</f>
        <v/>
      </c>
      <c r="AF390">
        <f>Database!AA388</f>
        <v/>
      </c>
      <c r="AG390">
        <f>Database!G388</f>
        <v/>
      </c>
    </row>
    <row r="391">
      <c r="AA391">
        <f>Database!B389</f>
        <v/>
      </c>
      <c r="AB391">
        <f>Database!D389</f>
        <v/>
      </c>
      <c r="AC391">
        <f>Database!E389</f>
        <v/>
      </c>
      <c r="AD391">
        <f>Database!H389</f>
        <v/>
      </c>
      <c r="AE391">
        <f>Database!V389</f>
        <v/>
      </c>
      <c r="AF391">
        <f>Database!AA389</f>
        <v/>
      </c>
      <c r="AG391">
        <f>Database!G389</f>
        <v/>
      </c>
    </row>
    <row r="392">
      <c r="AA392">
        <f>Database!B390</f>
        <v/>
      </c>
      <c r="AB392">
        <f>Database!D390</f>
        <v/>
      </c>
      <c r="AC392">
        <f>Database!E390</f>
        <v/>
      </c>
      <c r="AD392">
        <f>Database!H390</f>
        <v/>
      </c>
      <c r="AE392">
        <f>Database!V390</f>
        <v/>
      </c>
      <c r="AF392">
        <f>Database!AA390</f>
        <v/>
      </c>
      <c r="AG392">
        <f>Database!G390</f>
        <v/>
      </c>
    </row>
    <row r="393">
      <c r="AA393">
        <f>Database!B391</f>
        <v/>
      </c>
      <c r="AB393">
        <f>Database!D391</f>
        <v/>
      </c>
      <c r="AC393">
        <f>Database!E391</f>
        <v/>
      </c>
      <c r="AD393">
        <f>Database!H391</f>
        <v/>
      </c>
      <c r="AE393">
        <f>Database!V391</f>
        <v/>
      </c>
      <c r="AF393">
        <f>Database!AA391</f>
        <v/>
      </c>
      <c r="AG393">
        <f>Database!G391</f>
        <v/>
      </c>
    </row>
    <row r="394">
      <c r="AA394">
        <f>Database!B392</f>
        <v/>
      </c>
      <c r="AB394">
        <f>Database!D392</f>
        <v/>
      </c>
      <c r="AC394">
        <f>Database!E392</f>
        <v/>
      </c>
      <c r="AD394">
        <f>Database!H392</f>
        <v/>
      </c>
      <c r="AE394">
        <f>Database!V392</f>
        <v/>
      </c>
      <c r="AF394">
        <f>Database!AA392</f>
        <v/>
      </c>
      <c r="AG394">
        <f>Database!G392</f>
        <v/>
      </c>
    </row>
    <row r="395">
      <c r="AA395">
        <f>Database!B393</f>
        <v/>
      </c>
      <c r="AB395">
        <f>Database!D393</f>
        <v/>
      </c>
      <c r="AC395">
        <f>Database!E393</f>
        <v/>
      </c>
      <c r="AD395">
        <f>Database!H393</f>
        <v/>
      </c>
      <c r="AE395">
        <f>Database!V393</f>
        <v/>
      </c>
      <c r="AF395">
        <f>Database!AA393</f>
        <v/>
      </c>
      <c r="AG395">
        <f>Database!G393</f>
        <v/>
      </c>
    </row>
    <row r="396">
      <c r="AA396">
        <f>Database!B394</f>
        <v/>
      </c>
      <c r="AB396">
        <f>Database!D394</f>
        <v/>
      </c>
      <c r="AC396">
        <f>Database!E394</f>
        <v/>
      </c>
      <c r="AD396">
        <f>Database!H394</f>
        <v/>
      </c>
      <c r="AE396">
        <f>Database!V394</f>
        <v/>
      </c>
      <c r="AF396">
        <f>Database!AA394</f>
        <v/>
      </c>
      <c r="AG396">
        <f>Database!G394</f>
        <v/>
      </c>
    </row>
    <row r="397">
      <c r="AA397">
        <f>Database!B395</f>
        <v/>
      </c>
      <c r="AB397">
        <f>Database!D395</f>
        <v/>
      </c>
      <c r="AC397">
        <f>Database!E395</f>
        <v/>
      </c>
      <c r="AD397">
        <f>Database!H395</f>
        <v/>
      </c>
      <c r="AE397">
        <f>Database!V395</f>
        <v/>
      </c>
      <c r="AF397">
        <f>Database!AA395</f>
        <v/>
      </c>
      <c r="AG397">
        <f>Database!G395</f>
        <v/>
      </c>
    </row>
    <row r="398">
      <c r="AA398">
        <f>Database!B396</f>
        <v/>
      </c>
      <c r="AB398">
        <f>Database!D396</f>
        <v/>
      </c>
      <c r="AC398">
        <f>Database!E396</f>
        <v/>
      </c>
      <c r="AD398">
        <f>Database!H396</f>
        <v/>
      </c>
      <c r="AE398">
        <f>Database!V396</f>
        <v/>
      </c>
      <c r="AF398">
        <f>Database!AA396</f>
        <v/>
      </c>
      <c r="AG398">
        <f>Database!G396</f>
        <v/>
      </c>
    </row>
    <row r="399">
      <c r="AA399">
        <f>Database!B397</f>
        <v/>
      </c>
      <c r="AB399">
        <f>Database!D397</f>
        <v/>
      </c>
      <c r="AC399">
        <f>Database!E397</f>
        <v/>
      </c>
      <c r="AD399">
        <f>Database!H397</f>
        <v/>
      </c>
      <c r="AE399">
        <f>Database!V397</f>
        <v/>
      </c>
      <c r="AF399">
        <f>Database!AA397</f>
        <v/>
      </c>
      <c r="AG399">
        <f>Database!G397</f>
        <v/>
      </c>
    </row>
    <row r="400">
      <c r="AA400">
        <f>Database!B398</f>
        <v/>
      </c>
      <c r="AB400">
        <f>Database!D398</f>
        <v/>
      </c>
      <c r="AC400">
        <f>Database!E398</f>
        <v/>
      </c>
      <c r="AD400">
        <f>Database!H398</f>
        <v/>
      </c>
      <c r="AE400">
        <f>Database!V398</f>
        <v/>
      </c>
      <c r="AF400">
        <f>Database!AA398</f>
        <v/>
      </c>
      <c r="AG400">
        <f>Database!G398</f>
        <v/>
      </c>
    </row>
    <row r="401">
      <c r="AA401">
        <f>Database!B399</f>
        <v/>
      </c>
      <c r="AB401">
        <f>Database!D399</f>
        <v/>
      </c>
      <c r="AC401">
        <f>Database!E399</f>
        <v/>
      </c>
      <c r="AD401">
        <f>Database!H399</f>
        <v/>
      </c>
      <c r="AE401">
        <f>Database!V399</f>
        <v/>
      </c>
      <c r="AF401">
        <f>Database!AA399</f>
        <v/>
      </c>
      <c r="AG401">
        <f>Database!G399</f>
        <v/>
      </c>
    </row>
    <row r="402">
      <c r="AA402">
        <f>Database!B400</f>
        <v/>
      </c>
      <c r="AB402">
        <f>Database!D400</f>
        <v/>
      </c>
      <c r="AC402">
        <f>Database!E400</f>
        <v/>
      </c>
      <c r="AD402">
        <f>Database!H400</f>
        <v/>
      </c>
      <c r="AE402">
        <f>Database!V400</f>
        <v/>
      </c>
      <c r="AF402">
        <f>Database!AA400</f>
        <v/>
      </c>
      <c r="AG402">
        <f>Database!G400</f>
        <v/>
      </c>
    </row>
    <row r="403">
      <c r="AA403">
        <f>Database!B401</f>
        <v/>
      </c>
      <c r="AB403">
        <f>Database!D401</f>
        <v/>
      </c>
      <c r="AC403">
        <f>Database!E401</f>
        <v/>
      </c>
      <c r="AD403">
        <f>Database!H401</f>
        <v/>
      </c>
      <c r="AE403">
        <f>Database!V401</f>
        <v/>
      </c>
      <c r="AF403">
        <f>Database!AA401</f>
        <v/>
      </c>
      <c r="AG403">
        <f>Database!G401</f>
        <v/>
      </c>
    </row>
    <row r="404">
      <c r="AA404">
        <f>Database!B402</f>
        <v/>
      </c>
      <c r="AB404">
        <f>Database!D402</f>
        <v/>
      </c>
      <c r="AC404">
        <f>Database!E402</f>
        <v/>
      </c>
      <c r="AD404">
        <f>Database!H402</f>
        <v/>
      </c>
      <c r="AE404">
        <f>Database!V402</f>
        <v/>
      </c>
      <c r="AF404">
        <f>Database!AA402</f>
        <v/>
      </c>
      <c r="AG404">
        <f>Database!G402</f>
        <v/>
      </c>
    </row>
    <row r="405">
      <c r="AA405">
        <f>Database!B403</f>
        <v/>
      </c>
      <c r="AB405">
        <f>Database!D403</f>
        <v/>
      </c>
      <c r="AC405">
        <f>Database!E403</f>
        <v/>
      </c>
      <c r="AD405">
        <f>Database!H403</f>
        <v/>
      </c>
      <c r="AE405">
        <f>Database!V403</f>
        <v/>
      </c>
      <c r="AF405">
        <f>Database!AA403</f>
        <v/>
      </c>
      <c r="AG405">
        <f>Database!G403</f>
        <v/>
      </c>
    </row>
    <row r="406">
      <c r="AA406">
        <f>Database!B404</f>
        <v/>
      </c>
      <c r="AB406">
        <f>Database!D404</f>
        <v/>
      </c>
      <c r="AC406">
        <f>Database!E404</f>
        <v/>
      </c>
      <c r="AD406">
        <f>Database!H404</f>
        <v/>
      </c>
      <c r="AE406">
        <f>Database!V404</f>
        <v/>
      </c>
      <c r="AF406">
        <f>Database!AA404</f>
        <v/>
      </c>
      <c r="AG406">
        <f>Database!G404</f>
        <v/>
      </c>
    </row>
    <row r="407">
      <c r="AA407">
        <f>Database!B405</f>
        <v/>
      </c>
      <c r="AB407">
        <f>Database!D405</f>
        <v/>
      </c>
      <c r="AC407">
        <f>Database!E405</f>
        <v/>
      </c>
      <c r="AD407">
        <f>Database!H405</f>
        <v/>
      </c>
      <c r="AE407">
        <f>Database!V405</f>
        <v/>
      </c>
      <c r="AF407">
        <f>Database!AA405</f>
        <v/>
      </c>
      <c r="AG407">
        <f>Database!G405</f>
        <v/>
      </c>
    </row>
    <row r="408">
      <c r="AA408">
        <f>Database!B406</f>
        <v/>
      </c>
      <c r="AB408">
        <f>Database!D406</f>
        <v/>
      </c>
      <c r="AC408">
        <f>Database!E406</f>
        <v/>
      </c>
      <c r="AD408">
        <f>Database!H406</f>
        <v/>
      </c>
      <c r="AE408">
        <f>Database!V406</f>
        <v/>
      </c>
      <c r="AF408">
        <f>Database!AA406</f>
        <v/>
      </c>
      <c r="AG408">
        <f>Database!G406</f>
        <v/>
      </c>
    </row>
    <row r="409">
      <c r="AA409">
        <f>Database!B407</f>
        <v/>
      </c>
      <c r="AB409">
        <f>Database!D407</f>
        <v/>
      </c>
      <c r="AC409">
        <f>Database!E407</f>
        <v/>
      </c>
      <c r="AD409">
        <f>Database!H407</f>
        <v/>
      </c>
      <c r="AE409">
        <f>Database!V407</f>
        <v/>
      </c>
      <c r="AF409">
        <f>Database!AA407</f>
        <v/>
      </c>
      <c r="AG409">
        <f>Database!G407</f>
        <v/>
      </c>
    </row>
    <row r="410">
      <c r="AA410">
        <f>Database!B408</f>
        <v/>
      </c>
      <c r="AB410">
        <f>Database!D408</f>
        <v/>
      </c>
      <c r="AC410">
        <f>Database!E408</f>
        <v/>
      </c>
      <c r="AD410">
        <f>Database!H408</f>
        <v/>
      </c>
      <c r="AE410">
        <f>Database!V408</f>
        <v/>
      </c>
      <c r="AF410">
        <f>Database!AA408</f>
        <v/>
      </c>
      <c r="AG410">
        <f>Database!G408</f>
        <v/>
      </c>
    </row>
    <row r="411">
      <c r="AA411">
        <f>Database!B409</f>
        <v/>
      </c>
      <c r="AB411">
        <f>Database!D409</f>
        <v/>
      </c>
      <c r="AC411">
        <f>Database!E409</f>
        <v/>
      </c>
      <c r="AD411">
        <f>Database!H409</f>
        <v/>
      </c>
      <c r="AE411">
        <f>Database!V409</f>
        <v/>
      </c>
      <c r="AF411">
        <f>Database!AA409</f>
        <v/>
      </c>
      <c r="AG411">
        <f>Database!G409</f>
        <v/>
      </c>
    </row>
    <row r="412">
      <c r="AA412">
        <f>Database!B410</f>
        <v/>
      </c>
      <c r="AB412">
        <f>Database!D410</f>
        <v/>
      </c>
      <c r="AC412">
        <f>Database!E410</f>
        <v/>
      </c>
      <c r="AD412">
        <f>Database!H410</f>
        <v/>
      </c>
      <c r="AE412">
        <f>Database!V410</f>
        <v/>
      </c>
      <c r="AF412">
        <f>Database!AA410</f>
        <v/>
      </c>
      <c r="AG412">
        <f>Database!G410</f>
        <v/>
      </c>
    </row>
    <row r="413">
      <c r="AA413">
        <f>Database!B411</f>
        <v/>
      </c>
      <c r="AB413">
        <f>Database!D411</f>
        <v/>
      </c>
      <c r="AC413">
        <f>Database!E411</f>
        <v/>
      </c>
      <c r="AD413">
        <f>Database!H411</f>
        <v/>
      </c>
      <c r="AE413">
        <f>Database!V411</f>
        <v/>
      </c>
      <c r="AF413">
        <f>Database!AA411</f>
        <v/>
      </c>
      <c r="AG413">
        <f>Database!G411</f>
        <v/>
      </c>
    </row>
    <row r="414">
      <c r="AA414">
        <f>Database!B412</f>
        <v/>
      </c>
      <c r="AB414">
        <f>Database!D412</f>
        <v/>
      </c>
      <c r="AC414">
        <f>Database!E412</f>
        <v/>
      </c>
      <c r="AD414">
        <f>Database!H412</f>
        <v/>
      </c>
      <c r="AE414">
        <f>Database!V412</f>
        <v/>
      </c>
      <c r="AF414">
        <f>Database!AA412</f>
        <v/>
      </c>
      <c r="AG414">
        <f>Database!G412</f>
        <v/>
      </c>
    </row>
    <row r="415">
      <c r="AA415">
        <f>Database!B413</f>
        <v/>
      </c>
      <c r="AB415">
        <f>Database!D413</f>
        <v/>
      </c>
      <c r="AC415">
        <f>Database!E413</f>
        <v/>
      </c>
      <c r="AD415">
        <f>Database!H413</f>
        <v/>
      </c>
      <c r="AE415">
        <f>Database!V413</f>
        <v/>
      </c>
      <c r="AF415">
        <f>Database!AA413</f>
        <v/>
      </c>
      <c r="AG415">
        <f>Database!G413</f>
        <v/>
      </c>
    </row>
    <row r="416">
      <c r="AA416">
        <f>Database!B414</f>
        <v/>
      </c>
      <c r="AB416">
        <f>Database!D414</f>
        <v/>
      </c>
      <c r="AC416">
        <f>Database!E414</f>
        <v/>
      </c>
      <c r="AD416">
        <f>Database!H414</f>
        <v/>
      </c>
      <c r="AE416">
        <f>Database!V414</f>
        <v/>
      </c>
      <c r="AF416">
        <f>Database!AA414</f>
        <v/>
      </c>
      <c r="AG416">
        <f>Database!G414</f>
        <v/>
      </c>
    </row>
    <row r="417">
      <c r="AA417">
        <f>Database!B415</f>
        <v/>
      </c>
      <c r="AB417">
        <f>Database!D415</f>
        <v/>
      </c>
      <c r="AC417">
        <f>Database!E415</f>
        <v/>
      </c>
      <c r="AD417">
        <f>Database!H415</f>
        <v/>
      </c>
      <c r="AE417">
        <f>Database!V415</f>
        <v/>
      </c>
      <c r="AF417">
        <f>Database!AA415</f>
        <v/>
      </c>
      <c r="AG417">
        <f>Database!G415</f>
        <v/>
      </c>
    </row>
    <row r="418">
      <c r="AA418">
        <f>Database!B416</f>
        <v/>
      </c>
      <c r="AB418">
        <f>Database!D416</f>
        <v/>
      </c>
      <c r="AC418">
        <f>Database!E416</f>
        <v/>
      </c>
      <c r="AD418">
        <f>Database!H416</f>
        <v/>
      </c>
      <c r="AE418">
        <f>Database!V416</f>
        <v/>
      </c>
      <c r="AF418">
        <f>Database!AA416</f>
        <v/>
      </c>
      <c r="AG418">
        <f>Database!G416</f>
        <v/>
      </c>
    </row>
    <row r="419">
      <c r="AA419">
        <f>Database!B417</f>
        <v/>
      </c>
      <c r="AB419">
        <f>Database!D417</f>
        <v/>
      </c>
      <c r="AC419">
        <f>Database!E417</f>
        <v/>
      </c>
      <c r="AD419">
        <f>Database!H417</f>
        <v/>
      </c>
      <c r="AE419">
        <f>Database!V417</f>
        <v/>
      </c>
      <c r="AF419">
        <f>Database!AA417</f>
        <v/>
      </c>
      <c r="AG419">
        <f>Database!G417</f>
        <v/>
      </c>
    </row>
    <row r="420">
      <c r="AA420">
        <f>Database!B418</f>
        <v/>
      </c>
      <c r="AB420">
        <f>Database!D418</f>
        <v/>
      </c>
      <c r="AC420">
        <f>Database!E418</f>
        <v/>
      </c>
      <c r="AD420">
        <f>Database!H418</f>
        <v/>
      </c>
      <c r="AE420">
        <f>Database!V418</f>
        <v/>
      </c>
      <c r="AF420">
        <f>Database!AA418</f>
        <v/>
      </c>
      <c r="AG420">
        <f>Database!G418</f>
        <v/>
      </c>
    </row>
    <row r="421">
      <c r="AA421">
        <f>Database!B419</f>
        <v/>
      </c>
      <c r="AB421">
        <f>Database!D419</f>
        <v/>
      </c>
      <c r="AC421">
        <f>Database!E419</f>
        <v/>
      </c>
      <c r="AD421">
        <f>Database!H419</f>
        <v/>
      </c>
      <c r="AE421">
        <f>Database!V419</f>
        <v/>
      </c>
      <c r="AF421">
        <f>Database!AA419</f>
        <v/>
      </c>
      <c r="AG421">
        <f>Database!G419</f>
        <v/>
      </c>
    </row>
    <row r="422">
      <c r="AA422">
        <f>Database!B420</f>
        <v/>
      </c>
      <c r="AB422">
        <f>Database!D420</f>
        <v/>
      </c>
      <c r="AC422">
        <f>Database!E420</f>
        <v/>
      </c>
      <c r="AD422">
        <f>Database!H420</f>
        <v/>
      </c>
      <c r="AE422">
        <f>Database!V420</f>
        <v/>
      </c>
      <c r="AF422">
        <f>Database!AA420</f>
        <v/>
      </c>
      <c r="AG422">
        <f>Database!G420</f>
        <v/>
      </c>
    </row>
    <row r="423">
      <c r="AA423">
        <f>Database!B421</f>
        <v/>
      </c>
      <c r="AB423">
        <f>Database!D421</f>
        <v/>
      </c>
      <c r="AC423">
        <f>Database!E421</f>
        <v/>
      </c>
      <c r="AD423">
        <f>Database!H421</f>
        <v/>
      </c>
      <c r="AE423">
        <f>Database!V421</f>
        <v/>
      </c>
      <c r="AF423">
        <f>Database!AA421</f>
        <v/>
      </c>
      <c r="AG423">
        <f>Database!G421</f>
        <v/>
      </c>
    </row>
    <row r="424">
      <c r="AA424">
        <f>Database!B422</f>
        <v/>
      </c>
      <c r="AB424">
        <f>Database!D422</f>
        <v/>
      </c>
      <c r="AC424">
        <f>Database!E422</f>
        <v/>
      </c>
      <c r="AD424">
        <f>Database!H422</f>
        <v/>
      </c>
      <c r="AE424">
        <f>Database!V422</f>
        <v/>
      </c>
      <c r="AF424">
        <f>Database!AA422</f>
        <v/>
      </c>
      <c r="AG424">
        <f>Database!G422</f>
        <v/>
      </c>
    </row>
    <row r="425">
      <c r="AA425">
        <f>Database!B423</f>
        <v/>
      </c>
      <c r="AB425">
        <f>Database!D423</f>
        <v/>
      </c>
      <c r="AC425">
        <f>Database!E423</f>
        <v/>
      </c>
      <c r="AD425">
        <f>Database!H423</f>
        <v/>
      </c>
      <c r="AE425">
        <f>Database!V423</f>
        <v/>
      </c>
      <c r="AF425">
        <f>Database!AA423</f>
        <v/>
      </c>
      <c r="AG425">
        <f>Database!G423</f>
        <v/>
      </c>
    </row>
    <row r="426">
      <c r="AA426">
        <f>Database!B424</f>
        <v/>
      </c>
      <c r="AB426">
        <f>Database!D424</f>
        <v/>
      </c>
      <c r="AC426">
        <f>Database!E424</f>
        <v/>
      </c>
      <c r="AD426">
        <f>Database!H424</f>
        <v/>
      </c>
      <c r="AE426">
        <f>Database!V424</f>
        <v/>
      </c>
      <c r="AF426">
        <f>Database!AA424</f>
        <v/>
      </c>
      <c r="AG426">
        <f>Database!G424</f>
        <v/>
      </c>
    </row>
    <row r="427">
      <c r="AA427">
        <f>Database!B425</f>
        <v/>
      </c>
      <c r="AB427">
        <f>Database!D425</f>
        <v/>
      </c>
      <c r="AC427">
        <f>Database!E425</f>
        <v/>
      </c>
      <c r="AD427">
        <f>Database!H425</f>
        <v/>
      </c>
      <c r="AE427">
        <f>Database!V425</f>
        <v/>
      </c>
      <c r="AF427">
        <f>Database!AA425</f>
        <v/>
      </c>
      <c r="AG427">
        <f>Database!G425</f>
        <v/>
      </c>
    </row>
    <row r="428">
      <c r="AA428">
        <f>Database!B426</f>
        <v/>
      </c>
      <c r="AB428">
        <f>Database!D426</f>
        <v/>
      </c>
      <c r="AC428">
        <f>Database!E426</f>
        <v/>
      </c>
      <c r="AD428">
        <f>Database!H426</f>
        <v/>
      </c>
      <c r="AE428">
        <f>Database!V426</f>
        <v/>
      </c>
      <c r="AF428">
        <f>Database!AA426</f>
        <v/>
      </c>
      <c r="AG428">
        <f>Database!G426</f>
        <v/>
      </c>
    </row>
    <row r="429">
      <c r="AA429">
        <f>Database!B427</f>
        <v/>
      </c>
      <c r="AB429">
        <f>Database!D427</f>
        <v/>
      </c>
      <c r="AC429">
        <f>Database!E427</f>
        <v/>
      </c>
      <c r="AD429">
        <f>Database!H427</f>
        <v/>
      </c>
      <c r="AE429">
        <f>Database!V427</f>
        <v/>
      </c>
      <c r="AF429">
        <f>Database!AA427</f>
        <v/>
      </c>
      <c r="AG429">
        <f>Database!G427</f>
        <v/>
      </c>
    </row>
    <row r="430">
      <c r="AA430">
        <f>Database!B428</f>
        <v/>
      </c>
      <c r="AB430">
        <f>Database!D428</f>
        <v/>
      </c>
      <c r="AC430">
        <f>Database!E428</f>
        <v/>
      </c>
      <c r="AD430">
        <f>Database!H428</f>
        <v/>
      </c>
      <c r="AE430">
        <f>Database!V428</f>
        <v/>
      </c>
      <c r="AF430">
        <f>Database!AA428</f>
        <v/>
      </c>
      <c r="AG430">
        <f>Database!G428</f>
        <v/>
      </c>
    </row>
    <row r="431">
      <c r="AA431">
        <f>Database!B429</f>
        <v/>
      </c>
      <c r="AB431">
        <f>Database!D429</f>
        <v/>
      </c>
      <c r="AC431">
        <f>Database!E429</f>
        <v/>
      </c>
      <c r="AD431">
        <f>Database!H429</f>
        <v/>
      </c>
      <c r="AE431">
        <f>Database!V429</f>
        <v/>
      </c>
      <c r="AF431">
        <f>Database!AA429</f>
        <v/>
      </c>
      <c r="AG431">
        <f>Database!G429</f>
        <v/>
      </c>
    </row>
    <row r="432">
      <c r="AA432">
        <f>Database!B430</f>
        <v/>
      </c>
      <c r="AB432">
        <f>Database!D430</f>
        <v/>
      </c>
      <c r="AC432">
        <f>Database!E430</f>
        <v/>
      </c>
      <c r="AD432">
        <f>Database!H430</f>
        <v/>
      </c>
      <c r="AE432">
        <f>Database!V430</f>
        <v/>
      </c>
      <c r="AF432">
        <f>Database!AA430</f>
        <v/>
      </c>
      <c r="AG432">
        <f>Database!G430</f>
        <v/>
      </c>
    </row>
    <row r="433">
      <c r="AA433">
        <f>Database!B431</f>
        <v/>
      </c>
      <c r="AB433">
        <f>Database!D431</f>
        <v/>
      </c>
      <c r="AC433">
        <f>Database!E431</f>
        <v/>
      </c>
      <c r="AD433">
        <f>Database!H431</f>
        <v/>
      </c>
      <c r="AE433">
        <f>Database!V431</f>
        <v/>
      </c>
      <c r="AF433">
        <f>Database!AA431</f>
        <v/>
      </c>
      <c r="AG433">
        <f>Database!G431</f>
        <v/>
      </c>
    </row>
    <row r="434">
      <c r="AA434">
        <f>Database!B432</f>
        <v/>
      </c>
      <c r="AB434">
        <f>Database!D432</f>
        <v/>
      </c>
      <c r="AC434">
        <f>Database!E432</f>
        <v/>
      </c>
      <c r="AD434">
        <f>Database!H432</f>
        <v/>
      </c>
      <c r="AE434">
        <f>Database!V432</f>
        <v/>
      </c>
      <c r="AF434">
        <f>Database!AA432</f>
        <v/>
      </c>
      <c r="AG434">
        <f>Database!G432</f>
        <v/>
      </c>
    </row>
    <row r="435">
      <c r="AA435">
        <f>Database!B433</f>
        <v/>
      </c>
      <c r="AB435">
        <f>Database!D433</f>
        <v/>
      </c>
      <c r="AC435">
        <f>Database!E433</f>
        <v/>
      </c>
      <c r="AD435">
        <f>Database!H433</f>
        <v/>
      </c>
      <c r="AE435">
        <f>Database!V433</f>
        <v/>
      </c>
      <c r="AF435">
        <f>Database!AA433</f>
        <v/>
      </c>
      <c r="AG435">
        <f>Database!G433</f>
        <v/>
      </c>
    </row>
    <row r="436">
      <c r="AA436">
        <f>Database!B434</f>
        <v/>
      </c>
      <c r="AB436">
        <f>Database!D434</f>
        <v/>
      </c>
      <c r="AC436">
        <f>Database!E434</f>
        <v/>
      </c>
      <c r="AD436">
        <f>Database!H434</f>
        <v/>
      </c>
      <c r="AE436">
        <f>Database!V434</f>
        <v/>
      </c>
      <c r="AF436">
        <f>Database!AA434</f>
        <v/>
      </c>
      <c r="AG436">
        <f>Database!G434</f>
        <v/>
      </c>
    </row>
    <row r="437">
      <c r="AA437">
        <f>Database!B435</f>
        <v/>
      </c>
      <c r="AB437">
        <f>Database!D435</f>
        <v/>
      </c>
      <c r="AC437">
        <f>Database!E435</f>
        <v/>
      </c>
      <c r="AD437">
        <f>Database!H435</f>
        <v/>
      </c>
      <c r="AE437">
        <f>Database!V435</f>
        <v/>
      </c>
      <c r="AF437">
        <f>Database!AA435</f>
        <v/>
      </c>
      <c r="AG437">
        <f>Database!G435</f>
        <v/>
      </c>
    </row>
    <row r="438">
      <c r="AA438">
        <f>Database!B436</f>
        <v/>
      </c>
      <c r="AB438">
        <f>Database!D436</f>
        <v/>
      </c>
      <c r="AC438">
        <f>Database!E436</f>
        <v/>
      </c>
      <c r="AD438">
        <f>Database!H436</f>
        <v/>
      </c>
      <c r="AE438">
        <f>Database!V436</f>
        <v/>
      </c>
      <c r="AF438">
        <f>Database!AA436</f>
        <v/>
      </c>
      <c r="AG438">
        <f>Database!G436</f>
        <v/>
      </c>
    </row>
    <row r="439">
      <c r="AA439">
        <f>Database!B437</f>
        <v/>
      </c>
      <c r="AB439">
        <f>Database!D437</f>
        <v/>
      </c>
      <c r="AC439">
        <f>Database!E437</f>
        <v/>
      </c>
      <c r="AD439">
        <f>Database!H437</f>
        <v/>
      </c>
      <c r="AE439">
        <f>Database!V437</f>
        <v/>
      </c>
      <c r="AF439">
        <f>Database!AA437</f>
        <v/>
      </c>
      <c r="AG439">
        <f>Database!G437</f>
        <v/>
      </c>
    </row>
    <row r="440">
      <c r="AA440">
        <f>Database!B438</f>
        <v/>
      </c>
      <c r="AB440">
        <f>Database!D438</f>
        <v/>
      </c>
      <c r="AC440">
        <f>Database!E438</f>
        <v/>
      </c>
      <c r="AD440">
        <f>Database!H438</f>
        <v/>
      </c>
      <c r="AE440">
        <f>Database!V438</f>
        <v/>
      </c>
      <c r="AF440">
        <f>Database!AA438</f>
        <v/>
      </c>
      <c r="AG440">
        <f>Database!G438</f>
        <v/>
      </c>
    </row>
    <row r="441">
      <c r="AA441">
        <f>Database!B439</f>
        <v/>
      </c>
      <c r="AB441">
        <f>Database!D439</f>
        <v/>
      </c>
      <c r="AC441">
        <f>Database!E439</f>
        <v/>
      </c>
      <c r="AD441">
        <f>Database!H439</f>
        <v/>
      </c>
      <c r="AE441">
        <f>Database!V439</f>
        <v/>
      </c>
      <c r="AF441">
        <f>Database!AA439</f>
        <v/>
      </c>
      <c r="AG441">
        <f>Database!G439</f>
        <v/>
      </c>
    </row>
    <row r="442">
      <c r="AA442">
        <f>Database!B440</f>
        <v/>
      </c>
      <c r="AB442">
        <f>Database!D440</f>
        <v/>
      </c>
      <c r="AC442">
        <f>Database!E440</f>
        <v/>
      </c>
      <c r="AD442">
        <f>Database!H440</f>
        <v/>
      </c>
      <c r="AE442">
        <f>Database!V440</f>
        <v/>
      </c>
      <c r="AF442">
        <f>Database!AA440</f>
        <v/>
      </c>
      <c r="AG442">
        <f>Database!G440</f>
        <v/>
      </c>
    </row>
    <row r="443">
      <c r="AA443">
        <f>Database!B441</f>
        <v/>
      </c>
      <c r="AB443">
        <f>Database!D441</f>
        <v/>
      </c>
      <c r="AC443">
        <f>Database!E441</f>
        <v/>
      </c>
      <c r="AD443">
        <f>Database!H441</f>
        <v/>
      </c>
      <c r="AE443">
        <f>Database!V441</f>
        <v/>
      </c>
      <c r="AF443">
        <f>Database!AA441</f>
        <v/>
      </c>
      <c r="AG443">
        <f>Database!G441</f>
        <v/>
      </c>
    </row>
    <row r="444">
      <c r="AA444">
        <f>Database!B442</f>
        <v/>
      </c>
      <c r="AB444">
        <f>Database!D442</f>
        <v/>
      </c>
      <c r="AC444">
        <f>Database!E442</f>
        <v/>
      </c>
      <c r="AD444">
        <f>Database!H442</f>
        <v/>
      </c>
      <c r="AE444">
        <f>Database!V442</f>
        <v/>
      </c>
      <c r="AF444">
        <f>Database!AA442</f>
        <v/>
      </c>
      <c r="AG444">
        <f>Database!G442</f>
        <v/>
      </c>
    </row>
    <row r="445">
      <c r="AA445">
        <f>Database!B443</f>
        <v/>
      </c>
      <c r="AB445">
        <f>Database!D443</f>
        <v/>
      </c>
      <c r="AC445">
        <f>Database!E443</f>
        <v/>
      </c>
      <c r="AD445">
        <f>Database!H443</f>
        <v/>
      </c>
      <c r="AE445">
        <f>Database!V443</f>
        <v/>
      </c>
      <c r="AF445">
        <f>Database!AA443</f>
        <v/>
      </c>
      <c r="AG445">
        <f>Database!G443</f>
        <v/>
      </c>
    </row>
    <row r="446">
      <c r="AA446">
        <f>Database!B444</f>
        <v/>
      </c>
      <c r="AB446">
        <f>Database!D444</f>
        <v/>
      </c>
      <c r="AC446">
        <f>Database!E444</f>
        <v/>
      </c>
      <c r="AD446">
        <f>Database!H444</f>
        <v/>
      </c>
      <c r="AE446">
        <f>Database!V444</f>
        <v/>
      </c>
      <c r="AF446">
        <f>Database!AA444</f>
        <v/>
      </c>
      <c r="AG446">
        <f>Database!G444</f>
        <v/>
      </c>
    </row>
    <row r="447">
      <c r="AA447">
        <f>Database!B445</f>
        <v/>
      </c>
      <c r="AB447">
        <f>Database!D445</f>
        <v/>
      </c>
      <c r="AC447">
        <f>Database!E445</f>
        <v/>
      </c>
      <c r="AD447">
        <f>Database!H445</f>
        <v/>
      </c>
      <c r="AE447">
        <f>Database!V445</f>
        <v/>
      </c>
      <c r="AF447">
        <f>Database!AA445</f>
        <v/>
      </c>
      <c r="AG447">
        <f>Database!G445</f>
        <v/>
      </c>
    </row>
    <row r="448">
      <c r="AA448">
        <f>Database!B446</f>
        <v/>
      </c>
      <c r="AB448">
        <f>Database!D446</f>
        <v/>
      </c>
      <c r="AC448">
        <f>Database!E446</f>
        <v/>
      </c>
      <c r="AD448">
        <f>Database!H446</f>
        <v/>
      </c>
      <c r="AE448">
        <f>Database!V446</f>
        <v/>
      </c>
      <c r="AF448">
        <f>Database!AA446</f>
        <v/>
      </c>
      <c r="AG448">
        <f>Database!G446</f>
        <v/>
      </c>
    </row>
    <row r="449">
      <c r="AA449">
        <f>Database!B447</f>
        <v/>
      </c>
      <c r="AB449">
        <f>Database!D447</f>
        <v/>
      </c>
      <c r="AC449">
        <f>Database!E447</f>
        <v/>
      </c>
      <c r="AD449">
        <f>Database!H447</f>
        <v/>
      </c>
      <c r="AE449">
        <f>Database!V447</f>
        <v/>
      </c>
      <c r="AF449">
        <f>Database!AA447</f>
        <v/>
      </c>
      <c r="AG449">
        <f>Database!G447</f>
        <v/>
      </c>
    </row>
    <row r="450">
      <c r="AA450">
        <f>Database!B448</f>
        <v/>
      </c>
      <c r="AB450">
        <f>Database!D448</f>
        <v/>
      </c>
      <c r="AC450">
        <f>Database!E448</f>
        <v/>
      </c>
      <c r="AD450">
        <f>Database!H448</f>
        <v/>
      </c>
      <c r="AE450">
        <f>Database!V448</f>
        <v/>
      </c>
      <c r="AF450">
        <f>Database!AA448</f>
        <v/>
      </c>
      <c r="AG450">
        <f>Database!G448</f>
        <v/>
      </c>
    </row>
    <row r="451">
      <c r="AA451">
        <f>Database!B449</f>
        <v/>
      </c>
      <c r="AB451">
        <f>Database!D449</f>
        <v/>
      </c>
      <c r="AC451">
        <f>Database!E449</f>
        <v/>
      </c>
      <c r="AD451">
        <f>Database!H449</f>
        <v/>
      </c>
      <c r="AE451">
        <f>Database!V449</f>
        <v/>
      </c>
      <c r="AF451">
        <f>Database!AA449</f>
        <v/>
      </c>
      <c r="AG451">
        <f>Database!G449</f>
        <v/>
      </c>
    </row>
    <row r="452">
      <c r="AA452">
        <f>Database!B450</f>
        <v/>
      </c>
      <c r="AB452">
        <f>Database!D450</f>
        <v/>
      </c>
      <c r="AC452">
        <f>Database!E450</f>
        <v/>
      </c>
      <c r="AD452">
        <f>Database!H450</f>
        <v/>
      </c>
      <c r="AE452">
        <f>Database!V450</f>
        <v/>
      </c>
      <c r="AF452">
        <f>Database!AA450</f>
        <v/>
      </c>
      <c r="AG452">
        <f>Database!G450</f>
        <v/>
      </c>
    </row>
    <row r="453">
      <c r="AA453">
        <f>Database!B451</f>
        <v/>
      </c>
      <c r="AB453">
        <f>Database!D451</f>
        <v/>
      </c>
      <c r="AC453">
        <f>Database!E451</f>
        <v/>
      </c>
      <c r="AD453">
        <f>Database!H451</f>
        <v/>
      </c>
      <c r="AE453">
        <f>Database!V451</f>
        <v/>
      </c>
      <c r="AF453">
        <f>Database!AA451</f>
        <v/>
      </c>
      <c r="AG453">
        <f>Database!G451</f>
        <v/>
      </c>
    </row>
    <row r="454">
      <c r="AA454">
        <f>Database!B452</f>
        <v/>
      </c>
      <c r="AB454">
        <f>Database!D452</f>
        <v/>
      </c>
      <c r="AC454">
        <f>Database!E452</f>
        <v/>
      </c>
      <c r="AD454">
        <f>Database!H452</f>
        <v/>
      </c>
      <c r="AE454">
        <f>Database!V452</f>
        <v/>
      </c>
      <c r="AF454">
        <f>Database!AA452</f>
        <v/>
      </c>
      <c r="AG454">
        <f>Database!G452</f>
        <v/>
      </c>
    </row>
    <row r="455">
      <c r="AA455">
        <f>Database!B453</f>
        <v/>
      </c>
      <c r="AB455">
        <f>Database!D453</f>
        <v/>
      </c>
      <c r="AC455">
        <f>Database!E453</f>
        <v/>
      </c>
      <c r="AD455">
        <f>Database!H453</f>
        <v/>
      </c>
      <c r="AE455">
        <f>Database!V453</f>
        <v/>
      </c>
      <c r="AF455">
        <f>Database!AA453</f>
        <v/>
      </c>
      <c r="AG455">
        <f>Database!G453</f>
        <v/>
      </c>
    </row>
    <row r="456">
      <c r="AA456">
        <f>Database!B454</f>
        <v/>
      </c>
      <c r="AB456">
        <f>Database!D454</f>
        <v/>
      </c>
      <c r="AC456">
        <f>Database!E454</f>
        <v/>
      </c>
      <c r="AD456">
        <f>Database!H454</f>
        <v/>
      </c>
      <c r="AE456">
        <f>Database!V454</f>
        <v/>
      </c>
      <c r="AF456">
        <f>Database!AA454</f>
        <v/>
      </c>
      <c r="AG456">
        <f>Database!G454</f>
        <v/>
      </c>
    </row>
    <row r="457">
      <c r="AA457">
        <f>Database!B455</f>
        <v/>
      </c>
      <c r="AB457">
        <f>Database!D455</f>
        <v/>
      </c>
      <c r="AC457">
        <f>Database!E455</f>
        <v/>
      </c>
      <c r="AD457">
        <f>Database!H455</f>
        <v/>
      </c>
      <c r="AE457">
        <f>Database!V455</f>
        <v/>
      </c>
      <c r="AF457">
        <f>Database!AA455</f>
        <v/>
      </c>
      <c r="AG457">
        <f>Database!G455</f>
        <v/>
      </c>
    </row>
    <row r="458">
      <c r="AA458">
        <f>Database!B456</f>
        <v/>
      </c>
      <c r="AB458">
        <f>Database!D456</f>
        <v/>
      </c>
      <c r="AC458">
        <f>Database!E456</f>
        <v/>
      </c>
      <c r="AD458">
        <f>Database!H456</f>
        <v/>
      </c>
      <c r="AE458">
        <f>Database!V456</f>
        <v/>
      </c>
      <c r="AF458">
        <f>Database!AA456</f>
        <v/>
      </c>
      <c r="AG458">
        <f>Database!G456</f>
        <v/>
      </c>
    </row>
    <row r="459">
      <c r="AA459">
        <f>Database!B457</f>
        <v/>
      </c>
      <c r="AB459">
        <f>Database!D457</f>
        <v/>
      </c>
      <c r="AC459">
        <f>Database!E457</f>
        <v/>
      </c>
      <c r="AD459">
        <f>Database!H457</f>
        <v/>
      </c>
      <c r="AE459">
        <f>Database!V457</f>
        <v/>
      </c>
      <c r="AF459">
        <f>Database!AA457</f>
        <v/>
      </c>
      <c r="AG459">
        <f>Database!G457</f>
        <v/>
      </c>
    </row>
    <row r="460">
      <c r="AA460">
        <f>Database!B458</f>
        <v/>
      </c>
      <c r="AB460">
        <f>Database!D458</f>
        <v/>
      </c>
      <c r="AC460">
        <f>Database!E458</f>
        <v/>
      </c>
      <c r="AD460">
        <f>Database!H458</f>
        <v/>
      </c>
      <c r="AE460">
        <f>Database!V458</f>
        <v/>
      </c>
      <c r="AF460">
        <f>Database!AA458</f>
        <v/>
      </c>
      <c r="AG460">
        <f>Database!G458</f>
        <v/>
      </c>
    </row>
    <row r="461">
      <c r="AA461">
        <f>Database!B459</f>
        <v/>
      </c>
      <c r="AB461">
        <f>Database!D459</f>
        <v/>
      </c>
      <c r="AC461">
        <f>Database!E459</f>
        <v/>
      </c>
      <c r="AD461">
        <f>Database!H459</f>
        <v/>
      </c>
      <c r="AE461">
        <f>Database!V459</f>
        <v/>
      </c>
      <c r="AF461">
        <f>Database!AA459</f>
        <v/>
      </c>
      <c r="AG461">
        <f>Database!G459</f>
        <v/>
      </c>
    </row>
    <row r="462">
      <c r="AA462">
        <f>Database!B460</f>
        <v/>
      </c>
      <c r="AB462">
        <f>Database!D460</f>
        <v/>
      </c>
      <c r="AC462">
        <f>Database!E460</f>
        <v/>
      </c>
      <c r="AD462">
        <f>Database!H460</f>
        <v/>
      </c>
      <c r="AE462">
        <f>Database!V460</f>
        <v/>
      </c>
      <c r="AF462">
        <f>Database!AA460</f>
        <v/>
      </c>
      <c r="AG462">
        <f>Database!G460</f>
        <v/>
      </c>
    </row>
    <row r="463">
      <c r="AA463">
        <f>Database!B461</f>
        <v/>
      </c>
      <c r="AB463">
        <f>Database!D461</f>
        <v/>
      </c>
      <c r="AC463">
        <f>Database!E461</f>
        <v/>
      </c>
      <c r="AD463">
        <f>Database!H461</f>
        <v/>
      </c>
      <c r="AE463">
        <f>Database!V461</f>
        <v/>
      </c>
      <c r="AF463">
        <f>Database!AA461</f>
        <v/>
      </c>
      <c r="AG463">
        <f>Database!G461</f>
        <v/>
      </c>
    </row>
    <row r="464">
      <c r="AA464">
        <f>Database!B462</f>
        <v/>
      </c>
      <c r="AB464">
        <f>Database!D462</f>
        <v/>
      </c>
      <c r="AC464">
        <f>Database!E462</f>
        <v/>
      </c>
      <c r="AD464">
        <f>Database!H462</f>
        <v/>
      </c>
      <c r="AE464">
        <f>Database!V462</f>
        <v/>
      </c>
      <c r="AF464">
        <f>Database!AA462</f>
        <v/>
      </c>
      <c r="AG464">
        <f>Database!G462</f>
        <v/>
      </c>
    </row>
    <row r="465">
      <c r="AA465">
        <f>Database!B463</f>
        <v/>
      </c>
      <c r="AB465">
        <f>Database!D463</f>
        <v/>
      </c>
      <c r="AC465">
        <f>Database!E463</f>
        <v/>
      </c>
      <c r="AD465">
        <f>Database!H463</f>
        <v/>
      </c>
      <c r="AE465">
        <f>Database!V463</f>
        <v/>
      </c>
      <c r="AF465">
        <f>Database!AA463</f>
        <v/>
      </c>
      <c r="AG465">
        <f>Database!G463</f>
        <v/>
      </c>
    </row>
    <row r="466">
      <c r="AA466">
        <f>Database!B464</f>
        <v/>
      </c>
      <c r="AB466">
        <f>Database!D464</f>
        <v/>
      </c>
      <c r="AC466">
        <f>Database!E464</f>
        <v/>
      </c>
      <c r="AD466">
        <f>Database!H464</f>
        <v/>
      </c>
      <c r="AE466">
        <f>Database!V464</f>
        <v/>
      </c>
      <c r="AF466">
        <f>Database!AA464</f>
        <v/>
      </c>
      <c r="AG466">
        <f>Database!G464</f>
        <v/>
      </c>
    </row>
    <row r="467">
      <c r="AA467">
        <f>Database!B465</f>
        <v/>
      </c>
      <c r="AB467">
        <f>Database!D465</f>
        <v/>
      </c>
      <c r="AC467">
        <f>Database!E465</f>
        <v/>
      </c>
      <c r="AD467">
        <f>Database!H465</f>
        <v/>
      </c>
      <c r="AE467">
        <f>Database!V465</f>
        <v/>
      </c>
      <c r="AF467">
        <f>Database!AA465</f>
        <v/>
      </c>
      <c r="AG467">
        <f>Database!G465</f>
        <v/>
      </c>
    </row>
    <row r="468">
      <c r="AA468">
        <f>Database!B466</f>
        <v/>
      </c>
      <c r="AB468">
        <f>Database!D466</f>
        <v/>
      </c>
      <c r="AC468">
        <f>Database!E466</f>
        <v/>
      </c>
      <c r="AD468">
        <f>Database!H466</f>
        <v/>
      </c>
      <c r="AE468">
        <f>Database!V466</f>
        <v/>
      </c>
      <c r="AF468">
        <f>Database!AA466</f>
        <v/>
      </c>
      <c r="AG468">
        <f>Database!G466</f>
        <v/>
      </c>
    </row>
    <row r="469">
      <c r="AA469">
        <f>Database!B467</f>
        <v/>
      </c>
      <c r="AB469">
        <f>Database!D467</f>
        <v/>
      </c>
      <c r="AC469">
        <f>Database!E467</f>
        <v/>
      </c>
      <c r="AD469">
        <f>Database!H467</f>
        <v/>
      </c>
      <c r="AE469">
        <f>Database!V467</f>
        <v/>
      </c>
      <c r="AF469">
        <f>Database!AA467</f>
        <v/>
      </c>
      <c r="AG469">
        <f>Database!G467</f>
        <v/>
      </c>
    </row>
    <row r="470">
      <c r="AA470">
        <f>Database!B468</f>
        <v/>
      </c>
      <c r="AB470">
        <f>Database!D468</f>
        <v/>
      </c>
      <c r="AC470">
        <f>Database!E468</f>
        <v/>
      </c>
      <c r="AD470">
        <f>Database!H468</f>
        <v/>
      </c>
      <c r="AE470">
        <f>Database!V468</f>
        <v/>
      </c>
      <c r="AF470">
        <f>Database!AA468</f>
        <v/>
      </c>
      <c r="AG470">
        <f>Database!G468</f>
        <v/>
      </c>
    </row>
    <row r="471">
      <c r="AA471">
        <f>Database!B469</f>
        <v/>
      </c>
      <c r="AB471">
        <f>Database!D469</f>
        <v/>
      </c>
      <c r="AC471">
        <f>Database!E469</f>
        <v/>
      </c>
      <c r="AD471">
        <f>Database!H469</f>
        <v/>
      </c>
      <c r="AE471">
        <f>Database!V469</f>
        <v/>
      </c>
      <c r="AF471">
        <f>Database!AA469</f>
        <v/>
      </c>
      <c r="AG471">
        <f>Database!G469</f>
        <v/>
      </c>
    </row>
    <row r="472">
      <c r="AA472">
        <f>Database!B470</f>
        <v/>
      </c>
      <c r="AB472">
        <f>Database!D470</f>
        <v/>
      </c>
      <c r="AC472">
        <f>Database!E470</f>
        <v/>
      </c>
      <c r="AD472">
        <f>Database!H470</f>
        <v/>
      </c>
      <c r="AE472">
        <f>Database!V470</f>
        <v/>
      </c>
      <c r="AF472">
        <f>Database!AA470</f>
        <v/>
      </c>
      <c r="AG472">
        <f>Database!G470</f>
        <v/>
      </c>
    </row>
    <row r="473">
      <c r="AA473">
        <f>Database!B471</f>
        <v/>
      </c>
      <c r="AB473">
        <f>Database!D471</f>
        <v/>
      </c>
      <c r="AC473">
        <f>Database!E471</f>
        <v/>
      </c>
      <c r="AD473">
        <f>Database!H471</f>
        <v/>
      </c>
      <c r="AE473">
        <f>Database!V471</f>
        <v/>
      </c>
      <c r="AF473">
        <f>Database!AA471</f>
        <v/>
      </c>
      <c r="AG473">
        <f>Database!G471</f>
        <v/>
      </c>
    </row>
    <row r="474">
      <c r="AA474">
        <f>Database!B472</f>
        <v/>
      </c>
      <c r="AB474">
        <f>Database!D472</f>
        <v/>
      </c>
      <c r="AC474">
        <f>Database!E472</f>
        <v/>
      </c>
      <c r="AD474">
        <f>Database!H472</f>
        <v/>
      </c>
      <c r="AE474">
        <f>Database!V472</f>
        <v/>
      </c>
      <c r="AF474">
        <f>Database!AA472</f>
        <v/>
      </c>
      <c r="AG474">
        <f>Database!G472</f>
        <v/>
      </c>
    </row>
    <row r="475">
      <c r="AA475">
        <f>Database!B473</f>
        <v/>
      </c>
      <c r="AB475">
        <f>Database!D473</f>
        <v/>
      </c>
      <c r="AC475">
        <f>Database!E473</f>
        <v/>
      </c>
      <c r="AD475">
        <f>Database!H473</f>
        <v/>
      </c>
      <c r="AE475">
        <f>Database!V473</f>
        <v/>
      </c>
      <c r="AF475">
        <f>Database!AA473</f>
        <v/>
      </c>
      <c r="AG475">
        <f>Database!G473</f>
        <v/>
      </c>
    </row>
    <row r="476">
      <c r="AA476">
        <f>Database!B474</f>
        <v/>
      </c>
      <c r="AB476">
        <f>Database!D474</f>
        <v/>
      </c>
      <c r="AC476">
        <f>Database!E474</f>
        <v/>
      </c>
      <c r="AD476">
        <f>Database!H474</f>
        <v/>
      </c>
      <c r="AE476">
        <f>Database!V474</f>
        <v/>
      </c>
      <c r="AF476">
        <f>Database!AA474</f>
        <v/>
      </c>
      <c r="AG476">
        <f>Database!G474</f>
        <v/>
      </c>
    </row>
    <row r="477">
      <c r="AA477">
        <f>Database!B475</f>
        <v/>
      </c>
      <c r="AB477">
        <f>Database!D475</f>
        <v/>
      </c>
      <c r="AC477">
        <f>Database!E475</f>
        <v/>
      </c>
      <c r="AD477">
        <f>Database!H475</f>
        <v/>
      </c>
      <c r="AE477">
        <f>Database!V475</f>
        <v/>
      </c>
      <c r="AF477">
        <f>Database!AA475</f>
        <v/>
      </c>
      <c r="AG477">
        <f>Database!G475</f>
        <v/>
      </c>
    </row>
    <row r="478">
      <c r="AA478">
        <f>Database!B476</f>
        <v/>
      </c>
      <c r="AB478">
        <f>Database!D476</f>
        <v/>
      </c>
      <c r="AC478">
        <f>Database!E476</f>
        <v/>
      </c>
      <c r="AD478">
        <f>Database!H476</f>
        <v/>
      </c>
      <c r="AE478">
        <f>Database!V476</f>
        <v/>
      </c>
      <c r="AF478">
        <f>Database!AA476</f>
        <v/>
      </c>
      <c r="AG478">
        <f>Database!G476</f>
        <v/>
      </c>
    </row>
    <row r="479">
      <c r="AA479">
        <f>Database!B477</f>
        <v/>
      </c>
      <c r="AB479">
        <f>Database!D477</f>
        <v/>
      </c>
      <c r="AC479">
        <f>Database!E477</f>
        <v/>
      </c>
      <c r="AD479">
        <f>Database!H477</f>
        <v/>
      </c>
      <c r="AE479">
        <f>Database!V477</f>
        <v/>
      </c>
      <c r="AF479">
        <f>Database!AA477</f>
        <v/>
      </c>
      <c r="AG479">
        <f>Database!G477</f>
        <v/>
      </c>
    </row>
    <row r="480">
      <c r="AA480">
        <f>Database!B478</f>
        <v/>
      </c>
      <c r="AB480">
        <f>Database!D478</f>
        <v/>
      </c>
      <c r="AC480">
        <f>Database!E478</f>
        <v/>
      </c>
      <c r="AD480">
        <f>Database!H478</f>
        <v/>
      </c>
      <c r="AE480">
        <f>Database!V478</f>
        <v/>
      </c>
      <c r="AF480">
        <f>Database!AA478</f>
        <v/>
      </c>
      <c r="AG480">
        <f>Database!G478</f>
        <v/>
      </c>
    </row>
    <row r="481">
      <c r="AA481">
        <f>Database!B479</f>
        <v/>
      </c>
      <c r="AB481">
        <f>Database!D479</f>
        <v/>
      </c>
      <c r="AC481">
        <f>Database!E479</f>
        <v/>
      </c>
      <c r="AD481">
        <f>Database!H479</f>
        <v/>
      </c>
      <c r="AE481">
        <f>Database!V479</f>
        <v/>
      </c>
      <c r="AF481">
        <f>Database!AA479</f>
        <v/>
      </c>
      <c r="AG481">
        <f>Database!G479</f>
        <v/>
      </c>
    </row>
    <row r="482">
      <c r="AA482">
        <f>Database!B480</f>
        <v/>
      </c>
      <c r="AB482">
        <f>Database!D480</f>
        <v/>
      </c>
      <c r="AC482">
        <f>Database!E480</f>
        <v/>
      </c>
      <c r="AD482">
        <f>Database!H480</f>
        <v/>
      </c>
      <c r="AE482">
        <f>Database!V480</f>
        <v/>
      </c>
      <c r="AF482">
        <f>Database!AA480</f>
        <v/>
      </c>
      <c r="AG482">
        <f>Database!G480</f>
        <v/>
      </c>
    </row>
    <row r="483">
      <c r="AA483">
        <f>Database!B481</f>
        <v/>
      </c>
      <c r="AB483">
        <f>Database!D481</f>
        <v/>
      </c>
      <c r="AC483">
        <f>Database!E481</f>
        <v/>
      </c>
      <c r="AD483">
        <f>Database!H481</f>
        <v/>
      </c>
      <c r="AE483">
        <f>Database!V481</f>
        <v/>
      </c>
      <c r="AF483">
        <f>Database!AA481</f>
        <v/>
      </c>
      <c r="AG483">
        <f>Database!G481</f>
        <v/>
      </c>
    </row>
    <row r="484">
      <c r="AA484">
        <f>Database!B482</f>
        <v/>
      </c>
      <c r="AB484">
        <f>Database!D482</f>
        <v/>
      </c>
      <c r="AC484">
        <f>Database!E482</f>
        <v/>
      </c>
      <c r="AD484">
        <f>Database!H482</f>
        <v/>
      </c>
      <c r="AE484">
        <f>Database!V482</f>
        <v/>
      </c>
      <c r="AF484">
        <f>Database!AA482</f>
        <v/>
      </c>
      <c r="AG484">
        <f>Database!G482</f>
        <v/>
      </c>
    </row>
    <row r="485">
      <c r="AA485">
        <f>Database!B483</f>
        <v/>
      </c>
      <c r="AB485">
        <f>Database!D483</f>
        <v/>
      </c>
      <c r="AC485">
        <f>Database!E483</f>
        <v/>
      </c>
      <c r="AD485">
        <f>Database!H483</f>
        <v/>
      </c>
      <c r="AE485">
        <f>Database!V483</f>
        <v/>
      </c>
      <c r="AF485">
        <f>Database!AA483</f>
        <v/>
      </c>
      <c r="AG485">
        <f>Database!G483</f>
        <v/>
      </c>
    </row>
    <row r="486">
      <c r="AA486">
        <f>Database!B484</f>
        <v/>
      </c>
      <c r="AB486">
        <f>Database!D484</f>
        <v/>
      </c>
      <c r="AC486">
        <f>Database!E484</f>
        <v/>
      </c>
      <c r="AD486">
        <f>Database!H484</f>
        <v/>
      </c>
      <c r="AE486">
        <f>Database!V484</f>
        <v/>
      </c>
      <c r="AF486">
        <f>Database!AA484</f>
        <v/>
      </c>
      <c r="AG486">
        <f>Database!G484</f>
        <v/>
      </c>
    </row>
    <row r="487">
      <c r="AA487">
        <f>Database!B485</f>
        <v/>
      </c>
      <c r="AB487">
        <f>Database!D485</f>
        <v/>
      </c>
      <c r="AC487">
        <f>Database!E485</f>
        <v/>
      </c>
      <c r="AD487">
        <f>Database!H485</f>
        <v/>
      </c>
      <c r="AE487">
        <f>Database!V485</f>
        <v/>
      </c>
      <c r="AF487">
        <f>Database!AA485</f>
        <v/>
      </c>
      <c r="AG487">
        <f>Database!G485</f>
        <v/>
      </c>
    </row>
    <row r="488">
      <c r="AA488">
        <f>Database!B486</f>
        <v/>
      </c>
      <c r="AB488">
        <f>Database!D486</f>
        <v/>
      </c>
      <c r="AC488">
        <f>Database!E486</f>
        <v/>
      </c>
      <c r="AD488">
        <f>Database!H486</f>
        <v/>
      </c>
      <c r="AE488">
        <f>Database!V486</f>
        <v/>
      </c>
      <c r="AF488">
        <f>Database!AA486</f>
        <v/>
      </c>
      <c r="AG488">
        <f>Database!G486</f>
        <v/>
      </c>
    </row>
    <row r="489">
      <c r="AA489">
        <f>Database!B487</f>
        <v/>
      </c>
      <c r="AB489">
        <f>Database!D487</f>
        <v/>
      </c>
      <c r="AC489">
        <f>Database!E487</f>
        <v/>
      </c>
      <c r="AD489">
        <f>Database!H487</f>
        <v/>
      </c>
      <c r="AE489">
        <f>Database!V487</f>
        <v/>
      </c>
      <c r="AF489">
        <f>Database!AA487</f>
        <v/>
      </c>
      <c r="AG489">
        <f>Database!G487</f>
        <v/>
      </c>
    </row>
    <row r="490">
      <c r="AA490">
        <f>Database!B488</f>
        <v/>
      </c>
      <c r="AB490">
        <f>Database!D488</f>
        <v/>
      </c>
      <c r="AC490">
        <f>Database!E488</f>
        <v/>
      </c>
      <c r="AD490">
        <f>Database!H488</f>
        <v/>
      </c>
      <c r="AE490">
        <f>Database!V488</f>
        <v/>
      </c>
      <c r="AF490">
        <f>Database!AA488</f>
        <v/>
      </c>
      <c r="AG490">
        <f>Database!G488</f>
        <v/>
      </c>
    </row>
    <row r="491">
      <c r="AA491">
        <f>Database!B489</f>
        <v/>
      </c>
      <c r="AB491">
        <f>Database!D489</f>
        <v/>
      </c>
      <c r="AC491">
        <f>Database!E489</f>
        <v/>
      </c>
      <c r="AD491">
        <f>Database!H489</f>
        <v/>
      </c>
      <c r="AE491">
        <f>Database!V489</f>
        <v/>
      </c>
      <c r="AF491">
        <f>Database!AA489</f>
        <v/>
      </c>
      <c r="AG491">
        <f>Database!G489</f>
        <v/>
      </c>
    </row>
    <row r="492">
      <c r="AA492">
        <f>Database!B490</f>
        <v/>
      </c>
      <c r="AB492">
        <f>Database!D490</f>
        <v/>
      </c>
      <c r="AC492">
        <f>Database!E490</f>
        <v/>
      </c>
      <c r="AD492">
        <f>Database!H490</f>
        <v/>
      </c>
      <c r="AE492">
        <f>Database!V490</f>
        <v/>
      </c>
      <c r="AF492">
        <f>Database!AA490</f>
        <v/>
      </c>
      <c r="AG492">
        <f>Database!G490</f>
        <v/>
      </c>
    </row>
    <row r="493">
      <c r="AA493">
        <f>Database!B491</f>
        <v/>
      </c>
      <c r="AB493">
        <f>Database!D491</f>
        <v/>
      </c>
      <c r="AC493">
        <f>Database!E491</f>
        <v/>
      </c>
      <c r="AD493">
        <f>Database!H491</f>
        <v/>
      </c>
      <c r="AE493">
        <f>Database!V491</f>
        <v/>
      </c>
      <c r="AF493">
        <f>Database!AA491</f>
        <v/>
      </c>
      <c r="AG493">
        <f>Database!G491</f>
        <v/>
      </c>
    </row>
    <row r="494">
      <c r="AA494">
        <f>Database!B492</f>
        <v/>
      </c>
      <c r="AB494">
        <f>Database!D492</f>
        <v/>
      </c>
      <c r="AC494">
        <f>Database!E492</f>
        <v/>
      </c>
      <c r="AD494">
        <f>Database!H492</f>
        <v/>
      </c>
      <c r="AE494">
        <f>Database!V492</f>
        <v/>
      </c>
      <c r="AF494">
        <f>Database!AA492</f>
        <v/>
      </c>
      <c r="AG494">
        <f>Database!G492</f>
        <v/>
      </c>
    </row>
    <row r="495">
      <c r="AA495">
        <f>Database!B493</f>
        <v/>
      </c>
      <c r="AB495">
        <f>Database!D493</f>
        <v/>
      </c>
      <c r="AC495">
        <f>Database!E493</f>
        <v/>
      </c>
      <c r="AD495">
        <f>Database!H493</f>
        <v/>
      </c>
      <c r="AE495">
        <f>Database!V493</f>
        <v/>
      </c>
      <c r="AF495">
        <f>Database!AA493</f>
        <v/>
      </c>
      <c r="AG495">
        <f>Database!G493</f>
        <v/>
      </c>
    </row>
    <row r="496">
      <c r="AA496">
        <f>Database!B494</f>
        <v/>
      </c>
      <c r="AB496">
        <f>Database!D494</f>
        <v/>
      </c>
      <c r="AC496">
        <f>Database!E494</f>
        <v/>
      </c>
      <c r="AD496">
        <f>Database!H494</f>
        <v/>
      </c>
      <c r="AE496">
        <f>Database!V494</f>
        <v/>
      </c>
      <c r="AF496">
        <f>Database!AA494</f>
        <v/>
      </c>
      <c r="AG496">
        <f>Database!G494</f>
        <v/>
      </c>
    </row>
    <row r="497">
      <c r="AA497">
        <f>Database!B495</f>
        <v/>
      </c>
      <c r="AB497">
        <f>Database!D495</f>
        <v/>
      </c>
      <c r="AC497">
        <f>Database!E495</f>
        <v/>
      </c>
      <c r="AD497">
        <f>Database!H495</f>
        <v/>
      </c>
      <c r="AE497">
        <f>Database!V495</f>
        <v/>
      </c>
      <c r="AF497">
        <f>Database!AA495</f>
        <v/>
      </c>
      <c r="AG497">
        <f>Database!G495</f>
        <v/>
      </c>
    </row>
    <row r="498">
      <c r="AA498">
        <f>Database!B496</f>
        <v/>
      </c>
      <c r="AB498">
        <f>Database!D496</f>
        <v/>
      </c>
      <c r="AC498">
        <f>Database!E496</f>
        <v/>
      </c>
      <c r="AD498">
        <f>Database!H496</f>
        <v/>
      </c>
      <c r="AE498">
        <f>Database!V496</f>
        <v/>
      </c>
      <c r="AF498">
        <f>Database!AA496</f>
        <v/>
      </c>
      <c r="AG498">
        <f>Database!G496</f>
        <v/>
      </c>
    </row>
    <row r="499">
      <c r="AA499">
        <f>Database!B497</f>
        <v/>
      </c>
      <c r="AB499">
        <f>Database!D497</f>
        <v/>
      </c>
      <c r="AC499">
        <f>Database!E497</f>
        <v/>
      </c>
      <c r="AD499">
        <f>Database!H497</f>
        <v/>
      </c>
      <c r="AE499">
        <f>Database!V497</f>
        <v/>
      </c>
      <c r="AF499">
        <f>Database!AA497</f>
        <v/>
      </c>
      <c r="AG499">
        <f>Database!G497</f>
        <v/>
      </c>
    </row>
    <row r="500">
      <c r="AA500">
        <f>Database!B498</f>
        <v/>
      </c>
      <c r="AB500">
        <f>Database!D498</f>
        <v/>
      </c>
      <c r="AC500">
        <f>Database!E498</f>
        <v/>
      </c>
      <c r="AD500">
        <f>Database!H498</f>
        <v/>
      </c>
      <c r="AE500">
        <f>Database!V498</f>
        <v/>
      </c>
      <c r="AF500">
        <f>Database!AA498</f>
        <v/>
      </c>
      <c r="AG500">
        <f>Database!G498</f>
        <v/>
      </c>
    </row>
    <row r="501">
      <c r="AA501">
        <f>Database!B499</f>
        <v/>
      </c>
      <c r="AB501">
        <f>Database!D499</f>
        <v/>
      </c>
      <c r="AC501">
        <f>Database!E499</f>
        <v/>
      </c>
      <c r="AD501">
        <f>Database!H499</f>
        <v/>
      </c>
      <c r="AE501">
        <f>Database!V499</f>
        <v/>
      </c>
      <c r="AF501">
        <f>Database!AA499</f>
        <v/>
      </c>
      <c r="AG501">
        <f>Database!G499</f>
        <v/>
      </c>
    </row>
    <row r="502">
      <c r="AA502">
        <f>Database!B500</f>
        <v/>
      </c>
      <c r="AB502">
        <f>Database!D500</f>
        <v/>
      </c>
      <c r="AC502">
        <f>Database!E500</f>
        <v/>
      </c>
      <c r="AD502">
        <f>Database!H500</f>
        <v/>
      </c>
      <c r="AE502">
        <f>Database!V500</f>
        <v/>
      </c>
      <c r="AF502">
        <f>Database!AA500</f>
        <v/>
      </c>
      <c r="AG502">
        <f>Database!G500</f>
        <v/>
      </c>
    </row>
    <row r="503">
      <c r="AA503">
        <f>Database!B501</f>
        <v/>
      </c>
      <c r="AB503">
        <f>Database!D501</f>
        <v/>
      </c>
      <c r="AC503">
        <f>Database!E501</f>
        <v/>
      </c>
      <c r="AD503">
        <f>Database!H501</f>
        <v/>
      </c>
      <c r="AE503">
        <f>Database!V501</f>
        <v/>
      </c>
      <c r="AF503">
        <f>Database!AA501</f>
        <v/>
      </c>
      <c r="AG503">
        <f>Database!G501</f>
        <v/>
      </c>
    </row>
    <row r="504">
      <c r="AA504">
        <f>Database!B502</f>
        <v/>
      </c>
      <c r="AB504">
        <f>Database!D502</f>
        <v/>
      </c>
      <c r="AC504">
        <f>Database!E502</f>
        <v/>
      </c>
      <c r="AD504">
        <f>Database!H502</f>
        <v/>
      </c>
      <c r="AE504">
        <f>Database!V502</f>
        <v/>
      </c>
      <c r="AF504">
        <f>Database!AA502</f>
        <v/>
      </c>
      <c r="AG504">
        <f>Database!G502</f>
        <v/>
      </c>
    </row>
    <row r="505">
      <c r="AA505">
        <f>Database!B503</f>
        <v/>
      </c>
      <c r="AB505">
        <f>Database!D503</f>
        <v/>
      </c>
      <c r="AC505">
        <f>Database!E503</f>
        <v/>
      </c>
      <c r="AD505">
        <f>Database!H503</f>
        <v/>
      </c>
      <c r="AE505">
        <f>Database!V503</f>
        <v/>
      </c>
      <c r="AF505">
        <f>Database!AA503</f>
        <v/>
      </c>
      <c r="AG505">
        <f>Database!G503</f>
        <v/>
      </c>
    </row>
    <row r="506">
      <c r="AA506">
        <f>Database!B504</f>
        <v/>
      </c>
      <c r="AB506">
        <f>Database!D504</f>
        <v/>
      </c>
      <c r="AC506">
        <f>Database!E504</f>
        <v/>
      </c>
      <c r="AD506">
        <f>Database!H504</f>
        <v/>
      </c>
      <c r="AE506">
        <f>Database!V504</f>
        <v/>
      </c>
      <c r="AF506">
        <f>Database!AA504</f>
        <v/>
      </c>
      <c r="AG506">
        <f>Database!G504</f>
        <v/>
      </c>
    </row>
    <row r="507">
      <c r="AA507">
        <f>Database!B505</f>
        <v/>
      </c>
      <c r="AB507">
        <f>Database!D505</f>
        <v/>
      </c>
      <c r="AC507">
        <f>Database!E505</f>
        <v/>
      </c>
      <c r="AD507">
        <f>Database!H505</f>
        <v/>
      </c>
      <c r="AE507">
        <f>Database!V505</f>
        <v/>
      </c>
      <c r="AF507">
        <f>Database!AA505</f>
        <v/>
      </c>
      <c r="AG507">
        <f>Database!G505</f>
        <v/>
      </c>
    </row>
    <row r="508">
      <c r="AA508">
        <f>Database!B506</f>
        <v/>
      </c>
      <c r="AB508">
        <f>Database!D506</f>
        <v/>
      </c>
      <c r="AC508">
        <f>Database!E506</f>
        <v/>
      </c>
      <c r="AD508">
        <f>Database!H506</f>
        <v/>
      </c>
      <c r="AE508">
        <f>Database!V506</f>
        <v/>
      </c>
      <c r="AF508">
        <f>Database!AA506</f>
        <v/>
      </c>
      <c r="AG508">
        <f>Database!G506</f>
        <v/>
      </c>
    </row>
    <row r="509">
      <c r="AA509">
        <f>Database!B507</f>
        <v/>
      </c>
      <c r="AB509">
        <f>Database!D507</f>
        <v/>
      </c>
      <c r="AC509">
        <f>Database!E507</f>
        <v/>
      </c>
      <c r="AD509">
        <f>Database!H507</f>
        <v/>
      </c>
      <c r="AE509">
        <f>Database!V507</f>
        <v/>
      </c>
      <c r="AF509">
        <f>Database!AA507</f>
        <v/>
      </c>
      <c r="AG509">
        <f>Database!G507</f>
        <v/>
      </c>
    </row>
    <row r="510">
      <c r="AA510">
        <f>Database!B508</f>
        <v/>
      </c>
      <c r="AB510">
        <f>Database!D508</f>
        <v/>
      </c>
      <c r="AC510">
        <f>Database!E508</f>
        <v/>
      </c>
      <c r="AD510">
        <f>Database!H508</f>
        <v/>
      </c>
      <c r="AE510">
        <f>Database!V508</f>
        <v/>
      </c>
      <c r="AF510">
        <f>Database!AA508</f>
        <v/>
      </c>
      <c r="AG510">
        <f>Database!G508</f>
        <v/>
      </c>
    </row>
    <row r="511">
      <c r="AA511">
        <f>Database!B509</f>
        <v/>
      </c>
      <c r="AB511">
        <f>Database!D509</f>
        <v/>
      </c>
      <c r="AC511">
        <f>Database!E509</f>
        <v/>
      </c>
      <c r="AD511">
        <f>Database!H509</f>
        <v/>
      </c>
      <c r="AE511">
        <f>Database!V509</f>
        <v/>
      </c>
      <c r="AF511">
        <f>Database!AA509</f>
        <v/>
      </c>
      <c r="AG511">
        <f>Database!G509</f>
        <v/>
      </c>
    </row>
    <row r="512">
      <c r="AA512">
        <f>Database!B510</f>
        <v/>
      </c>
      <c r="AB512">
        <f>Database!D510</f>
        <v/>
      </c>
      <c r="AC512">
        <f>Database!E510</f>
        <v/>
      </c>
      <c r="AD512">
        <f>Database!H510</f>
        <v/>
      </c>
      <c r="AE512">
        <f>Database!V510</f>
        <v/>
      </c>
      <c r="AF512">
        <f>Database!AA510</f>
        <v/>
      </c>
      <c r="AG512">
        <f>Database!G510</f>
        <v/>
      </c>
    </row>
    <row r="513">
      <c r="AA513">
        <f>Database!B511</f>
        <v/>
      </c>
      <c r="AB513">
        <f>Database!D511</f>
        <v/>
      </c>
      <c r="AC513">
        <f>Database!E511</f>
        <v/>
      </c>
      <c r="AD513">
        <f>Database!H511</f>
        <v/>
      </c>
      <c r="AE513">
        <f>Database!V511</f>
        <v/>
      </c>
      <c r="AF513">
        <f>Database!AA511</f>
        <v/>
      </c>
      <c r="AG513">
        <f>Database!G511</f>
        <v/>
      </c>
    </row>
    <row r="514">
      <c r="AA514">
        <f>Database!B512</f>
        <v/>
      </c>
      <c r="AB514">
        <f>Database!D512</f>
        <v/>
      </c>
      <c r="AC514">
        <f>Database!E512</f>
        <v/>
      </c>
      <c r="AD514">
        <f>Database!H512</f>
        <v/>
      </c>
      <c r="AE514">
        <f>Database!V512</f>
        <v/>
      </c>
      <c r="AF514">
        <f>Database!AA512</f>
        <v/>
      </c>
      <c r="AG514">
        <f>Database!G512</f>
        <v/>
      </c>
    </row>
    <row r="515">
      <c r="AA515">
        <f>Database!B513</f>
        <v/>
      </c>
      <c r="AB515">
        <f>Database!D513</f>
        <v/>
      </c>
      <c r="AC515">
        <f>Database!E513</f>
        <v/>
      </c>
      <c r="AD515">
        <f>Database!H513</f>
        <v/>
      </c>
      <c r="AE515">
        <f>Database!V513</f>
        <v/>
      </c>
      <c r="AF515">
        <f>Database!AA513</f>
        <v/>
      </c>
      <c r="AG515">
        <f>Database!G513</f>
        <v/>
      </c>
    </row>
    <row r="516">
      <c r="AA516">
        <f>Database!B514</f>
        <v/>
      </c>
      <c r="AB516">
        <f>Database!D514</f>
        <v/>
      </c>
      <c r="AC516">
        <f>Database!E514</f>
        <v/>
      </c>
      <c r="AD516">
        <f>Database!H514</f>
        <v/>
      </c>
      <c r="AE516">
        <f>Database!V514</f>
        <v/>
      </c>
      <c r="AF516">
        <f>Database!AA514</f>
        <v/>
      </c>
      <c r="AG516">
        <f>Database!G514</f>
        <v/>
      </c>
    </row>
    <row r="517">
      <c r="AA517">
        <f>Database!B515</f>
        <v/>
      </c>
      <c r="AB517">
        <f>Database!D515</f>
        <v/>
      </c>
      <c r="AC517">
        <f>Database!E515</f>
        <v/>
      </c>
      <c r="AD517">
        <f>Database!H515</f>
        <v/>
      </c>
      <c r="AE517">
        <f>Database!V515</f>
        <v/>
      </c>
      <c r="AF517">
        <f>Database!AA515</f>
        <v/>
      </c>
      <c r="AG517">
        <f>Database!G515</f>
        <v/>
      </c>
    </row>
  </sheetData>
  <conditionalFormatting sqref="B16:K16">
    <cfRule type="expression" priority="1" dxfId="0">
      <formula>$K16="YES"</formula>
    </cfRule>
    <cfRule type="expression" priority="2" dxfId="2">
      <formula>$K16="sector only"</formula>
    </cfRule>
  </conditionalFormatting>
  <conditionalFormatting sqref="B17:K17">
    <cfRule type="expression" priority="3" dxfId="0">
      <formula>$K17="YES"</formula>
    </cfRule>
    <cfRule type="expression" priority="4" dxfId="2">
      <formula>$K17="sector only"</formula>
    </cfRule>
  </conditionalFormatting>
  <conditionalFormatting sqref="B18:K18">
    <cfRule type="expression" priority="5" dxfId="0">
      <formula>$K18="YES"</formula>
    </cfRule>
    <cfRule type="expression" priority="6" dxfId="2">
      <formula>$K18="sector only"</formula>
    </cfRule>
  </conditionalFormatting>
  <conditionalFormatting sqref="B19:K19">
    <cfRule type="expression" priority="7" dxfId="0">
      <formula>$K19="YES"</formula>
    </cfRule>
    <cfRule type="expression" priority="8" dxfId="2">
      <formula>$K19="sector only"</formula>
    </cfRule>
  </conditionalFormatting>
  <conditionalFormatting sqref="B20:K20">
    <cfRule type="expression" priority="9" dxfId="0">
      <formula>$K20="YES"</formula>
    </cfRule>
    <cfRule type="expression" priority="10" dxfId="2">
      <formula>$K20="sector only"</formula>
    </cfRule>
  </conditionalFormatting>
  <dataValidations count="1">
    <dataValidation sqref="B3" showDropDown="0" showInputMessage="0" showErrorMessage="0" allowBlank="0" type="list">
      <formula1>=AllDeals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51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4" customWidth="1" min="2" max="2"/>
    <col width="14" customWidth="1" min="3" max="3"/>
    <col width="13" customWidth="1" min="4" max="4"/>
    <col width="22" customWidth="1" min="5" max="5"/>
    <col width="10" customWidth="1" min="6" max="6"/>
    <col width="11" customWidth="1" min="7" max="7"/>
    <col width="13" customWidth="1" min="8" max="8"/>
    <col width="17" customWidth="1" min="9" max="9"/>
    <col width="9" customWidth="1" min="10" max="10"/>
    <col width="9" customWidth="1" min="11" max="11"/>
    <col width="9" customWidth="1" min="12" max="12"/>
    <col width="10" customWidth="1" min="13" max="13"/>
    <col width="8" customWidth="1" min="14" max="14"/>
    <col width="13" customWidth="1" min="15" max="15"/>
    <col width="10" customWidth="1" min="16" max="16"/>
    <col width="9" customWidth="1" min="17" max="17"/>
    <col width="10" customWidth="1" min="18" max="18"/>
    <col width="10" customWidth="1" min="19" max="19"/>
    <col width="9" customWidth="1" min="20" max="20"/>
    <col width="10" customWidth="1" min="21" max="21"/>
    <col width="8" customWidth="1" min="22" max="22"/>
    <col width="8" customWidth="1" min="23" max="23"/>
    <col width="8" customWidth="1" min="24" max="24"/>
    <col width="11" customWidth="1" min="25" max="25"/>
    <col width="11" customWidth="1" min="26" max="26"/>
    <col width="7" customWidth="1" min="27" max="27"/>
    <col width="11" customWidth="1" min="28" max="28"/>
    <col width="26" customWidth="1" min="29" max="29"/>
    <col width="30" customWidth="1" min="30" max="30"/>
    <col width="40" customWidth="1" min="31" max="31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4" max="44"/>
  </cols>
  <sheetData>
    <row r="1">
      <c r="A1" s="1" t="inlineStr">
        <is>
          <t>HK IPO DATABASE — Main Board IPOs 2021–2026</t>
        </is>
      </c>
    </row>
    <row r="2">
      <c r="A2" s="2" t="inlineStr">
        <is>
          <t>one row per deal · money HK$m · % in percent units · sign: Day-1 + = closed above offer  ·  fill legend: green=cross-checked  amber=judgment/estimated  orange=source conflict  grey=derived</t>
        </is>
      </c>
    </row>
    <row r="4">
      <c r="A4" s="14" t="inlineStr">
        <is>
          <t>Code</t>
        </is>
      </c>
      <c r="B4" s="14" t="inlineStr">
        <is>
          <t>Name</t>
        </is>
      </c>
      <c r="C4" s="14" t="inlineStr">
        <is>
          <t>Name (CN)</t>
        </is>
      </c>
      <c r="D4" s="14" t="inlineStr">
        <is>
          <t>Sector</t>
        </is>
      </c>
      <c r="E4" s="14" t="inlineStr">
        <is>
          <t>Subsector</t>
        </is>
      </c>
      <c r="F4" s="14" t="inlineStr">
        <is>
          <t>Regime</t>
        </is>
      </c>
      <c r="G4" s="14" t="inlineStr">
        <is>
          <t>IPO date</t>
        </is>
      </c>
      <c r="H4" s="14" t="inlineStr">
        <is>
          <t>Deal size (HK$m)</t>
        </is>
      </c>
      <c r="I4" s="14" t="inlineStr">
        <is>
          <t>Size basis</t>
        </is>
      </c>
      <c r="J4" s="14" t="inlineStr">
        <is>
          <t>Range lo (HK$)</t>
        </is>
      </c>
      <c r="K4" s="14" t="inlineStr">
        <is>
          <t>Range hi (HK$)</t>
        </is>
      </c>
      <c r="L4" s="14" t="inlineStr">
        <is>
          <t>Final px (HK$)</t>
        </is>
      </c>
      <c r="M4" s="14" t="inlineStr">
        <is>
          <t>Priced in range (0=low,100=top)</t>
        </is>
      </c>
      <c r="N4" s="14" t="inlineStr">
        <is>
          <t>Priced at cap</t>
        </is>
      </c>
      <c r="O4" s="14" t="inlineStr">
        <is>
          <t>Mkt cap at IPO (HK$m)</t>
        </is>
      </c>
      <c r="P4" s="14" t="inlineStr">
        <is>
          <t>Public o/sub (x)</t>
        </is>
      </c>
      <c r="Q4" s="14" t="inlineStr">
        <is>
          <t>Intl o/sub (x)</t>
        </is>
      </c>
      <c r="R4" s="14" t="inlineStr">
        <is>
          <t>Day-1 vs offer (+%=pop)</t>
        </is>
      </c>
      <c r="S4" s="14" t="inlineStr">
        <is>
          <t>Cornerstone (% of offer)</t>
        </is>
      </c>
      <c r="T4" s="14" t="inlineStr">
        <is>
          <t>Greenshoe (% base)</t>
        </is>
      </c>
      <c r="U4" s="14" t="inlineStr">
        <is>
          <t>Shoe exercised</t>
        </is>
      </c>
      <c r="V4" s="14" t="inlineStr">
        <is>
          <t>Profitable at IPO</t>
        </is>
      </c>
      <c r="W4" s="14" t="inlineStr">
        <is>
          <t>P/E at IPO (x)</t>
        </is>
      </c>
      <c r="X4" s="14" t="inlineStr">
        <is>
          <t>P/S at IPO (x)</t>
        </is>
      </c>
      <c r="Y4" s="14" t="inlineStr">
        <is>
          <t>Latest FY rev (HK$m)</t>
        </is>
      </c>
      <c r="Z4" s="14" t="inlineStr">
        <is>
          <t>Latest FY NI (HK$m)</t>
        </is>
      </c>
      <c r="AA4" s="14" t="inlineStr">
        <is>
          <t>H-share</t>
        </is>
      </c>
      <c r="AB4" s="14" t="inlineStr">
        <is>
          <t>A-share code</t>
        </is>
      </c>
      <c r="AC4" s="14" t="inlineStr">
        <is>
          <t>Sponsors</t>
        </is>
      </c>
      <c r="AD4" s="14" t="inlineStr">
        <is>
          <t>Bookrunners</t>
        </is>
      </c>
      <c r="AE4" s="14" t="inlineStr">
        <is>
          <t>Valuation notes</t>
        </is>
      </c>
    </row>
    <row r="5">
      <c r="A5" s="23" t="inlineStr">
        <is>
          <t>9600</t>
        </is>
      </c>
      <c r="B5" s="22" t="inlineStr">
        <is>
          <t>NEWLINK TECH</t>
        </is>
      </c>
      <c r="C5" s="22" t="inlineStr">
        <is>
          <t>新紐科技有限公司</t>
        </is>
      </c>
      <c r="D5" s="24" t="inlineStr">
        <is>
          <t>Healthcare</t>
        </is>
      </c>
      <c r="E5" s="24" t="inlineStr">
        <is>
          <t>Digital health</t>
        </is>
      </c>
      <c r="F5" s="22" t="inlineStr">
        <is>
          <t>Standard</t>
        </is>
      </c>
      <c r="G5" s="25" t="n">
        <v>44202</v>
      </c>
      <c r="H5" s="26" t="n">
        <v>520.1</v>
      </c>
      <c r="I5" s="22" t="inlineStr">
        <is>
          <t>net proceeds</t>
        </is>
      </c>
      <c r="J5" s="27" t="n">
        <v>3.06</v>
      </c>
      <c r="K5" s="27" t="n">
        <v>4.36</v>
      </c>
      <c r="L5" s="27" t="n">
        <v>4.36</v>
      </c>
      <c r="M5" s="28" t="n">
        <v>100</v>
      </c>
      <c r="N5" s="29" t="inlineStr">
        <is>
          <t>Y</t>
        </is>
      </c>
      <c r="O5" s="26" t="n">
        <v>5201</v>
      </c>
      <c r="P5" s="30" t="n">
        <v>446.57</v>
      </c>
      <c r="Q5" s="31" t="n"/>
      <c r="R5" s="32" t="n">
        <v>-5.96</v>
      </c>
      <c r="S5" s="33" t="n">
        <v>25.8</v>
      </c>
      <c r="T5" s="32" t="n">
        <v>10</v>
      </c>
      <c r="U5" s="22" t="inlineStr">
        <is>
          <t>not-yet (at allotment)</t>
        </is>
      </c>
      <c r="V5" s="29" t="inlineStr">
        <is>
          <t>Y</t>
        </is>
      </c>
      <c r="W5" s="34" t="n">
        <v>142.9</v>
      </c>
      <c r="X5" s="31" t="n"/>
      <c r="Y5" s="35" t="n"/>
      <c r="Z5" s="36" t="n">
        <v>36.4</v>
      </c>
      <c r="AA5" s="22" t="n"/>
      <c r="AB5" s="22" t="n"/>
      <c r="AC5" s="22" t="inlineStr">
        <is>
          <t>Mont Avenir Capital Limited</t>
        </is>
      </c>
      <c r="AD5" s="22" t="inlineStr">
        <is>
          <t>Lead Bookrunner and Lead Manager Mont Avenir Capital Limited; Managers SPDB International Capital Limited; Futu Securities International (Hong Kong) Limited; AMTD Global Markets Limited; China Merchants Securities (HK) Co., Limited</t>
        </is>
      </c>
      <c r="AE5" s="22" t="n"/>
      <c r="AK5">
        <f>IF(AND(Screener!$B$7&lt;&gt;"",$E5=Screener!$B$7),1,0)</f>
        <v/>
      </c>
      <c r="AL5">
        <f>IF(AND(Screener!$B$6&lt;&gt;"",$D5=Screener!$B$6),1,0)</f>
        <v/>
      </c>
      <c r="AM5">
        <f>IF(OR($H5="",Screener!$B$8=""),0,MAX(0,1-ABS(LOG10($H5/Screener!$B$8))/W_SIZEHW))</f>
        <v/>
      </c>
      <c r="AN5">
        <f>IF(OR($V5="",Screener!$B$9=""),0,IF($V5=Screener!$B$9,1,0))</f>
        <v/>
      </c>
      <c r="AO5">
        <f>IF(OR($AA5="",Screener!$B$10=""),0,IF($AA5=Screener!$B$10,1,0))</f>
        <v/>
      </c>
      <c r="AP5">
        <f>IF($G5="",0,MAX(0,1-(Screener!$B$12-$G5)/W_RECD))</f>
        <v/>
      </c>
      <c r="AQ5">
        <f>IF($B5=Screener!$B$3,-999999,W_SUB*AK5+W_SEC*AL5*(1-AK5)+W_SIZE*AM5+W_PROF*AN5+W_AH*AO5+W_REC*AP5)+ROW()/1000000</f>
        <v/>
      </c>
      <c r="AR5">
        <f>IF(OR('NEW DEAL'!$B$6="",$E5&lt;&gt;'NEW DEAL'!$B$6),-1,1+IF(OR($H5="",'NEW DEAL'!$B$7=""),0,MAX(0,1-ABS(LOG10($H5/'NEW DEAL'!$B$7))/W_SIZEHW)))+ROW()/1000000</f>
        <v/>
      </c>
    </row>
    <row r="6">
      <c r="A6" s="23" t="inlineStr">
        <is>
          <t>1855</t>
        </is>
      </c>
      <c r="B6" s="22" t="inlineStr">
        <is>
          <t>ZONBONG ENVIRO</t>
        </is>
      </c>
      <c r="C6" s="22" t="n"/>
      <c r="D6" s="24" t="inlineStr">
        <is>
          <t>Industrials</t>
        </is>
      </c>
      <c r="E6" s="24" t="inlineStr">
        <is>
          <t>Construction / engineering</t>
        </is>
      </c>
      <c r="F6" s="22" t="inlineStr">
        <is>
          <t>Standard</t>
        </is>
      </c>
      <c r="G6" s="25" t="n">
        <v>44202</v>
      </c>
      <c r="H6" s="26" t="n">
        <v>54.7</v>
      </c>
      <c r="I6" s="22" t="inlineStr">
        <is>
          <t>net proceeds</t>
        </is>
      </c>
      <c r="J6" s="27" t="n"/>
      <c r="K6" s="27" t="n"/>
      <c r="L6" s="27" t="n">
        <v>2</v>
      </c>
      <c r="M6" s="32" t="n"/>
      <c r="N6" s="22" t="n"/>
      <c r="O6" s="35" t="n"/>
      <c r="P6" s="30" t="n">
        <v>36.25</v>
      </c>
      <c r="Q6" s="37" t="n">
        <v>1.01</v>
      </c>
      <c r="R6" s="32" t="n">
        <v>2.5</v>
      </c>
      <c r="S6" s="33" t="n">
        <v>0</v>
      </c>
      <c r="T6" s="32" t="n">
        <v>15</v>
      </c>
      <c r="U6" s="22" t="inlineStr">
        <is>
          <t>not-yet (at allotment)</t>
        </is>
      </c>
      <c r="V6" s="29" t="inlineStr">
        <is>
          <t>Y</t>
        </is>
      </c>
      <c r="W6" s="31" t="n"/>
      <c r="X6" s="31" t="n"/>
      <c r="Y6" s="36" t="n">
        <v>2.2</v>
      </c>
      <c r="Z6" s="36" t="n">
        <v>54.4</v>
      </c>
      <c r="AA6" s="22" t="n"/>
      <c r="AB6" s="22" t="n"/>
      <c r="AC6" s="22" t="inlineStr">
        <is>
          <t>China Tonghai Capital Limited</t>
        </is>
      </c>
      <c r="AD6" s="22" t="inlineStr">
        <is>
          <t>China Tonghai Securities Limited; CMBC Securities Company Limited; Southwest Securities (HK) Brokerage Limited; Causeway Bay, Hong Kong SPDB International Capital Limited</t>
        </is>
      </c>
      <c r="AE6" s="22" t="n"/>
      <c r="AK6">
        <f>IF(AND(Screener!$B$7&lt;&gt;"",$E6=Screener!$B$7),1,0)</f>
        <v/>
      </c>
      <c r="AL6">
        <f>IF(AND(Screener!$B$6&lt;&gt;"",$D6=Screener!$B$6),1,0)</f>
        <v/>
      </c>
      <c r="AM6">
        <f>IF(OR($H6="",Screener!$B$8=""),0,MAX(0,1-ABS(LOG10($H6/Screener!$B$8))/W_SIZEHW))</f>
        <v/>
      </c>
      <c r="AN6">
        <f>IF(OR($V6="",Screener!$B$9=""),0,IF($V6=Screener!$B$9,1,0))</f>
        <v/>
      </c>
      <c r="AO6">
        <f>IF(OR($AA6="",Screener!$B$10=""),0,IF($AA6=Screener!$B$10,1,0))</f>
        <v/>
      </c>
      <c r="AP6">
        <f>IF($G6="",0,MAX(0,1-(Screener!$B$12-$G6)/W_RECD))</f>
        <v/>
      </c>
      <c r="AQ6">
        <f>IF($B6=Screener!$B$3,-999999,W_SUB*AK6+W_SEC*AL6*(1-AK6)+W_SIZE*AM6+W_PROF*AN6+W_AH*AO6+W_REC*AP6)+ROW()/1000000</f>
        <v/>
      </c>
      <c r="AR6">
        <f>IF(OR('NEW DEAL'!$B$6="",$E6&lt;&gt;'NEW DEAL'!$B$6),-1,1+IF(OR($H6="",'NEW DEAL'!$B$7=""),0,MAX(0,1-ABS(LOG10($H6/'NEW DEAL'!$B$7))/W_SIZEHW)))+ROW()/1000000</f>
        <v/>
      </c>
    </row>
    <row r="7">
      <c r="A7" s="23" t="inlineStr">
        <is>
          <t>1440</t>
        </is>
      </c>
      <c r="B7" s="22" t="inlineStr">
        <is>
          <t>DEYUN HOLDING</t>
        </is>
      </c>
      <c r="C7" s="22" t="n"/>
      <c r="D7" s="24" t="inlineStr">
        <is>
          <t>Industrials</t>
        </is>
      </c>
      <c r="E7" s="24" t="inlineStr">
        <is>
          <t>Construction / engineering</t>
        </is>
      </c>
      <c r="F7" s="22" t="inlineStr">
        <is>
          <t>Standard</t>
        </is>
      </c>
      <c r="G7" s="25" t="n">
        <v>44209</v>
      </c>
      <c r="H7" s="26" t="n">
        <v>126</v>
      </c>
      <c r="I7" s="22" t="inlineStr">
        <is>
          <t>gross (price x shares)</t>
        </is>
      </c>
      <c r="J7" s="27" t="n">
        <v>0.4</v>
      </c>
      <c r="K7" s="27" t="n">
        <v>0.5</v>
      </c>
      <c r="L7" s="27" t="n">
        <v>0.4</v>
      </c>
      <c r="M7" s="28" t="n">
        <v>0</v>
      </c>
      <c r="N7" s="29" t="inlineStr">
        <is>
          <t>N</t>
        </is>
      </c>
      <c r="O7" s="26" t="n">
        <v>560</v>
      </c>
      <c r="P7" s="30" t="n">
        <v>33.62</v>
      </c>
      <c r="Q7" s="31" t="n"/>
      <c r="R7" s="32" t="n">
        <v>3.75</v>
      </c>
      <c r="S7" s="33" t="n">
        <v>45.1</v>
      </c>
      <c r="T7" s="32" t="n">
        <v>7.5</v>
      </c>
      <c r="U7" s="22" t="inlineStr">
        <is>
          <t>not-yet (at allotment)</t>
        </is>
      </c>
      <c r="V7" s="29" t="inlineStr">
        <is>
          <t>Y</t>
        </is>
      </c>
      <c r="W7" s="34" t="n">
        <v>12.2</v>
      </c>
      <c r="X7" s="34" t="n">
        <v>2.5</v>
      </c>
      <c r="Y7" s="36" t="n">
        <v>223.8</v>
      </c>
      <c r="Z7" s="36" t="n">
        <v>46</v>
      </c>
      <c r="AA7" s="22" t="n"/>
      <c r="AB7" s="22" t="n"/>
      <c r="AC7" s="22" t="inlineStr">
        <is>
          <t>Dakin Capital Limited</t>
        </is>
      </c>
      <c r="AD7" s="22" t="inlineStr">
        <is>
          <t>Managers Dakin Securities Limited; BOCOM International Securities Limited</t>
        </is>
      </c>
      <c r="AE7" s="22" t="n"/>
      <c r="AK7">
        <f>IF(AND(Screener!$B$7&lt;&gt;"",$E7=Screener!$B$7),1,0)</f>
        <v/>
      </c>
      <c r="AL7">
        <f>IF(AND(Screener!$B$6&lt;&gt;"",$D7=Screener!$B$6),1,0)</f>
        <v/>
      </c>
      <c r="AM7">
        <f>IF(OR($H7="",Screener!$B$8=""),0,MAX(0,1-ABS(LOG10($H7/Screener!$B$8))/W_SIZEHW))</f>
        <v/>
      </c>
      <c r="AN7">
        <f>IF(OR($V7="",Screener!$B$9=""),0,IF($V7=Screener!$B$9,1,0))</f>
        <v/>
      </c>
      <c r="AO7">
        <f>IF(OR($AA7="",Screener!$B$10=""),0,IF($AA7=Screener!$B$10,1,0))</f>
        <v/>
      </c>
      <c r="AP7">
        <f>IF($G7="",0,MAX(0,1-(Screener!$B$12-$G7)/W_RECD))</f>
        <v/>
      </c>
      <c r="AQ7">
        <f>IF($B7=Screener!$B$3,-999999,W_SUB*AK7+W_SEC*AL7*(1-AK7)+W_SIZE*AM7+W_PROF*AN7+W_AH*AO7+W_REC*AP7)+ROW()/1000000</f>
        <v/>
      </c>
      <c r="AR7">
        <f>IF(OR('NEW DEAL'!$B$6="",$E7&lt;&gt;'NEW DEAL'!$B$6),-1,1+IF(OR($H7="",'NEW DEAL'!$B$7=""),0,MAX(0,1-ABS(LOG10($H7/'NEW DEAL'!$B$7))/W_SIZEHW)))+ROW()/1000000</f>
        <v/>
      </c>
    </row>
    <row r="8">
      <c r="A8" s="23" t="inlineStr">
        <is>
          <t>2129</t>
        </is>
      </c>
      <c r="B8" s="22" t="inlineStr">
        <is>
          <t>LEGION CONSO</t>
        </is>
      </c>
      <c r="C8" s="22" t="n"/>
      <c r="D8" s="24" t="inlineStr">
        <is>
          <t>Industrials</t>
        </is>
      </c>
      <c r="E8" s="24" t="inlineStr">
        <is>
          <t>Logistics</t>
        </is>
      </c>
      <c r="F8" s="22" t="inlineStr">
        <is>
          <t>Standard</t>
        </is>
      </c>
      <c r="G8" s="25" t="n">
        <v>44209</v>
      </c>
      <c r="H8" s="26" t="n">
        <v>41.6</v>
      </c>
      <c r="I8" s="22" t="inlineStr">
        <is>
          <t>net proceeds</t>
        </is>
      </c>
      <c r="J8" s="27" t="n">
        <v>0.4</v>
      </c>
      <c r="K8" s="27" t="n">
        <v>0.52</v>
      </c>
      <c r="L8" s="27" t="n">
        <v>0.4</v>
      </c>
      <c r="M8" s="28" t="n">
        <v>0</v>
      </c>
      <c r="N8" s="29" t="inlineStr">
        <is>
          <t>N</t>
        </is>
      </c>
      <c r="O8" s="35" t="n"/>
      <c r="P8" s="30" t="n">
        <v>443.37</v>
      </c>
      <c r="Q8" s="37" t="n">
        <v>1.5</v>
      </c>
      <c r="R8" s="32" t="n">
        <v>-12.5</v>
      </c>
      <c r="S8" s="33" t="n">
        <v>0</v>
      </c>
      <c r="T8" s="32" t="n"/>
      <c r="U8" s="22" t="inlineStr">
        <is>
          <t>not-yet (at allotment)</t>
        </is>
      </c>
      <c r="V8" s="22" t="n"/>
      <c r="W8" s="31" t="n"/>
      <c r="X8" s="31" t="n"/>
      <c r="Y8" s="35" t="n"/>
      <c r="Z8" s="35" t="n"/>
      <c r="AA8" s="22" t="n"/>
      <c r="AB8" s="22" t="n"/>
      <c r="AC8" s="22" t="n"/>
      <c r="AD8" s="22" t="inlineStr">
        <is>
          <t>Manager and Public Offer Underwriter Alpha Financial Group Limited; Managers and Public Offer Underwriters Elstone Securities Limited; AFG Securities Limited; Ample Capital Limited; BOCOM International Securities Limited; CMBC Securities Company Limited; First Fidelity Capital (International) Limited; Get Nice Securities Limited; Head &amp; Shoulders Securities Limited; Plutus Securities Limited; Seazen Resources Securities Limited; DIRECTORS AND PARTIES INVOLVED IN THE SHARE OFFER −5 7− Sinomax Securities Limited</t>
        </is>
      </c>
      <c r="AE8" s="22" t="n"/>
      <c r="AK8">
        <f>IF(AND(Screener!$B$7&lt;&gt;"",$E8=Screener!$B$7),1,0)</f>
        <v/>
      </c>
      <c r="AL8">
        <f>IF(AND(Screener!$B$6&lt;&gt;"",$D8=Screener!$B$6),1,0)</f>
        <v/>
      </c>
      <c r="AM8">
        <f>IF(OR($H8="",Screener!$B$8=""),0,MAX(0,1-ABS(LOG10($H8/Screener!$B$8))/W_SIZEHW))</f>
        <v/>
      </c>
      <c r="AN8">
        <f>IF(OR($V8="",Screener!$B$9=""),0,IF($V8=Screener!$B$9,1,0))</f>
        <v/>
      </c>
      <c r="AO8">
        <f>IF(OR($AA8="",Screener!$B$10=""),0,IF($AA8=Screener!$B$10,1,0))</f>
        <v/>
      </c>
      <c r="AP8">
        <f>IF($G8="",0,MAX(0,1-(Screener!$B$12-$G8)/W_RECD))</f>
        <v/>
      </c>
      <c r="AQ8">
        <f>IF($B8=Screener!$B$3,-999999,W_SUB*AK8+W_SEC*AL8*(1-AK8)+W_SIZE*AM8+W_PROF*AN8+W_AH*AO8+W_REC*AP8)+ROW()/1000000</f>
        <v/>
      </c>
      <c r="AR8">
        <f>IF(OR('NEW DEAL'!$B$6="",$E8&lt;&gt;'NEW DEAL'!$B$6),-1,1+IF(OR($H8="",'NEW DEAL'!$B$7=""),0,MAX(0,1-ABS(LOG10($H8/'NEW DEAL'!$B$7))/W_SIZEHW)))+ROW()/1000000</f>
        <v/>
      </c>
    </row>
    <row r="9">
      <c r="A9" s="23" t="inlineStr">
        <is>
          <t>2153</t>
        </is>
      </c>
      <c r="B9" s="22" t="inlineStr">
        <is>
          <t>TAT HONG EQUIP</t>
        </is>
      </c>
      <c r="C9" s="22" t="inlineStr">
        <is>
          <t>達豐設備服務有限公司</t>
        </is>
      </c>
      <c r="D9" s="24" t="inlineStr">
        <is>
          <t>Industrials</t>
        </is>
      </c>
      <c r="E9" s="24" t="inlineStr">
        <is>
          <t>Capital goods / machinery</t>
        </is>
      </c>
      <c r="F9" s="22" t="inlineStr">
        <is>
          <t>Standard</t>
        </is>
      </c>
      <c r="G9" s="25" t="n">
        <v>44209</v>
      </c>
      <c r="H9" s="26" t="n">
        <v>594.7</v>
      </c>
      <c r="I9" s="22" t="inlineStr">
        <is>
          <t>gross (price x shares)</t>
        </is>
      </c>
      <c r="J9" s="27" t="n">
        <v>1.5</v>
      </c>
      <c r="K9" s="27" t="n">
        <v>1.96</v>
      </c>
      <c r="L9" s="27" t="n">
        <v>1.73</v>
      </c>
      <c r="M9" s="28" t="n">
        <v>50</v>
      </c>
      <c r="N9" s="29" t="inlineStr">
        <is>
          <t>N</t>
        </is>
      </c>
      <c r="O9" s="36" t="n">
        <v>2018.7</v>
      </c>
      <c r="P9" s="30" t="n">
        <v>10.3</v>
      </c>
      <c r="Q9" s="37" t="n">
        <v>1.02</v>
      </c>
      <c r="R9" s="32" t="n">
        <v>-8.67</v>
      </c>
      <c r="S9" s="33" t="n">
        <v>37.5</v>
      </c>
      <c r="T9" s="32" t="n">
        <v>11.9</v>
      </c>
      <c r="U9" s="22" t="inlineStr">
        <is>
          <t>not-yet (at allotment)</t>
        </is>
      </c>
      <c r="V9" s="29" t="inlineStr">
        <is>
          <t>Y</t>
        </is>
      </c>
      <c r="W9" s="34" t="n">
        <v>24</v>
      </c>
      <c r="X9" s="34" t="n">
        <v>2.5</v>
      </c>
      <c r="Y9" s="36" t="n">
        <v>819.4</v>
      </c>
      <c r="Z9" s="36" t="n">
        <v>84.09999999999999</v>
      </c>
      <c r="AA9" s="22" t="n"/>
      <c r="AB9" s="22" t="n"/>
      <c r="AC9" s="22" t="inlineStr">
        <is>
          <t>Fortune Financial Capital Limited</t>
        </is>
      </c>
      <c r="AD9" s="22" t="inlineStr">
        <is>
          <t>Fortune (HK) Securities Limited; CCB International Capital Limited; Zhongtai International Securities Limited; Valuable Capital Limited; China Everbright Securities (HK) Limited; Huabang Securities Limited; China Industrial Securities International Capital Limited; Crosby Securities Limited</t>
        </is>
      </c>
      <c r="AE9" s="22" t="n"/>
      <c r="AK9">
        <f>IF(AND(Screener!$B$7&lt;&gt;"",$E9=Screener!$B$7),1,0)</f>
        <v/>
      </c>
      <c r="AL9">
        <f>IF(AND(Screener!$B$6&lt;&gt;"",$D9=Screener!$B$6),1,0)</f>
        <v/>
      </c>
      <c r="AM9">
        <f>IF(OR($H9="",Screener!$B$8=""),0,MAX(0,1-ABS(LOG10($H9/Screener!$B$8))/W_SIZEHW))</f>
        <v/>
      </c>
      <c r="AN9">
        <f>IF(OR($V9="",Screener!$B$9=""),0,IF($V9=Screener!$B$9,1,0))</f>
        <v/>
      </c>
      <c r="AO9">
        <f>IF(OR($AA9="",Screener!$B$10=""),0,IF($AA9=Screener!$B$10,1,0))</f>
        <v/>
      </c>
      <c r="AP9">
        <f>IF($G9="",0,MAX(0,1-(Screener!$B$12-$G9)/W_RECD))</f>
        <v/>
      </c>
      <c r="AQ9">
        <f>IF($B9=Screener!$B$3,-999999,W_SUB*AK9+W_SEC*AL9*(1-AK9)+W_SIZE*AM9+W_PROF*AN9+W_AH*AO9+W_REC*AP9)+ROW()/1000000</f>
        <v/>
      </c>
      <c r="AR9">
        <f>IF(OR('NEW DEAL'!$B$6="",$E9&lt;&gt;'NEW DEAL'!$B$6),-1,1+IF(OR($H9="",'NEW DEAL'!$B$7=""),0,MAX(0,1-ABS(LOG10($H9/'NEW DEAL'!$B$7))/W_SIZEHW)))+ROW()/1000000</f>
        <v/>
      </c>
    </row>
    <row r="10">
      <c r="A10" s="23" t="inlineStr">
        <is>
          <t>1643</t>
        </is>
      </c>
      <c r="B10" s="22" t="inlineStr">
        <is>
          <t>MODERN CHI MED</t>
        </is>
      </c>
      <c r="C10" s="22" t="inlineStr">
        <is>
          <t>現代中藥集團有限公司</t>
        </is>
      </c>
      <c r="D10" s="24" t="inlineStr">
        <is>
          <t>Healthcare</t>
        </is>
      </c>
      <c r="E10" s="24" t="inlineStr">
        <is>
          <t>TCM</t>
        </is>
      </c>
      <c r="F10" s="22" t="inlineStr">
        <is>
          <t>Standard</t>
        </is>
      </c>
      <c r="G10" s="25" t="n">
        <v>44211</v>
      </c>
      <c r="H10" s="26" t="n">
        <v>159.3</v>
      </c>
      <c r="I10" s="22" t="inlineStr">
        <is>
          <t>gross (price x shares)</t>
        </is>
      </c>
      <c r="J10" s="27" t="n"/>
      <c r="K10" s="27" t="n">
        <v>1.47</v>
      </c>
      <c r="L10" s="27" t="n">
        <v>1.18</v>
      </c>
      <c r="M10" s="32" t="n"/>
      <c r="N10" s="29" t="inlineStr">
        <is>
          <t>N</t>
        </is>
      </c>
      <c r="O10" s="26" t="n">
        <v>6372</v>
      </c>
      <c r="P10" s="30" t="n">
        <v>1.004</v>
      </c>
      <c r="Q10" s="31" t="n"/>
      <c r="R10" s="32" t="n">
        <v>6.78</v>
      </c>
      <c r="S10" s="33" t="n">
        <v>0</v>
      </c>
      <c r="T10" s="32" t="n">
        <v>7</v>
      </c>
      <c r="U10" s="22" t="inlineStr">
        <is>
          <t>not-yet (at allotment)</t>
        </is>
      </c>
      <c r="V10" s="29" t="inlineStr">
        <is>
          <t>N</t>
        </is>
      </c>
      <c r="W10" s="31" t="n"/>
      <c r="X10" s="34" t="n">
        <v>26.5</v>
      </c>
      <c r="Y10" s="36" t="n">
        <v>240.6</v>
      </c>
      <c r="Z10" s="36" t="n">
        <v>-0</v>
      </c>
      <c r="AA10" s="22" t="n"/>
      <c r="AB10" s="22" t="n"/>
      <c r="AC10" s="22" t="inlineStr">
        <is>
          <t>Soochow Securities International Capital Limited</t>
        </is>
      </c>
      <c r="AD10" s="22" t="inlineStr">
        <is>
          <t>Managers SPDB International Capital Limited; BOCOM International Securities Limited; Central, Hong Kong Yue Xiu Securities Company Limited; Wan Chai, Hong Kong Shanxi Securities International Limited; Elstone Securities Limited</t>
        </is>
      </c>
      <c r="AE10" s="22" t="n"/>
      <c r="AK10">
        <f>IF(AND(Screener!$B$7&lt;&gt;"",$E10=Screener!$B$7),1,0)</f>
        <v/>
      </c>
      <c r="AL10">
        <f>IF(AND(Screener!$B$6&lt;&gt;"",$D10=Screener!$B$6),1,0)</f>
        <v/>
      </c>
      <c r="AM10">
        <f>IF(OR($H10="",Screener!$B$8=""),0,MAX(0,1-ABS(LOG10($H10/Screener!$B$8))/W_SIZEHW))</f>
        <v/>
      </c>
      <c r="AN10">
        <f>IF(OR($V10="",Screener!$B$9=""),0,IF($V10=Screener!$B$9,1,0))</f>
        <v/>
      </c>
      <c r="AO10">
        <f>IF(OR($AA10="",Screener!$B$10=""),0,IF($AA10=Screener!$B$10,1,0))</f>
        <v/>
      </c>
      <c r="AP10">
        <f>IF($G10="",0,MAX(0,1-(Screener!$B$12-$G10)/W_RECD))</f>
        <v/>
      </c>
      <c r="AQ10">
        <f>IF($B10=Screener!$B$3,-999999,W_SUB*AK10+W_SEC*AL10*(1-AK10)+W_SIZE*AM10+W_PROF*AN10+W_AH*AO10+W_REC*AP10)+ROW()/1000000</f>
        <v/>
      </c>
      <c r="AR10">
        <f>IF(OR('NEW DEAL'!$B$6="",$E10&lt;&gt;'NEW DEAL'!$B$6),-1,1+IF(OR($H10="",'NEW DEAL'!$B$7=""),0,MAX(0,1-ABS(LOG10($H10/'NEW DEAL'!$B$7))/W_SIZEHW)))+ROW()/1000000</f>
        <v/>
      </c>
    </row>
    <row r="11">
      <c r="A11" s="23" t="inlineStr">
        <is>
          <t>2146</t>
        </is>
      </c>
      <c r="B11" s="22" t="inlineStr">
        <is>
          <t>ROISERV</t>
        </is>
      </c>
      <c r="C11" s="22" t="inlineStr">
        <is>
          <t>榮萬家生活服務股份有限公司</t>
        </is>
      </c>
      <c r="D11" s="24" t="inlineStr">
        <is>
          <t>Real Estate</t>
        </is>
      </c>
      <c r="E11" s="24" t="inlineStr">
        <is>
          <t>Property management</t>
        </is>
      </c>
      <c r="F11" s="22" t="inlineStr">
        <is>
          <t>Standard</t>
        </is>
      </c>
      <c r="G11" s="25" t="n">
        <v>44211</v>
      </c>
      <c r="H11" s="26" t="n">
        <v>1168</v>
      </c>
      <c r="I11" s="22" t="inlineStr">
        <is>
          <t>net proceeds</t>
        </is>
      </c>
      <c r="J11" s="27" t="n"/>
      <c r="K11" s="27" t="n">
        <v>18.36</v>
      </c>
      <c r="L11" s="27" t="n">
        <v>13.46</v>
      </c>
      <c r="M11" s="32" t="n"/>
      <c r="N11" s="29" t="inlineStr">
        <is>
          <t>N</t>
        </is>
      </c>
      <c r="O11" s="36" t="n">
        <v>5061</v>
      </c>
      <c r="P11" s="30" t="n">
        <v>6.62</v>
      </c>
      <c r="Q11" s="31" t="n"/>
      <c r="R11" s="32" t="n">
        <v>-8.17</v>
      </c>
      <c r="S11" s="33" t="n">
        <v>0</v>
      </c>
      <c r="T11" s="32" t="n">
        <v>6.05</v>
      </c>
      <c r="U11" s="22" t="inlineStr">
        <is>
          <t>not-yet (at allotment)</t>
        </is>
      </c>
      <c r="V11" s="22" t="n"/>
      <c r="W11" s="31" t="n"/>
      <c r="X11" s="34" t="n">
        <v>3.6</v>
      </c>
      <c r="Y11" s="36" t="n">
        <v>1410.2</v>
      </c>
      <c r="Z11" s="35" t="n"/>
      <c r="AA11" s="22" t="n"/>
      <c r="AB11" s="22" t="n"/>
      <c r="AC11" s="22" t="inlineStr">
        <is>
          <t>Huatai Financial Holdings (Hong Kong) Limited</t>
        </is>
      </c>
      <c r="AD11" s="22" t="inlineStr">
        <is>
          <t>Huatai Financial Holdings (Hong Kong) Limited; Haitong International Securities Company Limited; Soochow Securities International Brokerage Limited; UOB Kay Hian (Hong Kong) Limited; Fuyuan Securities Limited; BOCOM International Securities Limited; CCB International Capital Limited; China Securities (International) Corporate Finance Company Limited; CMB International Capital Limited; ICBC International Capital Limited; Realord Asia Pacific Securities Limited; Yue Xiu Securities Company Limited</t>
        </is>
      </c>
      <c r="AE11" s="22" t="n"/>
      <c r="AK11">
        <f>IF(AND(Screener!$B$7&lt;&gt;"",$E11=Screener!$B$7),1,0)</f>
        <v/>
      </c>
      <c r="AL11">
        <f>IF(AND(Screener!$B$6&lt;&gt;"",$D11=Screener!$B$6),1,0)</f>
        <v/>
      </c>
      <c r="AM11">
        <f>IF(OR($H11="",Screener!$B$8=""),0,MAX(0,1-ABS(LOG10($H11/Screener!$B$8))/W_SIZEHW))</f>
        <v/>
      </c>
      <c r="AN11">
        <f>IF(OR($V11="",Screener!$B$9=""),0,IF($V11=Screener!$B$9,1,0))</f>
        <v/>
      </c>
      <c r="AO11">
        <f>IF(OR($AA11="",Screener!$B$10=""),0,IF($AA11=Screener!$B$10,1,0))</f>
        <v/>
      </c>
      <c r="AP11">
        <f>IF($G11="",0,MAX(0,1-(Screener!$B$12-$G11)/W_RECD))</f>
        <v/>
      </c>
      <c r="AQ11">
        <f>IF($B11=Screener!$B$3,-999999,W_SUB*AK11+W_SEC*AL11*(1-AK11)+W_SIZE*AM11+W_PROF*AN11+W_AH*AO11+W_REC*AP11)+ROW()/1000000</f>
        <v/>
      </c>
      <c r="AR11">
        <f>IF(OR('NEW DEAL'!$B$6="",$E11&lt;&gt;'NEW DEAL'!$B$6),-1,1+IF(OR($H11="",'NEW DEAL'!$B$7=""),0,MAX(0,1-ABS(LOG10($H11/'NEW DEAL'!$B$7))/W_SIZEHW)))+ROW()/1000000</f>
        <v/>
      </c>
    </row>
    <row r="12">
      <c r="A12" s="23" t="inlineStr">
        <is>
          <t>2125</t>
        </is>
      </c>
      <c r="B12" s="22" t="inlineStr">
        <is>
          <t>STRAWBEAR ENT</t>
        </is>
      </c>
      <c r="C12" s="22" t="n"/>
      <c r="D12" s="24" t="inlineStr">
        <is>
          <t>TMT-other</t>
        </is>
      </c>
      <c r="E12" s="24" t="inlineStr">
        <is>
          <t>Media / advertising</t>
        </is>
      </c>
      <c r="F12" s="22" t="inlineStr">
        <is>
          <t>Standard</t>
        </is>
      </c>
      <c r="G12" s="25" t="n">
        <v>44211</v>
      </c>
      <c r="H12" s="26" t="n">
        <v>927.8</v>
      </c>
      <c r="I12" s="22" t="inlineStr">
        <is>
          <t>net proceeds</t>
        </is>
      </c>
      <c r="J12" s="27" t="n">
        <v>5.1</v>
      </c>
      <c r="K12" s="27" t="n">
        <v>6.16</v>
      </c>
      <c r="L12" s="27" t="n">
        <v>5.88</v>
      </c>
      <c r="M12" s="28" t="n">
        <v>73.59999999999999</v>
      </c>
      <c r="N12" s="29" t="inlineStr">
        <is>
          <t>N</t>
        </is>
      </c>
      <c r="O12" s="36" t="n">
        <v>3381.8</v>
      </c>
      <c r="P12" s="30" t="n">
        <v>403.54</v>
      </c>
      <c r="Q12" s="31" t="n"/>
      <c r="R12" s="32" t="n">
        <v>83.67</v>
      </c>
      <c r="S12" s="33" t="n">
        <v>79.8</v>
      </c>
      <c r="T12" s="32" t="n">
        <v>14.68</v>
      </c>
      <c r="U12" s="22" t="inlineStr">
        <is>
          <t>not-yet (at allotment)</t>
        </is>
      </c>
      <c r="V12" s="29" t="inlineStr">
        <is>
          <t>Y</t>
        </is>
      </c>
      <c r="W12" s="34" t="n">
        <v>61</v>
      </c>
      <c r="X12" s="31" t="n"/>
      <c r="Y12" s="35" t="n"/>
      <c r="Z12" s="36" t="n">
        <v>55.4</v>
      </c>
      <c r="AA12" s="22" t="n"/>
      <c r="AB12" s="22" t="n"/>
      <c r="AC12" s="22" t="inlineStr">
        <is>
          <t>China Merchants Securities (HK) Co., Limited; China Securities (International) Corporate Finance Company Limited</t>
        </is>
      </c>
      <c r="AD12" s="22" t="inlineStr">
        <is>
          <t>China Merchants Securities (HK) Co., Limited; China Renaissance Securities (Hong Kong) Limited; China Securities (International) Corporate Finance Company Limited; ABCI Capital Limited; Haitong International Securities Company Limited; Huatai Financial Holdings (Hong Kong) Limited; CMB International Capital Limited; Futu Securities International (Hong Kong) Limited</t>
        </is>
      </c>
      <c r="AE12" s="22" t="n"/>
      <c r="AK12">
        <f>IF(AND(Screener!$B$7&lt;&gt;"",$E12=Screener!$B$7),1,0)</f>
        <v/>
      </c>
      <c r="AL12">
        <f>IF(AND(Screener!$B$6&lt;&gt;"",$D12=Screener!$B$6),1,0)</f>
        <v/>
      </c>
      <c r="AM12">
        <f>IF(OR($H12="",Screener!$B$8=""),0,MAX(0,1-ABS(LOG10($H12/Screener!$B$8))/W_SIZEHW))</f>
        <v/>
      </c>
      <c r="AN12">
        <f>IF(OR($V12="",Screener!$B$9=""),0,IF($V12=Screener!$B$9,1,0))</f>
        <v/>
      </c>
      <c r="AO12">
        <f>IF(OR($AA12="",Screener!$B$10=""),0,IF($AA12=Screener!$B$10,1,0))</f>
        <v/>
      </c>
      <c r="AP12">
        <f>IF($G12="",0,MAX(0,1-(Screener!$B$12-$G12)/W_RECD))</f>
        <v/>
      </c>
      <c r="AQ12">
        <f>IF($B12=Screener!$B$3,-999999,W_SUB*AK12+W_SEC*AL12*(1-AK12)+W_SIZE*AM12+W_PROF*AN12+W_AH*AO12+W_REC*AP12)+ROW()/1000000</f>
        <v/>
      </c>
      <c r="AR12">
        <f>IF(OR('NEW DEAL'!$B$6="",$E12&lt;&gt;'NEW DEAL'!$B$6),-1,1+IF(OR($H12="",'NEW DEAL'!$B$7=""),0,MAX(0,1-ABS(LOG10($H12/'NEW DEAL'!$B$7))/W_SIZEHW)))+ROW()/1000000</f>
        <v/>
      </c>
    </row>
    <row r="13">
      <c r="A13" s="23" t="inlineStr">
        <is>
          <t>2158</t>
        </is>
      </c>
      <c r="B13" s="22" t="inlineStr">
        <is>
          <t>YIDU TECH</t>
        </is>
      </c>
      <c r="C13" s="22" t="n"/>
      <c r="D13" s="24" t="inlineStr">
        <is>
          <t>Healthcare</t>
        </is>
      </c>
      <c r="E13" s="24" t="inlineStr">
        <is>
          <t>Digital health</t>
        </is>
      </c>
      <c r="F13" s="22" t="inlineStr">
        <is>
          <t>Standard</t>
        </is>
      </c>
      <c r="G13" s="25" t="n">
        <v>44211</v>
      </c>
      <c r="H13" s="26" t="n">
        <v>3902</v>
      </c>
      <c r="I13" s="22" t="inlineStr">
        <is>
          <t>net proceeds</t>
        </is>
      </c>
      <c r="J13" s="27" t="n">
        <v>23.5</v>
      </c>
      <c r="K13" s="27" t="n">
        <v>26.3</v>
      </c>
      <c r="L13" s="27" t="n">
        <v>26.3</v>
      </c>
      <c r="M13" s="28" t="n">
        <v>100</v>
      </c>
      <c r="N13" s="29" t="inlineStr">
        <is>
          <t>Y</t>
        </is>
      </c>
      <c r="O13" s="26" t="n">
        <v>20061.7</v>
      </c>
      <c r="P13" s="30" t="n">
        <v>1633.84</v>
      </c>
      <c r="Q13" s="31" t="n"/>
      <c r="R13" s="32" t="n">
        <v>147.91</v>
      </c>
      <c r="S13" s="33" t="n">
        <v>15.1</v>
      </c>
      <c r="T13" s="32" t="n">
        <v>17.35</v>
      </c>
      <c r="U13" s="22" t="inlineStr">
        <is>
          <t>not-yet (at allotment)</t>
        </is>
      </c>
      <c r="V13" s="22" t="n"/>
      <c r="W13" s="31" t="n"/>
      <c r="X13" s="34" t="n">
        <v>32.7</v>
      </c>
      <c r="Y13" s="36" t="n">
        <v>613.9</v>
      </c>
      <c r="Z13" s="35" t="n"/>
      <c r="AA13" s="22" t="n"/>
      <c r="AB13" s="22" t="n"/>
      <c r="AC13" s="22" t="inlineStr">
        <is>
          <t>Goldman Sachs (Asia) L.L.C; China International Capital Corporation Hong Kong Securities Limited</t>
        </is>
      </c>
      <c r="AD13" s="22" t="inlineStr">
        <is>
          <t>Goldman Sachs (Asia) L.L.C; China International Capital Corporation Hong Kong Securities Limited; Citigroup Global Markets Asia Limited; DIRECTORS AND PARTIES INVOLVED IN THE GLOBAL OFFERING Citigroup Global Markets Limited</t>
        </is>
      </c>
      <c r="AE13" s="22" t="n"/>
      <c r="AK13">
        <f>IF(AND(Screener!$B$7&lt;&gt;"",$E13=Screener!$B$7),1,0)</f>
        <v/>
      </c>
      <c r="AL13">
        <f>IF(AND(Screener!$B$6&lt;&gt;"",$D13=Screener!$B$6),1,0)</f>
        <v/>
      </c>
      <c r="AM13">
        <f>IF(OR($H13="",Screener!$B$8=""),0,MAX(0,1-ABS(LOG10($H13/Screener!$B$8))/W_SIZEHW))</f>
        <v/>
      </c>
      <c r="AN13">
        <f>IF(OR($V13="",Screener!$B$9=""),0,IF($V13=Screener!$B$9,1,0))</f>
        <v/>
      </c>
      <c r="AO13">
        <f>IF(OR($AA13="",Screener!$B$10=""),0,IF($AA13=Screener!$B$10,1,0))</f>
        <v/>
      </c>
      <c r="AP13">
        <f>IF($G13="",0,MAX(0,1-(Screener!$B$12-$G13)/W_RECD))</f>
        <v/>
      </c>
      <c r="AQ13">
        <f>IF($B13=Screener!$B$3,-999999,W_SUB*AK13+W_SEC*AL13*(1-AK13)+W_SIZE*AM13+W_PROF*AN13+W_AH*AO13+W_REC*AP13)+ROW()/1000000</f>
        <v/>
      </c>
      <c r="AR13">
        <f>IF(OR('NEW DEAL'!$B$6="",$E13&lt;&gt;'NEW DEAL'!$B$6),-1,1+IF(OR($H13="",'NEW DEAL'!$B$7=""),0,MAX(0,1-ABS(LOG10($H13/'NEW DEAL'!$B$7))/W_SIZEHW)))+ROW()/1000000</f>
        <v/>
      </c>
    </row>
    <row r="14">
      <c r="A14" s="23" t="inlineStr">
        <is>
          <t>1490</t>
        </is>
      </c>
      <c r="B14" s="22" t="inlineStr">
        <is>
          <t>CHESHI</t>
        </is>
      </c>
      <c r="C14" s="22" t="n"/>
      <c r="D14" s="24" t="inlineStr">
        <is>
          <t>TMT-other</t>
        </is>
      </c>
      <c r="E14" s="24" t="inlineStr">
        <is>
          <t>Media / advertising</t>
        </is>
      </c>
      <c r="F14" s="22" t="inlineStr">
        <is>
          <t>Standard</t>
        </is>
      </c>
      <c r="G14" s="25" t="n">
        <v>44211</v>
      </c>
      <c r="H14" s="26" t="n">
        <v>206.3</v>
      </c>
      <c r="I14" s="22" t="inlineStr">
        <is>
          <t>net proceeds</t>
        </is>
      </c>
      <c r="J14" s="27" t="n">
        <v>1.08</v>
      </c>
      <c r="K14" s="27" t="n">
        <v>1.28</v>
      </c>
      <c r="L14" s="27" t="n">
        <v>1.23</v>
      </c>
      <c r="M14" s="28" t="n">
        <v>75</v>
      </c>
      <c r="N14" s="22" t="inlineStr">
        <is>
          <t>N</t>
        </is>
      </c>
      <c r="O14" s="26" t="n">
        <v>1217.8</v>
      </c>
      <c r="P14" s="30" t="n">
        <v>1274.76</v>
      </c>
      <c r="Q14" s="31" t="n"/>
      <c r="R14" s="32" t="n">
        <v>21.95</v>
      </c>
      <c r="S14" s="33" t="n">
        <v>50</v>
      </c>
      <c r="T14" s="32" t="n">
        <v>5</v>
      </c>
      <c r="U14" s="22" t="inlineStr">
        <is>
          <t>not-yet (at allotment)</t>
        </is>
      </c>
      <c r="V14" s="29" t="inlineStr">
        <is>
          <t>Y</t>
        </is>
      </c>
      <c r="W14" s="34" t="n">
        <v>23.2</v>
      </c>
      <c r="X14" s="31" t="n"/>
      <c r="Y14" s="35" t="n"/>
      <c r="Z14" s="36" t="n">
        <v>52.4</v>
      </c>
      <c r="AA14" s="22" t="n"/>
      <c r="AB14" s="22" t="n"/>
      <c r="AC14" s="22" t="inlineStr">
        <is>
          <t>ABCI Capital Limited</t>
        </is>
      </c>
      <c r="AD14" s="22" t="inlineStr">
        <is>
          <t>ABCI Capital Limited; SBI China Capital Financial Services Limited; Harvest International Securities Company Limited; BOCOM International Securities Limited; Central, Hong Kong Haitong International Securities Company Limited; Futu Securities International (Hong Kong) Limited; DIRECTORS AND PARTIES INVOLVED IN THE GLOBAL OFFERING Valuable Capital Limited; Yue Xiu Securities Company Limited</t>
        </is>
      </c>
      <c r="AE14" s="22" t="n"/>
      <c r="AK14">
        <f>IF(AND(Screener!$B$7&lt;&gt;"",$E14=Screener!$B$7),1,0)</f>
        <v/>
      </c>
      <c r="AL14">
        <f>IF(AND(Screener!$B$6&lt;&gt;"",$D14=Screener!$B$6),1,0)</f>
        <v/>
      </c>
      <c r="AM14">
        <f>IF(OR($H14="",Screener!$B$8=""),0,MAX(0,1-ABS(LOG10($H14/Screener!$B$8))/W_SIZEHW))</f>
        <v/>
      </c>
      <c r="AN14">
        <f>IF(OR($V14="",Screener!$B$9=""),0,IF($V14=Screener!$B$9,1,0))</f>
        <v/>
      </c>
      <c r="AO14">
        <f>IF(OR($AA14="",Screener!$B$10=""),0,IF($AA14=Screener!$B$10,1,0))</f>
        <v/>
      </c>
      <c r="AP14">
        <f>IF($G14="",0,MAX(0,1-(Screener!$B$12-$G14)/W_RECD))</f>
        <v/>
      </c>
      <c r="AQ14">
        <f>IF($B14=Screener!$B$3,-999999,W_SUB*AK14+W_SEC*AL14*(1-AK14)+W_SIZE*AM14+W_PROF*AN14+W_AH*AO14+W_REC*AP14)+ROW()/1000000</f>
        <v/>
      </c>
      <c r="AR14">
        <f>IF(OR('NEW DEAL'!$B$6="",$E14&lt;&gt;'NEW DEAL'!$B$6),-1,1+IF(OR($H14="",'NEW DEAL'!$B$7=""),0,MAX(0,1-ABS(LOG10($H14/'NEW DEAL'!$B$7))/W_SIZEHW)))+ROW()/1000000</f>
        <v/>
      </c>
    </row>
    <row r="15">
      <c r="A15" s="23" t="inlineStr">
        <is>
          <t>9608</t>
        </is>
      </c>
      <c r="B15" s="22" t="inlineStr">
        <is>
          <t>SUNDY SERVICE</t>
        </is>
      </c>
      <c r="C15" s="22" t="n"/>
      <c r="D15" s="24" t="inlineStr">
        <is>
          <t>Real Estate</t>
        </is>
      </c>
      <c r="E15" s="24" t="inlineStr">
        <is>
          <t>Property management</t>
        </is>
      </c>
      <c r="F15" s="22" t="inlineStr">
        <is>
          <t>Standard</t>
        </is>
      </c>
      <c r="G15" s="25" t="n">
        <v>44212</v>
      </c>
      <c r="H15" s="26" t="n">
        <v>140.4</v>
      </c>
      <c r="I15" s="22" t="inlineStr">
        <is>
          <t>net proceeds</t>
        </is>
      </c>
      <c r="J15" s="27" t="n">
        <v>0.21</v>
      </c>
      <c r="K15" s="27" t="n">
        <v>0.29</v>
      </c>
      <c r="L15" s="27" t="n">
        <v>0.25</v>
      </c>
      <c r="M15" s="28" t="n">
        <v>50</v>
      </c>
      <c r="N15" s="29" t="inlineStr">
        <is>
          <t>N</t>
        </is>
      </c>
      <c r="O15" s="36" t="n">
        <v>672</v>
      </c>
      <c r="P15" s="30" t="n">
        <v>25.24</v>
      </c>
      <c r="Q15" s="31" t="n"/>
      <c r="R15" s="32" t="n">
        <v>-36</v>
      </c>
      <c r="S15" s="33" t="n">
        <v>30</v>
      </c>
      <c r="T15" s="32" t="n">
        <v>5</v>
      </c>
      <c r="U15" s="22" t="inlineStr">
        <is>
          <t>not-yet (at allotment)</t>
        </is>
      </c>
      <c r="V15" s="29" t="inlineStr">
        <is>
          <t>Y</t>
        </is>
      </c>
      <c r="W15" s="34" t="n">
        <v>17.3</v>
      </c>
      <c r="X15" s="34" t="n">
        <v>2.7</v>
      </c>
      <c r="Y15" s="36" t="n">
        <v>244.7</v>
      </c>
      <c r="Z15" s="36" t="n">
        <v>38.8</v>
      </c>
      <c r="AA15" s="22" t="n"/>
      <c r="AB15" s="22" t="n"/>
      <c r="AC15" s="22" t="inlineStr">
        <is>
          <t>Cinda International Capital Limited</t>
        </is>
      </c>
      <c r="AD15" s="22" t="inlineStr">
        <is>
          <t>Cinda International Capital Limited; Elstone Securities Limited; DIRECTORS AND PARTIES INVOLVED IN THE GLOBAL OFFERING –6 7– Elstone Securities Limited; CCB International Capital Limited; Central, Hong Kong Crosby Securities Limited</t>
        </is>
      </c>
      <c r="AE15" s="22" t="n"/>
      <c r="AK15">
        <f>IF(AND(Screener!$B$7&lt;&gt;"",$E15=Screener!$B$7),1,0)</f>
        <v/>
      </c>
      <c r="AL15">
        <f>IF(AND(Screener!$B$6&lt;&gt;"",$D15=Screener!$B$6),1,0)</f>
        <v/>
      </c>
      <c r="AM15">
        <f>IF(OR($H15="",Screener!$B$8=""),0,MAX(0,1-ABS(LOG10($H15/Screener!$B$8))/W_SIZEHW))</f>
        <v/>
      </c>
      <c r="AN15">
        <f>IF(OR($V15="",Screener!$B$9=""),0,IF($V15=Screener!$B$9,1,0))</f>
        <v/>
      </c>
      <c r="AO15">
        <f>IF(OR($AA15="",Screener!$B$10=""),0,IF($AA15=Screener!$B$10,1,0))</f>
        <v/>
      </c>
      <c r="AP15">
        <f>IF($G15="",0,MAX(0,1-(Screener!$B$12-$G15)/W_RECD))</f>
        <v/>
      </c>
      <c r="AQ15">
        <f>IF($B15=Screener!$B$3,-999999,W_SUB*AK15+W_SEC*AL15*(1-AK15)+W_SIZE*AM15+W_PROF*AN15+W_AH*AO15+W_REC*AP15)+ROW()/1000000</f>
        <v/>
      </c>
      <c r="AR15">
        <f>IF(OR('NEW DEAL'!$B$6="",$E15&lt;&gt;'NEW DEAL'!$B$6),-1,1+IF(OR($H15="",'NEW DEAL'!$B$7=""),0,MAX(0,1-ABS(LOG10($H15/'NEW DEAL'!$B$7))/W_SIZEHW)))+ROW()/1000000</f>
        <v/>
      </c>
    </row>
    <row r="16">
      <c r="A16" s="23" t="inlineStr">
        <is>
          <t>2159</t>
        </is>
      </c>
      <c r="B16" s="22" t="inlineStr">
        <is>
          <t>MEDIWELCOME</t>
        </is>
      </c>
      <c r="C16" s="22" t="n"/>
      <c r="D16" s="24" t="inlineStr">
        <is>
          <t>Healthcare</t>
        </is>
      </c>
      <c r="E16" s="24" t="inlineStr">
        <is>
          <t>Digital health</t>
        </is>
      </c>
      <c r="F16" s="22" t="inlineStr">
        <is>
          <t>Standard</t>
        </is>
      </c>
      <c r="G16" s="25" t="n">
        <v>44215</v>
      </c>
      <c r="H16" s="26" t="n">
        <v>89.3</v>
      </c>
      <c r="I16" s="22" t="inlineStr">
        <is>
          <t>net proceeds</t>
        </is>
      </c>
      <c r="J16" s="27" t="n">
        <v>3</v>
      </c>
      <c r="K16" s="27" t="n">
        <v>4</v>
      </c>
      <c r="L16" s="27" t="n">
        <v>3</v>
      </c>
      <c r="M16" s="28" t="n">
        <v>0</v>
      </c>
      <c r="N16" s="29" t="inlineStr">
        <is>
          <t>N</t>
        </is>
      </c>
      <c r="O16" s="26" t="n">
        <v>322.4</v>
      </c>
      <c r="P16" s="30" t="n">
        <v>168.75</v>
      </c>
      <c r="Q16" s="31" t="n"/>
      <c r="R16" s="32" t="n">
        <v>26.33</v>
      </c>
      <c r="S16" s="33" t="n">
        <v>0</v>
      </c>
      <c r="T16" s="32" t="n">
        <v>15</v>
      </c>
      <c r="U16" s="22" t="inlineStr">
        <is>
          <t>not-yet (at allotment)</t>
        </is>
      </c>
      <c r="V16" s="22" t="n"/>
      <c r="W16" s="31" t="n"/>
      <c r="X16" s="34" t="n">
        <v>0.7</v>
      </c>
      <c r="Y16" s="36" t="n">
        <v>469.9</v>
      </c>
      <c r="Z16" s="35" t="n"/>
      <c r="AA16" s="22" t="n"/>
      <c r="AB16" s="22" t="n"/>
      <c r="AC16" s="22" t="inlineStr">
        <is>
          <t>and Sole Global Coordinator CEB International Capital Corporation Limited</t>
        </is>
      </c>
      <c r="AD16" s="22" t="inlineStr">
        <is>
          <t>CEB International Capital Corporation Limited; Aristo Securities Limited; BOCOM International Securities Limited; CMBC Securities Company Limited; SPDB International Capital Limited</t>
        </is>
      </c>
      <c r="AE16" s="22" t="n"/>
      <c r="AK16">
        <f>IF(AND(Screener!$B$7&lt;&gt;"",$E16=Screener!$B$7),1,0)</f>
        <v/>
      </c>
      <c r="AL16">
        <f>IF(AND(Screener!$B$6&lt;&gt;"",$D16=Screener!$B$6),1,0)</f>
        <v/>
      </c>
      <c r="AM16">
        <f>IF(OR($H16="",Screener!$B$8=""),0,MAX(0,1-ABS(LOG10($H16/Screener!$B$8))/W_SIZEHW))</f>
        <v/>
      </c>
      <c r="AN16">
        <f>IF(OR($V16="",Screener!$B$9=""),0,IF($V16=Screener!$B$9,1,0))</f>
        <v/>
      </c>
      <c r="AO16">
        <f>IF(OR($AA16="",Screener!$B$10=""),0,IF($AA16=Screener!$B$10,1,0))</f>
        <v/>
      </c>
      <c r="AP16">
        <f>IF($G16="",0,MAX(0,1-(Screener!$B$12-$G16)/W_RECD))</f>
        <v/>
      </c>
      <c r="AQ16">
        <f>IF($B16=Screener!$B$3,-999999,W_SUB*AK16+W_SEC*AL16*(1-AK16)+W_SIZE*AM16+W_PROF*AN16+W_AH*AO16+W_REC*AP16)+ROW()/1000000</f>
        <v/>
      </c>
      <c r="AR16">
        <f>IF(OR('NEW DEAL'!$B$6="",$E16&lt;&gt;'NEW DEAL'!$B$6),-1,1+IF(OR($H16="",'NEW DEAL'!$B$7=""),0,MAX(0,1-ABS(LOG10($H16/'NEW DEAL'!$B$7))/W_SIZEHW)))+ROW()/1000000</f>
        <v/>
      </c>
    </row>
    <row r="17">
      <c r="A17" s="23" t="inlineStr">
        <is>
          <t>6668</t>
        </is>
      </c>
      <c r="B17" s="22" t="inlineStr">
        <is>
          <t>E-STAR CM</t>
        </is>
      </c>
      <c r="C17" s="22" t="n"/>
      <c r="D17" s="24" t="inlineStr">
        <is>
          <t>Real Estate</t>
        </is>
      </c>
      <c r="E17" s="24" t="inlineStr">
        <is>
          <t>Property management</t>
        </is>
      </c>
      <c r="F17" s="22" t="inlineStr">
        <is>
          <t>Standard</t>
        </is>
      </c>
      <c r="G17" s="25" t="n">
        <v>44222</v>
      </c>
      <c r="H17" s="26" t="n">
        <v>965</v>
      </c>
      <c r="I17" s="22" t="inlineStr">
        <is>
          <t>gross (price x shares)</t>
        </is>
      </c>
      <c r="J17" s="27" t="n">
        <v>3.2</v>
      </c>
      <c r="K17" s="27" t="n">
        <v>3.88</v>
      </c>
      <c r="L17" s="27" t="n">
        <v>3.86</v>
      </c>
      <c r="M17" s="28" t="n">
        <v>97.09999999999999</v>
      </c>
      <c r="N17" s="29" t="inlineStr">
        <is>
          <t>N</t>
        </is>
      </c>
      <c r="O17" s="26" t="n">
        <v>3482.5</v>
      </c>
      <c r="P17" s="30" t="n">
        <v>1037.52</v>
      </c>
      <c r="Q17" s="31" t="n"/>
      <c r="R17" s="32" t="n">
        <v>3.63</v>
      </c>
      <c r="S17" s="33" t="n">
        <v>1.89</v>
      </c>
      <c r="T17" s="32" t="n">
        <v>8</v>
      </c>
      <c r="U17" s="22" t="n"/>
      <c r="V17" s="22" t="n"/>
      <c r="W17" s="31" t="n"/>
      <c r="X17" s="34" t="n">
        <v>8.199999999999999</v>
      </c>
      <c r="Y17" s="36" t="n">
        <v>426</v>
      </c>
      <c r="Z17" s="35" t="n"/>
      <c r="AA17" s="22" t="n"/>
      <c r="AB17" s="22" t="n"/>
      <c r="AC17" s="22" t="inlineStr">
        <is>
          <t>CCB International Capital Limited; China Securities (International) Corporate Finance Company Limited</t>
        </is>
      </c>
      <c r="AD17" s="22" t="inlineStr">
        <is>
          <t>CCB International Capital Limited; China Securities (International) Corporate Finance Company Limited; Shenwan Hongyuan Securities (H.K.) Limited; ABCI Capital Limited; China Industrial Securities International Capital Limited; UOB Kay Hian (Hong Kong) Limited; HeungKong Securities Limited; Futu Securities International (Hong Kong) Limited; AMTD Global Markets Limited</t>
        </is>
      </c>
      <c r="AE17" s="22" t="n"/>
      <c r="AK17">
        <f>IF(AND(Screener!$B$7&lt;&gt;"",$E17=Screener!$B$7),1,0)</f>
        <v/>
      </c>
      <c r="AL17">
        <f>IF(AND(Screener!$B$6&lt;&gt;"",$D17=Screener!$B$6),1,0)</f>
        <v/>
      </c>
      <c r="AM17">
        <f>IF(OR($H17="",Screener!$B$8=""),0,MAX(0,1-ABS(LOG10($H17/Screener!$B$8))/W_SIZEHW))</f>
        <v/>
      </c>
      <c r="AN17">
        <f>IF(OR($V17="",Screener!$B$9=""),0,IF($V17=Screener!$B$9,1,0))</f>
        <v/>
      </c>
      <c r="AO17">
        <f>IF(OR($AA17="",Screener!$B$10=""),0,IF($AA17=Screener!$B$10,1,0))</f>
        <v/>
      </c>
      <c r="AP17">
        <f>IF($G17="",0,MAX(0,1-(Screener!$B$12-$G17)/W_RECD))</f>
        <v/>
      </c>
      <c r="AQ17">
        <f>IF($B17=Screener!$B$3,-999999,W_SUB*AK17+W_SEC*AL17*(1-AK17)+W_SIZE*AM17+W_PROF*AN17+W_AH*AO17+W_REC*AP17)+ROW()/1000000</f>
        <v/>
      </c>
      <c r="AR17">
        <f>IF(OR('NEW DEAL'!$B$6="",$E17&lt;&gt;'NEW DEAL'!$B$6),-1,1+IF(OR($H17="",'NEW DEAL'!$B$7=""),0,MAX(0,1-ABS(LOG10($H17/'NEW DEAL'!$B$7))/W_SIZEHW)))+ROW()/1000000</f>
        <v/>
      </c>
    </row>
    <row r="18">
      <c r="A18" s="23" t="inlineStr">
        <is>
          <t>2160</t>
        </is>
      </c>
      <c r="B18" s="22" t="inlineStr">
        <is>
          <t>CARDIOFLOW-B</t>
        </is>
      </c>
      <c r="C18" s="22" t="inlineStr">
        <is>
          <t>微创心通医疗科技有限公司</t>
        </is>
      </c>
      <c r="D18" s="24" t="inlineStr">
        <is>
          <t>Healthcare</t>
        </is>
      </c>
      <c r="E18" s="24" t="inlineStr">
        <is>
          <t>Medical devices</t>
        </is>
      </c>
      <c r="F18" s="38" t="inlineStr">
        <is>
          <t>18A</t>
        </is>
      </c>
      <c r="G18" s="25" t="n">
        <v>44231</v>
      </c>
      <c r="H18" s="26" t="n">
        <v>2356</v>
      </c>
      <c r="I18" s="22" t="inlineStr">
        <is>
          <t>net proceeds</t>
        </is>
      </c>
      <c r="J18" s="27" t="n">
        <v>11.1</v>
      </c>
      <c r="K18" s="27" t="n">
        <v>12.2</v>
      </c>
      <c r="L18" s="27" t="n">
        <v>12.2</v>
      </c>
      <c r="M18" s="28" t="n">
        <v>100</v>
      </c>
      <c r="N18" s="22" t="inlineStr">
        <is>
          <t>Y</t>
        </is>
      </c>
      <c r="O18" s="35" t="n"/>
      <c r="P18" s="30" t="n">
        <v>769</v>
      </c>
      <c r="Q18" s="31" t="n"/>
      <c r="R18" s="32" t="n">
        <v>-69.15000000000001</v>
      </c>
      <c r="S18" s="33" t="n">
        <v>5.23</v>
      </c>
      <c r="T18" s="32" t="n">
        <v>8.69</v>
      </c>
      <c r="U18" s="22" t="inlineStr">
        <is>
          <t>not-yet (at allotment)</t>
        </is>
      </c>
      <c r="V18" s="29" t="inlineStr">
        <is>
          <t>N</t>
        </is>
      </c>
      <c r="W18" s="31" t="n"/>
      <c r="X18" s="31" t="n"/>
      <c r="Y18" s="36" t="n">
        <v>53.3</v>
      </c>
      <c r="Z18" s="36" t="n">
        <v>-91.8</v>
      </c>
      <c r="AA18" s="22" t="n"/>
      <c r="AB18" s="22" t="n"/>
      <c r="AC18" s="22" t="inlineStr">
        <is>
          <t>J.P. Morgan Securities (Far East) Limited; Citigroup Global Markets Asia Limited; China International Capital Corporation Hong Kong Securities Limited</t>
        </is>
      </c>
      <c r="AD18" s="22" t="inlineStr">
        <is>
          <t>J.P. Morgan Securities (Asia Pacific) Limited; Citigroup Global Markets Asia Limited; China International Capital Corporation Hong Kong Securities Limited; Managers J.P. Morgan Securities (Asia Pacific) Limited; J.P. Morgan Securities plc; Citigroup Global Markets Limited; Hong Kong Securities Limited</t>
        </is>
      </c>
      <c r="AE18" s="22" t="n"/>
      <c r="AK18">
        <f>IF(AND(Screener!$B$7&lt;&gt;"",$E18=Screener!$B$7),1,0)</f>
        <v/>
      </c>
      <c r="AL18">
        <f>IF(AND(Screener!$B$6&lt;&gt;"",$D18=Screener!$B$6),1,0)</f>
        <v/>
      </c>
      <c r="AM18">
        <f>IF(OR($H18="",Screener!$B$8=""),0,MAX(0,1-ABS(LOG10($H18/Screener!$B$8))/W_SIZEHW))</f>
        <v/>
      </c>
      <c r="AN18">
        <f>IF(OR($V18="",Screener!$B$9=""),0,IF($V18=Screener!$B$9,1,0))</f>
        <v/>
      </c>
      <c r="AO18">
        <f>IF(OR($AA18="",Screener!$B$10=""),0,IF($AA18=Screener!$B$10,1,0))</f>
        <v/>
      </c>
      <c r="AP18">
        <f>IF($G18="",0,MAX(0,1-(Screener!$B$12-$G18)/W_RECD))</f>
        <v/>
      </c>
      <c r="AQ18">
        <f>IF($B18=Screener!$B$3,-999999,W_SUB*AK18+W_SEC*AL18*(1-AK18)+W_SIZE*AM18+W_PROF*AN18+W_AH*AO18+W_REC*AP18)+ROW()/1000000</f>
        <v/>
      </c>
      <c r="AR18">
        <f>IF(OR('NEW DEAL'!$B$6="",$E18&lt;&gt;'NEW DEAL'!$B$6),-1,1+IF(OR($H18="",'NEW DEAL'!$B$7=""),0,MAX(0,1-ABS(LOG10($H18/'NEW DEAL'!$B$7))/W_SIZEHW)))+ROW()/1000000</f>
        <v/>
      </c>
    </row>
    <row r="19">
      <c r="A19" s="23" t="inlineStr">
        <is>
          <t>2161</t>
        </is>
      </c>
      <c r="B19" s="22" t="inlineStr">
        <is>
          <t>JBM HEALTHCARE</t>
        </is>
      </c>
      <c r="C19" s="22" t="n"/>
      <c r="D19" s="24" t="inlineStr">
        <is>
          <t>Healthcare</t>
        </is>
      </c>
      <c r="E19" s="24" t="inlineStr">
        <is>
          <t>Biopharma commercial</t>
        </is>
      </c>
      <c r="F19" s="22" t="inlineStr">
        <is>
          <t>Standard</t>
        </is>
      </c>
      <c r="G19" s="25" t="n">
        <v>44232</v>
      </c>
      <c r="H19" s="26" t="n">
        <v>10.6</v>
      </c>
      <c r="I19" s="22" t="inlineStr">
        <is>
          <t>net proceeds</t>
        </is>
      </c>
      <c r="J19" s="27" t="n"/>
      <c r="K19" s="27" t="n">
        <v>1.2</v>
      </c>
      <c r="L19" s="27" t="n">
        <v>1.2</v>
      </c>
      <c r="M19" s="32" t="n"/>
      <c r="N19" s="29" t="inlineStr">
        <is>
          <t>Y</t>
        </is>
      </c>
      <c r="O19" s="35" t="n"/>
      <c r="P19" s="30" t="n">
        <v>22.47</v>
      </c>
      <c r="Q19" s="31" t="n"/>
      <c r="R19" s="32" t="n">
        <v>80</v>
      </c>
      <c r="S19" s="33" t="n"/>
      <c r="T19" s="32" t="n"/>
      <c r="U19" s="22" t="n"/>
      <c r="V19" s="22" t="n"/>
      <c r="W19" s="31" t="n"/>
      <c r="X19" s="31" t="n"/>
      <c r="Y19" s="35" t="n"/>
      <c r="Z19" s="35" t="n"/>
      <c r="AA19" s="22" t="n"/>
      <c r="AB19" s="22" t="n"/>
      <c r="AC19" s="22" t="n"/>
      <c r="AD19" s="22" t="n"/>
      <c r="AE19" s="22" t="n"/>
      <c r="AK19">
        <f>IF(AND(Screener!$B$7&lt;&gt;"",$E19=Screener!$B$7),1,0)</f>
        <v/>
      </c>
      <c r="AL19">
        <f>IF(AND(Screener!$B$6&lt;&gt;"",$D19=Screener!$B$6),1,0)</f>
        <v/>
      </c>
      <c r="AM19">
        <f>IF(OR($H19="",Screener!$B$8=""),0,MAX(0,1-ABS(LOG10($H19/Screener!$B$8))/W_SIZEHW))</f>
        <v/>
      </c>
      <c r="AN19">
        <f>IF(OR($V19="",Screener!$B$9=""),0,IF($V19=Screener!$B$9,1,0))</f>
        <v/>
      </c>
      <c r="AO19">
        <f>IF(OR($AA19="",Screener!$B$10=""),0,IF($AA19=Screener!$B$10,1,0))</f>
        <v/>
      </c>
      <c r="AP19">
        <f>IF($G19="",0,MAX(0,1-(Screener!$B$12-$G19)/W_RECD))</f>
        <v/>
      </c>
      <c r="AQ19">
        <f>IF($B19=Screener!$B$3,-999999,W_SUB*AK19+W_SEC*AL19*(1-AK19)+W_SIZE*AM19+W_PROF*AN19+W_AH*AO19+W_REC*AP19)+ROW()/1000000</f>
        <v/>
      </c>
      <c r="AR19">
        <f>IF(OR('NEW DEAL'!$B$6="",$E19&lt;&gt;'NEW DEAL'!$B$6),-1,1+IF(OR($H19="",'NEW DEAL'!$B$7=""),0,MAX(0,1-ABS(LOG10($H19/'NEW DEAL'!$B$7))/W_SIZEHW)))+ROW()/1000000</f>
        <v/>
      </c>
    </row>
    <row r="20">
      <c r="A20" s="23" t="inlineStr">
        <is>
          <t>1024</t>
        </is>
      </c>
      <c r="B20" s="22" t="inlineStr">
        <is>
          <t>KUAISHOU-W</t>
        </is>
      </c>
      <c r="C20" s="22" t="n"/>
      <c r="D20" s="24" t="inlineStr">
        <is>
          <t>Tech/AI</t>
        </is>
      </c>
      <c r="E20" s="24" t="inlineStr">
        <is>
          <t>Internet platform / e-commerce</t>
        </is>
      </c>
      <c r="F20" s="38" t="inlineStr">
        <is>
          <t>WVR</t>
        </is>
      </c>
      <c r="G20" s="25" t="n">
        <v>44232</v>
      </c>
      <c r="H20" s="26" t="n">
        <v>41276</v>
      </c>
      <c r="I20" s="22" t="inlineStr">
        <is>
          <t>net proceeds</t>
        </is>
      </c>
      <c r="J20" s="27" t="n">
        <v>105</v>
      </c>
      <c r="K20" s="27" t="n">
        <v>115</v>
      </c>
      <c r="L20" s="27" t="n">
        <v>115</v>
      </c>
      <c r="M20" s="28" t="n">
        <v>100</v>
      </c>
      <c r="N20" s="22" t="inlineStr">
        <is>
          <t>Y</t>
        </is>
      </c>
      <c r="O20" s="35" t="n"/>
      <c r="P20" s="30" t="n">
        <v>1204.16</v>
      </c>
      <c r="Q20" s="31" t="n"/>
      <c r="R20" s="32" t="n">
        <v>160.87</v>
      </c>
      <c r="S20" s="33" t="n">
        <v>45.23</v>
      </c>
      <c r="T20" s="32" t="n">
        <v>18.65</v>
      </c>
      <c r="U20" s="22" t="inlineStr">
        <is>
          <t>not-yet (at allotment)</t>
        </is>
      </c>
      <c r="V20" s="22" t="n"/>
      <c r="W20" s="31" t="n"/>
      <c r="X20" s="31" t="n"/>
      <c r="Y20" s="36" t="n">
        <v>43032.4</v>
      </c>
      <c r="Z20" s="35" t="n"/>
      <c r="AA20" s="22" t="n"/>
      <c r="AB20" s="22" t="n"/>
      <c r="AC20" s="22" t="inlineStr">
        <is>
          <t>Morgan Stanley Asia Limited; Merrill Lynch Far East Limited; Central, Hong Kong China Renaissance Securities (Hong Kong) Limited</t>
        </is>
      </c>
      <c r="AD20" s="22" t="inlineStr">
        <is>
          <t>Morgan Stanley &amp; Co. International plc; Canary Wharf London E14 4QA United Kingdom Merrill Lynch (Asia Pacific) Limited; Central, Hong Kong China Renaissance Securities (Hong Kong) Limited; ICBC International Securities Limited</t>
        </is>
      </c>
      <c r="AE20" s="22" t="n"/>
      <c r="AK20">
        <f>IF(AND(Screener!$B$7&lt;&gt;"",$E20=Screener!$B$7),1,0)</f>
        <v/>
      </c>
      <c r="AL20">
        <f>IF(AND(Screener!$B$6&lt;&gt;"",$D20=Screener!$B$6),1,0)</f>
        <v/>
      </c>
      <c r="AM20">
        <f>IF(OR($H20="",Screener!$B$8=""),0,MAX(0,1-ABS(LOG10($H20/Screener!$B$8))/W_SIZEHW))</f>
        <v/>
      </c>
      <c r="AN20">
        <f>IF(OR($V20="",Screener!$B$9=""),0,IF($V20=Screener!$B$9,1,0))</f>
        <v/>
      </c>
      <c r="AO20">
        <f>IF(OR($AA20="",Screener!$B$10=""),0,IF($AA20=Screener!$B$10,1,0))</f>
        <v/>
      </c>
      <c r="AP20">
        <f>IF($G20="",0,MAX(0,1-(Screener!$B$12-$G20)/W_RECD))</f>
        <v/>
      </c>
      <c r="AQ20">
        <f>IF($B20=Screener!$B$3,-999999,W_SUB*AK20+W_SEC*AL20*(1-AK20)+W_SIZE*AM20+W_PROF*AN20+W_AH*AO20+W_REC*AP20)+ROW()/1000000</f>
        <v/>
      </c>
      <c r="AR20">
        <f>IF(OR('NEW DEAL'!$B$6="",$E20&lt;&gt;'NEW DEAL'!$B$6),-1,1+IF(OR($H20="",'NEW DEAL'!$B$7=""),0,MAX(0,1-ABS(LOG10($H20/'NEW DEAL'!$B$7))/W_SIZEHW)))+ROW()/1000000</f>
        <v/>
      </c>
    </row>
    <row r="21">
      <c r="A21" s="23" t="inlineStr">
        <is>
          <t>2170</t>
        </is>
      </c>
      <c r="B21" s="22" t="inlineStr">
        <is>
          <t>BASECARE-B</t>
        </is>
      </c>
      <c r="C21" s="22" t="inlineStr">
        <is>
          <t>蘇州貝康醫療股份有限公司</t>
        </is>
      </c>
      <c r="D21" s="24" t="inlineStr">
        <is>
          <t>Healthcare</t>
        </is>
      </c>
      <c r="E21" s="24" t="inlineStr">
        <is>
          <t>Medical devices</t>
        </is>
      </c>
      <c r="F21" s="38" t="inlineStr">
        <is>
          <t>18A</t>
        </is>
      </c>
      <c r="G21" s="25" t="n">
        <v>44233</v>
      </c>
      <c r="H21" s="26" t="n">
        <v>1716.7</v>
      </c>
      <c r="I21" s="22" t="inlineStr">
        <is>
          <t>net proceeds</t>
        </is>
      </c>
      <c r="J21" s="27" t="n">
        <v>26.36</v>
      </c>
      <c r="K21" s="27" t="n">
        <v>27.36</v>
      </c>
      <c r="L21" s="27" t="n">
        <v>27.36</v>
      </c>
      <c r="M21" s="28" t="n">
        <v>100</v>
      </c>
      <c r="N21" s="22" t="inlineStr">
        <is>
          <t>Y</t>
        </is>
      </c>
      <c r="O21" s="26" t="n">
        <v>6197.5</v>
      </c>
      <c r="P21" s="30" t="n">
        <v>402.8</v>
      </c>
      <c r="Q21" s="31" t="n"/>
      <c r="R21" s="32" t="n">
        <v>1.24</v>
      </c>
      <c r="S21" s="33" t="n">
        <v>17</v>
      </c>
      <c r="T21" s="32" t="n">
        <v>15</v>
      </c>
      <c r="U21" s="22" t="inlineStr">
        <is>
          <t>not-yet (at allotment)</t>
        </is>
      </c>
      <c r="V21" s="22" t="n"/>
      <c r="W21" s="31" t="n"/>
      <c r="X21" s="34" t="n">
        <v>134.7</v>
      </c>
      <c r="Y21" s="36" t="n">
        <v>46</v>
      </c>
      <c r="Z21" s="35" t="n"/>
      <c r="AA21" s="22" t="n"/>
      <c r="AB21" s="22" t="n"/>
      <c r="AC21" s="22" t="inlineStr">
        <is>
          <t>CLSA Capital Markets Limited</t>
        </is>
      </c>
      <c r="AD21" s="22" t="inlineStr">
        <is>
          <t>CLSA Limited; Citigroup Global Markets Asia Limited; China International Capital Corporation Hong Kong Securities Limited; Citigroup Global Markets Limited; –1 1 2– China International Capital Corporation Hong Kong Securities Limited; Haitong International Securities Company Limited; CMB International Capital Limited; ICBC International Capital Limited; SPDB International Capital Limited</t>
        </is>
      </c>
      <c r="AE21" s="22" t="n"/>
      <c r="AK21">
        <f>IF(AND(Screener!$B$7&lt;&gt;"",$E21=Screener!$B$7),1,0)</f>
        <v/>
      </c>
      <c r="AL21">
        <f>IF(AND(Screener!$B$6&lt;&gt;"",$D21=Screener!$B$6),1,0)</f>
        <v/>
      </c>
      <c r="AM21">
        <f>IF(OR($H21="",Screener!$B$8=""),0,MAX(0,1-ABS(LOG10($H21/Screener!$B$8))/W_SIZEHW))</f>
        <v/>
      </c>
      <c r="AN21">
        <f>IF(OR($V21="",Screener!$B$9=""),0,IF($V21=Screener!$B$9,1,0))</f>
        <v/>
      </c>
      <c r="AO21">
        <f>IF(OR($AA21="",Screener!$B$10=""),0,IF($AA21=Screener!$B$10,1,0))</f>
        <v/>
      </c>
      <c r="AP21">
        <f>IF($G21="",0,MAX(0,1-(Screener!$B$12-$G21)/W_RECD))</f>
        <v/>
      </c>
      <c r="AQ21">
        <f>IF($B21=Screener!$B$3,-999999,W_SUB*AK21+W_SEC*AL21*(1-AK21)+W_SIZE*AM21+W_PROF*AN21+W_AH*AO21+W_REC*AP21)+ROW()/1000000</f>
        <v/>
      </c>
      <c r="AR21">
        <f>IF(OR('NEW DEAL'!$B$6="",$E21&lt;&gt;'NEW DEAL'!$B$6),-1,1+IF(OR($H21="",'NEW DEAL'!$B$7=""),0,MAX(0,1-ABS(LOG10($H21/'NEW DEAL'!$B$7))/W_SIZEHW)))+ROW()/1000000</f>
        <v/>
      </c>
    </row>
    <row r="22">
      <c r="A22" s="23" t="inlineStr">
        <is>
          <t>1473</t>
        </is>
      </c>
      <c r="B22" s="22" t="inlineStr">
        <is>
          <t>PANGAEA CONNECT</t>
        </is>
      </c>
      <c r="C22" s="22" t="n"/>
      <c r="D22" s="24" t="inlineStr">
        <is>
          <t>Tech/AI</t>
        </is>
      </c>
      <c r="E22" s="24" t="inlineStr">
        <is>
          <t>SaaS / enterprise software</t>
        </is>
      </c>
      <c r="F22" s="22" t="inlineStr">
        <is>
          <t>Standard</t>
        </is>
      </c>
      <c r="G22" s="25" t="n">
        <v>44246</v>
      </c>
      <c r="H22" s="26" t="n">
        <v>90.59999999999999</v>
      </c>
      <c r="I22" s="22" t="inlineStr">
        <is>
          <t>net proceeds</t>
        </is>
      </c>
      <c r="J22" s="27" t="n"/>
      <c r="K22" s="27" t="n">
        <v>0.58</v>
      </c>
      <c r="L22" s="27" t="n">
        <v>0.5600000000000001</v>
      </c>
      <c r="M22" s="32" t="n"/>
      <c r="N22" s="29" t="inlineStr">
        <is>
          <t>N</t>
        </is>
      </c>
      <c r="O22" s="36" t="n">
        <v>520</v>
      </c>
      <c r="P22" s="30" t="n">
        <v>64.15000000000001</v>
      </c>
      <c r="Q22" s="31" t="n"/>
      <c r="R22" s="32" t="n">
        <v>26.79</v>
      </c>
      <c r="S22" s="33" t="n">
        <v>0</v>
      </c>
      <c r="T22" s="32" t="n">
        <v>15</v>
      </c>
      <c r="U22" s="22" t="inlineStr">
        <is>
          <t>not-yet (at allotment)</t>
        </is>
      </c>
      <c r="V22" s="29" t="inlineStr">
        <is>
          <t>Y</t>
        </is>
      </c>
      <c r="W22" s="34" t="n">
        <v>14.9</v>
      </c>
      <c r="X22" s="31" t="n"/>
      <c r="Y22" s="35" t="n"/>
      <c r="Z22" s="36" t="n">
        <v>34.9</v>
      </c>
      <c r="AA22" s="22" t="n"/>
      <c r="AB22" s="22" t="n"/>
      <c r="AC22" s="22" t="inlineStr">
        <is>
          <t>Honestum International Limited</t>
        </is>
      </c>
      <c r="AD22" s="22" t="inlineStr">
        <is>
          <t>CMBC Securities Company Limited; Central, Hong Kong Forwin Securities Group Limited; Lego Securities Limited; Central, Hong Kong Crosby Securities Limited; Wanchai, Hong Kong Forwin Securities Group Limited; Wanchai, Hong Kong GLAM Capital Limited</t>
        </is>
      </c>
      <c r="AE22" s="22" t="n"/>
      <c r="AK22">
        <f>IF(AND(Screener!$B$7&lt;&gt;"",$E22=Screener!$B$7),1,0)</f>
        <v/>
      </c>
      <c r="AL22">
        <f>IF(AND(Screener!$B$6&lt;&gt;"",$D22=Screener!$B$6),1,0)</f>
        <v/>
      </c>
      <c r="AM22">
        <f>IF(OR($H22="",Screener!$B$8=""),0,MAX(0,1-ABS(LOG10($H22/Screener!$B$8))/W_SIZEHW))</f>
        <v/>
      </c>
      <c r="AN22">
        <f>IF(OR($V22="",Screener!$B$9=""),0,IF($V22=Screener!$B$9,1,0))</f>
        <v/>
      </c>
      <c r="AO22">
        <f>IF(OR($AA22="",Screener!$B$10=""),0,IF($AA22=Screener!$B$10,1,0))</f>
        <v/>
      </c>
      <c r="AP22">
        <f>IF($G22="",0,MAX(0,1-(Screener!$B$12-$G22)/W_RECD))</f>
        <v/>
      </c>
      <c r="AQ22">
        <f>IF($B22=Screener!$B$3,-999999,W_SUB*AK22+W_SEC*AL22*(1-AK22)+W_SIZE*AM22+W_PROF*AN22+W_AH*AO22+W_REC*AP22)+ROW()/1000000</f>
        <v/>
      </c>
      <c r="AR22">
        <f>IF(OR('NEW DEAL'!$B$6="",$E22&lt;&gt;'NEW DEAL'!$B$6),-1,1+IF(OR($H22="",'NEW DEAL'!$B$7=""),0,MAX(0,1-ABS(LOG10($H22/'NEW DEAL'!$B$7))/W_SIZEHW)))+ROW()/1000000</f>
        <v/>
      </c>
    </row>
    <row r="23">
      <c r="A23" s="23" t="inlineStr">
        <is>
          <t>6127</t>
        </is>
      </c>
      <c r="B23" s="22" t="inlineStr">
        <is>
          <t>JOINN</t>
        </is>
      </c>
      <c r="C23" s="22" t="inlineStr">
        <is>
          <t>北京昭衍新藥研究中心股份有限公司</t>
        </is>
      </c>
      <c r="D23" s="24" t="inlineStr">
        <is>
          <t>Healthcare</t>
        </is>
      </c>
      <c r="E23" s="24" t="inlineStr">
        <is>
          <t>CXO / pharma services</t>
        </is>
      </c>
      <c r="F23" s="22" t="inlineStr">
        <is>
          <t>Standard</t>
        </is>
      </c>
      <c r="G23" s="25" t="n">
        <v>44253</v>
      </c>
      <c r="H23" s="26" t="n">
        <v>6286.1</v>
      </c>
      <c r="I23" s="22" t="inlineStr">
        <is>
          <t>net proceeds</t>
        </is>
      </c>
      <c r="J23" s="27" t="n">
        <v>133</v>
      </c>
      <c r="K23" s="27" t="n">
        <v>151</v>
      </c>
      <c r="L23" s="27" t="n">
        <v>151</v>
      </c>
      <c r="M23" s="28" t="n">
        <v>100</v>
      </c>
      <c r="N23" s="29" t="inlineStr">
        <is>
          <t>Y</t>
        </is>
      </c>
      <c r="O23" s="35" t="n"/>
      <c r="P23" s="30" t="n">
        <v>310</v>
      </c>
      <c r="Q23" s="31" t="n"/>
      <c r="R23" s="32" t="n">
        <v>-8.609999999999999</v>
      </c>
      <c r="S23" s="33" t="n">
        <v>31.8</v>
      </c>
      <c r="T23" s="32" t="n">
        <v>5.8</v>
      </c>
      <c r="U23" s="22" t="inlineStr">
        <is>
          <t>not-yet (at allotment)</t>
        </is>
      </c>
      <c r="V23" s="22" t="n"/>
      <c r="W23" s="31" t="n"/>
      <c r="X23" s="31" t="n"/>
      <c r="Y23" s="35" t="n"/>
      <c r="Z23" s="35" t="n"/>
      <c r="AA23" s="22" t="inlineStr">
        <is>
          <t>Y</t>
        </is>
      </c>
      <c r="AB23" s="22" t="inlineStr">
        <is>
          <t>603127.SS</t>
        </is>
      </c>
      <c r="AC23" s="22" t="inlineStr">
        <is>
          <t>CLSA Capital Markets Limited</t>
        </is>
      </c>
      <c r="AD23" s="22" t="inlineStr">
        <is>
          <t>CLSA Limited; Merrill Lynch (Asia Pacific) Limited; China International Capital Corporation Hong Kong Securities Limited; Haitong International Securities Company Limited; BOCI Asia Limited; CMB International Capital Limited; BOCOM International Securities Limited; ICBC International Capital Limited</t>
        </is>
      </c>
      <c r="AE23" s="22" t="n"/>
      <c r="AK23">
        <f>IF(AND(Screener!$B$7&lt;&gt;"",$E23=Screener!$B$7),1,0)</f>
        <v/>
      </c>
      <c r="AL23">
        <f>IF(AND(Screener!$B$6&lt;&gt;"",$D23=Screener!$B$6),1,0)</f>
        <v/>
      </c>
      <c r="AM23">
        <f>IF(OR($H23="",Screener!$B$8=""),0,MAX(0,1-ABS(LOG10($H23/Screener!$B$8))/W_SIZEHW))</f>
        <v/>
      </c>
      <c r="AN23">
        <f>IF(OR($V23="",Screener!$B$9=""),0,IF($V23=Screener!$B$9,1,0))</f>
        <v/>
      </c>
      <c r="AO23">
        <f>IF(OR($AA23="",Screener!$B$10=""),0,IF($AA23=Screener!$B$10,1,0))</f>
        <v/>
      </c>
      <c r="AP23">
        <f>IF($G23="",0,MAX(0,1-(Screener!$B$12-$G23)/W_RECD))</f>
        <v/>
      </c>
      <c r="AQ23">
        <f>IF($B23=Screener!$B$3,-999999,W_SUB*AK23+W_SEC*AL23*(1-AK23)+W_SIZE*AM23+W_PROF*AN23+W_AH*AO23+W_REC*AP23)+ROW()/1000000</f>
        <v/>
      </c>
      <c r="AR23">
        <f>IF(OR('NEW DEAL'!$B$6="",$E23&lt;&gt;'NEW DEAL'!$B$6),-1,1+IF(OR($H23="",'NEW DEAL'!$B$7=""),0,MAX(0,1-ABS(LOG10($H23/'NEW DEAL'!$B$7))/W_SIZEHW)))+ROW()/1000000</f>
        <v/>
      </c>
    </row>
    <row r="24">
      <c r="A24" s="23" t="inlineStr">
        <is>
          <t>6601</t>
        </is>
      </c>
      <c r="B24" s="22" t="inlineStr">
        <is>
          <t>CHEERWIN GP</t>
        </is>
      </c>
      <c r="C24" s="22" t="inlineStr">
        <is>
          <t>朝雲集團有限公司</t>
        </is>
      </c>
      <c r="D24" s="24" t="inlineStr">
        <is>
          <t>Consumer</t>
        </is>
      </c>
      <c r="E24" s="24" t="inlineStr">
        <is>
          <t>Beauty / personal care</t>
        </is>
      </c>
      <c r="F24" s="22" t="inlineStr">
        <is>
          <t>Standard</t>
        </is>
      </c>
      <c r="G24" s="25" t="n">
        <v>44265</v>
      </c>
      <c r="H24" s="26" t="n">
        <v>2888.4</v>
      </c>
      <c r="I24" s="22" t="inlineStr">
        <is>
          <t>net proceeds</t>
        </is>
      </c>
      <c r="J24" s="27" t="n"/>
      <c r="K24" s="27" t="n">
        <v>9.199999999999999</v>
      </c>
      <c r="L24" s="27" t="n">
        <v>9.199999999999999</v>
      </c>
      <c r="M24" s="32" t="n"/>
      <c r="N24" s="29" t="inlineStr">
        <is>
          <t>Y</t>
        </is>
      </c>
      <c r="O24" s="26" t="n">
        <v>19256</v>
      </c>
      <c r="P24" s="30" t="n">
        <v>172.32</v>
      </c>
      <c r="Q24" s="31" t="n"/>
      <c r="R24" s="32" t="n">
        <v>-13.15</v>
      </c>
      <c r="S24" s="33" t="n">
        <v>0</v>
      </c>
      <c r="T24" s="32" t="n">
        <v>6</v>
      </c>
      <c r="U24" s="22" t="inlineStr">
        <is>
          <t>not-yet (at allotment)</t>
        </is>
      </c>
      <c r="V24" s="29" t="inlineStr">
        <is>
          <t>Y</t>
        </is>
      </c>
      <c r="W24" s="34" t="n">
        <v>95</v>
      </c>
      <c r="X24" s="34" t="n">
        <v>12.7</v>
      </c>
      <c r="Y24" s="36" t="n">
        <v>1521.7</v>
      </c>
      <c r="Z24" s="36" t="n">
        <v>202.8</v>
      </c>
      <c r="AA24" s="22" t="n"/>
      <c r="AB24" s="22" t="n"/>
      <c r="AC24" s="22" t="inlineStr">
        <is>
          <t>Morgan Stanley Asia Limited; China International Capital Corporation Hong Kong Securities Limited</t>
        </is>
      </c>
      <c r="AD24" s="22" t="inlineStr">
        <is>
          <t>Morgan Stanley Asia Limited; China International Capital Corporation Hong Kong Securities Limited</t>
        </is>
      </c>
      <c r="AE24" s="22" t="n"/>
      <c r="AK24">
        <f>IF(AND(Screener!$B$7&lt;&gt;"",$E24=Screener!$B$7),1,0)</f>
        <v/>
      </c>
      <c r="AL24">
        <f>IF(AND(Screener!$B$6&lt;&gt;"",$D24=Screener!$B$6),1,0)</f>
        <v/>
      </c>
      <c r="AM24">
        <f>IF(OR($H24="",Screener!$B$8=""),0,MAX(0,1-ABS(LOG10($H24/Screener!$B$8))/W_SIZEHW))</f>
        <v/>
      </c>
      <c r="AN24">
        <f>IF(OR($V24="",Screener!$B$9=""),0,IF($V24=Screener!$B$9,1,0))</f>
        <v/>
      </c>
      <c r="AO24">
        <f>IF(OR($AA24="",Screener!$B$10=""),0,IF($AA24=Screener!$B$10,1,0))</f>
        <v/>
      </c>
      <c r="AP24">
        <f>IF($G24="",0,MAX(0,1-(Screener!$B$12-$G24)/W_RECD))</f>
        <v/>
      </c>
      <c r="AQ24">
        <f>IF($B24=Screener!$B$3,-999999,W_SUB*AK24+W_SEC*AL24*(1-AK24)+W_SIZE*AM24+W_PROF*AN24+W_AH*AO24+W_REC*AP24)+ROW()/1000000</f>
        <v/>
      </c>
      <c r="AR24">
        <f>IF(OR('NEW DEAL'!$B$6="",$E24&lt;&gt;'NEW DEAL'!$B$6),-1,1+IF(OR($H24="",'NEW DEAL'!$B$7=""),0,MAX(0,1-ABS(LOG10($H24/'NEW DEAL'!$B$7))/W_SIZEHW)))+ROW()/1000000</f>
        <v/>
      </c>
    </row>
    <row r="25">
      <c r="A25" s="23" t="inlineStr">
        <is>
          <t>1413</t>
        </is>
      </c>
      <c r="B25" s="22" t="inlineStr">
        <is>
          <t>KWONG LUEN ENG</t>
        </is>
      </c>
      <c r="C25" s="22" t="n"/>
      <c r="D25" s="24" t="inlineStr">
        <is>
          <t>Industrials</t>
        </is>
      </c>
      <c r="E25" s="24" t="inlineStr">
        <is>
          <t>Construction / engineering</t>
        </is>
      </c>
      <c r="F25" s="22" t="inlineStr">
        <is>
          <t>Standard</t>
        </is>
      </c>
      <c r="G25" s="25" t="n">
        <v>44266</v>
      </c>
      <c r="H25" s="26" t="n">
        <v>97.09999999999999</v>
      </c>
      <c r="I25" s="22" t="inlineStr">
        <is>
          <t>net proceeds</t>
        </is>
      </c>
      <c r="J25" s="27" t="n">
        <v>0.5</v>
      </c>
      <c r="K25" s="27" t="n">
        <v>0.54</v>
      </c>
      <c r="L25" s="27" t="n">
        <v>0.54</v>
      </c>
      <c r="M25" s="28" t="n">
        <v>100</v>
      </c>
      <c r="N25" s="29" t="inlineStr">
        <is>
          <t>Y</t>
        </is>
      </c>
      <c r="O25" s="35" t="n"/>
      <c r="P25" s="30" t="n">
        <v>54.29</v>
      </c>
      <c r="Q25" s="31" t="n"/>
      <c r="R25" s="32" t="n">
        <v>-22.22</v>
      </c>
      <c r="S25" s="33" t="n">
        <v>0</v>
      </c>
      <c r="T25" s="32" t="n">
        <v>15</v>
      </c>
      <c r="U25" s="22" t="inlineStr">
        <is>
          <t>not-yet (at allotment)</t>
        </is>
      </c>
      <c r="V25" s="29" t="inlineStr">
        <is>
          <t>Y</t>
        </is>
      </c>
      <c r="W25" s="31" t="n"/>
      <c r="X25" s="31" t="n"/>
      <c r="Y25" s="36" t="n">
        <v>404.8</v>
      </c>
      <c r="Z25" s="36" t="n">
        <v>38.4</v>
      </c>
      <c r="AA25" s="22" t="n"/>
      <c r="AB25" s="22" t="n"/>
      <c r="AC25" s="22" t="n"/>
      <c r="AD25" s="22" t="inlineStr">
        <is>
          <t>Space Securities Limited; CMBC Securities Company Limited; Innovax Securities Limited; SPDB International Capital Limited</t>
        </is>
      </c>
      <c r="AE25" s="22" t="n"/>
      <c r="AK25">
        <f>IF(AND(Screener!$B$7&lt;&gt;"",$E25=Screener!$B$7),1,0)</f>
        <v/>
      </c>
      <c r="AL25">
        <f>IF(AND(Screener!$B$6&lt;&gt;"",$D25=Screener!$B$6),1,0)</f>
        <v/>
      </c>
      <c r="AM25">
        <f>IF(OR($H25="",Screener!$B$8=""),0,MAX(0,1-ABS(LOG10($H25/Screener!$B$8))/W_SIZEHW))</f>
        <v/>
      </c>
      <c r="AN25">
        <f>IF(OR($V25="",Screener!$B$9=""),0,IF($V25=Screener!$B$9,1,0))</f>
        <v/>
      </c>
      <c r="AO25">
        <f>IF(OR($AA25="",Screener!$B$10=""),0,IF($AA25=Screener!$B$10,1,0))</f>
        <v/>
      </c>
      <c r="AP25">
        <f>IF($G25="",0,MAX(0,1-(Screener!$B$12-$G25)/W_RECD))</f>
        <v/>
      </c>
      <c r="AQ25">
        <f>IF($B25=Screener!$B$3,-999999,W_SUB*AK25+W_SEC*AL25*(1-AK25)+W_SIZE*AM25+W_PROF*AN25+W_AH*AO25+W_REC*AP25)+ROW()/1000000</f>
        <v/>
      </c>
      <c r="AR25">
        <f>IF(OR('NEW DEAL'!$B$6="",$E25&lt;&gt;'NEW DEAL'!$B$6),-1,1+IF(OR($H25="",'NEW DEAL'!$B$7=""),0,MAX(0,1-ABS(LOG10($H25/'NEW DEAL'!$B$7))/W_SIZEHW)))+ROW()/1000000</f>
        <v/>
      </c>
    </row>
    <row r="26">
      <c r="A26" s="23" t="inlineStr">
        <is>
          <t>2518</t>
        </is>
      </c>
      <c r="B26" s="22" t="inlineStr">
        <is>
          <t>AUTOHOME-S</t>
        </is>
      </c>
      <c r="C26" s="22" t="n"/>
      <c r="D26" s="24" t="inlineStr">
        <is>
          <t>Tech/AI</t>
        </is>
      </c>
      <c r="E26" s="24" t="inlineStr">
        <is>
          <t>Internet platform / e-commerce</t>
        </is>
      </c>
      <c r="F26" s="38" t="inlineStr">
        <is>
          <t>Secondary</t>
        </is>
      </c>
      <c r="G26" s="25" t="n">
        <v>44268</v>
      </c>
      <c r="H26" s="26" t="n">
        <v>3444.5</v>
      </c>
      <c r="I26" s="22" t="inlineStr">
        <is>
          <t>net proceeds</t>
        </is>
      </c>
      <c r="J26" s="27" t="n"/>
      <c r="K26" s="27" t="n">
        <v>251.8</v>
      </c>
      <c r="L26" s="27" t="n">
        <v>176.3</v>
      </c>
      <c r="M26" s="32" t="n"/>
      <c r="N26" s="29" t="inlineStr">
        <is>
          <t>N</t>
        </is>
      </c>
      <c r="O26" s="35" t="n"/>
      <c r="P26" s="30" t="n">
        <v>10.71</v>
      </c>
      <c r="Q26" s="31" t="n"/>
      <c r="R26" s="32" t="n">
        <v>2.1</v>
      </c>
      <c r="S26" s="33" t="n"/>
      <c r="T26" s="32" t="n">
        <v>6</v>
      </c>
      <c r="U26" s="22" t="inlineStr">
        <is>
          <t>not-yet (at allotment)</t>
        </is>
      </c>
      <c r="V26" s="22" t="n"/>
      <c r="W26" s="31" t="n"/>
      <c r="X26" s="31" t="n"/>
      <c r="Y26" s="35" t="n"/>
      <c r="Z26" s="35" t="n"/>
      <c r="AA26" s="22" t="n"/>
      <c r="AB26" s="22" t="n"/>
      <c r="AC26" s="22" t="inlineStr">
        <is>
          <t>China International Capital Corporation Hong Kong Securities Limited; (in alphabetical order with no ranking assigned) Credit Suisse (Hong Kong) Limited; DIRECTORS AND PARTIES INVOLVED IN THE GLOBAL OFFERING Goldman Sachs (Asia) L.L.C</t>
        </is>
      </c>
      <c r="AD26" s="22" t="inlineStr">
        <is>
          <t>China International Capital Corporation Hong Kong Securities Limited; (in alphabetical order with no ranking assigned) Credit Suisse (Hong Kong) Limited; The Hongkong and Shanghai Banking Corporation Limited; Deutsche Bank AG, Hong Kong Branch; China PA Securities (Hong Kong) Company Limited; ABCI Capital Limited</t>
        </is>
      </c>
      <c r="AE26" s="22" t="n"/>
      <c r="AK26">
        <f>IF(AND(Screener!$B$7&lt;&gt;"",$E26=Screener!$B$7),1,0)</f>
        <v/>
      </c>
      <c r="AL26">
        <f>IF(AND(Screener!$B$6&lt;&gt;"",$D26=Screener!$B$6),1,0)</f>
        <v/>
      </c>
      <c r="AM26">
        <f>IF(OR($H26="",Screener!$B$8=""),0,MAX(0,1-ABS(LOG10($H26/Screener!$B$8))/W_SIZEHW))</f>
        <v/>
      </c>
      <c r="AN26">
        <f>IF(OR($V26="",Screener!$B$9=""),0,IF($V26=Screener!$B$9,1,0))</f>
        <v/>
      </c>
      <c r="AO26">
        <f>IF(OR($AA26="",Screener!$B$10=""),0,IF($AA26=Screener!$B$10,1,0))</f>
        <v/>
      </c>
      <c r="AP26">
        <f>IF($G26="",0,MAX(0,1-(Screener!$B$12-$G26)/W_RECD))</f>
        <v/>
      </c>
      <c r="AQ26">
        <f>IF($B26=Screener!$B$3,-999999,W_SUB*AK26+W_SEC*AL26*(1-AK26)+W_SIZE*AM26+W_PROF*AN26+W_AH*AO26+W_REC*AP26)+ROW()/1000000</f>
        <v/>
      </c>
      <c r="AR26">
        <f>IF(OR('NEW DEAL'!$B$6="",$E26&lt;&gt;'NEW DEAL'!$B$6),-1,1+IF(OR($H26="",'NEW DEAL'!$B$7=""),0,MAX(0,1-ABS(LOG10($H26/'NEW DEAL'!$B$7))/W_SIZEHW)))+ROW()/1000000</f>
        <v/>
      </c>
    </row>
    <row r="27">
      <c r="A27" s="23" t="inlineStr">
        <is>
          <t>1927</t>
        </is>
      </c>
      <c r="B27" s="22" t="inlineStr">
        <is>
          <t>JIUJIUWANG</t>
        </is>
      </c>
      <c r="C27" s="22" t="n"/>
      <c r="D27" s="24" t="inlineStr">
        <is>
          <t>Consumer</t>
        </is>
      </c>
      <c r="E27" s="24" t="inlineStr">
        <is>
          <t>Beverages / packaged food</t>
        </is>
      </c>
      <c r="F27" s="22" t="inlineStr">
        <is>
          <t>Standard</t>
        </is>
      </c>
      <c r="G27" s="39" t="n">
        <v>44271</v>
      </c>
      <c r="H27" s="26" t="n">
        <v>79</v>
      </c>
      <c r="I27" s="22" t="inlineStr">
        <is>
          <t>net proceeds</t>
        </is>
      </c>
      <c r="J27" s="27" t="n">
        <v>0.65</v>
      </c>
      <c r="K27" s="27" t="n">
        <v>0.75</v>
      </c>
      <c r="L27" s="27" t="n">
        <v>0.75</v>
      </c>
      <c r="M27" s="28" t="n">
        <v>100</v>
      </c>
      <c r="N27" s="29" t="inlineStr">
        <is>
          <t>Y</t>
        </is>
      </c>
      <c r="O27" s="26" t="n">
        <v>225.7</v>
      </c>
      <c r="P27" s="30" t="n">
        <v>36</v>
      </c>
      <c r="Q27" s="31" t="n"/>
      <c r="R27" s="32" t="n">
        <v>-26.67</v>
      </c>
      <c r="S27" s="33" t="n">
        <v>0</v>
      </c>
      <c r="T27" s="32" t="n">
        <v>15</v>
      </c>
      <c r="U27" s="22" t="inlineStr">
        <is>
          <t>not-yet (at allotment)</t>
        </is>
      </c>
      <c r="V27" s="29" t="inlineStr">
        <is>
          <t>Y</t>
        </is>
      </c>
      <c r="W27" s="34" t="n">
        <v>4.8</v>
      </c>
      <c r="X27" s="34" t="n">
        <v>0.5</v>
      </c>
      <c r="Y27" s="36" t="n">
        <v>455.5</v>
      </c>
      <c r="Z27" s="36" t="n">
        <v>47.5</v>
      </c>
      <c r="AA27" s="22" t="n"/>
      <c r="AB27" s="22" t="n"/>
      <c r="AC27" s="22" t="inlineStr">
        <is>
          <t>Lego Corporate Finance Limited</t>
        </is>
      </c>
      <c r="AD27" s="22" t="n"/>
      <c r="AE27" s="22" t="n"/>
      <c r="AK27">
        <f>IF(AND(Screener!$B$7&lt;&gt;"",$E27=Screener!$B$7),1,0)</f>
        <v/>
      </c>
      <c r="AL27">
        <f>IF(AND(Screener!$B$6&lt;&gt;"",$D27=Screener!$B$6),1,0)</f>
        <v/>
      </c>
      <c r="AM27">
        <f>IF(OR($H27="",Screener!$B$8=""),0,MAX(0,1-ABS(LOG10($H27/Screener!$B$8))/W_SIZEHW))</f>
        <v/>
      </c>
      <c r="AN27">
        <f>IF(OR($V27="",Screener!$B$9=""),0,IF($V27=Screener!$B$9,1,0))</f>
        <v/>
      </c>
      <c r="AO27">
        <f>IF(OR($AA27="",Screener!$B$10=""),0,IF($AA27=Screener!$B$10,1,0))</f>
        <v/>
      </c>
      <c r="AP27">
        <f>IF($G27="",0,MAX(0,1-(Screener!$B$12-$G27)/W_RECD))</f>
        <v/>
      </c>
      <c r="AQ27">
        <f>IF($B27=Screener!$B$3,-999999,W_SUB*AK27+W_SEC*AL27*(1-AK27)+W_SIZE*AM27+W_PROF*AN27+W_AH*AO27+W_REC*AP27)+ROW()/1000000</f>
        <v/>
      </c>
      <c r="AR27">
        <f>IF(OR('NEW DEAL'!$B$6="",$E27&lt;&gt;'NEW DEAL'!$B$6),-1,1+IF(OR($H27="",'NEW DEAL'!$B$7=""),0,MAX(0,1-ABS(LOG10($H27/'NEW DEAL'!$B$7))/W_SIZEHW)))+ROW()/1000000</f>
        <v/>
      </c>
    </row>
    <row r="28">
      <c r="A28" s="23" t="inlineStr">
        <is>
          <t>9888</t>
        </is>
      </c>
      <c r="B28" s="22" t="inlineStr">
        <is>
          <t>BIDU-SW</t>
        </is>
      </c>
      <c r="C28" s="22" t="n"/>
      <c r="D28" s="24" t="inlineStr">
        <is>
          <t>Tech/AI</t>
        </is>
      </c>
      <c r="E28" s="24" t="inlineStr">
        <is>
          <t>Internet platform / e-commerce</t>
        </is>
      </c>
      <c r="F28" s="38" t="inlineStr">
        <is>
          <t>Secondary + WVR</t>
        </is>
      </c>
      <c r="G28" s="25" t="n">
        <v>44278</v>
      </c>
      <c r="H28" s="26" t="n">
        <v>23682</v>
      </c>
      <c r="I28" s="22" t="inlineStr">
        <is>
          <t>net proceeds</t>
        </is>
      </c>
      <c r="J28" s="27" t="n"/>
      <c r="K28" s="27" t="n">
        <v>295</v>
      </c>
      <c r="L28" s="27" t="n">
        <v>252</v>
      </c>
      <c r="M28" s="32" t="n"/>
      <c r="N28" s="29" t="inlineStr">
        <is>
          <t>N</t>
        </is>
      </c>
      <c r="O28" s="35" t="n"/>
      <c r="P28" s="30" t="n">
        <v>112.01</v>
      </c>
      <c r="Q28" s="31" t="n"/>
      <c r="R28" s="32" t="n">
        <v>0</v>
      </c>
      <c r="S28" s="33" t="n">
        <v>9</v>
      </c>
      <c r="T28" s="32" t="n">
        <v>10</v>
      </c>
      <c r="U28" s="22" t="inlineStr">
        <is>
          <t>not-yet (at allotment)</t>
        </is>
      </c>
      <c r="V28" s="22" t="n"/>
      <c r="W28" s="31" t="n"/>
      <c r="X28" s="31" t="n"/>
      <c r="Y28" s="35" t="n"/>
      <c r="Z28" s="35" t="n"/>
      <c r="AA28" s="22" t="n"/>
      <c r="AB28" s="22" t="n"/>
      <c r="AC28" s="22" t="inlineStr">
        <is>
          <t>Merrill Lynch (Asia Pacific) Limited; CLSA Capital Markets Limited; Goldman Sachs (Asia) L.L.C; CLSA Limited; DIRECTORS AND PARTIES INVOLVED IN THE GLOBAL OFFERING Goldman Sachs (Asia) L.L.C</t>
        </is>
      </c>
      <c r="AD28" s="22" t="inlineStr">
        <is>
          <t>Securities Limited; UBS AG Hong Kong Branch; CCB International Capital Limited; Managers UBS Securities LLC; New York New York 10019 United States China Renaissance Securities (Hong Kong) Limited; Nomura International (Hong Kong) Limited; Citigroup Global Markets Asia Limited; DIRECTORS AND PARTIES INVOLVED IN THE GLOBAL OFFERING Citigroup Global Markets Limited; Canary Wharf London E14 5LB United Kingdom ICBC International Capital Limited; ICBC International Securities Limited; ABCI SECURITIES COMPANY LIMITED</t>
        </is>
      </c>
      <c r="AE28" s="22" t="n"/>
      <c r="AK28">
        <f>IF(AND(Screener!$B$7&lt;&gt;"",$E28=Screener!$B$7),1,0)</f>
        <v/>
      </c>
      <c r="AL28">
        <f>IF(AND(Screener!$B$6&lt;&gt;"",$D28=Screener!$B$6),1,0)</f>
        <v/>
      </c>
      <c r="AM28">
        <f>IF(OR($H28="",Screener!$B$8=""),0,MAX(0,1-ABS(LOG10($H28/Screener!$B$8))/W_SIZEHW))</f>
        <v/>
      </c>
      <c r="AN28">
        <f>IF(OR($V28="",Screener!$B$9=""),0,IF($V28=Screener!$B$9,1,0))</f>
        <v/>
      </c>
      <c r="AO28">
        <f>IF(OR($AA28="",Screener!$B$10=""),0,IF($AA28=Screener!$B$10,1,0))</f>
        <v/>
      </c>
      <c r="AP28">
        <f>IF($G28="",0,MAX(0,1-(Screener!$B$12-$G28)/W_RECD))</f>
        <v/>
      </c>
      <c r="AQ28">
        <f>IF($B28=Screener!$B$3,-999999,W_SUB*AK28+W_SEC*AL28*(1-AK28)+W_SIZE*AM28+W_PROF*AN28+W_AH*AO28+W_REC*AP28)+ROW()/1000000</f>
        <v/>
      </c>
      <c r="AR28">
        <f>IF(OR('NEW DEAL'!$B$6="",$E28&lt;&gt;'NEW DEAL'!$B$6),-1,1+IF(OR($H28="",'NEW DEAL'!$B$7=""),0,MAX(0,1-ABS(LOG10($H28/'NEW DEAL'!$B$7))/W_SIZEHW)))+ROW()/1000000</f>
        <v/>
      </c>
    </row>
    <row r="29">
      <c r="A29" s="23" t="inlineStr">
        <is>
          <t>2187</t>
        </is>
      </c>
      <c r="B29" s="22" t="inlineStr">
        <is>
          <t>ZHIXIN GP HLDG</t>
        </is>
      </c>
      <c r="C29" s="22" t="inlineStr">
        <is>
          <t>智欣集團控股有限公司</t>
        </is>
      </c>
      <c r="D29" s="24" t="inlineStr">
        <is>
          <t>Industrials</t>
        </is>
      </c>
      <c r="E29" s="24" t="inlineStr">
        <is>
          <t>Construction / engineering</t>
        </is>
      </c>
      <c r="F29" s="22" t="inlineStr">
        <is>
          <t>Standard</t>
        </is>
      </c>
      <c r="G29" s="25" t="n">
        <v>44281</v>
      </c>
      <c r="H29" s="26" t="n">
        <v>241.4</v>
      </c>
      <c r="I29" s="22" t="inlineStr">
        <is>
          <t>net proceeds</t>
        </is>
      </c>
      <c r="J29" s="27" t="n"/>
      <c r="K29" s="27" t="n">
        <v>1.5</v>
      </c>
      <c r="L29" s="27" t="n">
        <v>1.5</v>
      </c>
      <c r="M29" s="32" t="n"/>
      <c r="N29" s="29" t="inlineStr">
        <is>
          <t>Y</t>
        </is>
      </c>
      <c r="O29" s="36" t="n">
        <v>1122</v>
      </c>
      <c r="P29" s="40" t="n"/>
      <c r="Q29" s="31" t="n"/>
      <c r="R29" s="32" t="n">
        <v>-29.33</v>
      </c>
      <c r="S29" s="33" t="n">
        <v>20</v>
      </c>
      <c r="T29" s="32" t="n"/>
      <c r="U29" s="22" t="n"/>
      <c r="V29" s="29" t="inlineStr">
        <is>
          <t>Y</t>
        </is>
      </c>
      <c r="W29" s="34" t="n">
        <v>24.4</v>
      </c>
      <c r="X29" s="34" t="n">
        <v>1.7</v>
      </c>
      <c r="Y29" s="36" t="n">
        <v>649.9</v>
      </c>
      <c r="Z29" s="36" t="n">
        <v>46</v>
      </c>
      <c r="AA29" s="22" t="n"/>
      <c r="AB29" s="22" t="n"/>
      <c r="AC29" s="22" t="inlineStr">
        <is>
          <t>Kingsway Capital Limited</t>
        </is>
      </c>
      <c r="AD29" s="22" t="inlineStr">
        <is>
          <t>Managers Kingsway Financial Services Group Limited; Seazen Resources Securities Limited; Zhongtai International Securities Limited; SPDB International Capital Limited</t>
        </is>
      </c>
      <c r="AE29" s="22" t="n"/>
      <c r="AK29">
        <f>IF(AND(Screener!$B$7&lt;&gt;"",$E29=Screener!$B$7),1,0)</f>
        <v/>
      </c>
      <c r="AL29">
        <f>IF(AND(Screener!$B$6&lt;&gt;"",$D29=Screener!$B$6),1,0)</f>
        <v/>
      </c>
      <c r="AM29">
        <f>IF(OR($H29="",Screener!$B$8=""),0,MAX(0,1-ABS(LOG10($H29/Screener!$B$8))/W_SIZEHW))</f>
        <v/>
      </c>
      <c r="AN29">
        <f>IF(OR($V29="",Screener!$B$9=""),0,IF($V29=Screener!$B$9,1,0))</f>
        <v/>
      </c>
      <c r="AO29">
        <f>IF(OR($AA29="",Screener!$B$10=""),0,IF($AA29=Screener!$B$10,1,0))</f>
        <v/>
      </c>
      <c r="AP29">
        <f>IF($G29="",0,MAX(0,1-(Screener!$B$12-$G29)/W_RECD))</f>
        <v/>
      </c>
      <c r="AQ29">
        <f>IF($B29=Screener!$B$3,-999999,W_SUB*AK29+W_SEC*AL29*(1-AK29)+W_SIZE*AM29+W_PROF*AN29+W_AH*AO29+W_REC*AP29)+ROW()/1000000</f>
        <v/>
      </c>
      <c r="AR29">
        <f>IF(OR('NEW DEAL'!$B$6="",$E29&lt;&gt;'NEW DEAL'!$B$6),-1,1+IF(OR($H29="",'NEW DEAL'!$B$7=""),0,MAX(0,1-ABS(LOG10($H29/'NEW DEAL'!$B$7))/W_SIZEHW)))+ROW()/1000000</f>
        <v/>
      </c>
    </row>
    <row r="30">
      <c r="A30" s="23" t="inlineStr">
        <is>
          <t>9626</t>
        </is>
      </c>
      <c r="B30" s="22" t="inlineStr">
        <is>
          <t>BILIBILI-SW</t>
        </is>
      </c>
      <c r="C30" s="22" t="n"/>
      <c r="D30" s="24" t="inlineStr">
        <is>
          <t>Tech/AI</t>
        </is>
      </c>
      <c r="E30" s="24" t="inlineStr">
        <is>
          <t>Internet platform / e-commerce</t>
        </is>
      </c>
      <c r="F30" s="38" t="inlineStr">
        <is>
          <t>Secondary + WVR</t>
        </is>
      </c>
      <c r="G30" s="25" t="n">
        <v>44282</v>
      </c>
      <c r="H30" s="26" t="n">
        <v>19873.5</v>
      </c>
      <c r="I30" s="22" t="inlineStr">
        <is>
          <t>net proceeds</t>
        </is>
      </c>
      <c r="J30" s="27" t="n"/>
      <c r="K30" s="27" t="n">
        <v>988</v>
      </c>
      <c r="L30" s="27" t="n">
        <v>808</v>
      </c>
      <c r="M30" s="32" t="n"/>
      <c r="N30" s="29" t="inlineStr">
        <is>
          <t>N</t>
        </is>
      </c>
      <c r="O30" s="35" t="n"/>
      <c r="P30" s="30" t="n">
        <v>174.19</v>
      </c>
      <c r="Q30" s="31" t="n"/>
      <c r="R30" s="32" t="n">
        <v>-0.99</v>
      </c>
      <c r="S30" s="33" t="n"/>
      <c r="T30" s="32" t="n">
        <v>6.6</v>
      </c>
      <c r="U30" s="22" t="inlineStr">
        <is>
          <t>not-yet (at allotment)</t>
        </is>
      </c>
      <c r="V30" s="29" t="inlineStr">
        <is>
          <t>N</t>
        </is>
      </c>
      <c r="W30" s="31" t="n"/>
      <c r="X30" s="31" t="n"/>
      <c r="Y30" s="35" t="n"/>
      <c r="Z30" s="36" t="n">
        <v>-3359.4</v>
      </c>
      <c r="AA30" s="22" t="n"/>
      <c r="AB30" s="22" t="n"/>
      <c r="AC30" s="22" t="inlineStr">
        <is>
          <t>Morgan Stanley Asia Limited; Goldman Sachs (Asia) L.L.C; J.P. Morgan Securities (Far East) Limited; UBS Securities Hong Kong Limited</t>
        </is>
      </c>
      <c r="AD30" s="22" t="inlineStr">
        <is>
          <t>Morgan Stanley Asia Limited; Goldman Sachs (Asia) L.L.C; J.P. Morgan Securities (Asia Pacific) Limited; UBS AG Hong Kong Branch; Managers Morgan Stanley Asia Limited; Morgan Stanley &amp; Co. International plc; London, E14 4QA United Kingdom Goldman Sachs (Asia) L.L.C; J.P. Morgan Securities plc; Canary Wharf London E14 5JP United Kingdom J.P. Morgan Securities LLC; New York, NY 10179 United States of America UBS AG Hong Kong Branch; UBS Securities LLC; Central, Hong Kong Merrill Lynch (Asia Pacific) Limited</t>
        </is>
      </c>
      <c r="AE30" s="22" t="n"/>
      <c r="AK30">
        <f>IF(AND(Screener!$B$7&lt;&gt;"",$E30=Screener!$B$7),1,0)</f>
        <v/>
      </c>
      <c r="AL30">
        <f>IF(AND(Screener!$B$6&lt;&gt;"",$D30=Screener!$B$6),1,0)</f>
        <v/>
      </c>
      <c r="AM30">
        <f>IF(OR($H30="",Screener!$B$8=""),0,MAX(0,1-ABS(LOG10($H30/Screener!$B$8))/W_SIZEHW))</f>
        <v/>
      </c>
      <c r="AN30">
        <f>IF(OR($V30="",Screener!$B$9=""),0,IF($V30=Screener!$B$9,1,0))</f>
        <v/>
      </c>
      <c r="AO30">
        <f>IF(OR($AA30="",Screener!$B$10=""),0,IF($AA30=Screener!$B$10,1,0))</f>
        <v/>
      </c>
      <c r="AP30">
        <f>IF($G30="",0,MAX(0,1-(Screener!$B$12-$G30)/W_RECD))</f>
        <v/>
      </c>
      <c r="AQ30">
        <f>IF($B30=Screener!$B$3,-999999,W_SUB*AK30+W_SEC*AL30*(1-AK30)+W_SIZE*AM30+W_PROF*AN30+W_AH*AO30+W_REC*AP30)+ROW()/1000000</f>
        <v/>
      </c>
      <c r="AR30">
        <f>IF(OR('NEW DEAL'!$B$6="",$E30&lt;&gt;'NEW DEAL'!$B$6),-1,1+IF(OR($H30="",'NEW DEAL'!$B$7=""),0,MAX(0,1-ABS(LOG10($H30/'NEW DEAL'!$B$7))/W_SIZEHW)))+ROW()/1000000</f>
        <v/>
      </c>
    </row>
    <row r="31">
      <c r="A31" s="23" t="inlineStr">
        <is>
          <t>6939</t>
        </is>
      </c>
      <c r="B31" s="22" t="inlineStr">
        <is>
          <t>MEGAIN</t>
        </is>
      </c>
      <c r="C31" s="22" t="n"/>
      <c r="D31" s="24" t="inlineStr">
        <is>
          <t>Tech/AI</t>
        </is>
      </c>
      <c r="E31" s="24" t="inlineStr">
        <is>
          <t>AI chips &amp; semis</t>
        </is>
      </c>
      <c r="F31" s="22" t="inlineStr">
        <is>
          <t>Standard</t>
        </is>
      </c>
      <c r="G31" s="25" t="n">
        <v>44286</v>
      </c>
      <c r="H31" s="26" t="n">
        <v>101.4</v>
      </c>
      <c r="I31" s="22" t="inlineStr">
        <is>
          <t>net proceeds</t>
        </is>
      </c>
      <c r="J31" s="27" t="n"/>
      <c r="K31" s="27" t="n"/>
      <c r="L31" s="27" t="n">
        <v>1.26</v>
      </c>
      <c r="M31" s="32" t="n"/>
      <c r="N31" s="22" t="n"/>
      <c r="O31" s="26" t="n">
        <v>2808.9</v>
      </c>
      <c r="P31" s="30" t="n">
        <v>22.43</v>
      </c>
      <c r="Q31" s="31" t="n"/>
      <c r="R31" s="32" t="n">
        <v>6.35</v>
      </c>
      <c r="S31" s="33" t="n">
        <v>0</v>
      </c>
      <c r="T31" s="32" t="n">
        <v>16.63</v>
      </c>
      <c r="U31" s="22" t="inlineStr">
        <is>
          <t>not-yet (at allotment)</t>
        </is>
      </c>
      <c r="V31" s="22" t="n"/>
      <c r="W31" s="31" t="n"/>
      <c r="X31" s="31" t="n"/>
      <c r="Y31" s="35" t="n"/>
      <c r="Z31" s="35" t="n"/>
      <c r="AA31" s="22" t="n"/>
      <c r="AB31" s="22" t="n"/>
      <c r="AC31" s="22" t="inlineStr">
        <is>
          <t>CMBC International Capital Limited</t>
        </is>
      </c>
      <c r="AD31" s="22" t="inlineStr">
        <is>
          <t>CMBC Securities Company Limited; Yuan Tong Global Securities Limited; CCB International Capital Limited; Central, Hong Kong Haitong International Securities Company Limited; BOCOM International Securities Limited; Dongxing Securities (Hong Kong) Company Limited; Vision Finance International Company Limited</t>
        </is>
      </c>
      <c r="AE31" s="22" t="n"/>
      <c r="AK31">
        <f>IF(AND(Screener!$B$7&lt;&gt;"",$E31=Screener!$B$7),1,0)</f>
        <v/>
      </c>
      <c r="AL31">
        <f>IF(AND(Screener!$B$6&lt;&gt;"",$D31=Screener!$B$6),1,0)</f>
        <v/>
      </c>
      <c r="AM31">
        <f>IF(OR($H31="",Screener!$B$8=""),0,MAX(0,1-ABS(LOG10($H31/Screener!$B$8))/W_SIZEHW))</f>
        <v/>
      </c>
      <c r="AN31">
        <f>IF(OR($V31="",Screener!$B$9=""),0,IF($V31=Screener!$B$9,1,0))</f>
        <v/>
      </c>
      <c r="AO31">
        <f>IF(OR($AA31="",Screener!$B$10=""),0,IF($AA31=Screener!$B$10,1,0))</f>
        <v/>
      </c>
      <c r="AP31">
        <f>IF($G31="",0,MAX(0,1-(Screener!$B$12-$G31)/W_RECD))</f>
        <v/>
      </c>
      <c r="AQ31">
        <f>IF($B31=Screener!$B$3,-999999,W_SUB*AK31+W_SEC*AL31*(1-AK31)+W_SIZE*AM31+W_PROF*AN31+W_AH*AO31+W_REC*AP31)+ROW()/1000000</f>
        <v/>
      </c>
      <c r="AR31">
        <f>IF(OR('NEW DEAL'!$B$6="",$E31&lt;&gt;'NEW DEAL'!$B$6),-1,1+IF(OR($H31="",'NEW DEAL'!$B$7=""),0,MAX(0,1-ABS(LOG10($H31/'NEW DEAL'!$B$7))/W_SIZEHW)))+ROW()/1000000</f>
        <v/>
      </c>
    </row>
    <row r="32">
      <c r="A32" s="23" t="inlineStr">
        <is>
          <t>6608</t>
        </is>
      </c>
      <c r="B32" s="22" t="inlineStr">
        <is>
          <t>BAIRONG-W</t>
        </is>
      </c>
      <c r="C32" s="22" t="n"/>
      <c r="D32" s="24" t="inlineStr">
        <is>
          <t>Tech/AI</t>
        </is>
      </c>
      <c r="E32" s="24" t="inlineStr">
        <is>
          <t>Fintech platform</t>
        </is>
      </c>
      <c r="F32" s="38" t="inlineStr">
        <is>
          <t>WVR</t>
        </is>
      </c>
      <c r="G32" s="25" t="n">
        <v>44286</v>
      </c>
      <c r="H32" s="26" t="n">
        <v>3759</v>
      </c>
      <c r="I32" s="22" t="inlineStr">
        <is>
          <t>net proceeds</t>
        </is>
      </c>
      <c r="J32" s="27" t="n"/>
      <c r="K32" s="27" t="n">
        <v>31.8</v>
      </c>
      <c r="L32" s="27" t="n">
        <v>31.8</v>
      </c>
      <c r="M32" s="32" t="n"/>
      <c r="N32" s="29" t="inlineStr">
        <is>
          <t>Y</t>
        </is>
      </c>
      <c r="O32" s="36" t="n">
        <v>10000</v>
      </c>
      <c r="P32" s="30" t="n">
        <v>150.67</v>
      </c>
      <c r="Q32" s="31" t="n"/>
      <c r="R32" s="32" t="n">
        <v>-16.04</v>
      </c>
      <c r="S32" s="33" t="n">
        <v>47.3</v>
      </c>
      <c r="T32" s="32" t="n">
        <v>5.19</v>
      </c>
      <c r="U32" s="22" t="inlineStr">
        <is>
          <t>not-yet (at allotment)</t>
        </is>
      </c>
      <c r="V32" s="29" t="inlineStr">
        <is>
          <t>N</t>
        </is>
      </c>
      <c r="W32" s="31" t="n"/>
      <c r="X32" s="34" t="n">
        <v>22.4</v>
      </c>
      <c r="Y32" s="36" t="n">
        <v>447</v>
      </c>
      <c r="Z32" s="36" t="n">
        <v>-103.6</v>
      </c>
      <c r="AA32" s="22" t="n"/>
      <c r="AB32" s="22" t="n"/>
      <c r="AC32" s="22" t="n"/>
      <c r="AD32" s="22" t="n"/>
      <c r="AE32" s="22" t="n"/>
      <c r="AK32">
        <f>IF(AND(Screener!$B$7&lt;&gt;"",$E32=Screener!$B$7),1,0)</f>
        <v/>
      </c>
      <c r="AL32">
        <f>IF(AND(Screener!$B$6&lt;&gt;"",$D32=Screener!$B$6),1,0)</f>
        <v/>
      </c>
      <c r="AM32">
        <f>IF(OR($H32="",Screener!$B$8=""),0,MAX(0,1-ABS(LOG10($H32/Screener!$B$8))/W_SIZEHW))</f>
        <v/>
      </c>
      <c r="AN32">
        <f>IF(OR($V32="",Screener!$B$9=""),0,IF($V32=Screener!$B$9,1,0))</f>
        <v/>
      </c>
      <c r="AO32">
        <f>IF(OR($AA32="",Screener!$B$10=""),0,IF($AA32=Screener!$B$10,1,0))</f>
        <v/>
      </c>
      <c r="AP32">
        <f>IF($G32="",0,MAX(0,1-(Screener!$B$12-$G32)/W_RECD))</f>
        <v/>
      </c>
      <c r="AQ32">
        <f>IF($B32=Screener!$B$3,-999999,W_SUB*AK32+W_SEC*AL32*(1-AK32)+W_SIZE*AM32+W_PROF*AN32+W_AH*AO32+W_REC*AP32)+ROW()/1000000</f>
        <v/>
      </c>
      <c r="AR32">
        <f>IF(OR('NEW DEAL'!$B$6="",$E32&lt;&gt;'NEW DEAL'!$B$6),-1,1+IF(OR($H32="",'NEW DEAL'!$B$7=""),0,MAX(0,1-ABS(LOG10($H32/'NEW DEAL'!$B$7))/W_SIZEHW)))+ROW()/1000000</f>
        <v/>
      </c>
    </row>
    <row r="33">
      <c r="A33" s="23" t="inlineStr">
        <is>
          <t>2195</t>
        </is>
      </c>
      <c r="B33" s="22" t="inlineStr">
        <is>
          <t>UNITY ENT</t>
        </is>
      </c>
      <c r="C33" s="22" t="n"/>
      <c r="D33" s="24" t="inlineStr">
        <is>
          <t>Industrials</t>
        </is>
      </c>
      <c r="E33" s="24" t="inlineStr">
        <is>
          <t>Construction / engineering</t>
        </is>
      </c>
      <c r="F33" s="22" t="inlineStr">
        <is>
          <t>Standard</t>
        </is>
      </c>
      <c r="G33" s="25" t="n">
        <v>44286</v>
      </c>
      <c r="H33" s="26" t="n">
        <v>91</v>
      </c>
      <c r="I33" s="22" t="inlineStr">
        <is>
          <t>net proceeds</t>
        </is>
      </c>
      <c r="J33" s="27" t="n">
        <v>0.5</v>
      </c>
      <c r="K33" s="41" t="n">
        <v>0.5600000000000001</v>
      </c>
      <c r="L33" s="27" t="n">
        <v>0.5600000000000001</v>
      </c>
      <c r="M33" s="28" t="n">
        <v>100</v>
      </c>
      <c r="N33" s="29" t="inlineStr">
        <is>
          <t>Y</t>
        </is>
      </c>
      <c r="O33" s="26" t="n">
        <v>2520.8</v>
      </c>
      <c r="P33" s="30" t="n">
        <v>21.65</v>
      </c>
      <c r="Q33" s="37" t="n">
        <v>8</v>
      </c>
      <c r="R33" s="32" t="n">
        <v>-41.07</v>
      </c>
      <c r="S33" s="33" t="n">
        <v>0</v>
      </c>
      <c r="T33" s="32" t="n">
        <v>15</v>
      </c>
      <c r="U33" s="22" t="inlineStr">
        <is>
          <t>not-yet (at allotment)</t>
        </is>
      </c>
      <c r="V33" s="29" t="inlineStr">
        <is>
          <t>Y</t>
        </is>
      </c>
      <c r="W33" s="34" t="n">
        <v>58.4</v>
      </c>
      <c r="X33" s="34" t="n">
        <v>8.300000000000001</v>
      </c>
      <c r="Y33" s="36" t="n">
        <v>302</v>
      </c>
      <c r="Z33" s="36" t="n">
        <v>43.2</v>
      </c>
      <c r="AA33" s="22" t="n"/>
      <c r="AB33" s="22" t="n"/>
      <c r="AC33" s="22" t="n"/>
      <c r="AD33" s="22" t="inlineStr">
        <is>
          <t>’’ Zhong Jia Securities Limited and MTF Securities Limited</t>
        </is>
      </c>
      <c r="AE33" s="22" t="n"/>
      <c r="AK33">
        <f>IF(AND(Screener!$B$7&lt;&gt;"",$E33=Screener!$B$7),1,0)</f>
        <v/>
      </c>
      <c r="AL33">
        <f>IF(AND(Screener!$B$6&lt;&gt;"",$D33=Screener!$B$6),1,0)</f>
        <v/>
      </c>
      <c r="AM33">
        <f>IF(OR($H33="",Screener!$B$8=""),0,MAX(0,1-ABS(LOG10($H33/Screener!$B$8))/W_SIZEHW))</f>
        <v/>
      </c>
      <c r="AN33">
        <f>IF(OR($V33="",Screener!$B$9=""),0,IF($V33=Screener!$B$9,1,0))</f>
        <v/>
      </c>
      <c r="AO33">
        <f>IF(OR($AA33="",Screener!$B$10=""),0,IF($AA33=Screener!$B$10,1,0))</f>
        <v/>
      </c>
      <c r="AP33">
        <f>IF($G33="",0,MAX(0,1-(Screener!$B$12-$G33)/W_RECD))</f>
        <v/>
      </c>
      <c r="AQ33">
        <f>IF($B33=Screener!$B$3,-999999,W_SUB*AK33+W_SEC*AL33*(1-AK33)+W_SIZE*AM33+W_PROF*AN33+W_AH*AO33+W_REC*AP33)+ROW()/1000000</f>
        <v/>
      </c>
      <c r="AR33">
        <f>IF(OR('NEW DEAL'!$B$6="",$E33&lt;&gt;'NEW DEAL'!$B$6),-1,1+IF(OR($H33="",'NEW DEAL'!$B$7=""),0,MAX(0,1-ABS(LOG10($H33/'NEW DEAL'!$B$7))/W_SIZEHW)))+ROW()/1000000</f>
        <v/>
      </c>
    </row>
    <row r="34">
      <c r="A34" s="23" t="inlineStr">
        <is>
          <t>9959</t>
        </is>
      </c>
      <c r="B34" s="22" t="inlineStr">
        <is>
          <t>LINKLOGIS–W</t>
        </is>
      </c>
      <c r="C34" s="22" t="n"/>
      <c r="D34" s="24" t="inlineStr">
        <is>
          <t>Tech/AI</t>
        </is>
      </c>
      <c r="E34" s="24" t="inlineStr">
        <is>
          <t>Fintech platform</t>
        </is>
      </c>
      <c r="F34" s="38" t="inlineStr">
        <is>
          <t>WVR</t>
        </is>
      </c>
      <c r="G34" s="25" t="n">
        <v>44295</v>
      </c>
      <c r="H34" s="26" t="n">
        <v>7713.8</v>
      </c>
      <c r="I34" s="22" t="inlineStr">
        <is>
          <t>net proceeds</t>
        </is>
      </c>
      <c r="J34" s="27" t="n">
        <v>16.28</v>
      </c>
      <c r="K34" s="27" t="n">
        <v>18.28</v>
      </c>
      <c r="L34" s="27" t="n">
        <v>17.58</v>
      </c>
      <c r="M34" s="28" t="n">
        <v>65</v>
      </c>
      <c r="N34" s="29" t="inlineStr">
        <is>
          <t>N</t>
        </is>
      </c>
      <c r="O34" s="36" t="n">
        <v>36864</v>
      </c>
      <c r="P34" s="30" t="n">
        <v>98.45999999999999</v>
      </c>
      <c r="Q34" s="31" t="n"/>
      <c r="R34" s="32" t="n">
        <v>9.9</v>
      </c>
      <c r="S34" s="33" t="n">
        <v>35.6</v>
      </c>
      <c r="T34" s="32" t="n">
        <v>15</v>
      </c>
      <c r="U34" s="22" t="inlineStr">
        <is>
          <t>not-yet (at allotment)</t>
        </is>
      </c>
      <c r="V34" s="29" t="inlineStr">
        <is>
          <t>N</t>
        </is>
      </c>
      <c r="W34" s="31" t="n"/>
      <c r="X34" s="34" t="n">
        <v>219.6</v>
      </c>
      <c r="Y34" s="36" t="n">
        <v>167.9</v>
      </c>
      <c r="Z34" s="36" t="n">
        <v>-787</v>
      </c>
      <c r="AA34" s="22" t="n"/>
      <c r="AB34" s="22" t="n"/>
      <c r="AC34" s="22" t="inlineStr">
        <is>
          <t>Goldman Sachs (Asia) L.L.C; China International Capital Corporation Hong Kong Securities Limited</t>
        </is>
      </c>
      <c r="AD34" s="22" t="inlineStr">
        <is>
          <t>Goldman Sachs (Asia) L.L.C; China International Capital Corporation Hong Kong Securities Limited; Citigroup Global Markets Asia Limited; Kong) Limited; CLSA Limited</t>
        </is>
      </c>
      <c r="AE34" s="22" t="n"/>
      <c r="AK34">
        <f>IF(AND(Screener!$B$7&lt;&gt;"",$E34=Screener!$B$7),1,0)</f>
        <v/>
      </c>
      <c r="AL34">
        <f>IF(AND(Screener!$B$6&lt;&gt;"",$D34=Screener!$B$6),1,0)</f>
        <v/>
      </c>
      <c r="AM34">
        <f>IF(OR($H34="",Screener!$B$8=""),0,MAX(0,1-ABS(LOG10($H34/Screener!$B$8))/W_SIZEHW))</f>
        <v/>
      </c>
      <c r="AN34">
        <f>IF(OR($V34="",Screener!$B$9=""),0,IF($V34=Screener!$B$9,1,0))</f>
        <v/>
      </c>
      <c r="AO34">
        <f>IF(OR($AA34="",Screener!$B$10=""),0,IF($AA34=Screener!$B$10,1,0))</f>
        <v/>
      </c>
      <c r="AP34">
        <f>IF($G34="",0,MAX(0,1-(Screener!$B$12-$G34)/W_RECD))</f>
        <v/>
      </c>
      <c r="AQ34">
        <f>IF($B34=Screener!$B$3,-999999,W_SUB*AK34+W_SEC*AL34*(1-AK34)+W_SIZE*AM34+W_PROF*AN34+W_AH*AO34+W_REC*AP34)+ROW()/1000000</f>
        <v/>
      </c>
      <c r="AR34">
        <f>IF(OR('NEW DEAL'!$B$6="",$E34&lt;&gt;'NEW DEAL'!$B$6),-1,1+IF(OR($H34="",'NEW DEAL'!$B$7=""),0,MAX(0,1-ABS(LOG10($H34/'NEW DEAL'!$B$7))/W_SIZEHW)))+ROW()/1000000</f>
        <v/>
      </c>
    </row>
    <row r="35">
      <c r="A35" s="23" t="inlineStr">
        <is>
          <t>9961</t>
        </is>
      </c>
      <c r="B35" s="22" t="inlineStr">
        <is>
          <t>TRIP.COM-S</t>
        </is>
      </c>
      <c r="C35" s="22" t="n"/>
      <c r="D35" s="24" t="inlineStr">
        <is>
          <t>Tech/AI</t>
        </is>
      </c>
      <c r="E35" s="24" t="inlineStr">
        <is>
          <t>Internet platform / e-commerce</t>
        </is>
      </c>
      <c r="F35" s="38" t="inlineStr">
        <is>
          <t>Secondary</t>
        </is>
      </c>
      <c r="G35" s="25" t="n">
        <v>44303</v>
      </c>
      <c r="H35" s="26" t="n">
        <v>8330</v>
      </c>
      <c r="I35" s="22" t="inlineStr">
        <is>
          <t>net proceeds</t>
        </is>
      </c>
      <c r="J35" s="27" t="n"/>
      <c r="K35" s="27" t="n">
        <v>333</v>
      </c>
      <c r="L35" s="27" t="n">
        <v>268</v>
      </c>
      <c r="M35" s="32" t="n"/>
      <c r="N35" s="29" t="inlineStr">
        <is>
          <t>N</t>
        </is>
      </c>
      <c r="O35" s="36" t="n">
        <v>210692.8</v>
      </c>
      <c r="P35" s="30" t="n">
        <v>17.78</v>
      </c>
      <c r="Q35" s="31" t="n"/>
      <c r="R35" s="32" t="n">
        <v>4.55</v>
      </c>
      <c r="S35" s="33" t="n">
        <v>11.5</v>
      </c>
      <c r="T35" s="32" t="n">
        <v>6.4</v>
      </c>
      <c r="U35" s="22" t="inlineStr">
        <is>
          <t>not-yet (at allotment)</t>
        </is>
      </c>
      <c r="V35" s="22" t="n"/>
      <c r="W35" s="31" t="n"/>
      <c r="X35" s="31" t="n"/>
      <c r="Y35" s="35" t="n"/>
      <c r="Z35" s="35" t="n"/>
      <c r="AA35" s="22" t="n"/>
      <c r="AB35" s="22" t="n"/>
      <c r="AC35" s="22" t="inlineStr">
        <is>
          <t>J.P. Morgan Securities (Far East) Limited; China International Capital Corporation Hong Kong Securities Limited; Goldman Sachs (Asia) L.L.C; J.P. Morgan Securities (Asia Pacific) Limited; Coordinators J.P. Morgan Securities (Asia Pacific) Limited; DIRECTORS AND PARTIES INVOLVED IN THE GLOBAL OFFERING Goldman Sachs (Asia) L.L.C; The Hongkong and Shanghai Banking Corporation Limited; CMB International Capital Limited</t>
        </is>
      </c>
      <c r="AD35" s="22" t="inlineStr">
        <is>
          <t>ICBC International Securities Limited; ABCI Securities Company Limited</t>
        </is>
      </c>
      <c r="AE35" s="22" t="n"/>
      <c r="AK35">
        <f>IF(AND(Screener!$B$7&lt;&gt;"",$E35=Screener!$B$7),1,0)</f>
        <v/>
      </c>
      <c r="AL35">
        <f>IF(AND(Screener!$B$6&lt;&gt;"",$D35=Screener!$B$6),1,0)</f>
        <v/>
      </c>
      <c r="AM35">
        <f>IF(OR($H35="",Screener!$B$8=""),0,MAX(0,1-ABS(LOG10($H35/Screener!$B$8))/W_SIZEHW))</f>
        <v/>
      </c>
      <c r="AN35">
        <f>IF(OR($V35="",Screener!$B$9=""),0,IF($V35=Screener!$B$9,1,0))</f>
        <v/>
      </c>
      <c r="AO35">
        <f>IF(OR($AA35="",Screener!$B$10=""),0,IF($AA35=Screener!$B$10,1,0))</f>
        <v/>
      </c>
      <c r="AP35">
        <f>IF($G35="",0,MAX(0,1-(Screener!$B$12-$G35)/W_RECD))</f>
        <v/>
      </c>
      <c r="AQ35">
        <f>IF($B35=Screener!$B$3,-999999,W_SUB*AK35+W_SEC*AL35*(1-AK35)+W_SIZE*AM35+W_PROF*AN35+W_AH*AO35+W_REC*AP35)+ROW()/1000000</f>
        <v/>
      </c>
      <c r="AR35">
        <f>IF(OR('NEW DEAL'!$B$6="",$E35&lt;&gt;'NEW DEAL'!$B$6),-1,1+IF(OR($H35="",'NEW DEAL'!$B$7=""),0,MAX(0,1-ABS(LOG10($H35/'NEW DEAL'!$B$7))/W_SIZEHW)))+ROW()/1000000</f>
        <v/>
      </c>
    </row>
    <row r="36">
      <c r="A36" s="23" t="inlineStr">
        <is>
          <t>6622</t>
        </is>
      </c>
      <c r="B36" s="22" t="inlineStr">
        <is>
          <t>ZHAOKE OPHTH-B</t>
        </is>
      </c>
      <c r="C36" s="22" t="inlineStr">
        <is>
          <t>兆科眼科有限公司</t>
        </is>
      </c>
      <c r="D36" s="24" t="inlineStr">
        <is>
          <t>Healthcare</t>
        </is>
      </c>
      <c r="E36" s="24" t="inlineStr">
        <is>
          <t>Biotech pre-revenue (18A)</t>
        </is>
      </c>
      <c r="F36" s="38" t="inlineStr">
        <is>
          <t>18A</t>
        </is>
      </c>
      <c r="G36" s="25" t="n">
        <v>44315</v>
      </c>
      <c r="H36" s="26" t="n">
        <v>1941.6</v>
      </c>
      <c r="I36" s="22" t="inlineStr">
        <is>
          <t>net proceeds</t>
        </is>
      </c>
      <c r="J36" s="27" t="n">
        <v>15.38</v>
      </c>
      <c r="K36" s="27" t="n">
        <v>16.8</v>
      </c>
      <c r="L36" s="27" t="n">
        <v>16.8</v>
      </c>
      <c r="M36" s="28" t="n">
        <v>100</v>
      </c>
      <c r="N36" s="29" t="inlineStr">
        <is>
          <t>Y</t>
        </is>
      </c>
      <c r="O36" s="26" t="n">
        <v>7554.9</v>
      </c>
      <c r="P36" s="30" t="n">
        <v>56</v>
      </c>
      <c r="Q36" s="31" t="n"/>
      <c r="R36" s="32" t="n">
        <v>-14.76</v>
      </c>
      <c r="S36" s="33" t="n">
        <v>20.6</v>
      </c>
      <c r="T36" s="32" t="n">
        <v>5</v>
      </c>
      <c r="U36" s="22" t="inlineStr">
        <is>
          <t>not-yet (at allotment)</t>
        </is>
      </c>
      <c r="V36" s="29" t="inlineStr">
        <is>
          <t>N</t>
        </is>
      </c>
      <c r="W36" s="31" t="n"/>
      <c r="X36" s="31" t="n"/>
      <c r="Y36" s="36" t="n">
        <v>0</v>
      </c>
      <c r="Z36" s="36" t="n">
        <v>-799.7</v>
      </c>
      <c r="AA36" s="22" t="n"/>
      <c r="AB36" s="22" t="n"/>
      <c r="AC36" s="22" t="inlineStr">
        <is>
          <t>Goldman Sachs (Asia) L.L.C; Jefferies Hong Kong Limited</t>
        </is>
      </c>
      <c r="AD36" s="22" t="inlineStr">
        <is>
          <t>Goldman Sachs (Asia) L.L.C; Jefferies Hong Kong Limited; Haitong International Securities Company Limited; The Hongkong and Shanghai Banking Corporation Limited; Managers Goldman Sachs (Asia) L.L.C; Fosun Hani Securities Limited; Macquarie Capital Limited; SPDB International Capital Limited; VMS Securities Limited</t>
        </is>
      </c>
      <c r="AE36" s="22" t="n"/>
      <c r="AK36">
        <f>IF(AND(Screener!$B$7&lt;&gt;"",$E36=Screener!$B$7),1,0)</f>
        <v/>
      </c>
      <c r="AL36">
        <f>IF(AND(Screener!$B$6&lt;&gt;"",$D36=Screener!$B$6),1,0)</f>
        <v/>
      </c>
      <c r="AM36">
        <f>IF(OR($H36="",Screener!$B$8=""),0,MAX(0,1-ABS(LOG10($H36/Screener!$B$8))/W_SIZEHW))</f>
        <v/>
      </c>
      <c r="AN36">
        <f>IF(OR($V36="",Screener!$B$9=""),0,IF($V36=Screener!$B$9,1,0))</f>
        <v/>
      </c>
      <c r="AO36">
        <f>IF(OR($AA36="",Screener!$B$10=""),0,IF($AA36=Screener!$B$10,1,0))</f>
        <v/>
      </c>
      <c r="AP36">
        <f>IF($G36="",0,MAX(0,1-(Screener!$B$12-$G36)/W_RECD))</f>
        <v/>
      </c>
      <c r="AQ36">
        <f>IF($B36=Screener!$B$3,-999999,W_SUB*AK36+W_SEC*AL36*(1-AK36)+W_SIZE*AM36+W_PROF*AN36+W_AH*AO36+W_REC*AP36)+ROW()/1000000</f>
        <v/>
      </c>
      <c r="AR36">
        <f>IF(OR('NEW DEAL'!$B$6="",$E36&lt;&gt;'NEW DEAL'!$B$6),-1,1+IF(OR($H36="",'NEW DEAL'!$B$7=""),0,MAX(0,1-ABS(LOG10($H36/'NEW DEAL'!$B$7))/W_SIZEHW)))+ROW()/1000000</f>
        <v/>
      </c>
    </row>
    <row r="37">
      <c r="A37" s="23" t="inlineStr">
        <is>
          <t>2191</t>
        </is>
      </c>
      <c r="B37" s="22" t="inlineStr">
        <is>
          <t>SF REIT</t>
        </is>
      </c>
      <c r="C37" s="22" t="inlineStr">
        <is>
          <t>順豐房地產投資信託基金</t>
        </is>
      </c>
      <c r="D37" s="24" t="inlineStr">
        <is>
          <t>Real Estate</t>
        </is>
      </c>
      <c r="E37" s="24" t="inlineStr">
        <is>
          <t>REITs / asset-light</t>
        </is>
      </c>
      <c r="F37" s="22" t="inlineStr">
        <is>
          <t>Standard</t>
        </is>
      </c>
      <c r="G37" s="25" t="n">
        <v>44331</v>
      </c>
      <c r="H37" s="26" t="n">
        <v>2498</v>
      </c>
      <c r="I37" s="22" t="inlineStr">
        <is>
          <t>net proceeds</t>
        </is>
      </c>
      <c r="J37" s="27" t="n">
        <v>4.68</v>
      </c>
      <c r="K37" s="27" t="n">
        <v>5.16</v>
      </c>
      <c r="L37" s="27" t="n">
        <v>4.98</v>
      </c>
      <c r="M37" s="28" t="n">
        <v>62.5</v>
      </c>
      <c r="N37" s="29" t="inlineStr">
        <is>
          <t>N</t>
        </is>
      </c>
      <c r="O37" s="36" t="n">
        <v>4128</v>
      </c>
      <c r="P37" s="40" t="n"/>
      <c r="Q37" s="31" t="n"/>
      <c r="R37" s="32" t="n">
        <v>-16.47</v>
      </c>
      <c r="S37" s="33" t="n"/>
      <c r="T37" s="32" t="n">
        <v>5</v>
      </c>
      <c r="U37" s="22" t="inlineStr">
        <is>
          <t>not-yet (at allotment)</t>
        </is>
      </c>
      <c r="V37" s="29" t="inlineStr">
        <is>
          <t>Y</t>
        </is>
      </c>
      <c r="W37" s="34" t="n">
        <v>153.5</v>
      </c>
      <c r="X37" s="34" t="n">
        <v>14.8</v>
      </c>
      <c r="Y37" s="36" t="n">
        <v>279</v>
      </c>
      <c r="Z37" s="36" t="n">
        <v>26.9</v>
      </c>
      <c r="AA37" s="22" t="n"/>
      <c r="AB37" s="22" t="n"/>
      <c r="AC37" s="22" t="n"/>
      <c r="AD37" s="22" t="inlineStr">
        <is>
          <t>DBS Asia Capital Limited; Credit Suisse (Hong Kong) Limited; J.P. Morgan Securities (Asia Pacific) Limited; Managers DBS Asia Capital Limited; J.P. Morgan Securities plc</t>
        </is>
      </c>
      <c r="AE37" s="22" t="n"/>
      <c r="AK37">
        <f>IF(AND(Screener!$B$7&lt;&gt;"",$E37=Screener!$B$7),1,0)</f>
        <v/>
      </c>
      <c r="AL37">
        <f>IF(AND(Screener!$B$6&lt;&gt;"",$D37=Screener!$B$6),1,0)</f>
        <v/>
      </c>
      <c r="AM37">
        <f>IF(OR($H37="",Screener!$B$8=""),0,MAX(0,1-ABS(LOG10($H37/Screener!$B$8))/W_SIZEHW))</f>
        <v/>
      </c>
      <c r="AN37">
        <f>IF(OR($V37="",Screener!$B$9=""),0,IF($V37=Screener!$B$9,1,0))</f>
        <v/>
      </c>
      <c r="AO37">
        <f>IF(OR($AA37="",Screener!$B$10=""),0,IF($AA37=Screener!$B$10,1,0))</f>
        <v/>
      </c>
      <c r="AP37">
        <f>IF($G37="",0,MAX(0,1-(Screener!$B$12-$G37)/W_RECD))</f>
        <v/>
      </c>
      <c r="AQ37">
        <f>IF($B37=Screener!$B$3,-999999,W_SUB*AK37+W_SEC*AL37*(1-AK37)+W_SIZE*AM37+W_PROF*AN37+W_AH*AO37+W_REC*AP37)+ROW()/1000000</f>
        <v/>
      </c>
      <c r="AR37">
        <f>IF(OR('NEW DEAL'!$B$6="",$E37&lt;&gt;'NEW DEAL'!$B$6),-1,1+IF(OR($H37="",'NEW DEAL'!$B$7=""),0,MAX(0,1-ABS(LOG10($H37/'NEW DEAL'!$B$7))/W_SIZEHW)))+ROW()/1000000</f>
        <v/>
      </c>
    </row>
    <row r="38">
      <c r="A38" s="23" t="inlineStr">
        <is>
          <t>3658</t>
        </is>
      </c>
      <c r="B38" s="22" t="inlineStr">
        <is>
          <t>NEW HOPE SERV</t>
        </is>
      </c>
      <c r="C38" s="22" t="inlineStr">
        <is>
          <t>新希望服務控股有限公司</t>
        </is>
      </c>
      <c r="D38" s="24" t="inlineStr">
        <is>
          <t>Real Estate</t>
        </is>
      </c>
      <c r="E38" s="24" t="inlineStr">
        <is>
          <t>Property management</t>
        </is>
      </c>
      <c r="F38" s="22" t="inlineStr">
        <is>
          <t>Standard</t>
        </is>
      </c>
      <c r="G38" s="25" t="n">
        <v>44341</v>
      </c>
      <c r="H38" s="26" t="n">
        <v>706.8</v>
      </c>
      <c r="I38" s="22" t="inlineStr">
        <is>
          <t>net proceeds</t>
        </is>
      </c>
      <c r="J38" s="27" t="n">
        <v>3.8</v>
      </c>
      <c r="K38" s="27" t="n">
        <v>4.7</v>
      </c>
      <c r="L38" s="27" t="n">
        <v>3.8</v>
      </c>
      <c r="M38" s="28" t="n">
        <v>0</v>
      </c>
      <c r="N38" s="29" t="inlineStr">
        <is>
          <t>N</t>
        </is>
      </c>
      <c r="O38" s="35" t="n"/>
      <c r="P38" s="30" t="n">
        <v>4.75</v>
      </c>
      <c r="Q38" s="31" t="n"/>
      <c r="R38" s="32" t="n">
        <v>0.53</v>
      </c>
      <c r="S38" s="33" t="n">
        <v>50.3</v>
      </c>
      <c r="T38" s="32" t="n">
        <v>7.7</v>
      </c>
      <c r="U38" s="22" t="inlineStr">
        <is>
          <t>not-yet (at allotment)</t>
        </is>
      </c>
      <c r="V38" s="29" t="inlineStr">
        <is>
          <t>Y</t>
        </is>
      </c>
      <c r="W38" s="31" t="n"/>
      <c r="X38" s="31" t="n"/>
      <c r="Y38" s="36" t="n">
        <v>647.1</v>
      </c>
      <c r="Z38" s="36" t="n">
        <v>120.7</v>
      </c>
      <c r="AA38" s="22" t="n"/>
      <c r="AB38" s="22" t="n"/>
      <c r="AC38" s="22" t="inlineStr">
        <is>
          <t>ABCI Capital Limited</t>
        </is>
      </c>
      <c r="AD38" s="22" t="inlineStr">
        <is>
          <t>ABCI Capital Limited; Haitong International Securities Company Limited; CMB International Capital Limited; CLSA Limited; CMBC Securities Company Limited; China Everbright Securities (HK) Limited</t>
        </is>
      </c>
      <c r="AE38" s="22" t="n"/>
      <c r="AK38">
        <f>IF(AND(Screener!$B$7&lt;&gt;"",$E38=Screener!$B$7),1,0)</f>
        <v/>
      </c>
      <c r="AL38">
        <f>IF(AND(Screener!$B$6&lt;&gt;"",$D38=Screener!$B$6),1,0)</f>
        <v/>
      </c>
      <c r="AM38">
        <f>IF(OR($H38="",Screener!$B$8=""),0,MAX(0,1-ABS(LOG10($H38/Screener!$B$8))/W_SIZEHW))</f>
        <v/>
      </c>
      <c r="AN38">
        <f>IF(OR($V38="",Screener!$B$9=""),0,IF($V38=Screener!$B$9,1,0))</f>
        <v/>
      </c>
      <c r="AO38">
        <f>IF(OR($AA38="",Screener!$B$10=""),0,IF($AA38=Screener!$B$10,1,0))</f>
        <v/>
      </c>
      <c r="AP38">
        <f>IF($G38="",0,MAX(0,1-(Screener!$B$12-$G38)/W_RECD))</f>
        <v/>
      </c>
      <c r="AQ38">
        <f>IF($B38=Screener!$B$3,-999999,W_SUB*AK38+W_SEC*AL38*(1-AK38)+W_SIZE*AM38+W_PROF*AN38+W_AH*AO38+W_REC*AP38)+ROW()/1000000</f>
        <v/>
      </c>
      <c r="AR38">
        <f>IF(OR('NEW DEAL'!$B$6="",$E38&lt;&gt;'NEW DEAL'!$B$6),-1,1+IF(OR($H38="",'NEW DEAL'!$B$7=""),0,MAX(0,1-ABS(LOG10($H38/'NEW DEAL'!$B$7))/W_SIZEHW)))+ROW()/1000000</f>
        <v/>
      </c>
    </row>
    <row r="39">
      <c r="A39" s="23" t="inlineStr">
        <is>
          <t>2618</t>
        </is>
      </c>
      <c r="B39" s="22" t="inlineStr">
        <is>
          <t>JD LOGISTICS</t>
        </is>
      </c>
      <c r="C39" s="22" t="n"/>
      <c r="D39" s="24" t="inlineStr">
        <is>
          <t>Industrials</t>
        </is>
      </c>
      <c r="E39" s="24" t="inlineStr">
        <is>
          <t>Logistics</t>
        </is>
      </c>
      <c r="F39" s="22" t="inlineStr">
        <is>
          <t>Standard</t>
        </is>
      </c>
      <c r="G39" s="25" t="n">
        <v>44344</v>
      </c>
      <c r="H39" s="26" t="n">
        <v>3632</v>
      </c>
      <c r="I39" s="22" t="inlineStr">
        <is>
          <t>net proceeds</t>
        </is>
      </c>
      <c r="J39" s="27" t="n"/>
      <c r="K39" s="27" t="n"/>
      <c r="L39" s="27" t="n">
        <v>40.36</v>
      </c>
      <c r="M39" s="32" t="n"/>
      <c r="N39" s="22" t="n"/>
      <c r="O39" s="35" t="n"/>
      <c r="P39" s="30" t="n">
        <v>715.61</v>
      </c>
      <c r="Q39" s="31" t="n"/>
      <c r="R39" s="32" t="n">
        <v>3.32</v>
      </c>
      <c r="S39" s="33" t="n">
        <v>48.33</v>
      </c>
      <c r="T39" s="32" t="n"/>
      <c r="U39" s="22" t="inlineStr">
        <is>
          <t>not-yet (at allotment)</t>
        </is>
      </c>
      <c r="V39" s="22" t="n"/>
      <c r="W39" s="31" t="n"/>
      <c r="X39" s="31" t="n"/>
      <c r="Y39" s="35" t="n"/>
      <c r="Z39" s="35" t="n"/>
      <c r="AA39" s="22" t="n"/>
      <c r="AB39" s="22" t="n"/>
      <c r="AC39" s="22" t="n"/>
      <c r="AD39" s="22" t="n"/>
      <c r="AE39" s="22" t="n"/>
      <c r="AK39">
        <f>IF(AND(Screener!$B$7&lt;&gt;"",$E39=Screener!$B$7),1,0)</f>
        <v/>
      </c>
      <c r="AL39">
        <f>IF(AND(Screener!$B$6&lt;&gt;"",$D39=Screener!$B$6),1,0)</f>
        <v/>
      </c>
      <c r="AM39">
        <f>IF(OR($H39="",Screener!$B$8=""),0,MAX(0,1-ABS(LOG10($H39/Screener!$B$8))/W_SIZEHW))</f>
        <v/>
      </c>
      <c r="AN39">
        <f>IF(OR($V39="",Screener!$B$9=""),0,IF($V39=Screener!$B$9,1,0))</f>
        <v/>
      </c>
      <c r="AO39">
        <f>IF(OR($AA39="",Screener!$B$10=""),0,IF($AA39=Screener!$B$10,1,0))</f>
        <v/>
      </c>
      <c r="AP39">
        <f>IF($G39="",0,MAX(0,1-(Screener!$B$12-$G39)/W_RECD))</f>
        <v/>
      </c>
      <c r="AQ39">
        <f>IF($B39=Screener!$B$3,-999999,W_SUB*AK39+W_SEC*AL39*(1-AK39)+W_SIZE*AM39+W_PROF*AN39+W_AH*AO39+W_REC*AP39)+ROW()/1000000</f>
        <v/>
      </c>
      <c r="AR39">
        <f>IF(OR('NEW DEAL'!$B$6="",$E39&lt;&gt;'NEW DEAL'!$B$6),-1,1+IF(OR($H39="",'NEW DEAL'!$B$7=""),0,MAX(0,1-ABS(LOG10($H39/'NEW DEAL'!$B$7))/W_SIZEHW)))+ROW()/1000000</f>
        <v/>
      </c>
    </row>
    <row r="40">
      <c r="A40" s="23" t="inlineStr">
        <is>
          <t>9982</t>
        </is>
      </c>
      <c r="B40" s="22" t="inlineStr">
        <is>
          <t>CENTRALCHINA MT</t>
        </is>
      </c>
      <c r="C40" s="22" t="n"/>
      <c r="D40" s="24" t="inlineStr">
        <is>
          <t>Real Estate</t>
        </is>
      </c>
      <c r="E40" s="24" t="inlineStr">
        <is>
          <t>Property management</t>
        </is>
      </c>
      <c r="F40" s="22" t="inlineStr">
        <is>
          <t>Standard</t>
        </is>
      </c>
      <c r="G40" s="25" t="n">
        <v>44345</v>
      </c>
      <c r="H40" s="26" t="n">
        <v>117.97</v>
      </c>
      <c r="I40" s="22" t="inlineStr">
        <is>
          <t>net proceeds</t>
        </is>
      </c>
      <c r="J40" s="27" t="n">
        <v>2.4</v>
      </c>
      <c r="K40" s="27" t="n">
        <v>3.2</v>
      </c>
      <c r="L40" s="27" t="n">
        <v>3</v>
      </c>
      <c r="M40" s="28" t="n">
        <v>75</v>
      </c>
      <c r="N40" s="29" t="inlineStr">
        <is>
          <t>N</t>
        </is>
      </c>
      <c r="O40" s="26" t="n">
        <v>1044</v>
      </c>
      <c r="P40" s="30" t="n">
        <v>4.99</v>
      </c>
      <c r="Q40" s="31" t="n"/>
      <c r="R40" s="32" t="n">
        <v>-12</v>
      </c>
      <c r="S40" s="33" t="n">
        <v>8.66</v>
      </c>
      <c r="T40" s="32" t="n">
        <v>10</v>
      </c>
      <c r="U40" s="22" t="inlineStr">
        <is>
          <t>not-yet (at allotment)</t>
        </is>
      </c>
      <c r="V40" s="22" t="n"/>
      <c r="W40" s="31" t="n"/>
      <c r="X40" s="31" t="n"/>
      <c r="Y40" s="35" t="n"/>
      <c r="Z40" s="35" t="n"/>
      <c r="AA40" s="22" t="n"/>
      <c r="AB40" s="22" t="n"/>
      <c r="AC40" s="22" t="inlineStr">
        <is>
          <t>ICBC International Capital Limited; CCB International Capital Limited; Sole financial advisor to CCRE and our Company BNP Paribas Securities (Asia) Limited</t>
        </is>
      </c>
      <c r="AD40" s="22" t="inlineStr">
        <is>
          <t>BNP Paribas Securities (Asia) Limited; CCB International Capital Limited; ICBC International Capital Limited; DIRECTORS AND PARTIES INVOLVED IN THE GLOBAL OFFERING –7 3– ABCI Capital Limited; China Galaxy International Securities (Hong Kong) Co., Limited; CMB International Capital Limited; CRIC Securities Company Limited</t>
        </is>
      </c>
      <c r="AE40" s="22" t="n"/>
      <c r="AK40">
        <f>IF(AND(Screener!$B$7&lt;&gt;"",$E40=Screener!$B$7),1,0)</f>
        <v/>
      </c>
      <c r="AL40">
        <f>IF(AND(Screener!$B$6&lt;&gt;"",$D40=Screener!$B$6),1,0)</f>
        <v/>
      </c>
      <c r="AM40">
        <f>IF(OR($H40="",Screener!$B$8=""),0,MAX(0,1-ABS(LOG10($H40/Screener!$B$8))/W_SIZEHW))</f>
        <v/>
      </c>
      <c r="AN40">
        <f>IF(OR($V40="",Screener!$B$9=""),0,IF($V40=Screener!$B$9,1,0))</f>
        <v/>
      </c>
      <c r="AO40">
        <f>IF(OR($AA40="",Screener!$B$10=""),0,IF($AA40=Screener!$B$10,1,0))</f>
        <v/>
      </c>
      <c r="AP40">
        <f>IF($G40="",0,MAX(0,1-(Screener!$B$12-$G40)/W_RECD))</f>
        <v/>
      </c>
      <c r="AQ40">
        <f>IF($B40=Screener!$B$3,-999999,W_SUB*AK40+W_SEC*AL40*(1-AK40)+W_SIZE*AM40+W_PROF*AN40+W_AH*AO40+W_REC*AP40)+ROW()/1000000</f>
        <v/>
      </c>
      <c r="AR40">
        <f>IF(OR('NEW DEAL'!$B$6="",$E40&lt;&gt;'NEW DEAL'!$B$6),-1,1+IF(OR($H40="",'NEW DEAL'!$B$7=""),0,MAX(0,1-ABS(LOG10($H40/'NEW DEAL'!$B$7))/W_SIZEHW)))+ROW()/1000000</f>
        <v/>
      </c>
    </row>
    <row r="41">
      <c r="A41" s="23" t="inlineStr">
        <is>
          <t>6699</t>
        </is>
      </c>
      <c r="B41" s="22" t="inlineStr">
        <is>
          <t>ANGELALIGN</t>
        </is>
      </c>
      <c r="C41" s="22" t="n"/>
      <c r="D41" s="24" t="inlineStr">
        <is>
          <t>Healthcare</t>
        </is>
      </c>
      <c r="E41" s="24" t="inlineStr">
        <is>
          <t>Medical devices</t>
        </is>
      </c>
      <c r="F41" s="22" t="inlineStr">
        <is>
          <t>Standard</t>
        </is>
      </c>
      <c r="G41" s="25" t="n">
        <v>44363</v>
      </c>
      <c r="H41" s="26" t="n">
        <v>2722</v>
      </c>
      <c r="I41" s="22" t="inlineStr">
        <is>
          <t>net proceeds</t>
        </is>
      </c>
      <c r="J41" s="27" t="n"/>
      <c r="K41" s="27" t="n">
        <v>173</v>
      </c>
      <c r="L41" s="27" t="n">
        <v>173</v>
      </c>
      <c r="M41" s="32" t="n"/>
      <c r="N41" s="29" t="inlineStr">
        <is>
          <t>Y</t>
        </is>
      </c>
      <c r="O41" s="36" t="n">
        <v>24373.6</v>
      </c>
      <c r="P41" s="30" t="n">
        <v>2079.16</v>
      </c>
      <c r="Q41" s="31" t="n"/>
      <c r="R41" s="32" t="n">
        <v>131.79</v>
      </c>
      <c r="S41" s="33" t="n">
        <v>0</v>
      </c>
      <c r="T41" s="32" t="n">
        <v>10</v>
      </c>
      <c r="U41" s="22" t="inlineStr">
        <is>
          <t>not-yet (at allotment)</t>
        </is>
      </c>
      <c r="V41" s="29" t="inlineStr">
        <is>
          <t>Y</t>
        </is>
      </c>
      <c r="W41" s="34" t="n">
        <v>146.8</v>
      </c>
      <c r="X41" s="34" t="n">
        <v>27.1</v>
      </c>
      <c r="Y41" s="36" t="n">
        <v>898.2</v>
      </c>
      <c r="Z41" s="36" t="n">
        <v>166</v>
      </c>
      <c r="AA41" s="22" t="n"/>
      <c r="AB41" s="22" t="n"/>
      <c r="AC41" s="22" t="inlineStr">
        <is>
          <t>Goldman Sachs (Asia) L.L.C; China International Capital Corporation Hong Kong Securities Limited</t>
        </is>
      </c>
      <c r="AD41" s="22" t="n"/>
      <c r="AE41" s="22" t="n"/>
      <c r="AK41">
        <f>IF(AND(Screener!$B$7&lt;&gt;"",$E41=Screener!$B$7),1,0)</f>
        <v/>
      </c>
      <c r="AL41">
        <f>IF(AND(Screener!$B$6&lt;&gt;"",$D41=Screener!$B$6),1,0)</f>
        <v/>
      </c>
      <c r="AM41">
        <f>IF(OR($H41="",Screener!$B$8=""),0,MAX(0,1-ABS(LOG10($H41/Screener!$B$8))/W_SIZEHW))</f>
        <v/>
      </c>
      <c r="AN41">
        <f>IF(OR($V41="",Screener!$B$9=""),0,IF($V41=Screener!$B$9,1,0))</f>
        <v/>
      </c>
      <c r="AO41">
        <f>IF(OR($AA41="",Screener!$B$10=""),0,IF($AA41=Screener!$B$10,1,0))</f>
        <v/>
      </c>
      <c r="AP41">
        <f>IF($G41="",0,MAX(0,1-(Screener!$B$12-$G41)/W_RECD))</f>
        <v/>
      </c>
      <c r="AQ41">
        <f>IF($B41=Screener!$B$3,-999999,W_SUB*AK41+W_SEC*AL41*(1-AK41)+W_SIZE*AM41+W_PROF*AN41+W_AH*AO41+W_REC*AP41)+ROW()/1000000</f>
        <v/>
      </c>
      <c r="AR41">
        <f>IF(OR('NEW DEAL'!$B$6="",$E41&lt;&gt;'NEW DEAL'!$B$6),-1,1+IF(OR($H41="",'NEW DEAL'!$B$7=""),0,MAX(0,1-ABS(LOG10($H41/'NEW DEAL'!$B$7))/W_SIZEHW)))+ROW()/1000000</f>
        <v/>
      </c>
    </row>
    <row r="42">
      <c r="A42" s="23" t="inlineStr">
        <is>
          <t>2171</t>
        </is>
      </c>
      <c r="B42" s="22" t="inlineStr">
        <is>
          <t>CARSGEN-B</t>
        </is>
      </c>
      <c r="C42" s="22" t="inlineStr">
        <is>
          <t>科濟藥業控股有限公司</t>
        </is>
      </c>
      <c r="D42" s="24" t="inlineStr">
        <is>
          <t>Healthcare</t>
        </is>
      </c>
      <c r="E42" s="24" t="inlineStr">
        <is>
          <t>Biotech pre-revenue (18A)</t>
        </is>
      </c>
      <c r="F42" s="38" t="inlineStr">
        <is>
          <t>18A</t>
        </is>
      </c>
      <c r="G42" s="25" t="n">
        <v>44365</v>
      </c>
      <c r="H42" s="26" t="n">
        <v>2940</v>
      </c>
      <c r="I42" s="22" t="inlineStr">
        <is>
          <t>net proceeds</t>
        </is>
      </c>
      <c r="J42" s="27" t="n">
        <v>29.6</v>
      </c>
      <c r="K42" s="27" t="n">
        <v>32.8</v>
      </c>
      <c r="L42" s="27" t="n">
        <v>32.8</v>
      </c>
      <c r="M42" s="28" t="n">
        <v>100</v>
      </c>
      <c r="N42" s="29" t="inlineStr">
        <is>
          <t>Y</t>
        </is>
      </c>
      <c r="O42" s="36" t="n">
        <v>17700</v>
      </c>
      <c r="P42" s="30" t="n">
        <v>434.57</v>
      </c>
      <c r="Q42" s="31" t="n"/>
      <c r="R42" s="32" t="n">
        <v>-8.539999999999999</v>
      </c>
      <c r="S42" s="33" t="n">
        <v>27.2</v>
      </c>
      <c r="T42" s="32" t="n">
        <v>5.5</v>
      </c>
      <c r="U42" s="22" t="inlineStr">
        <is>
          <t>not-yet (at allotment)</t>
        </is>
      </c>
      <c r="V42" s="29" t="inlineStr">
        <is>
          <t>N</t>
        </is>
      </c>
      <c r="W42" s="31" t="n"/>
      <c r="X42" s="31" t="n"/>
      <c r="Y42" s="35" t="n"/>
      <c r="Z42" s="36" t="n">
        <v>-291.6</v>
      </c>
      <c r="AA42" s="22" t="n"/>
      <c r="AB42" s="22" t="n"/>
      <c r="AC42" s="22" t="inlineStr">
        <is>
          <t>Goldman Sachs (Asia) L.L.C; UBS Securities Hong Kong Limited</t>
        </is>
      </c>
      <c r="AD42" s="22" t="inlineStr">
        <is>
          <t>Goldman Sachs (Asia) L.L.C; UBS AG Hong Kong Branch; CLSA Limited; Credit Suisse (Hong Kong) Limited</t>
        </is>
      </c>
      <c r="AE42" s="22" t="n"/>
      <c r="AK42">
        <f>IF(AND(Screener!$B$7&lt;&gt;"",$E42=Screener!$B$7),1,0)</f>
        <v/>
      </c>
      <c r="AL42">
        <f>IF(AND(Screener!$B$6&lt;&gt;"",$D42=Screener!$B$6),1,0)</f>
        <v/>
      </c>
      <c r="AM42">
        <f>IF(OR($H42="",Screener!$B$8=""),0,MAX(0,1-ABS(LOG10($H42/Screener!$B$8))/W_SIZEHW))</f>
        <v/>
      </c>
      <c r="AN42">
        <f>IF(OR($V42="",Screener!$B$9=""),0,IF($V42=Screener!$B$9,1,0))</f>
        <v/>
      </c>
      <c r="AO42">
        <f>IF(OR($AA42="",Screener!$B$10=""),0,IF($AA42=Screener!$B$10,1,0))</f>
        <v/>
      </c>
      <c r="AP42">
        <f>IF($G42="",0,MAX(0,1-(Screener!$B$12-$G42)/W_RECD))</f>
        <v/>
      </c>
      <c r="AQ42">
        <f>IF($B42=Screener!$B$3,-999999,W_SUB*AK42+W_SEC*AL42*(1-AK42)+W_SIZE*AM42+W_PROF*AN42+W_AH*AO42+W_REC*AP42)+ROW()/1000000</f>
        <v/>
      </c>
      <c r="AR42">
        <f>IF(OR('NEW DEAL'!$B$6="",$E42&lt;&gt;'NEW DEAL'!$B$6),-1,1+IF(OR($H42="",'NEW DEAL'!$B$7=""),0,MAX(0,1-ABS(LOG10($H42/'NEW DEAL'!$B$7))/W_SIZEHW)))+ROW()/1000000</f>
        <v/>
      </c>
    </row>
    <row r="43">
      <c r="A43" s="23" t="inlineStr">
        <is>
          <t>9858</t>
        </is>
      </c>
      <c r="B43" s="22" t="inlineStr">
        <is>
          <t>YOURAN DAIRY</t>
        </is>
      </c>
      <c r="C43" s="22" t="inlineStr">
        <is>
          <t>中國優然牧業集團有限公司</t>
        </is>
      </c>
      <c r="D43" s="24" t="inlineStr">
        <is>
          <t>Consumer</t>
        </is>
      </c>
      <c r="E43" s="24" t="inlineStr">
        <is>
          <t>Beverages / packaged food</t>
        </is>
      </c>
      <c r="F43" s="22" t="inlineStr">
        <is>
          <t>Standard</t>
        </is>
      </c>
      <c r="G43" s="25" t="n">
        <v>44365</v>
      </c>
      <c r="H43" s="26" t="n">
        <v>3238</v>
      </c>
      <c r="I43" s="22" t="inlineStr">
        <is>
          <t>net proceeds</t>
        </is>
      </c>
      <c r="J43" s="27" t="n">
        <v>6.98</v>
      </c>
      <c r="K43" s="27" t="n">
        <v>8.66</v>
      </c>
      <c r="L43" s="27" t="n">
        <v>6.98</v>
      </c>
      <c r="M43" s="28" t="n">
        <v>0</v>
      </c>
      <c r="N43" s="29" t="inlineStr">
        <is>
          <t>N</t>
        </is>
      </c>
      <c r="O43" s="26" t="n">
        <v>15130.8</v>
      </c>
      <c r="P43" s="30" t="n">
        <v>3.73</v>
      </c>
      <c r="Q43" s="31" t="n"/>
      <c r="R43" s="32" t="n">
        <v>-11.89</v>
      </c>
      <c r="S43" s="33" t="n">
        <v>7.77</v>
      </c>
      <c r="T43" s="32" t="n">
        <v>16.97</v>
      </c>
      <c r="U43" s="22" t="inlineStr">
        <is>
          <t>not-yet (at allotment)</t>
        </is>
      </c>
      <c r="V43" s="29" t="inlineStr">
        <is>
          <t>Y</t>
        </is>
      </c>
      <c r="W43" s="34" t="n">
        <v>8.9</v>
      </c>
      <c r="X43" s="34" t="n">
        <v>1.2</v>
      </c>
      <c r="Y43" s="36" t="n">
        <v>12959.3</v>
      </c>
      <c r="Z43" s="36" t="n">
        <v>1694.7</v>
      </c>
      <c r="AA43" s="22" t="n"/>
      <c r="AB43" s="22" t="n"/>
      <c r="AC43" s="22" t="inlineStr">
        <is>
          <t>Huatai Financial Holdings (Hong Kong) Limited; Credit Suisse (Hong Kong) Limited</t>
        </is>
      </c>
      <c r="AD43" s="22" t="inlineStr">
        <is>
          <t>Huatai Financial Holdings (Hong Kong) Limited; Credit Suisse (Hong Kong) Limited; Citigroup Global Markets Asia Limited; Central, Hong Kong CLSA Limited; Central, Hong Kong Citigroup Global Markets Limited; Canary Wharf London E14 5LB United Kingdom CLSA Limited; The Hongkong and Shanghai Banking Corporation Limited; BOCOM International Securities Limited; Corporate Finance Company Limited; Central, Hong Kong ICBC International Capital Limited; Futu Securities International (Hong Kong) Limited</t>
        </is>
      </c>
      <c r="AE43" s="22" t="n"/>
      <c r="AK43">
        <f>IF(AND(Screener!$B$7&lt;&gt;"",$E43=Screener!$B$7),1,0)</f>
        <v/>
      </c>
      <c r="AL43">
        <f>IF(AND(Screener!$B$6&lt;&gt;"",$D43=Screener!$B$6),1,0)</f>
        <v/>
      </c>
      <c r="AM43">
        <f>IF(OR($H43="",Screener!$B$8=""),0,MAX(0,1-ABS(LOG10($H43/Screener!$B$8))/W_SIZEHW))</f>
        <v/>
      </c>
      <c r="AN43">
        <f>IF(OR($V43="",Screener!$B$9=""),0,IF($V43=Screener!$B$9,1,0))</f>
        <v/>
      </c>
      <c r="AO43">
        <f>IF(OR($AA43="",Screener!$B$10=""),0,IF($AA43=Screener!$B$10,1,0))</f>
        <v/>
      </c>
      <c r="AP43">
        <f>IF($G43="",0,MAX(0,1-(Screener!$B$12-$G43)/W_RECD))</f>
        <v/>
      </c>
      <c r="AQ43">
        <f>IF($B43=Screener!$B$3,-999999,W_SUB*AK43+W_SEC*AL43*(1-AK43)+W_SIZE*AM43+W_PROF*AN43+W_AH*AO43+W_REC*AP43)+ROW()/1000000</f>
        <v/>
      </c>
      <c r="AR43">
        <f>IF(OR('NEW DEAL'!$B$6="",$E43&lt;&gt;'NEW DEAL'!$B$6),-1,1+IF(OR($H43="",'NEW DEAL'!$B$7=""),0,MAX(0,1-ABS(LOG10($H43/'NEW DEAL'!$B$7))/W_SIZEHW)))+ROW()/1000000</f>
        <v/>
      </c>
    </row>
    <row r="44">
      <c r="A44" s="23" t="inlineStr">
        <is>
          <t>2155</t>
        </is>
      </c>
      <c r="B44" s="22" t="inlineStr">
        <is>
          <t>MORIMATSU INTL</t>
        </is>
      </c>
      <c r="C44" s="22" t="inlineStr">
        <is>
          <t>森松國際控股有限公司</t>
        </is>
      </c>
      <c r="D44" s="24" t="inlineStr">
        <is>
          <t>Industrials</t>
        </is>
      </c>
      <c r="E44" s="24" t="inlineStr">
        <is>
          <t>Capital goods / machinery</t>
        </is>
      </c>
      <c r="F44" s="22" t="inlineStr">
        <is>
          <t>Standard</t>
        </is>
      </c>
      <c r="G44" s="25" t="n">
        <v>44373</v>
      </c>
      <c r="H44" s="26" t="n">
        <v>558</v>
      </c>
      <c r="I44" s="22" t="inlineStr">
        <is>
          <t>gross (price x shares)</t>
        </is>
      </c>
      <c r="J44" s="27" t="n">
        <v>2.2</v>
      </c>
      <c r="K44" s="27" t="n">
        <v>2.48</v>
      </c>
      <c r="L44" s="27" t="n">
        <v>2.48</v>
      </c>
      <c r="M44" s="28" t="n">
        <v>100</v>
      </c>
      <c r="N44" s="29" t="inlineStr">
        <is>
          <t>Y</t>
        </is>
      </c>
      <c r="O44" s="26" t="n">
        <v>2480</v>
      </c>
      <c r="P44" s="30" t="n">
        <v>23.71</v>
      </c>
      <c r="Q44" s="31" t="n"/>
      <c r="R44" s="32" t="n">
        <v>213.71</v>
      </c>
      <c r="S44" s="33" t="n">
        <v>30</v>
      </c>
      <c r="T44" s="32" t="n">
        <v>12.37</v>
      </c>
      <c r="U44" s="22" t="inlineStr">
        <is>
          <t>not-yet (at allotment)</t>
        </is>
      </c>
      <c r="V44" s="29" t="inlineStr">
        <is>
          <t>Y</t>
        </is>
      </c>
      <c r="W44" s="34" t="n">
        <v>15.4</v>
      </c>
      <c r="X44" s="34" t="n">
        <v>0.8</v>
      </c>
      <c r="Y44" s="36" t="n">
        <v>3109</v>
      </c>
      <c r="Z44" s="36" t="n">
        <v>161.3</v>
      </c>
      <c r="AA44" s="22" t="n"/>
      <c r="AB44" s="22" t="n"/>
      <c r="AC44" s="22" t="inlineStr">
        <is>
          <t>Sinolink Securities (Hong Kong) Company Limited</t>
        </is>
      </c>
      <c r="AD44" s="22" t="inlineStr">
        <is>
          <t>Sinolink Securities (Hong Kong) Company Limited; Haitong International Securities Company Limited; Innovax Securities Limited</t>
        </is>
      </c>
      <c r="AE44" s="22" t="n"/>
      <c r="AK44">
        <f>IF(AND(Screener!$B$7&lt;&gt;"",$E44=Screener!$B$7),1,0)</f>
        <v/>
      </c>
      <c r="AL44">
        <f>IF(AND(Screener!$B$6&lt;&gt;"",$D44=Screener!$B$6),1,0)</f>
        <v/>
      </c>
      <c r="AM44">
        <f>IF(OR($H44="",Screener!$B$8=""),0,MAX(0,1-ABS(LOG10($H44/Screener!$B$8))/W_SIZEHW))</f>
        <v/>
      </c>
      <c r="AN44">
        <f>IF(OR($V44="",Screener!$B$9=""),0,IF($V44=Screener!$B$9,1,0))</f>
        <v/>
      </c>
      <c r="AO44">
        <f>IF(OR($AA44="",Screener!$B$10=""),0,IF($AA44=Screener!$B$10,1,0))</f>
        <v/>
      </c>
      <c r="AP44">
        <f>IF($G44="",0,MAX(0,1-(Screener!$B$12-$G44)/W_RECD))</f>
        <v/>
      </c>
      <c r="AQ44">
        <f>IF($B44=Screener!$B$3,-999999,W_SUB*AK44+W_SEC*AL44*(1-AK44)+W_SIZE*AM44+W_PROF*AN44+W_AH*AO44+W_REC*AP44)+ROW()/1000000</f>
        <v/>
      </c>
      <c r="AR44">
        <f>IF(OR('NEW DEAL'!$B$6="",$E44&lt;&gt;'NEW DEAL'!$B$6),-1,1+IF(OR($H44="",'NEW DEAL'!$B$7=""),0,MAX(0,1-ABS(LOG10($H44/'NEW DEAL'!$B$7))/W_SIZEHW)))+ROW()/1000000</f>
        <v/>
      </c>
    </row>
    <row r="45">
      <c r="A45" s="23" t="inlineStr">
        <is>
          <t>6626</t>
        </is>
      </c>
      <c r="B45" s="22" t="inlineStr">
        <is>
          <t>YUEXIU SERVICES</t>
        </is>
      </c>
      <c r="C45" s="22" t="n"/>
      <c r="D45" s="24" t="inlineStr">
        <is>
          <t>Real Estate</t>
        </is>
      </c>
      <c r="E45" s="24" t="inlineStr">
        <is>
          <t>Property management</t>
        </is>
      </c>
      <c r="F45" s="22" t="inlineStr">
        <is>
          <t>Standard</t>
        </is>
      </c>
      <c r="G45" s="25" t="n">
        <v>44373</v>
      </c>
      <c r="H45" s="26" t="n">
        <v>264.62</v>
      </c>
      <c r="I45" s="22" t="inlineStr">
        <is>
          <t>net proceeds</t>
        </is>
      </c>
      <c r="J45" s="27" t="n">
        <v>4.88</v>
      </c>
      <c r="K45" s="27" t="n">
        <v>6.52</v>
      </c>
      <c r="L45" s="27" t="n">
        <v>4.88</v>
      </c>
      <c r="M45" s="28" t="n">
        <v>0</v>
      </c>
      <c r="N45" s="29" t="inlineStr">
        <is>
          <t>N</t>
        </is>
      </c>
      <c r="O45" s="36" t="n">
        <v>7215.7</v>
      </c>
      <c r="P45" s="30" t="n">
        <v>9.880000000000001</v>
      </c>
      <c r="Q45" s="31" t="n"/>
      <c r="R45" s="32" t="n">
        <v>0</v>
      </c>
      <c r="S45" s="33" t="n">
        <v>10.76</v>
      </c>
      <c r="T45" s="32" t="n">
        <v>6.11</v>
      </c>
      <c r="U45" s="22" t="inlineStr">
        <is>
          <t>not-yet (at allotment)</t>
        </is>
      </c>
      <c r="V45" s="29" t="inlineStr">
        <is>
          <t>Y</t>
        </is>
      </c>
      <c r="W45" s="34" t="n">
        <v>32.2</v>
      </c>
      <c r="X45" s="34" t="n">
        <v>5.6</v>
      </c>
      <c r="Y45" s="36" t="n">
        <v>1284.9</v>
      </c>
      <c r="Z45" s="36" t="n">
        <v>224.1</v>
      </c>
      <c r="AA45" s="22" t="n"/>
      <c r="AB45" s="22" t="n"/>
      <c r="AC45" s="22" t="inlineStr">
        <is>
          <t>ABCI Capital Limited; China Securities (International) Corporate Finance Company Limited; CCB International Capital Limited; Yue Xiu Capital Limited</t>
        </is>
      </c>
      <c r="AD45" s="22" t="inlineStr">
        <is>
          <t>ABCI Capital Limited; China Securities (International) Corporate Finance Company Limited; CCB International Capital Limited; Yue Xiu Securities Company Limited; BOCOM International Securities Limited; BOCI Asia Limited; Chong Hing Securities Limited; CLSA Limited; CMBC Securities Company Limited; Haitong International Securities Company Limited; ICBC International Capital Limited</t>
        </is>
      </c>
      <c r="AE45" s="22" t="n"/>
      <c r="AK45">
        <f>IF(AND(Screener!$B$7&lt;&gt;"",$E45=Screener!$B$7),1,0)</f>
        <v/>
      </c>
      <c r="AL45">
        <f>IF(AND(Screener!$B$6&lt;&gt;"",$D45=Screener!$B$6),1,0)</f>
        <v/>
      </c>
      <c r="AM45">
        <f>IF(OR($H45="",Screener!$B$8=""),0,MAX(0,1-ABS(LOG10($H45/Screener!$B$8))/W_SIZEHW))</f>
        <v/>
      </c>
      <c r="AN45">
        <f>IF(OR($V45="",Screener!$B$9=""),0,IF($V45=Screener!$B$9,1,0))</f>
        <v/>
      </c>
      <c r="AO45">
        <f>IF(OR($AA45="",Screener!$B$10=""),0,IF($AA45=Screener!$B$10,1,0))</f>
        <v/>
      </c>
      <c r="AP45">
        <f>IF($G45="",0,MAX(0,1-(Screener!$B$12-$G45)/W_RECD))</f>
        <v/>
      </c>
      <c r="AQ45">
        <f>IF($B45=Screener!$B$3,-999999,W_SUB*AK45+W_SEC*AL45*(1-AK45)+W_SIZE*AM45+W_PROF*AN45+W_AH*AO45+W_REC*AP45)+ROW()/1000000</f>
        <v/>
      </c>
      <c r="AR45">
        <f>IF(OR('NEW DEAL'!$B$6="",$E45&lt;&gt;'NEW DEAL'!$B$6),-1,1+IF(OR($H45="",'NEW DEAL'!$B$7=""),0,MAX(0,1-ABS(LOG10($H45/'NEW DEAL'!$B$7))/W_SIZEHW)))+ROW()/1000000</f>
        <v/>
      </c>
    </row>
    <row r="46">
      <c r="A46" s="23" t="inlineStr">
        <is>
          <t>0013</t>
        </is>
      </c>
      <c r="B46" s="22" t="inlineStr">
        <is>
          <t>HUTCHMED</t>
        </is>
      </c>
      <c r="C46" s="22" t="n"/>
      <c r="D46" s="24" t="inlineStr">
        <is>
          <t>Healthcare</t>
        </is>
      </c>
      <c r="E46" s="24" t="inlineStr">
        <is>
          <t>Biopharma commercial</t>
        </is>
      </c>
      <c r="F46" s="22" t="inlineStr">
        <is>
          <t>Standard</t>
        </is>
      </c>
      <c r="G46" s="25" t="n">
        <v>44377</v>
      </c>
      <c r="H46" s="26" t="n">
        <v>3950</v>
      </c>
      <c r="I46" s="22" t="inlineStr">
        <is>
          <t>net proceeds</t>
        </is>
      </c>
      <c r="J46" s="27" t="n"/>
      <c r="K46" s="27" t="n"/>
      <c r="L46" s="27" t="n">
        <v>40.1</v>
      </c>
      <c r="M46" s="32" t="n"/>
      <c r="N46" s="22" t="n"/>
      <c r="O46" s="35" t="n"/>
      <c r="P46" s="30" t="n">
        <v>5.23</v>
      </c>
      <c r="Q46" s="31" t="n"/>
      <c r="R46" s="32" t="n">
        <v>50.37</v>
      </c>
      <c r="S46" s="33" t="n">
        <v>44.9</v>
      </c>
      <c r="T46" s="32" t="n"/>
      <c r="U46" s="22" t="inlineStr">
        <is>
          <t>not-yet (at allotment)</t>
        </is>
      </c>
      <c r="V46" s="22" t="n"/>
      <c r="W46" s="31" t="n"/>
      <c r="X46" s="31" t="n"/>
      <c r="Y46" s="35" t="n"/>
      <c r="Z46" s="35" t="n"/>
      <c r="AA46" s="22" t="n"/>
      <c r="AB46" s="22" t="n"/>
      <c r="AC46" s="22" t="n"/>
      <c r="AD46" s="22" t="n"/>
      <c r="AE46" s="22" t="n"/>
      <c r="AK46">
        <f>IF(AND(Screener!$B$7&lt;&gt;"",$E46=Screener!$B$7),1,0)</f>
        <v/>
      </c>
      <c r="AL46">
        <f>IF(AND(Screener!$B$6&lt;&gt;"",$D46=Screener!$B$6),1,0)</f>
        <v/>
      </c>
      <c r="AM46">
        <f>IF(OR($H46="",Screener!$B$8=""),0,MAX(0,1-ABS(LOG10($H46/Screener!$B$8))/W_SIZEHW))</f>
        <v/>
      </c>
      <c r="AN46">
        <f>IF(OR($V46="",Screener!$B$9=""),0,IF($V46=Screener!$B$9,1,0))</f>
        <v/>
      </c>
      <c r="AO46">
        <f>IF(OR($AA46="",Screener!$B$10=""),0,IF($AA46=Screener!$B$10,1,0))</f>
        <v/>
      </c>
      <c r="AP46">
        <f>IF($G46="",0,MAX(0,1-(Screener!$B$12-$G46)/W_RECD))</f>
        <v/>
      </c>
      <c r="AQ46">
        <f>IF($B46=Screener!$B$3,-999999,W_SUB*AK46+W_SEC*AL46*(1-AK46)+W_SIZE*AM46+W_PROF*AN46+W_AH*AO46+W_REC*AP46)+ROW()/1000000</f>
        <v/>
      </c>
      <c r="AR46">
        <f>IF(OR('NEW DEAL'!$B$6="",$E46&lt;&gt;'NEW DEAL'!$B$6),-1,1+IF(OR($H46="",'NEW DEAL'!$B$7=""),0,MAX(0,1-ABS(LOG10($H46/'NEW DEAL'!$B$7))/W_SIZEHW)))+ROW()/1000000</f>
        <v/>
      </c>
    </row>
    <row r="47">
      <c r="A47" s="23" t="inlineStr">
        <is>
          <t>2150</t>
        </is>
      </c>
      <c r="B47" s="22" t="inlineStr">
        <is>
          <t>NAYUKI</t>
        </is>
      </c>
      <c r="C47" s="22" t="n"/>
      <c r="D47" s="24" t="inlineStr">
        <is>
          <t>Consumer</t>
        </is>
      </c>
      <c r="E47" s="24" t="inlineStr">
        <is>
          <t>F&amp;B chains / restaurants</t>
        </is>
      </c>
      <c r="F47" s="22" t="inlineStr">
        <is>
          <t>Standard</t>
        </is>
      </c>
      <c r="G47" s="25" t="n">
        <v>44377</v>
      </c>
      <c r="H47" s="26" t="n">
        <v>4842.4</v>
      </c>
      <c r="I47" s="22" t="inlineStr">
        <is>
          <t>net proceeds</t>
        </is>
      </c>
      <c r="J47" s="27" t="n">
        <v>17.2</v>
      </c>
      <c r="K47" s="27" t="n">
        <v>19.8</v>
      </c>
      <c r="L47" s="27" t="n">
        <v>19.8</v>
      </c>
      <c r="M47" s="28" t="n">
        <v>100</v>
      </c>
      <c r="N47" s="29" t="inlineStr">
        <is>
          <t>Y</t>
        </is>
      </c>
      <c r="O47" s="36" t="n">
        <v>29500.2</v>
      </c>
      <c r="P47" s="30" t="n">
        <v>432.03</v>
      </c>
      <c r="Q47" s="31" t="n"/>
      <c r="R47" s="32" t="n">
        <v>-13.54</v>
      </c>
      <c r="S47" s="33" t="n">
        <v>23.6</v>
      </c>
      <c r="T47" s="32" t="n">
        <v>15</v>
      </c>
      <c r="U47" s="22" t="inlineStr">
        <is>
          <t>not-yet (at allotment)</t>
        </is>
      </c>
      <c r="V47" s="29" t="inlineStr">
        <is>
          <t>N</t>
        </is>
      </c>
      <c r="W47" s="31" t="n"/>
      <c r="X47" s="34" t="n">
        <v>8.800000000000001</v>
      </c>
      <c r="Y47" s="36" t="n">
        <v>3362.9</v>
      </c>
      <c r="Z47" s="36" t="n">
        <v>-223.6</v>
      </c>
      <c r="AA47" s="22" t="n"/>
      <c r="AB47" s="22" t="n"/>
      <c r="AC47" s="22" t="inlineStr">
        <is>
          <t>J.P. Morgan Securities (Far East) Limited; CMB International Capital Limited; Huatai Financial Holdings (Hong Kong) Limited</t>
        </is>
      </c>
      <c r="AD47" s="22" t="inlineStr">
        <is>
          <t>J.P. Morgan Securities (Asia Pacific) Limited; CMB International Capital Limited; Huatai Financial Holdings (Hong Kong) Limited; J.P. Morgan Securities plc; Canary Wharf London E14 5JP United Kingdom CMB International Capital Limited; Haitong International Securities Company Limited; ABCI Capital Limited</t>
        </is>
      </c>
      <c r="AE47" s="22" t="n"/>
      <c r="AK47">
        <f>IF(AND(Screener!$B$7&lt;&gt;"",$E47=Screener!$B$7),1,0)</f>
        <v/>
      </c>
      <c r="AL47">
        <f>IF(AND(Screener!$B$6&lt;&gt;"",$D47=Screener!$B$6),1,0)</f>
        <v/>
      </c>
      <c r="AM47">
        <f>IF(OR($H47="",Screener!$B$8=""),0,MAX(0,1-ABS(LOG10($H47/Screener!$B$8))/W_SIZEHW))</f>
        <v/>
      </c>
      <c r="AN47">
        <f>IF(OR($V47="",Screener!$B$9=""),0,IF($V47=Screener!$B$9,1,0))</f>
        <v/>
      </c>
      <c r="AO47">
        <f>IF(OR($AA47="",Screener!$B$10=""),0,IF($AA47=Screener!$B$10,1,0))</f>
        <v/>
      </c>
      <c r="AP47">
        <f>IF($G47="",0,MAX(0,1-(Screener!$B$12-$G47)/W_RECD))</f>
        <v/>
      </c>
      <c r="AQ47">
        <f>IF($B47=Screener!$B$3,-999999,W_SUB*AK47+W_SEC*AL47*(1-AK47)+W_SIZE*AM47+W_PROF*AN47+W_AH*AO47+W_REC*AP47)+ROW()/1000000</f>
        <v/>
      </c>
      <c r="AR47">
        <f>IF(OR('NEW DEAL'!$B$6="",$E47&lt;&gt;'NEW DEAL'!$B$6),-1,1+IF(OR($H47="",'NEW DEAL'!$B$7=""),0,MAX(0,1-ABS(LOG10($H47/'NEW DEAL'!$B$7))/W_SIZEHW)))+ROW()/1000000</f>
        <v/>
      </c>
    </row>
    <row r="48">
      <c r="A48" s="23" t="inlineStr">
        <is>
          <t>0606</t>
        </is>
      </c>
      <c r="B48" s="22" t="inlineStr">
        <is>
          <t>SCE CM</t>
        </is>
      </c>
      <c r="C48" s="22" t="n"/>
      <c r="D48" s="24" t="inlineStr">
        <is>
          <t>Real Estate</t>
        </is>
      </c>
      <c r="E48" s="24" t="inlineStr">
        <is>
          <t>Property management</t>
        </is>
      </c>
      <c r="F48" s="22" t="inlineStr">
        <is>
          <t>Standard</t>
        </is>
      </c>
      <c r="G48" s="25" t="n">
        <v>44378</v>
      </c>
      <c r="H48" s="26" t="n">
        <v>1767.9</v>
      </c>
      <c r="I48" s="22" t="inlineStr">
        <is>
          <t>net proceeds</t>
        </is>
      </c>
      <c r="J48" s="27" t="n"/>
      <c r="K48" s="27" t="n"/>
      <c r="L48" s="27" t="n">
        <v>3.7</v>
      </c>
      <c r="M48" s="32" t="n"/>
      <c r="N48" s="22" t="n"/>
      <c r="O48" s="35" t="n"/>
      <c r="P48" s="30" t="n">
        <v>1.3</v>
      </c>
      <c r="Q48" s="37" t="n">
        <v>3.65</v>
      </c>
      <c r="R48" s="32" t="n">
        <v>8.109999999999999</v>
      </c>
      <c r="S48" s="33" t="n">
        <v>29.36</v>
      </c>
      <c r="T48" s="32" t="n"/>
      <c r="U48" s="22" t="inlineStr">
        <is>
          <t>not-yet (at allotment)</t>
        </is>
      </c>
      <c r="V48" s="22" t="n"/>
      <c r="W48" s="31" t="n"/>
      <c r="X48" s="31" t="n"/>
      <c r="Y48" s="35" t="n"/>
      <c r="Z48" s="35" t="n"/>
      <c r="AA48" s="22" t="n"/>
      <c r="AB48" s="22" t="n"/>
      <c r="AC48" s="22" t="n"/>
      <c r="AD48" s="22" t="n"/>
      <c r="AE48" s="22" t="n"/>
      <c r="AK48">
        <f>IF(AND(Screener!$B$7&lt;&gt;"",$E48=Screener!$B$7),1,0)</f>
        <v/>
      </c>
      <c r="AL48">
        <f>IF(AND(Screener!$B$6&lt;&gt;"",$D48=Screener!$B$6),1,0)</f>
        <v/>
      </c>
      <c r="AM48">
        <f>IF(OR($H48="",Screener!$B$8=""),0,MAX(0,1-ABS(LOG10($H48/Screener!$B$8))/W_SIZEHW))</f>
        <v/>
      </c>
      <c r="AN48">
        <f>IF(OR($V48="",Screener!$B$9=""),0,IF($V48=Screener!$B$9,1,0))</f>
        <v/>
      </c>
      <c r="AO48">
        <f>IF(OR($AA48="",Screener!$B$10=""),0,IF($AA48=Screener!$B$10,1,0))</f>
        <v/>
      </c>
      <c r="AP48">
        <f>IF($G48="",0,MAX(0,1-(Screener!$B$12-$G48)/W_RECD))</f>
        <v/>
      </c>
      <c r="AQ48">
        <f>IF($B48=Screener!$B$3,-999999,W_SUB*AK48+W_SEC*AL48*(1-AK48)+W_SIZE*AM48+W_PROF*AN48+W_AH*AO48+W_REC*AP48)+ROW()/1000000</f>
        <v/>
      </c>
      <c r="AR48">
        <f>IF(OR('NEW DEAL'!$B$6="",$E48&lt;&gt;'NEW DEAL'!$B$6),-1,1+IF(OR($H48="",'NEW DEAL'!$B$7=""),0,MAX(0,1-ABS(LOG10($H48/'NEW DEAL'!$B$7))/W_SIZEHW)))+ROW()/1000000</f>
        <v/>
      </c>
    </row>
    <row r="49">
      <c r="A49" s="23" t="inlineStr">
        <is>
          <t>2190</t>
        </is>
      </c>
      <c r="B49" s="22" t="inlineStr">
        <is>
          <t>ZYLOXTB-B</t>
        </is>
      </c>
      <c r="C49" s="22" t="inlineStr">
        <is>
          <t>歸創通橋醫療科技股份有限公司</t>
        </is>
      </c>
      <c r="D49" s="24" t="inlineStr">
        <is>
          <t>Healthcare</t>
        </is>
      </c>
      <c r="E49" s="24" t="inlineStr">
        <is>
          <t>Medical devices</t>
        </is>
      </c>
      <c r="F49" s="38" t="inlineStr">
        <is>
          <t>18A</t>
        </is>
      </c>
      <c r="G49" s="25" t="n">
        <v>44380</v>
      </c>
      <c r="H49" s="26" t="n">
        <v>2397.5</v>
      </c>
      <c r="I49" s="22" t="inlineStr">
        <is>
          <t>net proceeds</t>
        </is>
      </c>
      <c r="J49" s="27" t="n">
        <v>39.8</v>
      </c>
      <c r="K49" s="27" t="n">
        <v>42.7</v>
      </c>
      <c r="L49" s="27" t="n">
        <v>42.7</v>
      </c>
      <c r="M49" s="28" t="n">
        <v>100</v>
      </c>
      <c r="N49" s="29" t="inlineStr">
        <is>
          <t>Y</t>
        </is>
      </c>
      <c r="O49" s="26" t="n">
        <v>11526.4</v>
      </c>
      <c r="P49" s="30" t="n">
        <v>1190.37</v>
      </c>
      <c r="Q49" s="31" t="n"/>
      <c r="R49" s="32" t="n">
        <v>40.52</v>
      </c>
      <c r="S49" s="33" t="n">
        <v>44.9</v>
      </c>
      <c r="T49" s="32" t="n">
        <v>15.94</v>
      </c>
      <c r="U49" s="22" t="inlineStr">
        <is>
          <t>not-yet (at allotment)</t>
        </is>
      </c>
      <c r="V49" s="29" t="inlineStr">
        <is>
          <t>N</t>
        </is>
      </c>
      <c r="W49" s="31" t="n"/>
      <c r="X49" s="34" t="n">
        <v>379.2</v>
      </c>
      <c r="Y49" s="36" t="n">
        <v>30.4</v>
      </c>
      <c r="Z49" s="36" t="n">
        <v>-110.5</v>
      </c>
      <c r="AA49" s="22" t="n"/>
      <c r="AB49" s="22" t="n"/>
      <c r="AC49" s="22" t="inlineStr">
        <is>
          <t>Morgan Stanley Asia Limited; CLSA Capital Markets Limited</t>
        </is>
      </c>
      <c r="AD49" s="22" t="inlineStr">
        <is>
          <t>Morgan Stanley Asia Limited; CLSA Limited; China Industrial Securities International Capital Limited; Sheung Wan, Hong Kong Essence International Securities (Hong Kong) Limited; Central, Hong Kong ICBC International Capital Limited; CMB International Capital Limited; Morgan Stanley &amp; Co. International plc; London E14 4QA United Kingdom CLSA Limited; Essence International Securities (Hong Kong) Limited</t>
        </is>
      </c>
      <c r="AE49" s="22" t="n"/>
      <c r="AK49">
        <f>IF(AND(Screener!$B$7&lt;&gt;"",$E49=Screener!$B$7),1,0)</f>
        <v/>
      </c>
      <c r="AL49">
        <f>IF(AND(Screener!$B$6&lt;&gt;"",$D49=Screener!$B$6),1,0)</f>
        <v/>
      </c>
      <c r="AM49">
        <f>IF(OR($H49="",Screener!$B$8=""),0,MAX(0,1-ABS(LOG10($H49/Screener!$B$8))/W_SIZEHW))</f>
        <v/>
      </c>
      <c r="AN49">
        <f>IF(OR($V49="",Screener!$B$9=""),0,IF($V49=Screener!$B$9,1,0))</f>
        <v/>
      </c>
      <c r="AO49">
        <f>IF(OR($AA49="",Screener!$B$10=""),0,IF($AA49=Screener!$B$10,1,0))</f>
        <v/>
      </c>
      <c r="AP49">
        <f>IF($G49="",0,MAX(0,1-(Screener!$B$12-$G49)/W_RECD))</f>
        <v/>
      </c>
      <c r="AQ49">
        <f>IF($B49=Screener!$B$3,-999999,W_SUB*AK49+W_SEC*AL49*(1-AK49)+W_SIZE*AM49+W_PROF*AN49+W_AH*AO49+W_REC*AP49)+ROW()/1000000</f>
        <v/>
      </c>
      <c r="AR49">
        <f>IF(OR('NEW DEAL'!$B$6="",$E49&lt;&gt;'NEW DEAL'!$B$6),-1,1+IF(OR($H49="",'NEW DEAL'!$B$7=""),0,MAX(0,1-ABS(LOG10($H49/'NEW DEAL'!$B$7))/W_SIZEHW)))+ROW()/1000000</f>
        <v/>
      </c>
    </row>
    <row r="50">
      <c r="A50" s="23" t="inlineStr">
        <is>
          <t>2219</t>
        </is>
      </c>
      <c r="B50" s="22" t="inlineStr">
        <is>
          <t>CHAOJU EYE CARE</t>
        </is>
      </c>
      <c r="C50" s="22" t="n"/>
      <c r="D50" s="24" t="inlineStr">
        <is>
          <t>Healthcare</t>
        </is>
      </c>
      <c r="E50" s="24" t="inlineStr">
        <is>
          <t>Hospitals / clinics</t>
        </is>
      </c>
      <c r="F50" s="22" t="inlineStr">
        <is>
          <t>Standard</t>
        </is>
      </c>
      <c r="G50" s="25" t="n">
        <v>44384</v>
      </c>
      <c r="H50" s="26" t="n">
        <v>1357.1</v>
      </c>
      <c r="I50" s="22" t="inlineStr">
        <is>
          <t>net proceeds</t>
        </is>
      </c>
      <c r="J50" s="27" t="n"/>
      <c r="K50" s="27" t="n">
        <v>10.6</v>
      </c>
      <c r="L50" s="27" t="n">
        <v>10.6</v>
      </c>
      <c r="M50" s="32" t="n"/>
      <c r="N50" s="29" t="inlineStr">
        <is>
          <t>Y</t>
        </is>
      </c>
      <c r="O50" s="26" t="n">
        <v>5459</v>
      </c>
      <c r="P50" s="30" t="n">
        <v>113.97</v>
      </c>
      <c r="Q50" s="31" t="n"/>
      <c r="R50" s="32" t="n">
        <v>33.02</v>
      </c>
      <c r="S50" s="33" t="n">
        <v>49.4</v>
      </c>
      <c r="T50" s="32" t="n">
        <v>15</v>
      </c>
      <c r="U50" s="22" t="inlineStr">
        <is>
          <t>not-yet (at allotment)</t>
        </is>
      </c>
      <c r="V50" s="29" t="inlineStr">
        <is>
          <t>Y</t>
        </is>
      </c>
      <c r="W50" s="34" t="n">
        <v>54590</v>
      </c>
      <c r="X50" s="34" t="n">
        <v>6065.6</v>
      </c>
      <c r="Y50" s="36" t="n">
        <v>0.9</v>
      </c>
      <c r="Z50" s="36" t="n">
        <v>0.1</v>
      </c>
      <c r="AA50" s="22" t="n"/>
      <c r="AB50" s="22" t="n"/>
      <c r="AC50" s="22" t="inlineStr">
        <is>
          <t>Haitong International Capital Limited; Huatai Financial Holdings (Hong Kong) Limited</t>
        </is>
      </c>
      <c r="AD50" s="22" t="n"/>
      <c r="AE50" s="22" t="n"/>
      <c r="AK50">
        <f>IF(AND(Screener!$B$7&lt;&gt;"",$E50=Screener!$B$7),1,0)</f>
        <v/>
      </c>
      <c r="AL50">
        <f>IF(AND(Screener!$B$6&lt;&gt;"",$D50=Screener!$B$6),1,0)</f>
        <v/>
      </c>
      <c r="AM50">
        <f>IF(OR($H50="",Screener!$B$8=""),0,MAX(0,1-ABS(LOG10($H50/Screener!$B$8))/W_SIZEHW))</f>
        <v/>
      </c>
      <c r="AN50">
        <f>IF(OR($V50="",Screener!$B$9=""),0,IF($V50=Screener!$B$9,1,0))</f>
        <v/>
      </c>
      <c r="AO50">
        <f>IF(OR($AA50="",Screener!$B$10=""),0,IF($AA50=Screener!$B$10,1,0))</f>
        <v/>
      </c>
      <c r="AP50">
        <f>IF($G50="",0,MAX(0,1-(Screener!$B$12-$G50)/W_RECD))</f>
        <v/>
      </c>
      <c r="AQ50">
        <f>IF($B50=Screener!$B$3,-999999,W_SUB*AK50+W_SEC*AL50*(1-AK50)+W_SIZE*AM50+W_PROF*AN50+W_AH*AO50+W_REC*AP50)+ROW()/1000000</f>
        <v/>
      </c>
      <c r="AR50">
        <f>IF(OR('NEW DEAL'!$B$6="",$E50&lt;&gt;'NEW DEAL'!$B$6),-1,1+IF(OR($H50="",'NEW DEAL'!$B$7=""),0,MAX(0,1-ABS(LOG10($H50/'NEW DEAL'!$B$7))/W_SIZEHW)))+ROW()/1000000</f>
        <v/>
      </c>
    </row>
    <row r="51">
      <c r="A51" s="23" t="inlineStr">
        <is>
          <t>9868</t>
        </is>
      </c>
      <c r="B51" s="22" t="inlineStr">
        <is>
          <t>XPENG-W</t>
        </is>
      </c>
      <c r="C51" s="22" t="n"/>
      <c r="D51" s="24" t="inlineStr">
        <is>
          <t>Consumer</t>
        </is>
      </c>
      <c r="E51" s="24" t="inlineStr">
        <is>
          <t>Autos (NEV OEM)</t>
        </is>
      </c>
      <c r="F51" s="38" t="inlineStr">
        <is>
          <t>WVR</t>
        </is>
      </c>
      <c r="G51" s="25" t="n">
        <v>44384</v>
      </c>
      <c r="H51" s="26" t="n">
        <v>13780.9</v>
      </c>
      <c r="I51" s="22" t="inlineStr">
        <is>
          <t>net proceeds</t>
        </is>
      </c>
      <c r="J51" s="27" t="n"/>
      <c r="K51" s="27" t="n">
        <v>180</v>
      </c>
      <c r="L51" s="27" t="n">
        <v>165</v>
      </c>
      <c r="M51" s="32" t="n"/>
      <c r="N51" s="29" t="inlineStr">
        <is>
          <t>N</t>
        </is>
      </c>
      <c r="O51" s="35" t="n"/>
      <c r="P51" s="30" t="n">
        <v>14.73</v>
      </c>
      <c r="Q51" s="31" t="n"/>
      <c r="R51" s="32" t="n">
        <v>0</v>
      </c>
      <c r="S51" s="33" t="n"/>
      <c r="T51" s="32" t="n">
        <v>7.5</v>
      </c>
      <c r="U51" s="22" t="inlineStr">
        <is>
          <t>not-yet (at allotment)</t>
        </is>
      </c>
      <c r="V51" s="22" t="n"/>
      <c r="W51" s="31" t="n"/>
      <c r="X51" s="31" t="n"/>
      <c r="Y51" s="35" t="n"/>
      <c r="Z51" s="35" t="n"/>
      <c r="AA51" s="22" t="n"/>
      <c r="AB51" s="22" t="n"/>
      <c r="AC51" s="22" t="inlineStr">
        <is>
          <t>J.P. Morgan Securities (Far East) Limited; Merrill Lynch (Asia Pacific) Limited; J.P. Morgan Securities (Asia Pacific) Limited; Citigroup Global Markets Asia Limited</t>
        </is>
      </c>
      <c r="AD51" s="22" t="inlineStr">
        <is>
          <t>J.P. Morgan Securities (Asia Pacific) Limited; Merrill Lynch (Asia Pacific) Limited; Citigroup Global Markets Asia Limited; – 157 – DIRECTORS AND PARTIES INVOLVED IN THE GLOBAL OFFERING CLSA Limited; Managers J.P. Morgan Securities (Asia Pacific) Limited; J.P. Morgan Securities plc; Canary Wharf London E14 5JP United Kingdom J.P. Morgan Securities LLC; New York, NY 10179 United States of America Merrill Lynch (Asia Pacific) Limited; Citigroup Global Markets Limited; DIRECTORS AND PARTIES INVOLVED IN THE GLOBAL OFFERING CLSA Limited; ABCI Capital Limited; ABCI Securities Company Limited</t>
        </is>
      </c>
      <c r="AE51" s="22" t="n"/>
      <c r="AK51">
        <f>IF(AND(Screener!$B$7&lt;&gt;"",$E51=Screener!$B$7),1,0)</f>
        <v/>
      </c>
      <c r="AL51">
        <f>IF(AND(Screener!$B$6&lt;&gt;"",$D51=Screener!$B$6),1,0)</f>
        <v/>
      </c>
      <c r="AM51">
        <f>IF(OR($H51="",Screener!$B$8=""),0,MAX(0,1-ABS(LOG10($H51/Screener!$B$8))/W_SIZEHW))</f>
        <v/>
      </c>
      <c r="AN51">
        <f>IF(OR($V51="",Screener!$B$9=""),0,IF($V51=Screener!$B$9,1,0))</f>
        <v/>
      </c>
      <c r="AO51">
        <f>IF(OR($AA51="",Screener!$B$10=""),0,IF($AA51=Screener!$B$10,1,0))</f>
        <v/>
      </c>
      <c r="AP51">
        <f>IF($G51="",0,MAX(0,1-(Screener!$B$12-$G51)/W_RECD))</f>
        <v/>
      </c>
      <c r="AQ51">
        <f>IF($B51=Screener!$B$3,-999999,W_SUB*AK51+W_SEC*AL51*(1-AK51)+W_SIZE*AM51+W_PROF*AN51+W_AH*AO51+W_REC*AP51)+ROW()/1000000</f>
        <v/>
      </c>
      <c r="AR51">
        <f>IF(OR('NEW DEAL'!$B$6="",$E51&lt;&gt;'NEW DEAL'!$B$6),-1,1+IF(OR($H51="",'NEW DEAL'!$B$7=""),0,MAX(0,1-ABS(LOG10($H51/'NEW DEAL'!$B$7))/W_SIZEHW)))+ROW()/1000000</f>
        <v/>
      </c>
    </row>
    <row r="52">
      <c r="A52" s="23" t="inlineStr">
        <is>
          <t>1965</t>
        </is>
      </c>
      <c r="B52" s="22" t="inlineStr">
        <is>
          <t>LANDSEA LIFE</t>
        </is>
      </c>
      <c r="C52" s="22" t="inlineStr">
        <is>
          <t>朗詩綠色生活服務有限公司</t>
        </is>
      </c>
      <c r="D52" s="24" t="inlineStr">
        <is>
          <t>Real Estate</t>
        </is>
      </c>
      <c r="E52" s="24" t="inlineStr">
        <is>
          <t>Property management</t>
        </is>
      </c>
      <c r="F52" s="22" t="inlineStr">
        <is>
          <t>Standard</t>
        </is>
      </c>
      <c r="G52" s="25" t="n">
        <v>44385</v>
      </c>
      <c r="H52" s="26" t="n">
        <v>286.2</v>
      </c>
      <c r="I52" s="22" t="inlineStr">
        <is>
          <t>gross (price x shares)</t>
        </is>
      </c>
      <c r="J52" s="27" t="n">
        <v>2.86</v>
      </c>
      <c r="K52" s="27" t="n">
        <v>4.16</v>
      </c>
      <c r="L52" s="27" t="n">
        <v>3.18</v>
      </c>
      <c r="M52" s="28" t="n">
        <v>24.6</v>
      </c>
      <c r="N52" s="29" t="inlineStr">
        <is>
          <t>N</t>
        </is>
      </c>
      <c r="O52" s="26" t="n">
        <v>1033.2</v>
      </c>
      <c r="P52" s="30" t="n">
        <v>8.01</v>
      </c>
      <c r="Q52" s="31" t="n"/>
      <c r="R52" s="32" t="n">
        <v>41.51</v>
      </c>
      <c r="S52" s="33" t="n">
        <v>10</v>
      </c>
      <c r="T52" s="32" t="n">
        <v>10</v>
      </c>
      <c r="U52" s="22" t="n"/>
      <c r="V52" s="29" t="inlineStr">
        <is>
          <t>Y</t>
        </is>
      </c>
      <c r="W52" s="34" t="n">
        <v>14.3</v>
      </c>
      <c r="X52" s="34" t="n">
        <v>7.8</v>
      </c>
      <c r="Y52" s="36" t="n">
        <v>131.9</v>
      </c>
      <c r="Z52" s="36" t="n">
        <v>72.09999999999999</v>
      </c>
      <c r="AA52" s="22" t="n"/>
      <c r="AB52" s="22" t="n"/>
      <c r="AC52" s="22" t="n"/>
      <c r="AD52" s="22" t="n"/>
      <c r="AE52" s="22" t="n"/>
      <c r="AK52">
        <f>IF(AND(Screener!$B$7&lt;&gt;"",$E52=Screener!$B$7),1,0)</f>
        <v/>
      </c>
      <c r="AL52">
        <f>IF(AND(Screener!$B$6&lt;&gt;"",$D52=Screener!$B$6),1,0)</f>
        <v/>
      </c>
      <c r="AM52">
        <f>IF(OR($H52="",Screener!$B$8=""),0,MAX(0,1-ABS(LOG10($H52/Screener!$B$8))/W_SIZEHW))</f>
        <v/>
      </c>
      <c r="AN52">
        <f>IF(OR($V52="",Screener!$B$9=""),0,IF($V52=Screener!$B$9,1,0))</f>
        <v/>
      </c>
      <c r="AO52">
        <f>IF(OR($AA52="",Screener!$B$10=""),0,IF($AA52=Screener!$B$10,1,0))</f>
        <v/>
      </c>
      <c r="AP52">
        <f>IF($G52="",0,MAX(0,1-(Screener!$B$12-$G52)/W_RECD))</f>
        <v/>
      </c>
      <c r="AQ52">
        <f>IF($B52=Screener!$B$3,-999999,W_SUB*AK52+W_SEC*AL52*(1-AK52)+W_SIZE*AM52+W_PROF*AN52+W_AH*AO52+W_REC*AP52)+ROW()/1000000</f>
        <v/>
      </c>
      <c r="AR52">
        <f>IF(OR('NEW DEAL'!$B$6="",$E52&lt;&gt;'NEW DEAL'!$B$6),-1,1+IF(OR($H52="",'NEW DEAL'!$B$7=""),0,MAX(0,1-ABS(LOG10($H52/'NEW DEAL'!$B$7))/W_SIZEHW)))+ROW()/1000000</f>
        <v/>
      </c>
    </row>
    <row r="53">
      <c r="A53" s="23" t="inlineStr">
        <is>
          <t>2162</t>
        </is>
      </c>
      <c r="B53" s="22" t="inlineStr">
        <is>
          <t>KEYMED BIO-B</t>
        </is>
      </c>
      <c r="C53" s="22" t="inlineStr">
        <is>
          <t>康諾亞生物醫藥科技有限公司</t>
        </is>
      </c>
      <c r="D53" s="24" t="inlineStr">
        <is>
          <t>Healthcare</t>
        </is>
      </c>
      <c r="E53" s="24" t="inlineStr">
        <is>
          <t>Biotech pre-revenue (18A)</t>
        </is>
      </c>
      <c r="F53" s="38" t="inlineStr">
        <is>
          <t>18A</t>
        </is>
      </c>
      <c r="G53" s="25" t="n">
        <v>44385</v>
      </c>
      <c r="H53" s="26" t="n">
        <v>2942</v>
      </c>
      <c r="I53" s="22" t="inlineStr">
        <is>
          <t>net proceeds</t>
        </is>
      </c>
      <c r="J53" s="27" t="n">
        <v>50.5</v>
      </c>
      <c r="K53" s="27" t="n">
        <v>53.3</v>
      </c>
      <c r="L53" s="27" t="n">
        <v>53.3</v>
      </c>
      <c r="M53" s="28" t="n">
        <v>100</v>
      </c>
      <c r="N53" s="29" t="inlineStr">
        <is>
          <t>Y</t>
        </is>
      </c>
      <c r="O53" s="36" t="n">
        <v>13685.3</v>
      </c>
      <c r="P53" s="30" t="n">
        <v>429.97</v>
      </c>
      <c r="Q53" s="31" t="n"/>
      <c r="R53" s="32" t="n">
        <v>27.58</v>
      </c>
      <c r="S53" s="33" t="n">
        <v>20</v>
      </c>
      <c r="T53" s="32" t="n">
        <v>10.78</v>
      </c>
      <c r="U53" s="22" t="inlineStr">
        <is>
          <t>not-yet (at allotment)</t>
        </is>
      </c>
      <c r="V53" s="29" t="inlineStr">
        <is>
          <t>N</t>
        </is>
      </c>
      <c r="W53" s="31" t="n"/>
      <c r="X53" s="31" t="n"/>
      <c r="Y53" s="35" t="n"/>
      <c r="Z53" s="36" t="n">
        <v>-108.3</v>
      </c>
      <c r="AA53" s="22" t="n"/>
      <c r="AB53" s="22" t="n"/>
      <c r="AC53" s="22" t="n"/>
      <c r="AD53" s="22" t="inlineStr">
        <is>
          <t>“Stabilizing Manager” Morgan Stanley Asia Limited; “White Form eIPO Service Provider” Computershare Hong Kong Investor Services Limited</t>
        </is>
      </c>
      <c r="AE53" s="22" t="n"/>
      <c r="AK53">
        <f>IF(AND(Screener!$B$7&lt;&gt;"",$E53=Screener!$B$7),1,0)</f>
        <v/>
      </c>
      <c r="AL53">
        <f>IF(AND(Screener!$B$6&lt;&gt;"",$D53=Screener!$B$6),1,0)</f>
        <v/>
      </c>
      <c r="AM53">
        <f>IF(OR($H53="",Screener!$B$8=""),0,MAX(0,1-ABS(LOG10($H53/Screener!$B$8))/W_SIZEHW))</f>
        <v/>
      </c>
      <c r="AN53">
        <f>IF(OR($V53="",Screener!$B$9=""),0,IF($V53=Screener!$B$9,1,0))</f>
        <v/>
      </c>
      <c r="AO53">
        <f>IF(OR($AA53="",Screener!$B$10=""),0,IF($AA53=Screener!$B$10,1,0))</f>
        <v/>
      </c>
      <c r="AP53">
        <f>IF($G53="",0,MAX(0,1-(Screener!$B$12-$G53)/W_RECD))</f>
        <v/>
      </c>
      <c r="AQ53">
        <f>IF($B53=Screener!$B$3,-999999,W_SUB*AK53+W_SEC*AL53*(1-AK53)+W_SIZE*AM53+W_PROF*AN53+W_AH*AO53+W_REC*AP53)+ROW()/1000000</f>
        <v/>
      </c>
      <c r="AR53">
        <f>IF(OR('NEW DEAL'!$B$6="",$E53&lt;&gt;'NEW DEAL'!$B$6),-1,1+IF(OR($H53="",'NEW DEAL'!$B$7=""),0,MAX(0,1-ABS(LOG10($H53/'NEW DEAL'!$B$7))/W_SIZEHW)))+ROW()/1000000</f>
        <v/>
      </c>
    </row>
    <row r="54">
      <c r="A54" s="23" t="inlineStr">
        <is>
          <t>2209</t>
        </is>
      </c>
      <c r="B54" s="22" t="inlineStr">
        <is>
          <t>YESASIA HLDGS</t>
        </is>
      </c>
      <c r="C54" s="22" t="n"/>
      <c r="D54" s="24" t="inlineStr">
        <is>
          <t>Tech/AI</t>
        </is>
      </c>
      <c r="E54" s="24" t="inlineStr">
        <is>
          <t>Internet platform / e-commerce</t>
        </is>
      </c>
      <c r="F54" s="22" t="inlineStr">
        <is>
          <t>Standard</t>
        </is>
      </c>
      <c r="G54" s="25" t="n">
        <v>44386</v>
      </c>
      <c r="H54" s="26" t="n">
        <v>4.5</v>
      </c>
      <c r="I54" s="22" t="inlineStr">
        <is>
          <t>gross (stated)</t>
        </is>
      </c>
      <c r="J54" s="27" t="n">
        <v>3</v>
      </c>
      <c r="K54" s="27" t="n">
        <v>3.33</v>
      </c>
      <c r="L54" s="27" t="n">
        <v>3.28</v>
      </c>
      <c r="M54" s="28" t="n">
        <v>84.8</v>
      </c>
      <c r="N54" s="29" t="inlineStr">
        <is>
          <t>N</t>
        </is>
      </c>
      <c r="O54" s="26" t="n">
        <v>39.8</v>
      </c>
      <c r="P54" s="30" t="n">
        <v>3.2</v>
      </c>
      <c r="Q54" s="31" t="n"/>
      <c r="R54" s="32" t="n">
        <v>5.49</v>
      </c>
      <c r="S54" s="33" t="n">
        <v>50</v>
      </c>
      <c r="T54" s="32" t="n">
        <v>11.3</v>
      </c>
      <c r="U54" s="22" t="inlineStr">
        <is>
          <t>not-yet (at allotment)</t>
        </is>
      </c>
      <c r="V54" s="29" t="inlineStr">
        <is>
          <t>Y</t>
        </is>
      </c>
      <c r="W54" s="34" t="n">
        <v>0.5</v>
      </c>
      <c r="X54" s="34" t="n">
        <v>0</v>
      </c>
      <c r="Y54" s="36" t="n">
        <v>1351.9</v>
      </c>
      <c r="Z54" s="36" t="n">
        <v>87.5</v>
      </c>
      <c r="AA54" s="22" t="n"/>
      <c r="AB54" s="22" t="n"/>
      <c r="AC54" s="22" t="inlineStr">
        <is>
          <t>and Sole Global Coordinator UOB Kay Hian (Hong Kong) Limited</t>
        </is>
      </c>
      <c r="AD54" s="22" t="inlineStr">
        <is>
          <t>UOB Kay Hian (Hong Kong) Limited; Anuenue Securities Limited; China Everbright Securities (HK) Limited; Wanchai, Hong Kong Haitong International Securities Company Limited; ICBC International Capital Limited; Central, Hong Kong Soochow Securities International Brokerage Limited; VMS Securities Limited</t>
        </is>
      </c>
      <c r="AE54" s="22" t="n"/>
      <c r="AK54">
        <f>IF(AND(Screener!$B$7&lt;&gt;"",$E54=Screener!$B$7),1,0)</f>
        <v/>
      </c>
      <c r="AL54">
        <f>IF(AND(Screener!$B$6&lt;&gt;"",$D54=Screener!$B$6),1,0)</f>
        <v/>
      </c>
      <c r="AM54">
        <f>IF(OR($H54="",Screener!$B$8=""),0,MAX(0,1-ABS(LOG10($H54/Screener!$B$8))/W_SIZEHW))</f>
        <v/>
      </c>
      <c r="AN54">
        <f>IF(OR($V54="",Screener!$B$9=""),0,IF($V54=Screener!$B$9,1,0))</f>
        <v/>
      </c>
      <c r="AO54">
        <f>IF(OR($AA54="",Screener!$B$10=""),0,IF($AA54=Screener!$B$10,1,0))</f>
        <v/>
      </c>
      <c r="AP54">
        <f>IF($G54="",0,MAX(0,1-(Screener!$B$12-$G54)/W_RECD))</f>
        <v/>
      </c>
      <c r="AQ54">
        <f>IF($B54=Screener!$B$3,-999999,W_SUB*AK54+W_SEC*AL54*(1-AK54)+W_SIZE*AM54+W_PROF*AN54+W_AH*AO54+W_REC*AP54)+ROW()/1000000</f>
        <v/>
      </c>
      <c r="AR54">
        <f>IF(OR('NEW DEAL'!$B$6="",$E54&lt;&gt;'NEW DEAL'!$B$6),-1,1+IF(OR($H54="",'NEW DEAL'!$B$7=""),0,MAX(0,1-ABS(LOG10($H54/'NEW DEAL'!$B$7))/W_SIZEHW)))+ROW()/1000000</f>
        <v/>
      </c>
    </row>
    <row r="55">
      <c r="A55" s="23" t="inlineStr">
        <is>
          <t>2165</t>
        </is>
      </c>
      <c r="B55" s="22" t="inlineStr">
        <is>
          <t>LING YUE SER GP</t>
        </is>
      </c>
      <c r="C55" s="22" t="inlineStr">
        <is>
          <t>領悅服務集團有限公司</t>
        </is>
      </c>
      <c r="D55" s="24" t="inlineStr">
        <is>
          <t>Real Estate</t>
        </is>
      </c>
      <c r="E55" s="24" t="inlineStr">
        <is>
          <t>Property management</t>
        </is>
      </c>
      <c r="F55" s="22" t="inlineStr">
        <is>
          <t>Standard</t>
        </is>
      </c>
      <c r="G55" s="25" t="n">
        <v>44387</v>
      </c>
      <c r="H55" s="26" t="n">
        <v>264</v>
      </c>
      <c r="I55" s="22" t="inlineStr">
        <is>
          <t>gross (price x shares)</t>
        </is>
      </c>
      <c r="J55" s="27" t="n"/>
      <c r="K55" s="27" t="n">
        <v>4.55</v>
      </c>
      <c r="L55" s="27" t="n">
        <v>4.19</v>
      </c>
      <c r="M55" s="32" t="n"/>
      <c r="N55" s="29" t="inlineStr">
        <is>
          <t>N</t>
        </is>
      </c>
      <c r="O55" s="26" t="n">
        <v>953.1</v>
      </c>
      <c r="P55" s="30" t="n">
        <v>5.23</v>
      </c>
      <c r="Q55" s="31" t="n"/>
      <c r="R55" s="32" t="n">
        <v>0</v>
      </c>
      <c r="S55" s="33" t="n">
        <v>0</v>
      </c>
      <c r="T55" s="32" t="n">
        <v>16.5</v>
      </c>
      <c r="U55" s="22" t="inlineStr">
        <is>
          <t>not-yet (at allotment)</t>
        </is>
      </c>
      <c r="V55" s="29" t="inlineStr">
        <is>
          <t>Y</t>
        </is>
      </c>
      <c r="W55" s="34" t="n">
        <v>12.3</v>
      </c>
      <c r="X55" s="34" t="n">
        <v>2</v>
      </c>
      <c r="Y55" s="36" t="n">
        <v>471</v>
      </c>
      <c r="Z55" s="36" t="n">
        <v>77.3</v>
      </c>
      <c r="AA55" s="22" t="n"/>
      <c r="AB55" s="22" t="n"/>
      <c r="AC55" s="22" t="inlineStr">
        <is>
          <t>CCB International Capital Limited</t>
        </is>
      </c>
      <c r="AD55" s="22" t="inlineStr">
        <is>
          <t>CCB International Capital Limited; CMB International Capital Limited; Huatai Financial Holdings (Hong Kong) Limited; Seazen Resources Securities Limited; Shenwan Hongyuan Securities (H.K.) Limited; CMBC Securities Company Limited</t>
        </is>
      </c>
      <c r="AE55" s="22" t="n"/>
      <c r="AK55">
        <f>IF(AND(Screener!$B$7&lt;&gt;"",$E55=Screener!$B$7),1,0)</f>
        <v/>
      </c>
      <c r="AL55">
        <f>IF(AND(Screener!$B$6&lt;&gt;"",$D55=Screener!$B$6),1,0)</f>
        <v/>
      </c>
      <c r="AM55">
        <f>IF(OR($H55="",Screener!$B$8=""),0,MAX(0,1-ABS(LOG10($H55/Screener!$B$8))/W_SIZEHW))</f>
        <v/>
      </c>
      <c r="AN55">
        <f>IF(OR($V55="",Screener!$B$9=""),0,IF($V55=Screener!$B$9,1,0))</f>
        <v/>
      </c>
      <c r="AO55">
        <f>IF(OR($AA55="",Screener!$B$10=""),0,IF($AA55=Screener!$B$10,1,0))</f>
        <v/>
      </c>
      <c r="AP55">
        <f>IF($G55="",0,MAX(0,1-(Screener!$B$12-$G55)/W_RECD))</f>
        <v/>
      </c>
      <c r="AQ55">
        <f>IF($B55=Screener!$B$3,-999999,W_SUB*AK55+W_SEC*AL55*(1-AK55)+W_SIZE*AM55+W_PROF*AN55+W_AH*AO55+W_REC*AP55)+ROW()/1000000</f>
        <v/>
      </c>
      <c r="AR55">
        <f>IF(OR('NEW DEAL'!$B$6="",$E55&lt;&gt;'NEW DEAL'!$B$6),-1,1+IF(OR($H55="",'NEW DEAL'!$B$7=""),0,MAX(0,1-ABS(LOG10($H55/'NEW DEAL'!$B$7))/W_SIZEHW)))+ROW()/1000000</f>
        <v/>
      </c>
    </row>
    <row r="56">
      <c r="A56" s="23" t="inlineStr">
        <is>
          <t>2177</t>
        </is>
      </c>
      <c r="B56" s="22" t="inlineStr">
        <is>
          <t>UNQ HOLDINGS</t>
        </is>
      </c>
      <c r="C56" s="22" t="inlineStr">
        <is>
          <t>優趣匯控股有限公司</t>
        </is>
      </c>
      <c r="D56" s="24" t="inlineStr">
        <is>
          <t>Tech/AI</t>
        </is>
      </c>
      <c r="E56" s="24" t="inlineStr">
        <is>
          <t>Internet platform / e-commerce</t>
        </is>
      </c>
      <c r="F56" s="22" t="inlineStr">
        <is>
          <t>Standard</t>
        </is>
      </c>
      <c r="G56" s="25" t="n">
        <v>44387</v>
      </c>
      <c r="H56" s="26" t="n">
        <v>327.99</v>
      </c>
      <c r="I56" s="22" t="inlineStr">
        <is>
          <t>net proceeds</t>
        </is>
      </c>
      <c r="J56" s="27" t="n">
        <v>11.86</v>
      </c>
      <c r="K56" s="27" t="n">
        <v>15.35</v>
      </c>
      <c r="L56" s="27" t="n">
        <v>11.86</v>
      </c>
      <c r="M56" s="28" t="n">
        <v>0</v>
      </c>
      <c r="N56" s="29" t="inlineStr">
        <is>
          <t>N</t>
        </is>
      </c>
      <c r="O56" s="36" t="n">
        <v>1967.5</v>
      </c>
      <c r="P56" s="30" t="n">
        <v>25.45</v>
      </c>
      <c r="Q56" s="31" t="n"/>
      <c r="R56" s="32" t="n">
        <v>-23.78</v>
      </c>
      <c r="S56" s="33" t="n">
        <v>31.3</v>
      </c>
      <c r="T56" s="32" t="n">
        <v>17.7</v>
      </c>
      <c r="U56" s="22" t="inlineStr">
        <is>
          <t>not-yet (at allotment)</t>
        </is>
      </c>
      <c r="V56" s="29" t="inlineStr">
        <is>
          <t>Y</t>
        </is>
      </c>
      <c r="W56" s="34" t="n">
        <v>41.6</v>
      </c>
      <c r="X56" s="34" t="n">
        <v>0.6</v>
      </c>
      <c r="Y56" s="36" t="n">
        <v>3080.9</v>
      </c>
      <c r="Z56" s="36" t="n">
        <v>47.3</v>
      </c>
      <c r="AA56" s="22" t="n"/>
      <c r="AB56" s="22" t="n"/>
      <c r="AC56" s="22" t="inlineStr">
        <is>
          <t>China International Capital Corporation Hong Kong Securities Limited</t>
        </is>
      </c>
      <c r="AD56" s="22" t="inlineStr">
        <is>
          <t>China International Capital Corporation Hong Kong Securities Limited; Nomura International (Hong Kong) Limited; BOCI Asia Limited; BOCOM International Securities Limited; Futu Securities International (Hong Kong) Limited; Haitong International Securities Company Limited; Sunfund Securities Limited; Central, Hong Kong Zhongtai International Securities Limited</t>
        </is>
      </c>
      <c r="AE56" s="22" t="n"/>
      <c r="AK56">
        <f>IF(AND(Screener!$B$7&lt;&gt;"",$E56=Screener!$B$7),1,0)</f>
        <v/>
      </c>
      <c r="AL56">
        <f>IF(AND(Screener!$B$6&lt;&gt;"",$D56=Screener!$B$6),1,0)</f>
        <v/>
      </c>
      <c r="AM56">
        <f>IF(OR($H56="",Screener!$B$8=""),0,MAX(0,1-ABS(LOG10($H56/Screener!$B$8))/W_SIZEHW))</f>
        <v/>
      </c>
      <c r="AN56">
        <f>IF(OR($V56="",Screener!$B$9=""),0,IF($V56=Screener!$B$9,1,0))</f>
        <v/>
      </c>
      <c r="AO56">
        <f>IF(OR($AA56="",Screener!$B$10=""),0,IF($AA56=Screener!$B$10,1,0))</f>
        <v/>
      </c>
      <c r="AP56">
        <f>IF($G56="",0,MAX(0,1-(Screener!$B$12-$G56)/W_RECD))</f>
        <v/>
      </c>
      <c r="AQ56">
        <f>IF($B56=Screener!$B$3,-999999,W_SUB*AK56+W_SEC*AL56*(1-AK56)+W_SIZE*AM56+W_PROF*AN56+W_AH*AO56+W_REC*AP56)+ROW()/1000000</f>
        <v/>
      </c>
      <c r="AR56">
        <f>IF(OR('NEW DEAL'!$B$6="",$E56&lt;&gt;'NEW DEAL'!$B$6),-1,1+IF(OR($H56="",'NEW DEAL'!$B$7=""),0,MAX(0,1-ABS(LOG10($H56/'NEW DEAL'!$B$7))/W_SIZEHW)))+ROW()/1000000</f>
        <v/>
      </c>
    </row>
    <row r="57">
      <c r="A57" s="23" t="inlineStr">
        <is>
          <t>6913</t>
        </is>
      </c>
      <c r="B57" s="22" t="inlineStr">
        <is>
          <t>SCVE GROUP</t>
        </is>
      </c>
      <c r="C57" s="22" t="inlineStr">
        <is>
          <t>中国华南职业教育集团有限公司</t>
        </is>
      </c>
      <c r="D57" s="24" t="inlineStr">
        <is>
          <t>Consumer</t>
        </is>
      </c>
      <c r="E57" s="24" t="inlineStr">
        <is>
          <t>Consumer services / education</t>
        </is>
      </c>
      <c r="F57" s="22" t="inlineStr">
        <is>
          <t>Standard</t>
        </is>
      </c>
      <c r="G57" s="25" t="n">
        <v>44390</v>
      </c>
      <c r="H57" s="26" t="n">
        <v>457.1</v>
      </c>
      <c r="I57" s="22" t="inlineStr">
        <is>
          <t>net proceeds</t>
        </is>
      </c>
      <c r="J57" s="27" t="n"/>
      <c r="K57" s="27" t="n">
        <v>2.01</v>
      </c>
      <c r="L57" s="27" t="n">
        <v>1.59</v>
      </c>
      <c r="M57" s="32" t="n"/>
      <c r="N57" s="29" t="inlineStr">
        <is>
          <t>N</t>
        </is>
      </c>
      <c r="O57" s="26" t="n">
        <v>18284</v>
      </c>
      <c r="P57" s="30" t="n">
        <v>6.01</v>
      </c>
      <c r="Q57" s="31" t="n"/>
      <c r="R57" s="32" t="n">
        <v>-16.98</v>
      </c>
      <c r="S57" s="33" t="n">
        <v>0</v>
      </c>
      <c r="T57" s="32" t="n">
        <v>12.3</v>
      </c>
      <c r="U57" s="22" t="inlineStr">
        <is>
          <t>not-yet (at allotment)</t>
        </is>
      </c>
      <c r="V57" s="29" t="inlineStr">
        <is>
          <t>Y</t>
        </is>
      </c>
      <c r="W57" s="34" t="n">
        <v>91420</v>
      </c>
      <c r="X57" s="31" t="n"/>
      <c r="Y57" s="35" t="n"/>
      <c r="Z57" s="36" t="n">
        <v>0.2</v>
      </c>
      <c r="AA57" s="22" t="n"/>
      <c r="AB57" s="22" t="n"/>
      <c r="AC57" s="22" t="inlineStr">
        <is>
          <t>BNP Paribas Securities (Asia) Limited</t>
        </is>
      </c>
      <c r="AD57" s="22" t="inlineStr">
        <is>
          <t>BNP Paribas Securities (Asia) Limited; Haitong International Securities Company Limited; CCB International Capital Limited; CMB International Capital Limited; Futu Securities International (Hong Kong) Limited; China Galaxy International Securities (Hong Kong) Co., Limited</t>
        </is>
      </c>
      <c r="AE57" s="22" t="n"/>
      <c r="AK57">
        <f>IF(AND(Screener!$B$7&lt;&gt;"",$E57=Screener!$B$7),1,0)</f>
        <v/>
      </c>
      <c r="AL57">
        <f>IF(AND(Screener!$B$6&lt;&gt;"",$D57=Screener!$B$6),1,0)</f>
        <v/>
      </c>
      <c r="AM57">
        <f>IF(OR($H57="",Screener!$B$8=""),0,MAX(0,1-ABS(LOG10($H57/Screener!$B$8))/W_SIZEHW))</f>
        <v/>
      </c>
      <c r="AN57">
        <f>IF(OR($V57="",Screener!$B$9=""),0,IF($V57=Screener!$B$9,1,0))</f>
        <v/>
      </c>
      <c r="AO57">
        <f>IF(OR($AA57="",Screener!$B$10=""),0,IF($AA57=Screener!$B$10,1,0))</f>
        <v/>
      </c>
      <c r="AP57">
        <f>IF($G57="",0,MAX(0,1-(Screener!$B$12-$G57)/W_RECD))</f>
        <v/>
      </c>
      <c r="AQ57">
        <f>IF($B57=Screener!$B$3,-999999,W_SUB*AK57+W_SEC*AL57*(1-AK57)+W_SIZE*AM57+W_PROF*AN57+W_AH*AO57+W_REC*AP57)+ROW()/1000000</f>
        <v/>
      </c>
      <c r="AR57">
        <f>IF(OR('NEW DEAL'!$B$6="",$E57&lt;&gt;'NEW DEAL'!$B$6),-1,1+IF(OR($H57="",'NEW DEAL'!$B$7=""),0,MAX(0,1-ABS(LOG10($H57/'NEW DEAL'!$B$7))/W_SIZEHW)))+ROW()/1000000</f>
        <v/>
      </c>
    </row>
    <row r="58">
      <c r="A58" s="23" t="inlineStr">
        <is>
          <t>2137</t>
        </is>
      </c>
      <c r="B58" s="22" t="inlineStr">
        <is>
          <t>BRII - B</t>
        </is>
      </c>
      <c r="C58" s="22" t="n"/>
      <c r="D58" s="24" t="inlineStr">
        <is>
          <t>Healthcare</t>
        </is>
      </c>
      <c r="E58" s="24" t="inlineStr">
        <is>
          <t>Biotech pre-revenue (18A)</t>
        </is>
      </c>
      <c r="F58" s="22" t="inlineStr">
        <is>
          <t>Standard</t>
        </is>
      </c>
      <c r="G58" s="25" t="n">
        <v>44390</v>
      </c>
      <c r="H58" s="26" t="n">
        <v>2333.8</v>
      </c>
      <c r="I58" s="22" t="inlineStr">
        <is>
          <t>net proceeds</t>
        </is>
      </c>
      <c r="J58" s="27" t="n">
        <v>21</v>
      </c>
      <c r="K58" s="27" t="n">
        <v>22.25</v>
      </c>
      <c r="L58" s="27" t="n">
        <v>22.25</v>
      </c>
      <c r="M58" s="28" t="n">
        <v>100</v>
      </c>
      <c r="N58" s="29" t="inlineStr">
        <is>
          <t>Y</t>
        </is>
      </c>
      <c r="O58" s="26" t="n">
        <v>13148.2</v>
      </c>
      <c r="P58" s="30" t="n">
        <v>292</v>
      </c>
      <c r="Q58" s="31" t="n"/>
      <c r="R58" s="32" t="n">
        <v>3.15</v>
      </c>
      <c r="S58" s="33" t="n">
        <v>47.52</v>
      </c>
      <c r="T58" s="32" t="n">
        <v>6.1</v>
      </c>
      <c r="U58" s="22" t="inlineStr">
        <is>
          <t>not-yet (at allotment)</t>
        </is>
      </c>
      <c r="V58" s="29" t="inlineStr">
        <is>
          <t>N</t>
        </is>
      </c>
      <c r="W58" s="31" t="n"/>
      <c r="X58" s="31" t="n"/>
      <c r="Y58" s="35" t="n"/>
      <c r="Z58" s="36" t="n">
        <v>-1411.9</v>
      </c>
      <c r="AA58" s="22" t="n"/>
      <c r="AB58" s="22" t="n"/>
      <c r="AC58" s="22" t="inlineStr">
        <is>
          <t>Morgan Stanley Asia Limited; UBS Securities Hong Kong Limited</t>
        </is>
      </c>
      <c r="AD58" s="22" t="inlineStr">
        <is>
          <t>Morgan Stanley Asia Limited; UBS AG Hong Kong Branch; China International Capital Corporation Hong Kong Securities Limited</t>
        </is>
      </c>
      <c r="AE58" s="22" t="n"/>
      <c r="AK58">
        <f>IF(AND(Screener!$B$7&lt;&gt;"",$E58=Screener!$B$7),1,0)</f>
        <v/>
      </c>
      <c r="AL58">
        <f>IF(AND(Screener!$B$6&lt;&gt;"",$D58=Screener!$B$6),1,0)</f>
        <v/>
      </c>
      <c r="AM58">
        <f>IF(OR($H58="",Screener!$B$8=""),0,MAX(0,1-ABS(LOG10($H58/Screener!$B$8))/W_SIZEHW))</f>
        <v/>
      </c>
      <c r="AN58">
        <f>IF(OR($V58="",Screener!$B$9=""),0,IF($V58=Screener!$B$9,1,0))</f>
        <v/>
      </c>
      <c r="AO58">
        <f>IF(OR($AA58="",Screener!$B$10=""),0,IF($AA58=Screener!$B$10,1,0))</f>
        <v/>
      </c>
      <c r="AP58">
        <f>IF($G58="",0,MAX(0,1-(Screener!$B$12-$G58)/W_RECD))</f>
        <v/>
      </c>
      <c r="AQ58">
        <f>IF($B58=Screener!$B$3,-999999,W_SUB*AK58+W_SEC*AL58*(1-AK58)+W_SIZE*AM58+W_PROF*AN58+W_AH*AO58+W_REC*AP58)+ROW()/1000000</f>
        <v/>
      </c>
      <c r="AR58">
        <f>IF(OR('NEW DEAL'!$B$6="",$E58&lt;&gt;'NEW DEAL'!$B$6),-1,1+IF(OR($H58="",'NEW DEAL'!$B$7=""),0,MAX(0,1-ABS(LOG10($H58/'NEW DEAL'!$B$7))/W_SIZEHW)))+ROW()/1000000</f>
        <v/>
      </c>
    </row>
    <row r="59">
      <c r="A59" s="23" t="inlineStr">
        <is>
          <t>2192</t>
        </is>
      </c>
      <c r="B59" s="22" t="inlineStr">
        <is>
          <t>MEDLIVE</t>
        </is>
      </c>
      <c r="C59" s="22" t="n"/>
      <c r="D59" s="24" t="inlineStr">
        <is>
          <t>Healthcare</t>
        </is>
      </c>
      <c r="E59" s="24" t="inlineStr">
        <is>
          <t>Digital health</t>
        </is>
      </c>
      <c r="F59" s="22" t="inlineStr">
        <is>
          <t>Standard</t>
        </is>
      </c>
      <c r="G59" s="25" t="n">
        <v>44392</v>
      </c>
      <c r="H59" s="26" t="n">
        <v>4001</v>
      </c>
      <c r="I59" s="22" t="inlineStr">
        <is>
          <t>net proceeds</t>
        </is>
      </c>
      <c r="J59" s="27" t="n">
        <v>24.1</v>
      </c>
      <c r="K59" s="27" t="n">
        <v>27.2</v>
      </c>
      <c r="L59" s="27" t="n">
        <v>27.2</v>
      </c>
      <c r="M59" s="28" t="n">
        <v>100</v>
      </c>
      <c r="N59" s="29" t="inlineStr">
        <is>
          <t>Y</t>
        </is>
      </c>
      <c r="O59" s="36" t="n">
        <v>17703</v>
      </c>
      <c r="P59" s="30" t="n">
        <v>592.41</v>
      </c>
      <c r="Q59" s="31" t="n"/>
      <c r="R59" s="32" t="n">
        <v>13.97</v>
      </c>
      <c r="S59" s="33" t="n">
        <v>40.48</v>
      </c>
      <c r="T59" s="32" t="n">
        <v>5.2</v>
      </c>
      <c r="U59" s="22" t="inlineStr">
        <is>
          <t>not-yet (at allotment)</t>
        </is>
      </c>
      <c r="V59" s="29" t="inlineStr">
        <is>
          <t>Y</t>
        </is>
      </c>
      <c r="W59" s="34" t="n">
        <v>188.9</v>
      </c>
      <c r="X59" s="34" t="n">
        <v>75.40000000000001</v>
      </c>
      <c r="Y59" s="36" t="n">
        <v>234.9</v>
      </c>
      <c r="Z59" s="36" t="n">
        <v>93.7</v>
      </c>
      <c r="AA59" s="22" t="n"/>
      <c r="AB59" s="22" t="n"/>
      <c r="AC59" s="22" t="inlineStr">
        <is>
          <t>Goldman Sachs (Asia) L.L.C; Haitong International Capital Limited</t>
        </is>
      </c>
      <c r="AD59" s="22" t="inlineStr">
        <is>
          <t>Joint Lead Managers Goldman Sachs (Asia) L.L.C; Haitong International Securities Company Limited; China International Capital Corporation Hong Kong Securities Limited</t>
        </is>
      </c>
      <c r="AE59" s="22" t="n"/>
      <c r="AK59">
        <f>IF(AND(Screener!$B$7&lt;&gt;"",$E59=Screener!$B$7),1,0)</f>
        <v/>
      </c>
      <c r="AL59">
        <f>IF(AND(Screener!$B$6&lt;&gt;"",$D59=Screener!$B$6),1,0)</f>
        <v/>
      </c>
      <c r="AM59">
        <f>IF(OR($H59="",Screener!$B$8=""),0,MAX(0,1-ABS(LOG10($H59/Screener!$B$8))/W_SIZEHW))</f>
        <v/>
      </c>
      <c r="AN59">
        <f>IF(OR($V59="",Screener!$B$9=""),0,IF($V59=Screener!$B$9,1,0))</f>
        <v/>
      </c>
      <c r="AO59">
        <f>IF(OR($AA59="",Screener!$B$10=""),0,IF($AA59=Screener!$B$10,1,0))</f>
        <v/>
      </c>
      <c r="AP59">
        <f>IF($G59="",0,MAX(0,1-(Screener!$B$12-$G59)/W_RECD))</f>
        <v/>
      </c>
      <c r="AQ59">
        <f>IF($B59=Screener!$B$3,-999999,W_SUB*AK59+W_SEC*AL59*(1-AK59)+W_SIZE*AM59+W_PROF*AN59+W_AH*AO59+W_REC*AP59)+ROW()/1000000</f>
        <v/>
      </c>
      <c r="AR59">
        <f>IF(OR('NEW DEAL'!$B$6="",$E59&lt;&gt;'NEW DEAL'!$B$6),-1,1+IF(OR($H59="",'NEW DEAL'!$B$7=""),0,MAX(0,1-ABS(LOG10($H59/'NEW DEAL'!$B$7))/W_SIZEHW)))+ROW()/1000000</f>
        <v/>
      </c>
    </row>
    <row r="60">
      <c r="A60" s="23" t="inlineStr">
        <is>
          <t>6909</t>
        </is>
      </c>
      <c r="B60" s="22" t="inlineStr">
        <is>
          <t>BETTERLIFE HLDG</t>
        </is>
      </c>
      <c r="C60" s="22" t="n"/>
      <c r="D60" s="24" t="inlineStr">
        <is>
          <t>Consumer</t>
        </is>
      </c>
      <c r="E60" s="24" t="inlineStr">
        <is>
          <t>Retail / distribution</t>
        </is>
      </c>
      <c r="F60" s="22" t="inlineStr">
        <is>
          <t>Standard</t>
        </is>
      </c>
      <c r="G60" s="25" t="n">
        <v>44392</v>
      </c>
      <c r="H60" s="26" t="n">
        <v>627.4</v>
      </c>
      <c r="I60" s="22" t="inlineStr">
        <is>
          <t>net proceeds</t>
        </is>
      </c>
      <c r="J60" s="27" t="n"/>
      <c r="K60" s="27" t="n">
        <v>4.8</v>
      </c>
      <c r="L60" s="27" t="n">
        <v>4.4</v>
      </c>
      <c r="M60" s="32" t="n"/>
      <c r="N60" s="29" t="inlineStr">
        <is>
          <t>N</t>
        </is>
      </c>
      <c r="O60" s="26" t="n">
        <v>2509.6</v>
      </c>
      <c r="P60" s="30" t="n">
        <v>43.92</v>
      </c>
      <c r="Q60" s="37" t="n">
        <v>2.28</v>
      </c>
      <c r="R60" s="32" t="n">
        <v>25</v>
      </c>
      <c r="S60" s="33" t="n">
        <v>0</v>
      </c>
      <c r="T60" s="32" t="n">
        <v>9.800000000000001</v>
      </c>
      <c r="U60" s="22" t="inlineStr">
        <is>
          <t>not-yet (at allotment)</t>
        </is>
      </c>
      <c r="V60" s="29" t="inlineStr">
        <is>
          <t>Y</t>
        </is>
      </c>
      <c r="W60" s="34" t="n">
        <v>7.4</v>
      </c>
      <c r="X60" s="34" t="n">
        <v>0.3</v>
      </c>
      <c r="Y60" s="36" t="n">
        <v>9386.4</v>
      </c>
      <c r="Z60" s="36" t="n">
        <v>337.1</v>
      </c>
      <c r="AA60" s="22" t="n"/>
      <c r="AB60" s="22" t="n"/>
      <c r="AC60" s="22" t="inlineStr">
        <is>
          <t>Macquarie Capital Limited</t>
        </is>
      </c>
      <c r="AD60" s="22" t="inlineStr">
        <is>
          <t>Macquarie Capital Limited; Huatai Financial Holdings (Hong Kong) Limited; BOCOM International Securities Limited; UOB Kay Hian (Hong Kong) Limited; DBS Asia Capital Limited; First Shanghai Securities Limited; Maxa Capital Limited</t>
        </is>
      </c>
      <c r="AE60" s="22" t="n"/>
      <c r="AK60">
        <f>IF(AND(Screener!$B$7&lt;&gt;"",$E60=Screener!$B$7),1,0)</f>
        <v/>
      </c>
      <c r="AL60">
        <f>IF(AND(Screener!$B$6&lt;&gt;"",$D60=Screener!$B$6),1,0)</f>
        <v/>
      </c>
      <c r="AM60">
        <f>IF(OR($H60="",Screener!$B$8=""),0,MAX(0,1-ABS(LOG10($H60/Screener!$B$8))/W_SIZEHW))</f>
        <v/>
      </c>
      <c r="AN60">
        <f>IF(OR($V60="",Screener!$B$9=""),0,IF($V60=Screener!$B$9,1,0))</f>
        <v/>
      </c>
      <c r="AO60">
        <f>IF(OR($AA60="",Screener!$B$10=""),0,IF($AA60=Screener!$B$10,1,0))</f>
        <v/>
      </c>
      <c r="AP60">
        <f>IF($G60="",0,MAX(0,1-(Screener!$B$12-$G60)/W_RECD))</f>
        <v/>
      </c>
      <c r="AQ60">
        <f>IF($B60=Screener!$B$3,-999999,W_SUB*AK60+W_SEC*AL60*(1-AK60)+W_SIZE*AM60+W_PROF*AN60+W_AH*AO60+W_REC*AP60)+ROW()/1000000</f>
        <v/>
      </c>
      <c r="AR60">
        <f>IF(OR('NEW DEAL'!$B$6="",$E60&lt;&gt;'NEW DEAL'!$B$6),-1,1+IF(OR($H60="",'NEW DEAL'!$B$7=""),0,MAX(0,1-ABS(LOG10($H60/'NEW DEAL'!$B$7))/W_SIZEHW)))+ROW()/1000000</f>
        <v/>
      </c>
    </row>
    <row r="61">
      <c r="A61" s="23" t="inlineStr">
        <is>
          <t>2215</t>
        </is>
      </c>
      <c r="B61" s="22" t="inlineStr">
        <is>
          <t>DEXIN SER GROUP</t>
        </is>
      </c>
      <c r="C61" s="22" t="inlineStr">
        <is>
          <t>德信服務集團有限公司</t>
        </is>
      </c>
      <c r="D61" s="24" t="inlineStr">
        <is>
          <t>Real Estate</t>
        </is>
      </c>
      <c r="E61" s="24" t="inlineStr">
        <is>
          <t>Property management</t>
        </is>
      </c>
      <c r="F61" s="22" t="inlineStr">
        <is>
          <t>Standard</t>
        </is>
      </c>
      <c r="G61" s="25" t="n">
        <v>44392</v>
      </c>
      <c r="H61" s="26" t="n">
        <v>106.9</v>
      </c>
      <c r="I61" s="22" t="inlineStr">
        <is>
          <t>net proceeds</t>
        </is>
      </c>
      <c r="J61" s="27" t="n">
        <v>2.66</v>
      </c>
      <c r="K61" s="27" t="n">
        <v>3.44</v>
      </c>
      <c r="L61" s="27" t="n">
        <v>3.06</v>
      </c>
      <c r="M61" s="28" t="n">
        <v>51.3</v>
      </c>
      <c r="N61" s="29" t="inlineStr">
        <is>
          <t>N</t>
        </is>
      </c>
      <c r="O61" s="26" t="n">
        <v>385.8</v>
      </c>
      <c r="P61" s="30" t="n">
        <v>3.08</v>
      </c>
      <c r="Q61" s="31" t="n"/>
      <c r="R61" s="32" t="n">
        <v>0</v>
      </c>
      <c r="S61" s="33" t="n">
        <v>21.4</v>
      </c>
      <c r="T61" s="32" t="n">
        <v>15</v>
      </c>
      <c r="U61" s="22" t="inlineStr">
        <is>
          <t>not-yet (at allotment)</t>
        </is>
      </c>
      <c r="V61" s="29" t="inlineStr">
        <is>
          <t>Y</t>
        </is>
      </c>
      <c r="W61" s="34" t="n">
        <v>3.3</v>
      </c>
      <c r="X61" s="34" t="n">
        <v>0.5</v>
      </c>
      <c r="Y61" s="36" t="n">
        <v>761.6</v>
      </c>
      <c r="Z61" s="36" t="n">
        <v>116.4</v>
      </c>
      <c r="AA61" s="22" t="n"/>
      <c r="AB61" s="22" t="n"/>
      <c r="AC61" s="22" t="inlineStr">
        <is>
          <t>CCB International Capital Limited</t>
        </is>
      </c>
      <c r="AD61" s="22" t="inlineStr">
        <is>
          <t>CCB International Capital Limited; China Industrial Securities International Capital Limited; Zhongtai International Securities Limited; Vision Capital International Holdings Limited</t>
        </is>
      </c>
      <c r="AE61" s="22" t="n"/>
      <c r="AK61">
        <f>IF(AND(Screener!$B$7&lt;&gt;"",$E61=Screener!$B$7),1,0)</f>
        <v/>
      </c>
      <c r="AL61">
        <f>IF(AND(Screener!$B$6&lt;&gt;"",$D61=Screener!$B$6),1,0)</f>
        <v/>
      </c>
      <c r="AM61">
        <f>IF(OR($H61="",Screener!$B$8=""),0,MAX(0,1-ABS(LOG10($H61/Screener!$B$8))/W_SIZEHW))</f>
        <v/>
      </c>
      <c r="AN61">
        <f>IF(OR($V61="",Screener!$B$9=""),0,IF($V61=Screener!$B$9,1,0))</f>
        <v/>
      </c>
      <c r="AO61">
        <f>IF(OR($AA61="",Screener!$B$10=""),0,IF($AA61=Screener!$B$10,1,0))</f>
        <v/>
      </c>
      <c r="AP61">
        <f>IF($G61="",0,MAX(0,1-(Screener!$B$12-$G61)/W_RECD))</f>
        <v/>
      </c>
      <c r="AQ61">
        <f>IF($B61=Screener!$B$3,-999999,W_SUB*AK61+W_SEC*AL61*(1-AK61)+W_SIZE*AM61+W_PROF*AN61+W_AH*AO61+W_REC*AP61)+ROW()/1000000</f>
        <v/>
      </c>
      <c r="AR61">
        <f>IF(OR('NEW DEAL'!$B$6="",$E61&lt;&gt;'NEW DEAL'!$B$6),-1,1+IF(OR($H61="",'NEW DEAL'!$B$7=""),0,MAX(0,1-ABS(LOG10($H61/'NEW DEAL'!$B$7))/W_SIZEHW)))+ROW()/1000000</f>
        <v/>
      </c>
    </row>
    <row r="62">
      <c r="A62" s="23" t="inlineStr">
        <is>
          <t>9960</t>
        </is>
      </c>
      <c r="B62" s="22" t="inlineStr">
        <is>
          <t>KINDSTAR GLOBAL</t>
        </is>
      </c>
      <c r="C62" s="22" t="n"/>
      <c r="D62" s="24" t="inlineStr">
        <is>
          <t>Healthcare</t>
        </is>
      </c>
      <c r="E62" s="24" t="inlineStr">
        <is>
          <t>CXO / pharma services</t>
        </is>
      </c>
      <c r="F62" s="22" t="inlineStr">
        <is>
          <t>Standard</t>
        </is>
      </c>
      <c r="G62" s="25" t="n">
        <v>44393</v>
      </c>
      <c r="H62" s="26" t="n">
        <v>2053.6</v>
      </c>
      <c r="I62" s="22" t="inlineStr">
        <is>
          <t>net proceeds</t>
        </is>
      </c>
      <c r="J62" s="27" t="n">
        <v>8.6</v>
      </c>
      <c r="K62" s="27" t="n">
        <v>9.779999999999999</v>
      </c>
      <c r="L62" s="27" t="n">
        <v>9.779999999999999</v>
      </c>
      <c r="M62" s="28" t="n">
        <v>100</v>
      </c>
      <c r="N62" s="29" t="inlineStr">
        <is>
          <t>Y</t>
        </is>
      </c>
      <c r="O62" s="26" t="n">
        <v>7413.7</v>
      </c>
      <c r="P62" s="30" t="n">
        <v>543.03</v>
      </c>
      <c r="Q62" s="31" t="n"/>
      <c r="R62" s="32" t="n">
        <v>-7.57</v>
      </c>
      <c r="S62" s="33" t="n">
        <v>49.08</v>
      </c>
      <c r="T62" s="32" t="n">
        <v>7.2</v>
      </c>
      <c r="U62" s="22" t="inlineStr">
        <is>
          <t>not-yet (at allotment)</t>
        </is>
      </c>
      <c r="V62" s="29" t="inlineStr">
        <is>
          <t>N</t>
        </is>
      </c>
      <c r="W62" s="31" t="n"/>
      <c r="X62" s="34" t="n">
        <v>7.6</v>
      </c>
      <c r="Y62" s="36" t="n">
        <v>980.5</v>
      </c>
      <c r="Z62" s="36" t="n">
        <v>-1067.1</v>
      </c>
      <c r="AA62" s="22" t="n"/>
      <c r="AB62" s="22" t="n"/>
      <c r="AC62" s="22" t="inlineStr">
        <is>
          <t>Goldman Sachs (Asia) L.L.C; China International Capital Corporation Hong Kong Securities Limited; Credit Suisse (Hong Kong) Limited</t>
        </is>
      </c>
      <c r="AD62" s="22" t="inlineStr">
        <is>
          <t>Goldman Sachs (Asia) L.L.C; China International Capital Corporation Hong Kong Securities Limited; Credit Suisse (Hong Kong) Limited</t>
        </is>
      </c>
      <c r="AE62" s="22" t="n"/>
      <c r="AK62">
        <f>IF(AND(Screener!$B$7&lt;&gt;"",$E62=Screener!$B$7),1,0)</f>
        <v/>
      </c>
      <c r="AL62">
        <f>IF(AND(Screener!$B$6&lt;&gt;"",$D62=Screener!$B$6),1,0)</f>
        <v/>
      </c>
      <c r="AM62">
        <f>IF(OR($H62="",Screener!$B$8=""),0,MAX(0,1-ABS(LOG10($H62/Screener!$B$8))/W_SIZEHW))</f>
        <v/>
      </c>
      <c r="AN62">
        <f>IF(OR($V62="",Screener!$B$9=""),0,IF($V62=Screener!$B$9,1,0))</f>
        <v/>
      </c>
      <c r="AO62">
        <f>IF(OR($AA62="",Screener!$B$10=""),0,IF($AA62=Screener!$B$10,1,0))</f>
        <v/>
      </c>
      <c r="AP62">
        <f>IF($G62="",0,MAX(0,1-(Screener!$B$12-$G62)/W_RECD))</f>
        <v/>
      </c>
      <c r="AQ62">
        <f>IF($B62=Screener!$B$3,-999999,W_SUB*AK62+W_SEC*AL62*(1-AK62)+W_SIZE*AM62+W_PROF*AN62+W_AH*AO62+W_REC*AP62)+ROW()/1000000</f>
        <v/>
      </c>
      <c r="AR62">
        <f>IF(OR('NEW DEAL'!$B$6="",$E62&lt;&gt;'NEW DEAL'!$B$6),-1,1+IF(OR($H62="",'NEW DEAL'!$B$7=""),0,MAX(0,1-ABS(LOG10($H62/'NEW DEAL'!$B$7))/W_SIZEHW)))+ROW()/1000000</f>
        <v/>
      </c>
    </row>
    <row r="63">
      <c r="A63" s="23" t="inlineStr">
        <is>
          <t>2175</t>
        </is>
      </c>
      <c r="B63" s="22" t="inlineStr">
        <is>
          <t>CH GENERAL EDU</t>
        </is>
      </c>
      <c r="C63" s="22" t="n"/>
      <c r="D63" s="24" t="inlineStr">
        <is>
          <t>Consumer</t>
        </is>
      </c>
      <c r="E63" s="24" t="inlineStr">
        <is>
          <t>Consumer services / education</t>
        </is>
      </c>
      <c r="F63" s="22" t="inlineStr">
        <is>
          <t>Standard</t>
        </is>
      </c>
      <c r="G63" s="25" t="n">
        <v>44393</v>
      </c>
      <c r="H63" s="26" t="n">
        <v>408.6</v>
      </c>
      <c r="I63" s="22" t="inlineStr">
        <is>
          <t>net proceeds</t>
        </is>
      </c>
      <c r="J63" s="27" t="n"/>
      <c r="K63" s="27" t="n">
        <v>4.38</v>
      </c>
      <c r="L63" s="27" t="n">
        <v>3.69</v>
      </c>
      <c r="M63" s="32" t="n"/>
      <c r="N63" s="29" t="inlineStr">
        <is>
          <t>N</t>
        </is>
      </c>
      <c r="O63" s="36" t="n">
        <v>1580</v>
      </c>
      <c r="P63" s="30" t="n">
        <v>4.12</v>
      </c>
      <c r="Q63" s="37" t="n">
        <v>1.47</v>
      </c>
      <c r="R63" s="32" t="n">
        <v>0</v>
      </c>
      <c r="S63" s="33" t="n">
        <v>0</v>
      </c>
      <c r="T63" s="32" t="n">
        <v>20</v>
      </c>
      <c r="U63" s="22" t="inlineStr">
        <is>
          <t>not-yet (at allotment)</t>
        </is>
      </c>
      <c r="V63" s="29" t="inlineStr">
        <is>
          <t>Y</t>
        </is>
      </c>
      <c r="W63" s="34" t="n">
        <v>10.1</v>
      </c>
      <c r="X63" s="34" t="n">
        <v>5.3</v>
      </c>
      <c r="Y63" s="36" t="n">
        <v>298.2</v>
      </c>
      <c r="Z63" s="36" t="n">
        <v>157</v>
      </c>
      <c r="AA63" s="22" t="n"/>
      <c r="AB63" s="22" t="n"/>
      <c r="AC63" s="22" t="inlineStr">
        <is>
          <t>Guotai Junan Capital Limited</t>
        </is>
      </c>
      <c r="AD63" s="22" t="inlineStr">
        <is>
          <t>Guotai Junan Securities (Hong Kong) Limited; China Merchants Securities (HK) Co., Limited; Haitong International Securities Company Limited; Shenwan Hongyuan Securities (H.K.) Limited; CMB International Capital Limited; China Everbright Securities (HK) Limited; Shanxi Securities International Limited; Harmonia Capital Limited; HTF Securities Limited; CMBC Securities Company Limited; DIRECTORS AND PARTIES INVOLVED IN THE GLOBAL OFFERING –9 3– Livermore Holdings Limited</t>
        </is>
      </c>
      <c r="AE63" s="22" t="n"/>
      <c r="AK63">
        <f>IF(AND(Screener!$B$7&lt;&gt;"",$E63=Screener!$B$7),1,0)</f>
        <v/>
      </c>
      <c r="AL63">
        <f>IF(AND(Screener!$B$6&lt;&gt;"",$D63=Screener!$B$6),1,0)</f>
        <v/>
      </c>
      <c r="AM63">
        <f>IF(OR($H63="",Screener!$B$8=""),0,MAX(0,1-ABS(LOG10($H63/Screener!$B$8))/W_SIZEHW))</f>
        <v/>
      </c>
      <c r="AN63">
        <f>IF(OR($V63="",Screener!$B$9=""),0,IF($V63=Screener!$B$9,1,0))</f>
        <v/>
      </c>
      <c r="AO63">
        <f>IF(OR($AA63="",Screener!$B$10=""),0,IF($AA63=Screener!$B$10,1,0))</f>
        <v/>
      </c>
      <c r="AP63">
        <f>IF($G63="",0,MAX(0,1-(Screener!$B$12-$G63)/W_RECD))</f>
        <v/>
      </c>
      <c r="AQ63">
        <f>IF($B63=Screener!$B$3,-999999,W_SUB*AK63+W_SEC*AL63*(1-AK63)+W_SIZE*AM63+W_PROF*AN63+W_AH*AO63+W_REC*AP63)+ROW()/1000000</f>
        <v/>
      </c>
      <c r="AR63">
        <f>IF(OR('NEW DEAL'!$B$6="",$E63&lt;&gt;'NEW DEAL'!$B$6),-1,1+IF(OR($H63="",'NEW DEAL'!$B$7=""),0,MAX(0,1-ABS(LOG10($H63/'NEW DEAL'!$B$7))/W_SIZEHW)))+ROW()/1000000</f>
        <v/>
      </c>
    </row>
    <row r="64">
      <c r="A64" s="23" t="inlineStr">
        <is>
          <t>2205</t>
        </is>
      </c>
      <c r="B64" s="22" t="inlineStr">
        <is>
          <t>KANGQIAO SER</t>
        </is>
      </c>
      <c r="C64" s="22" t="inlineStr">
        <is>
          <t>生活集團有限公司</t>
        </is>
      </c>
      <c r="D64" s="24" t="inlineStr">
        <is>
          <t>Real Estate</t>
        </is>
      </c>
      <c r="E64" s="24" t="inlineStr">
        <is>
          <t>Property management</t>
        </is>
      </c>
      <c r="F64" s="22" t="inlineStr">
        <is>
          <t>Standard</t>
        </is>
      </c>
      <c r="G64" s="25" t="n">
        <v>44393</v>
      </c>
      <c r="H64" s="26" t="n">
        <v>93.5</v>
      </c>
      <c r="I64" s="22" t="inlineStr">
        <is>
          <t>net proceeds</t>
        </is>
      </c>
      <c r="J64" s="27" t="n"/>
      <c r="K64" s="27" t="n">
        <v>3.88</v>
      </c>
      <c r="L64" s="27" t="n">
        <v>3.68</v>
      </c>
      <c r="M64" s="32" t="n"/>
      <c r="N64" s="29" t="inlineStr">
        <is>
          <t>N</t>
        </is>
      </c>
      <c r="O64" s="26" t="n">
        <v>337.4</v>
      </c>
      <c r="P64" s="30" t="n">
        <v>23.72</v>
      </c>
      <c r="Q64" s="31" t="n"/>
      <c r="R64" s="32" t="n">
        <v>-1.09</v>
      </c>
      <c r="S64" s="33" t="n">
        <v>38.55</v>
      </c>
      <c r="T64" s="32" t="n">
        <v>10.2</v>
      </c>
      <c r="U64" s="22" t="inlineStr">
        <is>
          <t>not-yet (at allotment)</t>
        </is>
      </c>
      <c r="V64" s="29" t="inlineStr">
        <is>
          <t>Y</t>
        </is>
      </c>
      <c r="W64" s="34" t="n">
        <v>3.3</v>
      </c>
      <c r="X64" s="34" t="n">
        <v>0.5</v>
      </c>
      <c r="Y64" s="36" t="n">
        <v>633.1</v>
      </c>
      <c r="Z64" s="36" t="n">
        <v>101</v>
      </c>
      <c r="AA64" s="22" t="n"/>
      <c r="AB64" s="22" t="n"/>
      <c r="AC64" s="22" t="inlineStr">
        <is>
          <t>CCB International Capital Limited</t>
        </is>
      </c>
      <c r="AD64" s="22" t="inlineStr">
        <is>
          <t>CCB International Capital Limited; Haitong International Securities Company Limited; Sheng Yuan Securities Limited; Shenwan Hongyuan Securities (H.K.) Limited; DL SECURITIES (HK) LIMITED</t>
        </is>
      </c>
      <c r="AE64" s="22" t="n"/>
      <c r="AK64">
        <f>IF(AND(Screener!$B$7&lt;&gt;"",$E64=Screener!$B$7),1,0)</f>
        <v/>
      </c>
      <c r="AL64">
        <f>IF(AND(Screener!$B$6&lt;&gt;"",$D64=Screener!$B$6),1,0)</f>
        <v/>
      </c>
      <c r="AM64">
        <f>IF(OR($H64="",Screener!$B$8=""),0,MAX(0,1-ABS(LOG10($H64/Screener!$B$8))/W_SIZEHW))</f>
        <v/>
      </c>
      <c r="AN64">
        <f>IF(OR($V64="",Screener!$B$9=""),0,IF($V64=Screener!$B$9,1,0))</f>
        <v/>
      </c>
      <c r="AO64">
        <f>IF(OR($AA64="",Screener!$B$10=""),0,IF($AA64=Screener!$B$10,1,0))</f>
        <v/>
      </c>
      <c r="AP64">
        <f>IF($G64="",0,MAX(0,1-(Screener!$B$12-$G64)/W_RECD))</f>
        <v/>
      </c>
      <c r="AQ64">
        <f>IF($B64=Screener!$B$3,-999999,W_SUB*AK64+W_SEC*AL64*(1-AK64)+W_SIZE*AM64+W_PROF*AN64+W_AH*AO64+W_REC*AP64)+ROW()/1000000</f>
        <v/>
      </c>
      <c r="AR64">
        <f>IF(OR('NEW DEAL'!$B$6="",$E64&lt;&gt;'NEW DEAL'!$B$6),-1,1+IF(OR($H64="",'NEW DEAL'!$B$7=""),0,MAX(0,1-ABS(LOG10($H64/'NEW DEAL'!$B$7))/W_SIZEHW)))+ROW()/1000000</f>
        <v/>
      </c>
    </row>
    <row r="65">
      <c r="A65" s="23" t="inlineStr">
        <is>
          <t>6616</t>
        </is>
      </c>
      <c r="B65" s="22" t="inlineStr">
        <is>
          <t>GLOBAL NEW MAT</t>
        </is>
      </c>
      <c r="C65" s="22" t="n"/>
      <c r="D65" s="24" t="inlineStr">
        <is>
          <t>Materials/Energy</t>
        </is>
      </c>
      <c r="E65" s="24" t="inlineStr">
        <is>
          <t>Chemicals</t>
        </is>
      </c>
      <c r="F65" s="22" t="inlineStr">
        <is>
          <t>Standard</t>
        </is>
      </c>
      <c r="G65" s="25" t="n">
        <v>44393</v>
      </c>
      <c r="H65" s="26" t="n">
        <v>850.2</v>
      </c>
      <c r="I65" s="22" t="inlineStr">
        <is>
          <t>gross (price x shares)</t>
        </is>
      </c>
      <c r="J65" s="27" t="n">
        <v>3.52</v>
      </c>
      <c r="K65" s="27" t="n">
        <v>4.22</v>
      </c>
      <c r="L65" s="27" t="n">
        <v>3.25</v>
      </c>
      <c r="M65" s="28" t="n">
        <v>-38.6</v>
      </c>
      <c r="N65" s="29" t="inlineStr">
        <is>
          <t>N</t>
        </is>
      </c>
      <c r="O65" s="26" t="n">
        <v>23551.2</v>
      </c>
      <c r="P65" s="30" t="n">
        <v>10.79</v>
      </c>
      <c r="Q65" s="31" t="n"/>
      <c r="R65" s="32" t="n">
        <v>13.85</v>
      </c>
      <c r="S65" s="33" t="n">
        <v>9.31</v>
      </c>
      <c r="T65" s="32" t="n">
        <v>6.6</v>
      </c>
      <c r="U65" s="22" t="inlineStr">
        <is>
          <t>not-yet (at allotment)</t>
        </is>
      </c>
      <c r="V65" s="29" t="inlineStr">
        <is>
          <t>Y</t>
        </is>
      </c>
      <c r="W65" s="34" t="n">
        <v>140.1</v>
      </c>
      <c r="X65" s="34" t="n">
        <v>37.6</v>
      </c>
      <c r="Y65" s="36" t="n">
        <v>626</v>
      </c>
      <c r="Z65" s="36" t="n">
        <v>168.1</v>
      </c>
      <c r="AA65" s="22" t="n"/>
      <c r="AB65" s="22" t="n"/>
      <c r="AC65" s="22" t="inlineStr">
        <is>
          <t>Essence Corporate Finance (Hong Kong) Limited</t>
        </is>
      </c>
      <c r="AD65" s="22" t="n"/>
      <c r="AE65" s="22" t="n"/>
      <c r="AK65">
        <f>IF(AND(Screener!$B$7&lt;&gt;"",$E65=Screener!$B$7),1,0)</f>
        <v/>
      </c>
      <c r="AL65">
        <f>IF(AND(Screener!$B$6&lt;&gt;"",$D65=Screener!$B$6),1,0)</f>
        <v/>
      </c>
      <c r="AM65">
        <f>IF(OR($H65="",Screener!$B$8=""),0,MAX(0,1-ABS(LOG10($H65/Screener!$B$8))/W_SIZEHW))</f>
        <v/>
      </c>
      <c r="AN65">
        <f>IF(OR($V65="",Screener!$B$9=""),0,IF($V65=Screener!$B$9,1,0))</f>
        <v/>
      </c>
      <c r="AO65">
        <f>IF(OR($AA65="",Screener!$B$10=""),0,IF($AA65=Screener!$B$10,1,0))</f>
        <v/>
      </c>
      <c r="AP65">
        <f>IF($G65="",0,MAX(0,1-(Screener!$B$12-$G65)/W_RECD))</f>
        <v/>
      </c>
      <c r="AQ65">
        <f>IF($B65=Screener!$B$3,-999999,W_SUB*AK65+W_SEC*AL65*(1-AK65)+W_SIZE*AM65+W_PROF*AN65+W_AH*AO65+W_REC*AP65)+ROW()/1000000</f>
        <v/>
      </c>
      <c r="AR65">
        <f>IF(OR('NEW DEAL'!$B$6="",$E65&lt;&gt;'NEW DEAL'!$B$6),-1,1+IF(OR($H65="",'NEW DEAL'!$B$7=""),0,MAX(0,1-ABS(LOG10($H65/'NEW DEAL'!$B$7))/W_SIZEHW)))+ROW()/1000000</f>
        <v/>
      </c>
    </row>
    <row r="66">
      <c r="A66" s="23" t="inlineStr">
        <is>
          <t>6611</t>
        </is>
      </c>
      <c r="B66" s="22" t="inlineStr">
        <is>
          <t>SANXUN GROUP</t>
        </is>
      </c>
      <c r="C66" s="22" t="n"/>
      <c r="D66" s="24" t="inlineStr">
        <is>
          <t>Real Estate</t>
        </is>
      </c>
      <c r="E66" s="24" t="inlineStr">
        <is>
          <t>Developers</t>
        </is>
      </c>
      <c r="F66" s="22" t="inlineStr">
        <is>
          <t>Standard</t>
        </is>
      </c>
      <c r="G66" s="25" t="n">
        <v>44394</v>
      </c>
      <c r="H66" s="26" t="n">
        <v>700.3</v>
      </c>
      <c r="I66" s="22" t="inlineStr">
        <is>
          <t>net proceeds</t>
        </is>
      </c>
      <c r="J66" s="27" t="n"/>
      <c r="K66" s="27" t="n">
        <v>5.2</v>
      </c>
      <c r="L66" s="27" t="n">
        <v>4.75</v>
      </c>
      <c r="M66" s="32" t="n"/>
      <c r="N66" s="29" t="inlineStr">
        <is>
          <t>N</t>
        </is>
      </c>
      <c r="O66" s="36" t="n">
        <v>2805</v>
      </c>
      <c r="P66" s="30" t="n">
        <v>3.22</v>
      </c>
      <c r="Q66" s="31" t="n"/>
      <c r="R66" s="32" t="n">
        <v>0</v>
      </c>
      <c r="S66" s="33" t="n">
        <v>0</v>
      </c>
      <c r="T66" s="32" t="n">
        <v>15</v>
      </c>
      <c r="U66" s="22" t="inlineStr">
        <is>
          <t>not-yet (at allotment)</t>
        </is>
      </c>
      <c r="V66" s="29" t="inlineStr">
        <is>
          <t>Y</t>
        </is>
      </c>
      <c r="W66" s="34" t="n">
        <v>6.9</v>
      </c>
      <c r="X66" s="34" t="n">
        <v>0.6</v>
      </c>
      <c r="Y66" s="36" t="n">
        <v>4340.7</v>
      </c>
      <c r="Z66" s="36" t="n">
        <v>404.5</v>
      </c>
      <c r="AA66" s="22" t="n"/>
      <c r="AB66" s="22" t="n"/>
      <c r="AC66" s="22" t="n"/>
      <c r="AD66" s="22" t="inlineStr">
        <is>
          <t>CCB International Capital Limited; CRIC Securities Company Limited; BOCOM International Securities Limited</t>
        </is>
      </c>
      <c r="AE66" s="22" t="n"/>
      <c r="AK66">
        <f>IF(AND(Screener!$B$7&lt;&gt;"",$E66=Screener!$B$7),1,0)</f>
        <v/>
      </c>
      <c r="AL66">
        <f>IF(AND(Screener!$B$6&lt;&gt;"",$D66=Screener!$B$6),1,0)</f>
        <v/>
      </c>
      <c r="AM66">
        <f>IF(OR($H66="",Screener!$B$8=""),0,MAX(0,1-ABS(LOG10($H66/Screener!$B$8))/W_SIZEHW))</f>
        <v/>
      </c>
      <c r="AN66">
        <f>IF(OR($V66="",Screener!$B$9=""),0,IF($V66=Screener!$B$9,1,0))</f>
        <v/>
      </c>
      <c r="AO66">
        <f>IF(OR($AA66="",Screener!$B$10=""),0,IF($AA66=Screener!$B$10,1,0))</f>
        <v/>
      </c>
      <c r="AP66">
        <f>IF($G66="",0,MAX(0,1-(Screener!$B$12-$G66)/W_RECD))</f>
        <v/>
      </c>
      <c r="AQ66">
        <f>IF($B66=Screener!$B$3,-999999,W_SUB*AK66+W_SEC*AL66*(1-AK66)+W_SIZE*AM66+W_PROF*AN66+W_AH*AO66+W_REC*AP66)+ROW()/1000000</f>
        <v/>
      </c>
      <c r="AR66">
        <f>IF(OR('NEW DEAL'!$B$6="",$E66&lt;&gt;'NEW DEAL'!$B$6),-1,1+IF(OR($H66="",'NEW DEAL'!$B$7=""),0,MAX(0,1-ABS(LOG10($H66/'NEW DEAL'!$B$7))/W_SIZEHW)))+ROW()/1000000</f>
        <v/>
      </c>
    </row>
    <row r="67">
      <c r="A67" s="23" t="inlineStr">
        <is>
          <t>2015</t>
        </is>
      </c>
      <c r="B67" s="22" t="inlineStr">
        <is>
          <t>LI AUTO-W</t>
        </is>
      </c>
      <c r="C67" s="22" t="inlineStr">
        <is>
          <t>理想汽車</t>
        </is>
      </c>
      <c r="D67" s="24" t="inlineStr">
        <is>
          <t>Consumer</t>
        </is>
      </c>
      <c r="E67" s="24" t="inlineStr">
        <is>
          <t>Autos (NEV OEM)</t>
        </is>
      </c>
      <c r="F67" s="38" t="inlineStr">
        <is>
          <t>WVR</t>
        </is>
      </c>
      <c r="G67" s="25" t="n">
        <v>44420</v>
      </c>
      <c r="H67" s="26" t="n">
        <v>11551.9</v>
      </c>
      <c r="I67" s="22" t="inlineStr">
        <is>
          <t>net proceeds</t>
        </is>
      </c>
      <c r="J67" s="27" t="n"/>
      <c r="K67" s="27" t="n">
        <v>150</v>
      </c>
      <c r="L67" s="27" t="n">
        <v>118</v>
      </c>
      <c r="M67" s="32" t="n"/>
      <c r="N67" s="29" t="inlineStr">
        <is>
          <t>N</t>
        </is>
      </c>
      <c r="O67" s="36" t="n">
        <v>307800</v>
      </c>
      <c r="P67" s="30" t="n">
        <v>5.5</v>
      </c>
      <c r="Q67" s="31" t="n"/>
      <c r="R67" s="32" t="n">
        <v>-0.85</v>
      </c>
      <c r="S67" s="33" t="n"/>
      <c r="T67" s="32" t="n">
        <v>5.56</v>
      </c>
      <c r="U67" s="22" t="inlineStr">
        <is>
          <t>not-yet (at allotment)</t>
        </is>
      </c>
      <c r="V67" s="22" t="n"/>
      <c r="W67" s="31" t="n"/>
      <c r="X67" s="34" t="n">
        <v>307800</v>
      </c>
      <c r="Y67" s="36" t="n">
        <v>1</v>
      </c>
      <c r="Z67" s="35" t="n"/>
      <c r="AA67" s="22" t="n"/>
      <c r="AB67" s="22" t="n"/>
      <c r="AC67" s="22" t="inlineStr">
        <is>
          <t>Goldman Sachs (Asia) L.L.C; China International Capital Corporation Hong Kong Securities Limited</t>
        </is>
      </c>
      <c r="AD67" s="22" t="inlineStr">
        <is>
          <t>Goldman Sachs (Asia) L.L.C; China International Capital Corporation Hong Kong Securities Limited; UBS AG Hong Kong Branch; Managers Goldman Sachs (Asia) L.L.C; UBS Securities LLC; New Y ork New Y ork 10019 United States CLSA Limited; DIRECTORS AND PARTIES INVOLVED IN THE GLOBAL OFFERING – 183 – BOCI Asia Limited; CMB International Capital Limited; Futu Securities International (Hong Kong) Limited; Financial Adviser to our Company UBS AG Hong Kong Branch</t>
        </is>
      </c>
      <c r="AE67" s="22" t="n"/>
      <c r="AK67">
        <f>IF(AND(Screener!$B$7&lt;&gt;"",$E67=Screener!$B$7),1,0)</f>
        <v/>
      </c>
      <c r="AL67">
        <f>IF(AND(Screener!$B$6&lt;&gt;"",$D67=Screener!$B$6),1,0)</f>
        <v/>
      </c>
      <c r="AM67">
        <f>IF(OR($H67="",Screener!$B$8=""),0,MAX(0,1-ABS(LOG10($H67/Screener!$B$8))/W_SIZEHW))</f>
        <v/>
      </c>
      <c r="AN67">
        <f>IF(OR($V67="",Screener!$B$9=""),0,IF($V67=Screener!$B$9,1,0))</f>
        <v/>
      </c>
      <c r="AO67">
        <f>IF(OR($AA67="",Screener!$B$10=""),0,IF($AA67=Screener!$B$10,1,0))</f>
        <v/>
      </c>
      <c r="AP67">
        <f>IF($G67="",0,MAX(0,1-(Screener!$B$12-$G67)/W_RECD))</f>
        <v/>
      </c>
      <c r="AQ67">
        <f>IF($B67=Screener!$B$3,-999999,W_SUB*AK67+W_SEC*AL67*(1-AK67)+W_SIZE*AM67+W_PROF*AN67+W_AH*AO67+W_REC*AP67)+ROW()/1000000</f>
        <v/>
      </c>
      <c r="AR67">
        <f>IF(OR('NEW DEAL'!$B$6="",$E67&lt;&gt;'NEW DEAL'!$B$6),-1,1+IF(OR($H67="",'NEW DEAL'!$B$7=""),0,MAX(0,1-ABS(LOG10($H67/'NEW DEAL'!$B$7))/W_SIZEHW)))+ROW()/1000000</f>
        <v/>
      </c>
    </row>
    <row r="68">
      <c r="A68" s="23" t="inlineStr">
        <is>
          <t>6609</t>
        </is>
      </c>
      <c r="B68" s="22" t="inlineStr">
        <is>
          <t>HEARTCARE-B</t>
        </is>
      </c>
      <c r="C68" s="22" t="n"/>
      <c r="D68" s="24" t="inlineStr">
        <is>
          <t>Healthcare</t>
        </is>
      </c>
      <c r="E68" s="24" t="inlineStr">
        <is>
          <t>Medical devices</t>
        </is>
      </c>
      <c r="F68" s="38" t="inlineStr">
        <is>
          <t>18A</t>
        </is>
      </c>
      <c r="G68" s="25" t="n">
        <v>44428</v>
      </c>
      <c r="H68" s="26" t="n">
        <v>159.8</v>
      </c>
      <c r="I68" s="22" t="inlineStr">
        <is>
          <t>net proceeds</t>
        </is>
      </c>
      <c r="J68" s="27" t="n">
        <v>160</v>
      </c>
      <c r="K68" s="27" t="n">
        <v>171</v>
      </c>
      <c r="L68" s="27" t="n">
        <v>171</v>
      </c>
      <c r="M68" s="28" t="n">
        <v>100</v>
      </c>
      <c r="N68" s="29" t="inlineStr">
        <is>
          <t>Y</t>
        </is>
      </c>
      <c r="O68" s="26" t="n">
        <v>836.6</v>
      </c>
      <c r="P68" s="30" t="n">
        <v>100</v>
      </c>
      <c r="Q68" s="31" t="n"/>
      <c r="R68" s="32" t="n">
        <v>-24.56</v>
      </c>
      <c r="S68" s="33" t="n">
        <v>13.8</v>
      </c>
      <c r="T68" s="32" t="n">
        <v>9.470000000000001</v>
      </c>
      <c r="U68" s="22" t="inlineStr">
        <is>
          <t>not-yet (at allotment)</t>
        </is>
      </c>
      <c r="V68" s="22" t="n"/>
      <c r="W68" s="31" t="n"/>
      <c r="X68" s="34" t="n">
        <v>8366</v>
      </c>
      <c r="Y68" s="36" t="n">
        <v>0.1</v>
      </c>
      <c r="Z68" s="35" t="n"/>
      <c r="AA68" s="22" t="n"/>
      <c r="AB68" s="22" t="n"/>
      <c r="AC68" s="22" t="inlineStr">
        <is>
          <t>Goldman Sachs (Asia) L.L.C; China International Capital Corporation Hong Kong Securities Limited</t>
        </is>
      </c>
      <c r="AD68" s="22" t="inlineStr">
        <is>
          <t>Goldman Sachs (Asia) L.L.C; China International Capital Corporation Hong Kong Securities Limited</t>
        </is>
      </c>
      <c r="AE68" s="22" t="n"/>
      <c r="AK68">
        <f>IF(AND(Screener!$B$7&lt;&gt;"",$E68=Screener!$B$7),1,0)</f>
        <v/>
      </c>
      <c r="AL68">
        <f>IF(AND(Screener!$B$6&lt;&gt;"",$D68=Screener!$B$6),1,0)</f>
        <v/>
      </c>
      <c r="AM68">
        <f>IF(OR($H68="",Screener!$B$8=""),0,MAX(0,1-ABS(LOG10($H68/Screener!$B$8))/W_SIZEHW))</f>
        <v/>
      </c>
      <c r="AN68">
        <f>IF(OR($V68="",Screener!$B$9=""),0,IF($V68=Screener!$B$9,1,0))</f>
        <v/>
      </c>
      <c r="AO68">
        <f>IF(OR($AA68="",Screener!$B$10=""),0,IF($AA68=Screener!$B$10,1,0))</f>
        <v/>
      </c>
      <c r="AP68">
        <f>IF($G68="",0,MAX(0,1-(Screener!$B$12-$G68)/W_RECD))</f>
        <v/>
      </c>
      <c r="AQ68">
        <f>IF($B68=Screener!$B$3,-999999,W_SUB*AK68+W_SEC*AL68*(1-AK68)+W_SIZE*AM68+W_PROF*AN68+W_AH*AO68+W_REC*AP68)+ROW()/1000000</f>
        <v/>
      </c>
      <c r="AR68">
        <f>IF(OR('NEW DEAL'!$B$6="",$E68&lt;&gt;'NEW DEAL'!$B$6),-1,1+IF(OR($H68="",'NEW DEAL'!$B$7=""),0,MAX(0,1-ABS(LOG10($H68/'NEW DEAL'!$B$7))/W_SIZEHW)))+ROW()/1000000</f>
        <v/>
      </c>
    </row>
    <row r="69">
      <c r="A69" s="23" t="inlineStr">
        <is>
          <t>6669</t>
        </is>
      </c>
      <c r="B69" s="22" t="inlineStr">
        <is>
          <t>ACOTEC-B</t>
        </is>
      </c>
      <c r="C69" s="22" t="n"/>
      <c r="D69" s="24" t="inlineStr">
        <is>
          <t>Healthcare</t>
        </is>
      </c>
      <c r="E69" s="24" t="inlineStr">
        <is>
          <t>Medical devices</t>
        </is>
      </c>
      <c r="F69" s="38" t="inlineStr">
        <is>
          <t>18A</t>
        </is>
      </c>
      <c r="G69" s="25" t="n">
        <v>44432</v>
      </c>
      <c r="H69" s="26" t="n">
        <v>1529</v>
      </c>
      <c r="I69" s="22" t="inlineStr">
        <is>
          <t>net proceeds</t>
        </is>
      </c>
      <c r="J69" s="27" t="n">
        <v>22.2</v>
      </c>
      <c r="K69" s="27" t="n">
        <v>23.8</v>
      </c>
      <c r="L69" s="27" t="n">
        <v>23.8</v>
      </c>
      <c r="M69" s="28" t="n">
        <v>100</v>
      </c>
      <c r="N69" s="29" t="inlineStr">
        <is>
          <t>Y</t>
        </is>
      </c>
      <c r="O69" s="26" t="n">
        <v>6266.4</v>
      </c>
      <c r="P69" s="30" t="n">
        <v>654.51</v>
      </c>
      <c r="Q69" s="31" t="n"/>
      <c r="R69" s="32" t="n">
        <v>-26.05</v>
      </c>
      <c r="S69" s="33" t="n">
        <v>28.5</v>
      </c>
      <c r="T69" s="32" t="n">
        <v>11.72</v>
      </c>
      <c r="U69" s="22" t="inlineStr">
        <is>
          <t>not-yet (at allotment)</t>
        </is>
      </c>
      <c r="V69" s="29" t="inlineStr">
        <is>
          <t>N</t>
        </is>
      </c>
      <c r="W69" s="31" t="n"/>
      <c r="X69" s="34" t="n">
        <v>290.1</v>
      </c>
      <c r="Y69" s="36" t="n">
        <v>21.6</v>
      </c>
      <c r="Z69" s="36" t="n">
        <v>-4.1</v>
      </c>
      <c r="AA69" s="22" t="n"/>
      <c r="AB69" s="22" t="n"/>
      <c r="AC69" s="22" t="inlineStr">
        <is>
          <t>Coordinators Morgan Stanley Asia Limited; China International Capital Corporation Hong Kong Securities Limited</t>
        </is>
      </c>
      <c r="AD69" s="22" t="inlineStr">
        <is>
          <t>Managers Morgan Stanley Asia Limited; Morgan Stanley &amp; Co. International plc; Hong Kong Securities Limited; China Merchants Securities (HK) Co., Limited; DIRECTORS AND PARTIES INVOLVED IN THE GLOBAL OFFERING –1 1 5– Valuable Capital Limited</t>
        </is>
      </c>
      <c r="AE69" s="22" t="n"/>
      <c r="AK69">
        <f>IF(AND(Screener!$B$7&lt;&gt;"",$E69=Screener!$B$7),1,0)</f>
        <v/>
      </c>
      <c r="AL69">
        <f>IF(AND(Screener!$B$6&lt;&gt;"",$D69=Screener!$B$6),1,0)</f>
        <v/>
      </c>
      <c r="AM69">
        <f>IF(OR($H69="",Screener!$B$8=""),0,MAX(0,1-ABS(LOG10($H69/Screener!$B$8))/W_SIZEHW))</f>
        <v/>
      </c>
      <c r="AN69">
        <f>IF(OR($V69="",Screener!$B$9=""),0,IF($V69=Screener!$B$9,1,0))</f>
        <v/>
      </c>
      <c r="AO69">
        <f>IF(OR($AA69="",Screener!$B$10=""),0,IF($AA69=Screener!$B$10,1,0))</f>
        <v/>
      </c>
      <c r="AP69">
        <f>IF($G69="",0,MAX(0,1-(Screener!$B$12-$G69)/W_RECD))</f>
        <v/>
      </c>
      <c r="AQ69">
        <f>IF($B69=Screener!$B$3,-999999,W_SUB*AK69+W_SEC*AL69*(1-AK69)+W_SIZE*AM69+W_PROF*AN69+W_AH*AO69+W_REC*AP69)+ROW()/1000000</f>
        <v/>
      </c>
      <c r="AR69">
        <f>IF(OR('NEW DEAL'!$B$6="",$E69&lt;&gt;'NEW DEAL'!$B$6),-1,1+IF(OR($H69="",'NEW DEAL'!$B$7=""),0,MAX(0,1-ABS(LOG10($H69/'NEW DEAL'!$B$7))/W_SIZEHW)))+ROW()/1000000</f>
        <v/>
      </c>
    </row>
    <row r="70">
      <c r="A70" s="23" t="inlineStr">
        <is>
          <t>9869</t>
        </is>
      </c>
      <c r="B70" s="22" t="inlineStr">
        <is>
          <t>HELENS</t>
        </is>
      </c>
      <c r="C70" s="22" t="inlineStr">
        <is>
          <t>海倫司國際控股有限公司</t>
        </is>
      </c>
      <c r="D70" s="24" t="inlineStr">
        <is>
          <t>Consumer</t>
        </is>
      </c>
      <c r="E70" s="24" t="inlineStr">
        <is>
          <t>F&amp;B chains / restaurants</t>
        </is>
      </c>
      <c r="F70" s="22" t="inlineStr">
        <is>
          <t>Standard</t>
        </is>
      </c>
      <c r="G70" s="25" t="n">
        <v>44449</v>
      </c>
      <c r="H70" s="26" t="n">
        <v>2512.86</v>
      </c>
      <c r="I70" s="22" t="inlineStr">
        <is>
          <t>net proceeds</t>
        </is>
      </c>
      <c r="J70" s="27" t="n"/>
      <c r="K70" s="27" t="n">
        <v>20.72</v>
      </c>
      <c r="L70" s="27" t="n">
        <v>19.77</v>
      </c>
      <c r="M70" s="32" t="n"/>
      <c r="N70" s="29" t="inlineStr">
        <is>
          <t>N</t>
        </is>
      </c>
      <c r="O70" s="36" t="n">
        <v>25831.7</v>
      </c>
      <c r="P70" s="30" t="n">
        <v>30.8</v>
      </c>
      <c r="Q70" s="31" t="n"/>
      <c r="R70" s="32" t="n">
        <v>22.91</v>
      </c>
      <c r="S70" s="33" t="n">
        <v>0</v>
      </c>
      <c r="T70" s="32" t="n">
        <v>19.4478</v>
      </c>
      <c r="U70" s="22" t="inlineStr">
        <is>
          <t>not-yet (at allotment)</t>
        </is>
      </c>
      <c r="V70" s="29" t="inlineStr">
        <is>
          <t>Y</t>
        </is>
      </c>
      <c r="W70" s="34" t="n">
        <v>242.1</v>
      </c>
      <c r="X70" s="34" t="n">
        <v>28.7</v>
      </c>
      <c r="Y70" s="36" t="n">
        <v>899.7</v>
      </c>
      <c r="Z70" s="36" t="n">
        <v>106.7</v>
      </c>
      <c r="AA70" s="22" t="n"/>
      <c r="AB70" s="22" t="n"/>
      <c r="AC70" s="22" t="inlineStr">
        <is>
          <t>China International Capital Corporation Hong Kong Securities Limited</t>
        </is>
      </c>
      <c r="AD70" s="22" t="n"/>
      <c r="AE70" s="22" t="n"/>
      <c r="AK70">
        <f>IF(AND(Screener!$B$7&lt;&gt;"",$E70=Screener!$B$7),1,0)</f>
        <v/>
      </c>
      <c r="AL70">
        <f>IF(AND(Screener!$B$6&lt;&gt;"",$D70=Screener!$B$6),1,0)</f>
        <v/>
      </c>
      <c r="AM70">
        <f>IF(OR($H70="",Screener!$B$8=""),0,MAX(0,1-ABS(LOG10($H70/Screener!$B$8))/W_SIZEHW))</f>
        <v/>
      </c>
      <c r="AN70">
        <f>IF(OR($V70="",Screener!$B$9=""),0,IF($V70=Screener!$B$9,1,0))</f>
        <v/>
      </c>
      <c r="AO70">
        <f>IF(OR($AA70="",Screener!$B$10=""),0,IF($AA70=Screener!$B$10,1,0))</f>
        <v/>
      </c>
      <c r="AP70">
        <f>IF($G70="",0,MAX(0,1-(Screener!$B$12-$G70)/W_RECD))</f>
        <v/>
      </c>
      <c r="AQ70">
        <f>IF($B70=Screener!$B$3,-999999,W_SUB*AK70+W_SEC*AL70*(1-AK70)+W_SIZE*AM70+W_PROF*AN70+W_AH*AO70+W_REC*AP70)+ROW()/1000000</f>
        <v/>
      </c>
      <c r="AR70">
        <f>IF(OR('NEW DEAL'!$B$6="",$E70&lt;&gt;'NEW DEAL'!$B$6),-1,1+IF(OR($H70="",'NEW DEAL'!$B$7=""),0,MAX(0,1-ABS(LOG10($H70/'NEW DEAL'!$B$7))/W_SIZEHW)))+ROW()/1000000</f>
        <v/>
      </c>
    </row>
    <row r="71">
      <c r="A71" s="23" t="inlineStr">
        <is>
          <t>2216</t>
        </is>
      </c>
      <c r="B71" s="22" t="inlineStr">
        <is>
          <t>BRONCUS-B</t>
        </is>
      </c>
      <c r="C71" s="22" t="n"/>
      <c r="D71" s="24" t="inlineStr">
        <is>
          <t>Healthcare</t>
        </is>
      </c>
      <c r="E71" s="24" t="inlineStr">
        <is>
          <t>Medical devices</t>
        </is>
      </c>
      <c r="F71" s="38" t="inlineStr">
        <is>
          <t>18A</t>
        </is>
      </c>
      <c r="G71" s="25" t="n">
        <v>44463</v>
      </c>
      <c r="H71" s="26" t="n">
        <v>1552.4</v>
      </c>
      <c r="I71" s="22" t="inlineStr">
        <is>
          <t>net proceeds</t>
        </is>
      </c>
      <c r="J71" s="27" t="n">
        <v>17.2</v>
      </c>
      <c r="K71" s="27" t="n">
        <v>18.7</v>
      </c>
      <c r="L71" s="27" t="n">
        <v>18.7</v>
      </c>
      <c r="M71" s="28" t="n">
        <v>100</v>
      </c>
      <c r="N71" s="29" t="inlineStr">
        <is>
          <t>Y</t>
        </is>
      </c>
      <c r="O71" s="36" t="n">
        <v>9435</v>
      </c>
      <c r="P71" s="30" t="n">
        <v>11.13</v>
      </c>
      <c r="Q71" s="31" t="n"/>
      <c r="R71" s="32" t="n">
        <v>-19.79</v>
      </c>
      <c r="S71" s="33" t="n">
        <v>42.3</v>
      </c>
      <c r="T71" s="32" t="n">
        <v>7</v>
      </c>
      <c r="U71" s="22" t="inlineStr">
        <is>
          <t>not-yet (at allotment)</t>
        </is>
      </c>
      <c r="V71" s="22" t="n"/>
      <c r="W71" s="31" t="n"/>
      <c r="X71" s="31" t="n"/>
      <c r="Y71" s="35" t="n"/>
      <c r="Z71" s="35" t="n"/>
      <c r="AA71" s="22" t="n"/>
      <c r="AB71" s="22" t="n"/>
      <c r="AC71" s="22" t="inlineStr">
        <is>
          <t>Goldman Sachs (Asia) L.L.C; Haitong International Capital Limited</t>
        </is>
      </c>
      <c r="AD71" s="22" t="inlineStr">
        <is>
          <t>Goldman Sachs (Asia) L.L.C; Haitong International Securities Company Limited; Credit Suisse (Hong Kong) Limited; CMB International Capital Limited; Huatai Financial Holdings (Hong Kong) Limited; China Industrial Securities International Capital Limited; CNCB (Hong Kong) Capital Limited</t>
        </is>
      </c>
      <c r="AE71" s="22" t="n"/>
      <c r="AK71">
        <f>IF(AND(Screener!$B$7&lt;&gt;"",$E71=Screener!$B$7),1,0)</f>
        <v/>
      </c>
      <c r="AL71">
        <f>IF(AND(Screener!$B$6&lt;&gt;"",$D71=Screener!$B$6),1,0)</f>
        <v/>
      </c>
      <c r="AM71">
        <f>IF(OR($H71="",Screener!$B$8=""),0,MAX(0,1-ABS(LOG10($H71/Screener!$B$8))/W_SIZEHW))</f>
        <v/>
      </c>
      <c r="AN71">
        <f>IF(OR($V71="",Screener!$B$9=""),0,IF($V71=Screener!$B$9,1,0))</f>
        <v/>
      </c>
      <c r="AO71">
        <f>IF(OR($AA71="",Screener!$B$10=""),0,IF($AA71=Screener!$B$10,1,0))</f>
        <v/>
      </c>
      <c r="AP71">
        <f>IF($G71="",0,MAX(0,1-(Screener!$B$12-$G71)/W_RECD))</f>
        <v/>
      </c>
      <c r="AQ71">
        <f>IF($B71=Screener!$B$3,-999999,W_SUB*AK71+W_SEC*AL71*(1-AK71)+W_SIZE*AM71+W_PROF*AN71+W_AH*AO71+W_REC*AP71)+ROW()/1000000</f>
        <v/>
      </c>
      <c r="AR71">
        <f>IF(OR('NEW DEAL'!$B$6="",$E71&lt;&gt;'NEW DEAL'!$B$6),-1,1+IF(OR($H71="",'NEW DEAL'!$B$7=""),0,MAX(0,1-ABS(LOG10($H71/'NEW DEAL'!$B$7))/W_SIZEHW)))+ROW()/1000000</f>
        <v/>
      </c>
    </row>
    <row r="72">
      <c r="A72" s="23" t="inlineStr">
        <is>
          <t>9889</t>
        </is>
      </c>
      <c r="B72" s="22" t="inlineStr">
        <is>
          <t>DRCB</t>
        </is>
      </c>
      <c r="C72" s="22" t="inlineStr">
        <is>
          <t>東莞農村商業</t>
        </is>
      </c>
      <c r="D72" s="24" t="inlineStr">
        <is>
          <t>Financials</t>
        </is>
      </c>
      <c r="E72" s="24" t="inlineStr">
        <is>
          <t>Banks</t>
        </is>
      </c>
      <c r="F72" s="22" t="inlineStr">
        <is>
          <t>Standard</t>
        </is>
      </c>
      <c r="G72" s="25" t="n">
        <v>44468</v>
      </c>
      <c r="H72" s="26" t="n">
        <v>8881.700000000001</v>
      </c>
      <c r="I72" s="22" t="inlineStr">
        <is>
          <t>net proceeds</t>
        </is>
      </c>
      <c r="J72" s="27" t="n">
        <v>7.92</v>
      </c>
      <c r="K72" s="27" t="n">
        <v>8.710000000000001</v>
      </c>
      <c r="L72" s="27" t="n">
        <v>7.92</v>
      </c>
      <c r="M72" s="28" t="n">
        <v>0</v>
      </c>
      <c r="N72" s="22" t="inlineStr">
        <is>
          <t>N</t>
        </is>
      </c>
      <c r="O72" s="26" t="n">
        <v>53279.5</v>
      </c>
      <c r="P72" s="40" t="n"/>
      <c r="Q72" s="37" t="n">
        <v>1.18</v>
      </c>
      <c r="R72" s="32" t="n">
        <v>4.17</v>
      </c>
      <c r="S72" s="33" t="n">
        <v>2.2</v>
      </c>
      <c r="T72" s="32" t="n">
        <v>16.67</v>
      </c>
      <c r="U72" s="22" t="n"/>
      <c r="V72" s="29" t="inlineStr">
        <is>
          <t>Y</t>
        </is>
      </c>
      <c r="W72" s="34" t="n">
        <v>9514.200000000001</v>
      </c>
      <c r="X72" s="31" t="n"/>
      <c r="Y72" s="35" t="n"/>
      <c r="Z72" s="36" t="n">
        <v>5.6</v>
      </c>
      <c r="AA72" s="22" t="n"/>
      <c r="AB72" s="22" t="n"/>
      <c r="AC72" s="22" t="inlineStr">
        <is>
          <t>China Merchants Securities (HK) Co., Limited; Central, Hong Kong CMB International Capital Limited; Central, Hong Kong ABCI Capital Limited; ICBC International Capital Limited</t>
        </is>
      </c>
      <c r="AD72" s="22" t="inlineStr">
        <is>
          <t>ABCI Capital Limited; China Merchants Securities (HK) Co., Limited; Central, Hong Kong CMB International Capital Limited; Fortune (HK) Securities Limited; Central, Hong Kong ICBC International Capital Limited; Haitong International Securities Company Limited; CCB International Capital Limited; Central, Hong Kong AMTD Global Markets Limited</t>
        </is>
      </c>
      <c r="AE72" s="22" t="n"/>
      <c r="AK72">
        <f>IF(AND(Screener!$B$7&lt;&gt;"",$E72=Screener!$B$7),1,0)</f>
        <v/>
      </c>
      <c r="AL72">
        <f>IF(AND(Screener!$B$6&lt;&gt;"",$D72=Screener!$B$6),1,0)</f>
        <v/>
      </c>
      <c r="AM72">
        <f>IF(OR($H72="",Screener!$B$8=""),0,MAX(0,1-ABS(LOG10($H72/Screener!$B$8))/W_SIZEHW))</f>
        <v/>
      </c>
      <c r="AN72">
        <f>IF(OR($V72="",Screener!$B$9=""),0,IF($V72=Screener!$B$9,1,0))</f>
        <v/>
      </c>
      <c r="AO72">
        <f>IF(OR($AA72="",Screener!$B$10=""),0,IF($AA72=Screener!$B$10,1,0))</f>
        <v/>
      </c>
      <c r="AP72">
        <f>IF($G72="",0,MAX(0,1-(Screener!$B$12-$G72)/W_RECD))</f>
        <v/>
      </c>
      <c r="AQ72">
        <f>IF($B72=Screener!$B$3,-999999,W_SUB*AK72+W_SEC*AL72*(1-AK72)+W_SIZE*AM72+W_PROF*AN72+W_AH*AO72+W_REC*AP72)+ROW()/1000000</f>
        <v/>
      </c>
      <c r="AR72">
        <f>IF(OR('NEW DEAL'!$B$6="",$E72&lt;&gt;'NEW DEAL'!$B$6),-1,1+IF(OR($H72="",'NEW DEAL'!$B$7=""),0,MAX(0,1-ABS(LOG10($H72/'NEW DEAL'!$B$7))/W_SIZEHW)))+ROW()/1000000</f>
        <v/>
      </c>
    </row>
    <row r="73">
      <c r="A73" s="23" t="inlineStr">
        <is>
          <t>6628</t>
        </is>
      </c>
      <c r="B73" s="22" t="inlineStr">
        <is>
          <t>TRANSCENTA-B</t>
        </is>
      </c>
      <c r="C73" s="22" t="inlineStr">
        <is>
          <t>創勝集團醫藥有限公司</t>
        </is>
      </c>
      <c r="D73" s="24" t="inlineStr">
        <is>
          <t>Healthcare</t>
        </is>
      </c>
      <c r="E73" s="24" t="inlineStr">
        <is>
          <t>Biotech pre-revenue (18A)</t>
        </is>
      </c>
      <c r="F73" s="38" t="inlineStr">
        <is>
          <t>18A</t>
        </is>
      </c>
      <c r="G73" s="25" t="n">
        <v>44468</v>
      </c>
      <c r="H73" s="26" t="n">
        <v>574.4</v>
      </c>
      <c r="I73" s="22" t="inlineStr">
        <is>
          <t>net proceeds</t>
        </is>
      </c>
      <c r="J73" s="27" t="n"/>
      <c r="K73" s="27" t="n">
        <v>16</v>
      </c>
      <c r="L73" s="27" t="n">
        <v>16</v>
      </c>
      <c r="M73" s="32" t="n"/>
      <c r="N73" s="29" t="inlineStr">
        <is>
          <t>Y</t>
        </is>
      </c>
      <c r="O73" s="26" t="n">
        <v>5576.7</v>
      </c>
      <c r="P73" s="30" t="n">
        <v>60.7</v>
      </c>
      <c r="Q73" s="31" t="n"/>
      <c r="R73" s="32" t="n">
        <v>-17.25</v>
      </c>
      <c r="S73" s="33" t="n">
        <v>40</v>
      </c>
      <c r="T73" s="32" t="n">
        <v>15.1</v>
      </c>
      <c r="U73" s="22" t="inlineStr">
        <is>
          <t>not-yet (at allotment)</t>
        </is>
      </c>
      <c r="V73" s="29" t="inlineStr">
        <is>
          <t>N</t>
        </is>
      </c>
      <c r="W73" s="31" t="n"/>
      <c r="X73" s="34" t="n">
        <v>743.6</v>
      </c>
      <c r="Y73" s="36" t="n">
        <v>7.5</v>
      </c>
      <c r="Z73" s="36" t="n">
        <v>-27.3</v>
      </c>
      <c r="AA73" s="22" t="n"/>
      <c r="AB73" s="22" t="n"/>
      <c r="AC73" s="22" t="n"/>
      <c r="AD73" s="22" t="n"/>
      <c r="AE73" s="22" t="n"/>
      <c r="AK73">
        <f>IF(AND(Screener!$B$7&lt;&gt;"",$E73=Screener!$B$7),1,0)</f>
        <v/>
      </c>
      <c r="AL73">
        <f>IF(AND(Screener!$B$6&lt;&gt;"",$D73=Screener!$B$6),1,0)</f>
        <v/>
      </c>
      <c r="AM73">
        <f>IF(OR($H73="",Screener!$B$8=""),0,MAX(0,1-ABS(LOG10($H73/Screener!$B$8))/W_SIZEHW))</f>
        <v/>
      </c>
      <c r="AN73">
        <f>IF(OR($V73="",Screener!$B$9=""),0,IF($V73=Screener!$B$9,1,0))</f>
        <v/>
      </c>
      <c r="AO73">
        <f>IF(OR($AA73="",Screener!$B$10=""),0,IF($AA73=Screener!$B$10,1,0))</f>
        <v/>
      </c>
      <c r="AP73">
        <f>IF($G73="",0,MAX(0,1-(Screener!$B$12-$G73)/W_RECD))</f>
        <v/>
      </c>
      <c r="AQ73">
        <f>IF($B73=Screener!$B$3,-999999,W_SUB*AK73+W_SEC*AL73*(1-AK73)+W_SIZE*AM73+W_PROF*AN73+W_AH*AO73+W_REC*AP73)+ROW()/1000000</f>
        <v/>
      </c>
      <c r="AR73">
        <f>IF(OR('NEW DEAL'!$B$6="",$E73&lt;&gt;'NEW DEAL'!$B$6),-1,1+IF(OR($H73="",'NEW DEAL'!$B$7=""),0,MAX(0,1-ABS(LOG10($H73/'NEW DEAL'!$B$7))/W_SIZEHW)))+ROW()/1000000</f>
        <v/>
      </c>
    </row>
    <row r="74">
      <c r="A74" s="23" t="inlineStr">
        <is>
          <t>2378</t>
        </is>
      </c>
      <c r="B74" s="22" t="inlineStr">
        <is>
          <t>PRU</t>
        </is>
      </c>
      <c r="C74" s="22" t="n"/>
      <c r="D74" s="24" t="inlineStr">
        <is>
          <t>Financials</t>
        </is>
      </c>
      <c r="E74" s="24" t="inlineStr">
        <is>
          <t>Insurance</t>
        </is>
      </c>
      <c r="F74" s="22" t="inlineStr">
        <is>
          <t>Standard</t>
        </is>
      </c>
      <c r="G74" s="39" t="n">
        <v>44473</v>
      </c>
      <c r="H74" s="26" t="n">
        <v>18500</v>
      </c>
      <c r="I74" s="22" t="inlineStr">
        <is>
          <t>net proceeds</t>
        </is>
      </c>
      <c r="J74" s="27" t="n"/>
      <c r="K74" s="27" t="n">
        <v>172</v>
      </c>
      <c r="L74" s="27" t="n">
        <v>143.8</v>
      </c>
      <c r="M74" s="32" t="n"/>
      <c r="N74" s="29" t="inlineStr">
        <is>
          <t>N</t>
        </is>
      </c>
      <c r="O74" s="35" t="n"/>
      <c r="P74" s="30" t="n">
        <v>1.43</v>
      </c>
      <c r="Q74" s="31" t="n"/>
      <c r="R74" s="32" t="n">
        <v>4.73</v>
      </c>
      <c r="S74" s="33" t="n"/>
      <c r="T74" s="32" t="n"/>
      <c r="U74" s="22" t="n"/>
      <c r="V74" s="22" t="n"/>
      <c r="W74" s="31" t="n"/>
      <c r="X74" s="31" t="n"/>
      <c r="Y74" s="35" t="n"/>
      <c r="Z74" s="35" t="n"/>
      <c r="AA74" s="22" t="n"/>
      <c r="AB74" s="22" t="n"/>
      <c r="AC74" s="22" t="n"/>
      <c r="AD74" s="22" t="n"/>
      <c r="AE74" s="22" t="n"/>
      <c r="AK74">
        <f>IF(AND(Screener!$B$7&lt;&gt;"",$E74=Screener!$B$7),1,0)</f>
        <v/>
      </c>
      <c r="AL74">
        <f>IF(AND(Screener!$B$6&lt;&gt;"",$D74=Screener!$B$6),1,0)</f>
        <v/>
      </c>
      <c r="AM74">
        <f>IF(OR($H74="",Screener!$B$8=""),0,MAX(0,1-ABS(LOG10($H74/Screener!$B$8))/W_SIZEHW))</f>
        <v/>
      </c>
      <c r="AN74">
        <f>IF(OR($V74="",Screener!$B$9=""),0,IF($V74=Screener!$B$9,1,0))</f>
        <v/>
      </c>
      <c r="AO74">
        <f>IF(OR($AA74="",Screener!$B$10=""),0,IF($AA74=Screener!$B$10,1,0))</f>
        <v/>
      </c>
      <c r="AP74">
        <f>IF($G74="",0,MAX(0,1-(Screener!$B$12-$G74)/W_RECD))</f>
        <v/>
      </c>
      <c r="AQ74">
        <f>IF($B74=Screener!$B$3,-999999,W_SUB*AK74+W_SEC*AL74*(1-AK74)+W_SIZE*AM74+W_PROF*AN74+W_AH*AO74+W_REC*AP74)+ROW()/1000000</f>
        <v/>
      </c>
      <c r="AR74">
        <f>IF(OR('NEW DEAL'!$B$6="",$E74&lt;&gt;'NEW DEAL'!$B$6),-1,1+IF(OR($H74="",'NEW DEAL'!$B$7=""),0,MAX(0,1-ABS(LOG10($H74/'NEW DEAL'!$B$7))/W_SIZEHW)))+ROW()/1000000</f>
        <v/>
      </c>
    </row>
    <row r="75">
      <c r="A75" s="23" t="inlineStr">
        <is>
          <t>2256</t>
        </is>
      </c>
      <c r="B75" s="22" t="inlineStr">
        <is>
          <t>ABBISKO-B</t>
        </is>
      </c>
      <c r="C75" s="22" t="inlineStr">
        <is>
          <t>和譽開曼有限責任公司</t>
        </is>
      </c>
      <c r="D75" s="24" t="inlineStr">
        <is>
          <t>Healthcare</t>
        </is>
      </c>
      <c r="E75" s="24" t="inlineStr">
        <is>
          <t>Biotech pre-revenue (18A)</t>
        </is>
      </c>
      <c r="F75" s="38" t="inlineStr">
        <is>
          <t>18A</t>
        </is>
      </c>
      <c r="G75" s="25" t="n">
        <v>44482</v>
      </c>
      <c r="H75" s="26" t="n">
        <v>1605</v>
      </c>
      <c r="I75" s="22" t="inlineStr">
        <is>
          <t>net proceeds</t>
        </is>
      </c>
      <c r="J75" s="27" t="n">
        <v>12.16</v>
      </c>
      <c r="K75" s="27" t="n">
        <v>12.46</v>
      </c>
      <c r="L75" s="27" t="n">
        <v>12.46</v>
      </c>
      <c r="M75" s="28" t="n">
        <v>100</v>
      </c>
      <c r="N75" s="29" t="inlineStr">
        <is>
          <t>Y</t>
        </is>
      </c>
      <c r="O75" s="36" t="n">
        <v>8542</v>
      </c>
      <c r="P75" s="30" t="n">
        <v>5.64</v>
      </c>
      <c r="Q75" s="31" t="n"/>
      <c r="R75" s="32" t="n">
        <v>-0.48</v>
      </c>
      <c r="S75" s="33" t="n">
        <v>56.63</v>
      </c>
      <c r="T75" s="32" t="n">
        <v>8.5</v>
      </c>
      <c r="U75" s="22" t="inlineStr">
        <is>
          <t>not-yet (at allotment)</t>
        </is>
      </c>
      <c r="V75" s="29" t="inlineStr">
        <is>
          <t>N</t>
        </is>
      </c>
      <c r="W75" s="31" t="n"/>
      <c r="X75" s="31" t="n"/>
      <c r="Y75" s="35" t="n"/>
      <c r="Z75" s="36" t="n">
        <v>-147.3</v>
      </c>
      <c r="AA75" s="22" t="n"/>
      <c r="AB75" s="22" t="n"/>
      <c r="AC75" s="22" t="inlineStr">
        <is>
          <t>Morgan Stanley Asia Limited; J.P. Morgan Securities (Far East) Limited</t>
        </is>
      </c>
      <c r="AD75" s="22" t="inlineStr">
        <is>
          <t>Morgan Stanley Asia Limited; J.P. Morgan Securities (Asia Pacific) Limited; China International Capital Corporation Hong Kong Securities Limited</t>
        </is>
      </c>
      <c r="AE75" s="22" t="n"/>
      <c r="AK75">
        <f>IF(AND(Screener!$B$7&lt;&gt;"",$E75=Screener!$B$7),1,0)</f>
        <v/>
      </c>
      <c r="AL75">
        <f>IF(AND(Screener!$B$6&lt;&gt;"",$D75=Screener!$B$6),1,0)</f>
        <v/>
      </c>
      <c r="AM75">
        <f>IF(OR($H75="",Screener!$B$8=""),0,MAX(0,1-ABS(LOG10($H75/Screener!$B$8))/W_SIZEHW))</f>
        <v/>
      </c>
      <c r="AN75">
        <f>IF(OR($V75="",Screener!$B$9=""),0,IF($V75=Screener!$B$9,1,0))</f>
        <v/>
      </c>
      <c r="AO75">
        <f>IF(OR($AA75="",Screener!$B$10=""),0,IF($AA75=Screener!$B$10,1,0))</f>
        <v/>
      </c>
      <c r="AP75">
        <f>IF($G75="",0,MAX(0,1-(Screener!$B$12-$G75)/W_RECD))</f>
        <v/>
      </c>
      <c r="AQ75">
        <f>IF($B75=Screener!$B$3,-999999,W_SUB*AK75+W_SEC*AL75*(1-AK75)+W_SIZE*AM75+W_PROF*AN75+W_AH*AO75+W_REC*AP75)+ROW()/1000000</f>
        <v/>
      </c>
      <c r="AR75">
        <f>IF(OR('NEW DEAL'!$B$6="",$E75&lt;&gt;'NEW DEAL'!$B$6),-1,1+IF(OR($H75="",'NEW DEAL'!$B$7=""),0,MAX(0,1-ABS(LOG10($H75/'NEW DEAL'!$B$7))/W_SIZEHW)))+ROW()/1000000</f>
        <v/>
      </c>
    </row>
    <row r="76">
      <c r="A76" s="23" t="inlineStr">
        <is>
          <t>2235</t>
        </is>
      </c>
      <c r="B76" s="22" t="inlineStr">
        <is>
          <t>MICROTECH MED-B</t>
        </is>
      </c>
      <c r="C76" s="22" t="inlineStr">
        <is>
          <t>微泰醫療器械</t>
        </is>
      </c>
      <c r="D76" s="24" t="inlineStr">
        <is>
          <t>Healthcare</t>
        </is>
      </c>
      <c r="E76" s="24" t="inlineStr">
        <is>
          <t>Medical devices</t>
        </is>
      </c>
      <c r="F76" s="38" t="inlineStr">
        <is>
          <t>18A</t>
        </is>
      </c>
      <c r="G76" s="25" t="n">
        <v>44488</v>
      </c>
      <c r="H76" s="26" t="n">
        <v>75.7</v>
      </c>
      <c r="I76" s="22" t="inlineStr">
        <is>
          <t>gross (stated)</t>
        </is>
      </c>
      <c r="J76" s="27" t="n">
        <v>27.7</v>
      </c>
      <c r="K76" s="27" t="n">
        <v>31.15</v>
      </c>
      <c r="L76" s="27" t="n">
        <v>30.5</v>
      </c>
      <c r="M76" s="28" t="n">
        <v>81.2</v>
      </c>
      <c r="N76" s="29" t="inlineStr">
        <is>
          <t>N</t>
        </is>
      </c>
      <c r="O76" s="26" t="n">
        <v>448.7</v>
      </c>
      <c r="P76" s="30" t="n">
        <v>6.79</v>
      </c>
      <c r="Q76" s="31" t="n"/>
      <c r="R76" s="32" t="n">
        <v>0</v>
      </c>
      <c r="S76" s="33" t="n">
        <v>61.7</v>
      </c>
      <c r="T76" s="32" t="n">
        <v>17.36</v>
      </c>
      <c r="U76" s="22" t="inlineStr">
        <is>
          <t>not-yet (at allotment)</t>
        </is>
      </c>
      <c r="V76" s="29" t="inlineStr">
        <is>
          <t>N</t>
        </is>
      </c>
      <c r="W76" s="31" t="n"/>
      <c r="X76" s="34" t="n">
        <v>23</v>
      </c>
      <c r="Y76" s="36" t="n">
        <v>19.5</v>
      </c>
      <c r="Z76" s="36" t="n">
        <v>-4.5</v>
      </c>
      <c r="AA76" s="22" t="n"/>
      <c r="AB76" s="22" t="n"/>
      <c r="AC76" s="22" t="inlineStr">
        <is>
          <t>Goldman Sachs (Asia) L.L.C; China International Capital Corporation Hong Kong Securities Limited</t>
        </is>
      </c>
      <c r="AD76" s="22" t="inlineStr">
        <is>
          <t>Goldman Sachs (Asia) L.L.C; China International Capital Corporation Hong Kong Securities Limited; CLSA Limited</t>
        </is>
      </c>
      <c r="AE76" s="22" t="n"/>
      <c r="AK76">
        <f>IF(AND(Screener!$B$7&lt;&gt;"",$E76=Screener!$B$7),1,0)</f>
        <v/>
      </c>
      <c r="AL76">
        <f>IF(AND(Screener!$B$6&lt;&gt;"",$D76=Screener!$B$6),1,0)</f>
        <v/>
      </c>
      <c r="AM76">
        <f>IF(OR($H76="",Screener!$B$8=""),0,MAX(0,1-ABS(LOG10($H76/Screener!$B$8))/W_SIZEHW))</f>
        <v/>
      </c>
      <c r="AN76">
        <f>IF(OR($V76="",Screener!$B$9=""),0,IF($V76=Screener!$B$9,1,0))</f>
        <v/>
      </c>
      <c r="AO76">
        <f>IF(OR($AA76="",Screener!$B$10=""),0,IF($AA76=Screener!$B$10,1,0))</f>
        <v/>
      </c>
      <c r="AP76">
        <f>IF($G76="",0,MAX(0,1-(Screener!$B$12-$G76)/W_RECD))</f>
        <v/>
      </c>
      <c r="AQ76">
        <f>IF($B76=Screener!$B$3,-999999,W_SUB*AK76+W_SEC*AL76*(1-AK76)+W_SIZE*AM76+W_PROF*AN76+W_AH*AO76+W_REC*AP76)+ROW()/1000000</f>
        <v/>
      </c>
      <c r="AR76">
        <f>IF(OR('NEW DEAL'!$B$6="",$E76&lt;&gt;'NEW DEAL'!$B$6),-1,1+IF(OR($H76="",'NEW DEAL'!$B$7=""),0,MAX(0,1-ABS(LOG10($H76/'NEW DEAL'!$B$7))/W_SIZEHW)))+ROW()/1000000</f>
        <v/>
      </c>
    </row>
    <row r="77">
      <c r="A77" s="23" t="inlineStr">
        <is>
          <t>2252</t>
        </is>
      </c>
      <c r="B77" s="22" t="inlineStr">
        <is>
          <t>MEDBOT-B</t>
        </is>
      </c>
      <c r="C77" s="22" t="n"/>
      <c r="D77" s="24" t="inlineStr">
        <is>
          <t>Healthcare</t>
        </is>
      </c>
      <c r="E77" s="24" t="inlineStr">
        <is>
          <t>Medical devices</t>
        </is>
      </c>
      <c r="F77" s="38" t="inlineStr">
        <is>
          <t>18A</t>
        </is>
      </c>
      <c r="G77" s="25" t="n">
        <v>44502</v>
      </c>
      <c r="H77" s="26" t="n">
        <v>1457.4</v>
      </c>
      <c r="I77" s="22" t="inlineStr">
        <is>
          <t>net proceeds</t>
        </is>
      </c>
      <c r="J77" s="27" t="n">
        <v>36</v>
      </c>
      <c r="K77" s="27" t="n">
        <v>43.2</v>
      </c>
      <c r="L77" s="27" t="n">
        <v>43.2</v>
      </c>
      <c r="M77" s="28" t="n">
        <v>100</v>
      </c>
      <c r="N77" s="29" t="inlineStr">
        <is>
          <t>Y</t>
        </is>
      </c>
      <c r="O77" s="35" t="n"/>
      <c r="P77" s="30" t="n">
        <v>163.83</v>
      </c>
      <c r="Q77" s="31" t="n"/>
      <c r="R77" s="32" t="n">
        <v>6.02</v>
      </c>
      <c r="S77" s="33" t="n">
        <v>45</v>
      </c>
      <c r="T77" s="32" t="n">
        <v>15</v>
      </c>
      <c r="U77" s="22" t="inlineStr">
        <is>
          <t>not-yet (at allotment)</t>
        </is>
      </c>
      <c r="V77" s="29" t="inlineStr">
        <is>
          <t>N</t>
        </is>
      </c>
      <c r="W77" s="31" t="n"/>
      <c r="X77" s="31" t="n"/>
      <c r="Y77" s="36" t="n">
        <v>8.800000000000001</v>
      </c>
      <c r="Z77" s="36" t="n">
        <v>-53.9</v>
      </c>
      <c r="AA77" s="22" t="n"/>
      <c r="AB77" s="22" t="n"/>
      <c r="AC77" s="22" t="inlineStr">
        <is>
          <t>J.P. Morgan Securities (Far East) Limited; China International Capital Corporation Hong Kong Securities Limited</t>
        </is>
      </c>
      <c r="AD77" s="22" t="inlineStr">
        <is>
          <t>J.P. Morgan Securities (Asia Pacific) Limited; China International Capital Corporation Hong Kong Securities Limited; Hong Kong Securities Limited</t>
        </is>
      </c>
      <c r="AE77" s="22" t="n"/>
      <c r="AK77">
        <f>IF(AND(Screener!$B$7&lt;&gt;"",$E77=Screener!$B$7),1,0)</f>
        <v/>
      </c>
      <c r="AL77">
        <f>IF(AND(Screener!$B$6&lt;&gt;"",$D77=Screener!$B$6),1,0)</f>
        <v/>
      </c>
      <c r="AM77">
        <f>IF(OR($H77="",Screener!$B$8=""),0,MAX(0,1-ABS(LOG10($H77/Screener!$B$8))/W_SIZEHW))</f>
        <v/>
      </c>
      <c r="AN77">
        <f>IF(OR($V77="",Screener!$B$9=""),0,IF($V77=Screener!$B$9,1,0))</f>
        <v/>
      </c>
      <c r="AO77">
        <f>IF(OR($AA77="",Screener!$B$10=""),0,IF($AA77=Screener!$B$10,1,0))</f>
        <v/>
      </c>
      <c r="AP77">
        <f>IF($G77="",0,MAX(0,1-(Screener!$B$12-$G77)/W_RECD))</f>
        <v/>
      </c>
      <c r="AQ77">
        <f>IF($B77=Screener!$B$3,-999999,W_SUB*AK77+W_SEC*AL77*(1-AK77)+W_SIZE*AM77+W_PROF*AN77+W_AH*AO77+W_REC*AP77)+ROW()/1000000</f>
        <v/>
      </c>
      <c r="AR77">
        <f>IF(OR('NEW DEAL'!$B$6="",$E77&lt;&gt;'NEW DEAL'!$B$6),-1,1+IF(OR($H77="",'NEW DEAL'!$B$7=""),0,MAX(0,1-ABS(LOG10($H77/'NEW DEAL'!$B$7))/W_SIZEHW)))+ROW()/1000000</f>
        <v/>
      </c>
    </row>
    <row r="78">
      <c r="A78" s="23" t="inlineStr">
        <is>
          <t>2251</t>
        </is>
      </c>
      <c r="B78" s="22" t="inlineStr">
        <is>
          <t>AIRDOC-B</t>
        </is>
      </c>
      <c r="C78" s="22" t="n"/>
      <c r="D78" s="24" t="inlineStr">
        <is>
          <t>Healthcare</t>
        </is>
      </c>
      <c r="E78" s="24" t="inlineStr">
        <is>
          <t>Digital health</t>
        </is>
      </c>
      <c r="F78" s="38" t="inlineStr">
        <is>
          <t>18A</t>
        </is>
      </c>
      <c r="G78" s="25" t="n">
        <v>44505</v>
      </c>
      <c r="H78" s="26" t="n">
        <v>1566.4</v>
      </c>
      <c r="I78" s="22" t="inlineStr">
        <is>
          <t>net proceeds</t>
        </is>
      </c>
      <c r="J78" s="27" t="n">
        <v>75.09999999999999</v>
      </c>
      <c r="K78" s="27" t="n">
        <v>81.3</v>
      </c>
      <c r="L78" s="27" t="n">
        <v>75.09999999999999</v>
      </c>
      <c r="M78" s="28" t="n">
        <v>0</v>
      </c>
      <c r="N78" s="22" t="inlineStr">
        <is>
          <t>N</t>
        </is>
      </c>
      <c r="O78" s="35" t="n"/>
      <c r="P78" s="30" t="n">
        <v>6.18</v>
      </c>
      <c r="Q78" s="31" t="n"/>
      <c r="R78" s="32" t="n">
        <v>-9.449999999999999</v>
      </c>
      <c r="S78" s="33" t="n">
        <v>10</v>
      </c>
      <c r="T78" s="32" t="n">
        <v>10</v>
      </c>
      <c r="U78" s="22" t="inlineStr">
        <is>
          <t>not-yet (at allotment)</t>
        </is>
      </c>
      <c r="V78" s="29" t="inlineStr">
        <is>
          <t>N</t>
        </is>
      </c>
      <c r="W78" s="31" t="n"/>
      <c r="X78" s="31" t="n"/>
      <c r="Y78" s="36" t="n">
        <v>7.2</v>
      </c>
      <c r="Z78" s="36" t="n">
        <v>-53.7</v>
      </c>
      <c r="AA78" s="22" t="n"/>
      <c r="AB78" s="22" t="n"/>
      <c r="AC78" s="22" t="inlineStr">
        <is>
          <t>UBS Securities Hong Kong Limited; CLSA Capital Markets Limited; UBS AG Hong Kong Branch; CLSA Limited</t>
        </is>
      </c>
      <c r="AD78" s="22" t="inlineStr">
        <is>
          <t>UBS AG Hong Kong Branch; CLSA Limited; CMB International Capital Limited; Haitong International Securities Company Limited; Essence International Securities (Hong Kong) Limited; Fosun Hani Securities Limited; GF Securities (Hong Kong) Brokerage Limited; Guodu Securities (Hong Kong) Limited; SPDB International Capital Limited</t>
        </is>
      </c>
      <c r="AE78" s="22" t="n"/>
      <c r="AK78">
        <f>IF(AND(Screener!$B$7&lt;&gt;"",$E78=Screener!$B$7),1,0)</f>
        <v/>
      </c>
      <c r="AL78">
        <f>IF(AND(Screener!$B$6&lt;&gt;"",$D78=Screener!$B$6),1,0)</f>
        <v/>
      </c>
      <c r="AM78">
        <f>IF(OR($H78="",Screener!$B$8=""),0,MAX(0,1-ABS(LOG10($H78/Screener!$B$8))/W_SIZEHW))</f>
        <v/>
      </c>
      <c r="AN78">
        <f>IF(OR($V78="",Screener!$B$9=""),0,IF($V78=Screener!$B$9,1,0))</f>
        <v/>
      </c>
      <c r="AO78">
        <f>IF(OR($AA78="",Screener!$B$10=""),0,IF($AA78=Screener!$B$10,1,0))</f>
        <v/>
      </c>
      <c r="AP78">
        <f>IF($G78="",0,MAX(0,1-(Screener!$B$12-$G78)/W_RECD))</f>
        <v/>
      </c>
      <c r="AQ78">
        <f>IF($B78=Screener!$B$3,-999999,W_SUB*AK78+W_SEC*AL78*(1-AK78)+W_SIZE*AM78+W_PROF*AN78+W_AH*AO78+W_REC*AP78)+ROW()/1000000</f>
        <v/>
      </c>
      <c r="AR78">
        <f>IF(OR('NEW DEAL'!$B$6="",$E78&lt;&gt;'NEW DEAL'!$B$6),-1,1+IF(OR($H78="",'NEW DEAL'!$B$7=""),0,MAX(0,1-ABS(LOG10($H78/'NEW DEAL'!$B$7))/W_SIZEHW)))+ROW()/1000000</f>
        <v/>
      </c>
    </row>
    <row r="79">
      <c r="A79" s="23" t="inlineStr">
        <is>
          <t>2197</t>
        </is>
      </c>
      <c r="B79" s="22" t="inlineStr">
        <is>
          <t>CLOVER BIO-B</t>
        </is>
      </c>
      <c r="C79" s="22" t="inlineStr">
        <is>
          <t>三葉草生物製藥有限公司</t>
        </is>
      </c>
      <c r="D79" s="24" t="inlineStr">
        <is>
          <t>Healthcare</t>
        </is>
      </c>
      <c r="E79" s="24" t="inlineStr">
        <is>
          <t>Biotech pre-revenue (18A)</t>
        </is>
      </c>
      <c r="F79" s="38" t="inlineStr">
        <is>
          <t>18A</t>
        </is>
      </c>
      <c r="G79" s="25" t="n">
        <v>44505</v>
      </c>
      <c r="H79" s="26" t="n">
        <v>1870.2</v>
      </c>
      <c r="I79" s="22" t="inlineStr">
        <is>
          <t>net proceeds</t>
        </is>
      </c>
      <c r="J79" s="27" t="n">
        <v>12.8</v>
      </c>
      <c r="K79" s="27" t="n">
        <v>13.5</v>
      </c>
      <c r="L79" s="27" t="n">
        <v>13.38</v>
      </c>
      <c r="M79" s="28" t="n">
        <v>82.90000000000001</v>
      </c>
      <c r="N79" s="29" t="inlineStr">
        <is>
          <t>N</t>
        </is>
      </c>
      <c r="O79" s="36" t="n">
        <v>14823.9</v>
      </c>
      <c r="P79" s="30" t="n">
        <v>4.4</v>
      </c>
      <c r="Q79" s="31" t="n"/>
      <c r="R79" s="32" t="n">
        <v>-2.99</v>
      </c>
      <c r="S79" s="33" t="n">
        <v>10.8</v>
      </c>
      <c r="T79" s="32" t="n">
        <v>6.9</v>
      </c>
      <c r="U79" s="22" t="inlineStr">
        <is>
          <t>not-yet (at allotment)</t>
        </is>
      </c>
      <c r="V79" s="29" t="inlineStr">
        <is>
          <t>N</t>
        </is>
      </c>
      <c r="W79" s="31" t="n"/>
      <c r="X79" s="31" t="n"/>
      <c r="Y79" s="35" t="n"/>
      <c r="Z79" s="36" t="n">
        <v>-163</v>
      </c>
      <c r="AA79" s="22" t="n"/>
      <c r="AB79" s="22" t="n"/>
      <c r="AC79" s="22" t="inlineStr">
        <is>
          <t>Goldman Sachs (Asia) L.L.C; China International Capital Corporation Hong Kong Securities Limited</t>
        </is>
      </c>
      <c r="AD79" s="22" t="n"/>
      <c r="AE79" s="22" t="n"/>
      <c r="AK79">
        <f>IF(AND(Screener!$B$7&lt;&gt;"",$E79=Screener!$B$7),1,0)</f>
        <v/>
      </c>
      <c r="AL79">
        <f>IF(AND(Screener!$B$6&lt;&gt;"",$D79=Screener!$B$6),1,0)</f>
        <v/>
      </c>
      <c r="AM79">
        <f>IF(OR($H79="",Screener!$B$8=""),0,MAX(0,1-ABS(LOG10($H79/Screener!$B$8))/W_SIZEHW))</f>
        <v/>
      </c>
      <c r="AN79">
        <f>IF(OR($V79="",Screener!$B$9=""),0,IF($V79=Screener!$B$9,1,0))</f>
        <v/>
      </c>
      <c r="AO79">
        <f>IF(OR($AA79="",Screener!$B$10=""),0,IF($AA79=Screener!$B$10,1,0))</f>
        <v/>
      </c>
      <c r="AP79">
        <f>IF($G79="",0,MAX(0,1-(Screener!$B$12-$G79)/W_RECD))</f>
        <v/>
      </c>
      <c r="AQ79">
        <f>IF($B79=Screener!$B$3,-999999,W_SUB*AK79+W_SEC*AL79*(1-AK79)+W_SIZE*AM79+W_PROF*AN79+W_AH*AO79+W_REC*AP79)+ROW()/1000000</f>
        <v/>
      </c>
      <c r="AR79">
        <f>IF(OR('NEW DEAL'!$B$6="",$E79&lt;&gt;'NEW DEAL'!$B$6),-1,1+IF(OR($H79="",'NEW DEAL'!$B$7=""),0,MAX(0,1-ABS(LOG10($H79/'NEW DEAL'!$B$7))/W_SIZEHW)))+ROW()/1000000</f>
        <v/>
      </c>
    </row>
    <row r="80">
      <c r="A80" s="23" t="inlineStr">
        <is>
          <t>1948</t>
        </is>
      </c>
      <c r="B80" s="22" t="inlineStr">
        <is>
          <t>UJU HOLDING</t>
        </is>
      </c>
      <c r="C80" s="22" t="n"/>
      <c r="D80" s="24" t="inlineStr">
        <is>
          <t>TMT-other</t>
        </is>
      </c>
      <c r="E80" s="24" t="inlineStr">
        <is>
          <t>Media / advertising</t>
        </is>
      </c>
      <c r="F80" s="22" t="inlineStr">
        <is>
          <t>Standard</t>
        </is>
      </c>
      <c r="G80" s="25" t="n">
        <v>44506</v>
      </c>
      <c r="H80" s="26" t="n">
        <v>723.6</v>
      </c>
      <c r="I80" s="22" t="inlineStr">
        <is>
          <t>gross (price x shares)</t>
        </is>
      </c>
      <c r="J80" s="27" t="n">
        <v>6.7</v>
      </c>
      <c r="K80" s="27" t="n">
        <v>9.16</v>
      </c>
      <c r="L80" s="27" t="n">
        <v>6.7</v>
      </c>
      <c r="M80" s="28" t="n">
        <v>0</v>
      </c>
      <c r="N80" s="29" t="inlineStr">
        <is>
          <t>N</t>
        </is>
      </c>
      <c r="O80" s="26" t="n">
        <v>3240.5</v>
      </c>
      <c r="P80" s="30" t="n">
        <v>4.56</v>
      </c>
      <c r="Q80" s="31" t="n"/>
      <c r="R80" s="32" t="n">
        <v>-4.33</v>
      </c>
      <c r="S80" s="33" t="n">
        <v>10</v>
      </c>
      <c r="T80" s="32" t="n">
        <v>18</v>
      </c>
      <c r="U80" s="22" t="inlineStr">
        <is>
          <t>not-yet (at allotment)</t>
        </is>
      </c>
      <c r="V80" s="29" t="inlineStr">
        <is>
          <t>Y</t>
        </is>
      </c>
      <c r="W80" s="34" t="n">
        <v>22.1</v>
      </c>
      <c r="X80" s="34" t="n">
        <v>0.5</v>
      </c>
      <c r="Y80" s="36" t="n">
        <v>6996.8</v>
      </c>
      <c r="Z80" s="36" t="n">
        <v>146.5</v>
      </c>
      <c r="AA80" s="22" t="n"/>
      <c r="AB80" s="22" t="n"/>
      <c r="AC80" s="22" t="inlineStr">
        <is>
          <t>CMBC International Capital Limited; Financial Adviser SBI China Capital Hong Kong Securities Limited</t>
        </is>
      </c>
      <c r="AD80" s="22" t="inlineStr">
        <is>
          <t>CMBC Securities Company Limited; Guotai Junan Securities (Hong Kong) Limited; CLSA Limited; CMB International Securities Limited; Valuable Capital Limited; Essence International Securities (Hong Kong) Limited; CCB International Securities Limited; Shenwan Hongyuan Securities (H.K.) Limited; SBI China Capital Financial Services Limited; BOCI Securities Limited; Futu Securities International (Hong Kong) Limited</t>
        </is>
      </c>
      <c r="AE80" s="22" t="n"/>
      <c r="AK80">
        <f>IF(AND(Screener!$B$7&lt;&gt;"",$E80=Screener!$B$7),1,0)</f>
        <v/>
      </c>
      <c r="AL80">
        <f>IF(AND(Screener!$B$6&lt;&gt;"",$D80=Screener!$B$6),1,0)</f>
        <v/>
      </c>
      <c r="AM80">
        <f>IF(OR($H80="",Screener!$B$8=""),0,MAX(0,1-ABS(LOG10($H80/Screener!$B$8))/W_SIZEHW))</f>
        <v/>
      </c>
      <c r="AN80">
        <f>IF(OR($V80="",Screener!$B$9=""),0,IF($V80=Screener!$B$9,1,0))</f>
        <v/>
      </c>
      <c r="AO80">
        <f>IF(OR($AA80="",Screener!$B$10=""),0,IF($AA80=Screener!$B$10,1,0))</f>
        <v/>
      </c>
      <c r="AP80">
        <f>IF($G80="",0,MAX(0,1-(Screener!$B$12-$G80)/W_RECD))</f>
        <v/>
      </c>
      <c r="AQ80">
        <f>IF($B80=Screener!$B$3,-999999,W_SUB*AK80+W_SEC*AL80*(1-AK80)+W_SIZE*AM80+W_PROF*AN80+W_AH*AO80+W_REC*AP80)+ROW()/1000000</f>
        <v/>
      </c>
      <c r="AR80">
        <f>IF(OR('NEW DEAL'!$B$6="",$E80&lt;&gt;'NEW DEAL'!$B$6),-1,1+IF(OR($H80="",'NEW DEAL'!$B$7=""),0,MAX(0,1-ABS(LOG10($H80/'NEW DEAL'!$B$7))/W_SIZEHW)))+ROW()/1000000</f>
        <v/>
      </c>
    </row>
    <row r="81">
      <c r="A81" s="23" t="inlineStr">
        <is>
          <t>2210</t>
        </is>
      </c>
      <c r="B81" s="22" t="inlineStr">
        <is>
          <t>BEIJING JIAYE</t>
        </is>
      </c>
      <c r="C81" s="22" t="inlineStr">
        <is>
          <t>北京京城佳業物業股份有限公司</t>
        </is>
      </c>
      <c r="D81" s="24" t="inlineStr">
        <is>
          <t>Real Estate</t>
        </is>
      </c>
      <c r="E81" s="24" t="inlineStr">
        <is>
          <t>Property management</t>
        </is>
      </c>
      <c r="F81" s="22" t="inlineStr">
        <is>
          <t>Standard</t>
        </is>
      </c>
      <c r="G81" s="25" t="n">
        <v>44510</v>
      </c>
      <c r="H81" s="26" t="n">
        <v>246.91</v>
      </c>
      <c r="I81" s="22" t="inlineStr">
        <is>
          <t>net proceeds</t>
        </is>
      </c>
      <c r="J81" s="27" t="n"/>
      <c r="K81" s="27" t="n">
        <v>9.960000000000001</v>
      </c>
      <c r="L81" s="27" t="n">
        <v>8.279999999999999</v>
      </c>
      <c r="M81" s="32" t="n"/>
      <c r="N81" s="29" t="inlineStr">
        <is>
          <t>N</t>
        </is>
      </c>
      <c r="O81" s="26" t="n">
        <v>987.6</v>
      </c>
      <c r="P81" s="30" t="n">
        <v>2.88</v>
      </c>
      <c r="Q81" s="31" t="n"/>
      <c r="R81" s="32" t="n">
        <v>-0.24</v>
      </c>
      <c r="S81" s="33" t="n">
        <v>48.9</v>
      </c>
      <c r="T81" s="32" t="n">
        <v>15</v>
      </c>
      <c r="U81" s="22" t="inlineStr">
        <is>
          <t>not-yet (at allotment)</t>
        </is>
      </c>
      <c r="V81" s="29" t="inlineStr">
        <is>
          <t>Y</t>
        </is>
      </c>
      <c r="W81" s="34" t="n">
        <v>13.1</v>
      </c>
      <c r="X81" s="34" t="n">
        <v>0.8</v>
      </c>
      <c r="Y81" s="36" t="n">
        <v>1199.6</v>
      </c>
      <c r="Z81" s="36" t="n">
        <v>75.59999999999999</v>
      </c>
      <c r="AA81" s="22" t="n"/>
      <c r="AB81" s="22" t="n"/>
      <c r="AC81" s="22" t="inlineStr">
        <is>
          <t>China International Capital Corporation Hong Kong Securities Limited</t>
        </is>
      </c>
      <c r="AD81" s="22" t="inlineStr">
        <is>
          <t>China International Capital Corporation Hong Kong Securities Limited; Managers China International Capital Corporation Hong Kong Securities Limited; Zhongtai International Securities Limited; BOCOM International Securities Limited; CMBC Securities Company Limited; CCB International Capital Limited</t>
        </is>
      </c>
      <c r="AE81" s="22" t="n"/>
      <c r="AK81">
        <f>IF(AND(Screener!$B$7&lt;&gt;"",$E81=Screener!$B$7),1,0)</f>
        <v/>
      </c>
      <c r="AL81">
        <f>IF(AND(Screener!$B$6&lt;&gt;"",$D81=Screener!$B$6),1,0)</f>
        <v/>
      </c>
      <c r="AM81">
        <f>IF(OR($H81="",Screener!$B$8=""),0,MAX(0,1-ABS(LOG10($H81/Screener!$B$8))/W_SIZEHW))</f>
        <v/>
      </c>
      <c r="AN81">
        <f>IF(OR($V81="",Screener!$B$9=""),0,IF($V81=Screener!$B$9,1,0))</f>
        <v/>
      </c>
      <c r="AO81">
        <f>IF(OR($AA81="",Screener!$B$10=""),0,IF($AA81=Screener!$B$10,1,0))</f>
        <v/>
      </c>
      <c r="AP81">
        <f>IF($G81="",0,MAX(0,1-(Screener!$B$12-$G81)/W_RECD))</f>
        <v/>
      </c>
      <c r="AQ81">
        <f>IF($B81=Screener!$B$3,-999999,W_SUB*AK81+W_SEC*AL81*(1-AK81)+W_SIZE*AM81+W_PROF*AN81+W_AH*AO81+W_REC*AP81)+ROW()/1000000</f>
        <v/>
      </c>
      <c r="AR81">
        <f>IF(OR('NEW DEAL'!$B$6="",$E81&lt;&gt;'NEW DEAL'!$B$6),-1,1+IF(OR($H81="",'NEW DEAL'!$B$7=""),0,MAX(0,1-ABS(LOG10($H81/'NEW DEAL'!$B$7))/W_SIZEHW)))+ROW()/1000000</f>
        <v/>
      </c>
    </row>
    <row r="82">
      <c r="A82" s="23" t="inlineStr">
        <is>
          <t>2265</t>
        </is>
      </c>
      <c r="B82" s="22" t="inlineStr">
        <is>
          <t>HC ENV TECH</t>
        </is>
      </c>
      <c r="C82" s="22" t="n"/>
      <c r="D82" s="24" t="inlineStr">
        <is>
          <t>Materials/Energy</t>
        </is>
      </c>
      <c r="E82" s="24" t="inlineStr">
        <is>
          <t>Oil &amp; gas / utilities</t>
        </is>
      </c>
      <c r="F82" s="22" t="inlineStr">
        <is>
          <t>Standard</t>
        </is>
      </c>
      <c r="G82" s="25" t="n">
        <v>44512</v>
      </c>
      <c r="H82" s="26" t="n">
        <v>229.5</v>
      </c>
      <c r="I82" s="22" t="inlineStr">
        <is>
          <t>gross (price x shares)</t>
        </is>
      </c>
      <c r="J82" s="27" t="n"/>
      <c r="K82" s="27" t="n">
        <v>1.48</v>
      </c>
      <c r="L82" s="27" t="n">
        <v>1.02</v>
      </c>
      <c r="M82" s="32" t="n"/>
      <c r="N82" s="29" t="inlineStr">
        <is>
          <t>N</t>
        </is>
      </c>
      <c r="O82" s="26" t="n">
        <v>1020</v>
      </c>
      <c r="P82" s="30" t="n">
        <v>24.26</v>
      </c>
      <c r="Q82" s="31" t="n"/>
      <c r="R82" s="32" t="n">
        <v>-10.78</v>
      </c>
      <c r="S82" s="33" t="n">
        <v>0</v>
      </c>
      <c r="T82" s="32" t="n">
        <v>20</v>
      </c>
      <c r="U82" s="22" t="inlineStr">
        <is>
          <t>not-yet (at allotment)</t>
        </is>
      </c>
      <c r="V82" s="29" t="inlineStr">
        <is>
          <t>Y</t>
        </is>
      </c>
      <c r="W82" s="34" t="n">
        <v>12.7</v>
      </c>
      <c r="X82" s="34" t="n">
        <v>4.5</v>
      </c>
      <c r="Y82" s="36" t="n">
        <v>225.9</v>
      </c>
      <c r="Z82" s="36" t="n">
        <v>80.2</v>
      </c>
      <c r="AA82" s="22" t="n"/>
      <c r="AB82" s="22" t="n"/>
      <c r="AC82" s="22" t="inlineStr">
        <is>
          <t>First Shanghai Capital Limited</t>
        </is>
      </c>
      <c r="AD82" s="22" t="inlineStr">
        <is>
          <t>First Shanghai Securities Limited; Zhongtai International Securities Limited; Valuable Capital Limited; ICBC International Capital Limited; Blackwell Global Securities Limited</t>
        </is>
      </c>
      <c r="AE82" s="22" t="n"/>
      <c r="AK82">
        <f>IF(AND(Screener!$B$7&lt;&gt;"",$E82=Screener!$B$7),1,0)</f>
        <v/>
      </c>
      <c r="AL82">
        <f>IF(AND(Screener!$B$6&lt;&gt;"",$D82=Screener!$B$6),1,0)</f>
        <v/>
      </c>
      <c r="AM82">
        <f>IF(OR($H82="",Screener!$B$8=""),0,MAX(0,1-ABS(LOG10($H82/Screener!$B$8))/W_SIZEHW))</f>
        <v/>
      </c>
      <c r="AN82">
        <f>IF(OR($V82="",Screener!$B$9=""),0,IF($V82=Screener!$B$9,1,0))</f>
        <v/>
      </c>
      <c r="AO82">
        <f>IF(OR($AA82="",Screener!$B$10=""),0,IF($AA82=Screener!$B$10,1,0))</f>
        <v/>
      </c>
      <c r="AP82">
        <f>IF($G82="",0,MAX(0,1-(Screener!$B$12-$G82)/W_RECD))</f>
        <v/>
      </c>
      <c r="AQ82">
        <f>IF($B82=Screener!$B$3,-999999,W_SUB*AK82+W_SEC*AL82*(1-AK82)+W_SIZE*AM82+W_PROF*AN82+W_AH*AO82+W_REC*AP82)+ROW()/1000000</f>
        <v/>
      </c>
      <c r="AR82">
        <f>IF(OR('NEW DEAL'!$B$6="",$E82&lt;&gt;'NEW DEAL'!$B$6),-1,1+IF(OR($H82="",'NEW DEAL'!$B$7=""),0,MAX(0,1-ABS(LOG10($H82/'NEW DEAL'!$B$7))/W_SIZEHW)))+ROW()/1000000</f>
        <v/>
      </c>
    </row>
    <row r="83">
      <c r="A83" s="23" t="inlineStr">
        <is>
          <t>9899</t>
        </is>
      </c>
      <c r="B83" s="22" t="inlineStr">
        <is>
          <t>CLOUD VILLAGE</t>
        </is>
      </c>
      <c r="C83" s="22" t="n"/>
      <c r="D83" s="24" t="inlineStr">
        <is>
          <t>Tech/AI</t>
        </is>
      </c>
      <c r="E83" s="24" t="inlineStr">
        <is>
          <t>Internet platform / e-commerce</t>
        </is>
      </c>
      <c r="F83" s="22" t="inlineStr">
        <is>
          <t>Standard</t>
        </is>
      </c>
      <c r="G83" s="25" t="n">
        <v>44532</v>
      </c>
      <c r="H83" s="26" t="n">
        <v>3124</v>
      </c>
      <c r="I83" s="22" t="inlineStr">
        <is>
          <t>net proceeds</t>
        </is>
      </c>
      <c r="J83" s="27" t="n"/>
      <c r="K83" s="27" t="n">
        <v>220</v>
      </c>
      <c r="L83" s="27" t="n">
        <v>205</v>
      </c>
      <c r="M83" s="32" t="n"/>
      <c r="N83" s="29" t="inlineStr">
        <is>
          <t>N</t>
        </is>
      </c>
      <c r="O83" s="36" t="n">
        <v>39474</v>
      </c>
      <c r="P83" s="30" t="n">
        <v>8.92</v>
      </c>
      <c r="Q83" s="31" t="n"/>
      <c r="R83" s="32" t="n">
        <v>-2.49</v>
      </c>
      <c r="S83" s="33" t="n">
        <v>83.15000000000001</v>
      </c>
      <c r="T83" s="32" t="n">
        <v>7.7</v>
      </c>
      <c r="U83" s="22" t="inlineStr">
        <is>
          <t>not-yet (at allotment)</t>
        </is>
      </c>
      <c r="V83" s="22" t="n"/>
      <c r="W83" s="31" t="n"/>
      <c r="X83" s="34" t="n">
        <v>7.3</v>
      </c>
      <c r="Y83" s="36" t="n">
        <v>5385.3</v>
      </c>
      <c r="Z83" s="35" t="n"/>
      <c r="AA83" s="22" t="n"/>
      <c r="AB83" s="22" t="n"/>
      <c r="AC83" s="22" t="n"/>
      <c r="AD83" s="22" t="n"/>
      <c r="AE83" s="22" t="n"/>
      <c r="AK83">
        <f>IF(AND(Screener!$B$7&lt;&gt;"",$E83=Screener!$B$7),1,0)</f>
        <v/>
      </c>
      <c r="AL83">
        <f>IF(AND(Screener!$B$6&lt;&gt;"",$D83=Screener!$B$6),1,0)</f>
        <v/>
      </c>
      <c r="AM83">
        <f>IF(OR($H83="",Screener!$B$8=""),0,MAX(0,1-ABS(LOG10($H83/Screener!$B$8))/W_SIZEHW))</f>
        <v/>
      </c>
      <c r="AN83">
        <f>IF(OR($V83="",Screener!$B$9=""),0,IF($V83=Screener!$B$9,1,0))</f>
        <v/>
      </c>
      <c r="AO83">
        <f>IF(OR($AA83="",Screener!$B$10=""),0,IF($AA83=Screener!$B$10,1,0))</f>
        <v/>
      </c>
      <c r="AP83">
        <f>IF($G83="",0,MAX(0,1-(Screener!$B$12-$G83)/W_RECD))</f>
        <v/>
      </c>
      <c r="AQ83">
        <f>IF($B83=Screener!$B$3,-999999,W_SUB*AK83+W_SEC*AL83*(1-AK83)+W_SIZE*AM83+W_PROF*AN83+W_AH*AO83+W_REC*AP83)+ROW()/1000000</f>
        <v/>
      </c>
      <c r="AR83">
        <f>IF(OR('NEW DEAL'!$B$6="",$E83&lt;&gt;'NEW DEAL'!$B$6),-1,1+IF(OR($H83="",'NEW DEAL'!$B$7=""),0,MAX(0,1-ABS(LOG10($H83/'NEW DEAL'!$B$7))/W_SIZEHW)))+ROW()/1000000</f>
        <v/>
      </c>
    </row>
    <row r="84">
      <c r="A84" s="23" t="inlineStr">
        <is>
          <t>9898</t>
        </is>
      </c>
      <c r="B84" s="22" t="inlineStr">
        <is>
          <t>WB-SW</t>
        </is>
      </c>
      <c r="C84" s="22" t="n"/>
      <c r="D84" s="24" t="inlineStr">
        <is>
          <t>Tech/AI</t>
        </is>
      </c>
      <c r="E84" s="24" t="inlineStr">
        <is>
          <t>Internet platform / e-commerce</t>
        </is>
      </c>
      <c r="F84" s="38" t="inlineStr">
        <is>
          <t>Secondary + WVR</t>
        </is>
      </c>
      <c r="G84" s="25" t="n">
        <v>44538</v>
      </c>
      <c r="H84" s="26" t="n">
        <v>1383.4</v>
      </c>
      <c r="I84" s="22" t="inlineStr">
        <is>
          <t>net proceeds</t>
        </is>
      </c>
      <c r="J84" s="27" t="n"/>
      <c r="K84" s="27" t="n">
        <v>388</v>
      </c>
      <c r="L84" s="27" t="n">
        <v>272.8</v>
      </c>
      <c r="M84" s="32" t="n"/>
      <c r="N84" s="29" t="inlineStr">
        <is>
          <t>N</t>
        </is>
      </c>
      <c r="O84" s="36" t="n">
        <v>91022</v>
      </c>
      <c r="P84" s="30" t="n">
        <v>2.67</v>
      </c>
      <c r="Q84" s="31" t="n"/>
      <c r="R84" s="32" t="n">
        <v>-7.18</v>
      </c>
      <c r="S84" s="33" t="n"/>
      <c r="T84" s="32" t="n">
        <v>5.4</v>
      </c>
      <c r="U84" s="22" t="inlineStr">
        <is>
          <t>not-yet (at allotment)</t>
        </is>
      </c>
      <c r="V84" s="22" t="n"/>
      <c r="W84" s="31" t="n"/>
      <c r="X84" s="31" t="n"/>
      <c r="Y84" s="35" t="n"/>
      <c r="Z84" s="35" t="n"/>
      <c r="AA84" s="22" t="n"/>
      <c r="AB84" s="22" t="n"/>
      <c r="AC84" s="22" t="inlineStr">
        <is>
          <t>Goldman Sachs (Asia) L.L.C; Credit Suisse (Hong Kong) Limited; CLSA Capital Markets Limited; China International Capital Corporation Hong Kong Securities Limited; Central, Hong Kong Joint Representatives Goldman Sachs (Asia) L.L.C; CLSA Limited</t>
        </is>
      </c>
      <c r="AD84" s="22" t="inlineStr">
        <is>
          <t>Goldman Sachs (Asia) L.L.C; Credit Suisse (Hong Kong) Limited; CLSA Limited; China International Capital Corporation Hong Kong Securities Limited; Central, Hong Kong Nomura International (Hong Kong) Limited; Central, Hong Kong Deutsche Bank AG, Hong Kong Branch; Haitong International Securities Company Limited; Huatai Financial Holdings (Hong Kong) Limited; Valuable Capital Limited; ABCI Capital Limited; CMBC Securities Company Limited; Central, Hong Kong CMB International Capital Limited</t>
        </is>
      </c>
      <c r="AE84" s="22" t="n"/>
      <c r="AK84">
        <f>IF(AND(Screener!$B$7&lt;&gt;"",$E84=Screener!$B$7),1,0)</f>
        <v/>
      </c>
      <c r="AL84">
        <f>IF(AND(Screener!$B$6&lt;&gt;"",$D84=Screener!$B$6),1,0)</f>
        <v/>
      </c>
      <c r="AM84">
        <f>IF(OR($H84="",Screener!$B$8=""),0,MAX(0,1-ABS(LOG10($H84/Screener!$B$8))/W_SIZEHW))</f>
        <v/>
      </c>
      <c r="AN84">
        <f>IF(OR($V84="",Screener!$B$9=""),0,IF($V84=Screener!$B$9,1,0))</f>
        <v/>
      </c>
      <c r="AO84">
        <f>IF(OR($AA84="",Screener!$B$10=""),0,IF($AA84=Screener!$B$10,1,0))</f>
        <v/>
      </c>
      <c r="AP84">
        <f>IF($G84="",0,MAX(0,1-(Screener!$B$12-$G84)/W_RECD))</f>
        <v/>
      </c>
      <c r="AQ84">
        <f>IF($B84=Screener!$B$3,-999999,W_SUB*AK84+W_SEC*AL84*(1-AK84)+W_SIZE*AM84+W_PROF*AN84+W_AH*AO84+W_REC*AP84)+ROW()/1000000</f>
        <v/>
      </c>
      <c r="AR84">
        <f>IF(OR('NEW DEAL'!$B$6="",$E84&lt;&gt;'NEW DEAL'!$B$6),-1,1+IF(OR($H84="",'NEW DEAL'!$B$7=""),0,MAX(0,1-ABS(LOG10($H84/'NEW DEAL'!$B$7))/W_SIZEHW)))+ROW()/1000000</f>
        <v/>
      </c>
    </row>
    <row r="85">
      <c r="A85" s="23" t="inlineStr">
        <is>
          <t>1228</t>
        </is>
      </c>
      <c r="B85" s="22" t="inlineStr">
        <is>
          <t>CANBRIDGE-B</t>
        </is>
      </c>
      <c r="C85" s="22" t="n"/>
      <c r="D85" s="24" t="inlineStr">
        <is>
          <t>Healthcare</t>
        </is>
      </c>
      <c r="E85" s="24" t="inlineStr">
        <is>
          <t>Biotech pre-revenue (18A)</t>
        </is>
      </c>
      <c r="F85" s="38" t="inlineStr">
        <is>
          <t>18A</t>
        </is>
      </c>
      <c r="G85" s="25" t="n">
        <v>44540</v>
      </c>
      <c r="H85" s="26" t="n">
        <v>604</v>
      </c>
      <c r="I85" s="22" t="inlineStr">
        <is>
          <t>net proceeds</t>
        </is>
      </c>
      <c r="J85" s="27" t="n"/>
      <c r="K85" s="27" t="n"/>
      <c r="L85" s="27" t="n">
        <v>12.18</v>
      </c>
      <c r="M85" s="32" t="n"/>
      <c r="N85" s="22" t="n"/>
      <c r="O85" s="35" t="n"/>
      <c r="P85" s="30" t="n">
        <v>1.97</v>
      </c>
      <c r="Q85" s="31" t="n"/>
      <c r="R85" s="32" t="n">
        <v>-26.93</v>
      </c>
      <c r="S85" s="33" t="n">
        <v>75.8</v>
      </c>
      <c r="T85" s="32" t="n"/>
      <c r="U85" s="22" t="inlineStr">
        <is>
          <t>not-yet (at allotment)</t>
        </is>
      </c>
      <c r="V85" s="22" t="n"/>
      <c r="W85" s="31" t="n"/>
      <c r="X85" s="31" t="n"/>
      <c r="Y85" s="35" t="n"/>
      <c r="Z85" s="35" t="n"/>
      <c r="AA85" s="22" t="n"/>
      <c r="AB85" s="22" t="n"/>
      <c r="AC85" s="22" t="n"/>
      <c r="AD85" s="22" t="n"/>
      <c r="AE85" s="22" t="n"/>
      <c r="AK85">
        <f>IF(AND(Screener!$B$7&lt;&gt;"",$E85=Screener!$B$7),1,0)</f>
        <v/>
      </c>
      <c r="AL85">
        <f>IF(AND(Screener!$B$6&lt;&gt;"",$D85=Screener!$B$6),1,0)</f>
        <v/>
      </c>
      <c r="AM85">
        <f>IF(OR($H85="",Screener!$B$8=""),0,MAX(0,1-ABS(LOG10($H85/Screener!$B$8))/W_SIZEHW))</f>
        <v/>
      </c>
      <c r="AN85">
        <f>IF(OR($V85="",Screener!$B$9=""),0,IF($V85=Screener!$B$9,1,0))</f>
        <v/>
      </c>
      <c r="AO85">
        <f>IF(OR($AA85="",Screener!$B$10=""),0,IF($AA85=Screener!$B$10,1,0))</f>
        <v/>
      </c>
      <c r="AP85">
        <f>IF($G85="",0,MAX(0,1-(Screener!$B$12-$G85)/W_RECD))</f>
        <v/>
      </c>
      <c r="AQ85">
        <f>IF($B85=Screener!$B$3,-999999,W_SUB*AK85+W_SEC*AL85*(1-AK85)+W_SIZE*AM85+W_PROF*AN85+W_AH*AO85+W_REC*AP85)+ROW()/1000000</f>
        <v/>
      </c>
      <c r="AR85">
        <f>IF(OR('NEW DEAL'!$B$6="",$E85&lt;&gt;'NEW DEAL'!$B$6),-1,1+IF(OR($H85="",'NEW DEAL'!$B$7=""),0,MAX(0,1-ABS(LOG10($H85/'NEW DEAL'!$B$7))/W_SIZEHW)))+ROW()/1000000</f>
        <v/>
      </c>
    </row>
    <row r="86">
      <c r="A86" s="23" t="inlineStr">
        <is>
          <t>2273</t>
        </is>
      </c>
      <c r="B86" s="22" t="inlineStr">
        <is>
          <t>GUSHENGTANG</t>
        </is>
      </c>
      <c r="C86" s="22" t="inlineStr">
        <is>
          <t>固生堂控股有限公司</t>
        </is>
      </c>
      <c r="D86" s="24" t="inlineStr">
        <is>
          <t>Healthcare</t>
        </is>
      </c>
      <c r="E86" s="24" t="inlineStr">
        <is>
          <t>TCM</t>
        </is>
      </c>
      <c r="F86" s="22" t="inlineStr">
        <is>
          <t>Standard</t>
        </is>
      </c>
      <c r="G86" s="25" t="n">
        <v>44540</v>
      </c>
      <c r="H86" s="26" t="n">
        <v>705.1</v>
      </c>
      <c r="I86" s="22" t="inlineStr">
        <is>
          <t>net proceeds</t>
        </is>
      </c>
      <c r="J86" s="27" t="n">
        <v>25.8</v>
      </c>
      <c r="K86" s="27" t="n">
        <v>29</v>
      </c>
      <c r="L86" s="27" t="n">
        <v>29</v>
      </c>
      <c r="M86" s="28" t="n">
        <v>100</v>
      </c>
      <c r="N86" s="29" t="inlineStr">
        <is>
          <t>Y</t>
        </is>
      </c>
      <c r="O86" s="26" t="n">
        <v>5158</v>
      </c>
      <c r="P86" s="30" t="n">
        <v>2.84</v>
      </c>
      <c r="Q86" s="31" t="n"/>
      <c r="R86" s="32" t="n">
        <v>0</v>
      </c>
      <c r="S86" s="33" t="n">
        <v>10</v>
      </c>
      <c r="T86" s="32" t="n">
        <v>15.14</v>
      </c>
      <c r="U86" s="22" t="inlineStr">
        <is>
          <t>not-yet (at allotment)</t>
        </is>
      </c>
      <c r="V86" s="29" t="inlineStr">
        <is>
          <t>N</t>
        </is>
      </c>
      <c r="W86" s="31" t="n"/>
      <c r="X86" s="34" t="n">
        <v>5.1</v>
      </c>
      <c r="Y86" s="36" t="n">
        <v>1017.9</v>
      </c>
      <c r="Z86" s="36" t="n">
        <v>-280.9</v>
      </c>
      <c r="AA86" s="22" t="n"/>
      <c r="AB86" s="22" t="n"/>
      <c r="AC86" s="22" t="inlineStr">
        <is>
          <t>Merrill Lynch (Asia Pacific) Limited; Haitong International Capital Limited; Central, Hong Kong Joint Representatives Merrill Lynch (Asia Pacific) Limited; Haitong International Securities Company Limited</t>
        </is>
      </c>
      <c r="AD86" s="22" t="inlineStr">
        <is>
          <t>Merrill Lynch (Asia Pacific) Limited; Haitong International Securities Company Limited; China International Capital Corporation Hong Kong Securities Limited; GF Securities (Hong Kong) Brokerage Limited; ICBC International Capital Limited</t>
        </is>
      </c>
      <c r="AE86" s="22" t="n"/>
      <c r="AK86">
        <f>IF(AND(Screener!$B$7&lt;&gt;"",$E86=Screener!$B$7),1,0)</f>
        <v/>
      </c>
      <c r="AL86">
        <f>IF(AND(Screener!$B$6&lt;&gt;"",$D86=Screener!$B$6),1,0)</f>
        <v/>
      </c>
      <c r="AM86">
        <f>IF(OR($H86="",Screener!$B$8=""),0,MAX(0,1-ABS(LOG10($H86/Screener!$B$8))/W_SIZEHW))</f>
        <v/>
      </c>
      <c r="AN86">
        <f>IF(OR($V86="",Screener!$B$9=""),0,IF($V86=Screener!$B$9,1,0))</f>
        <v/>
      </c>
      <c r="AO86">
        <f>IF(OR($AA86="",Screener!$B$10=""),0,IF($AA86=Screener!$B$10,1,0))</f>
        <v/>
      </c>
      <c r="AP86">
        <f>IF($G86="",0,MAX(0,1-(Screener!$B$12-$G86)/W_RECD))</f>
        <v/>
      </c>
      <c r="AQ86">
        <f>IF($B86=Screener!$B$3,-999999,W_SUB*AK86+W_SEC*AL86*(1-AK86)+W_SIZE*AM86+W_PROF*AN86+W_AH*AO86+W_REC*AP86)+ROW()/1000000</f>
        <v/>
      </c>
      <c r="AR86">
        <f>IF(OR('NEW DEAL'!$B$6="",$E86&lt;&gt;'NEW DEAL'!$B$6),-1,1+IF(OR($H86="",'NEW DEAL'!$B$7=""),0,MAX(0,1-ABS(LOG10($H86/'NEW DEAL'!$B$7))/W_SIZEHW)))+ROW()/1000000</f>
        <v/>
      </c>
    </row>
    <row r="87">
      <c r="A87" s="23" t="inlineStr">
        <is>
          <t>6821</t>
        </is>
      </c>
      <c r="B87" s="22" t="inlineStr">
        <is>
          <t>ASYMCHEM</t>
        </is>
      </c>
      <c r="C87" s="22" t="inlineStr">
        <is>
          <t>凱萊英醫藥集團(天津)股份有限公司</t>
        </is>
      </c>
      <c r="D87" s="24" t="inlineStr">
        <is>
          <t>Healthcare</t>
        </is>
      </c>
      <c r="E87" s="24" t="inlineStr">
        <is>
          <t>CXO / pharma services</t>
        </is>
      </c>
      <c r="F87" s="22" t="inlineStr">
        <is>
          <t>Standard</t>
        </is>
      </c>
      <c r="G87" s="25" t="n">
        <v>44540</v>
      </c>
      <c r="H87" s="26" t="n">
        <v>6849.7</v>
      </c>
      <c r="I87" s="22" t="inlineStr">
        <is>
          <t>net proceeds</t>
        </is>
      </c>
      <c r="J87" s="27" t="n"/>
      <c r="K87" s="27" t="n">
        <v>410</v>
      </c>
      <c r="L87" s="27" t="n">
        <v>388</v>
      </c>
      <c r="M87" s="32" t="n"/>
      <c r="N87" s="29" t="inlineStr">
        <is>
          <t>N</t>
        </is>
      </c>
      <c r="O87" s="36" t="n">
        <v>141820</v>
      </c>
      <c r="P87" s="30" t="n">
        <v>4.5</v>
      </c>
      <c r="Q87" s="31" t="n"/>
      <c r="R87" s="32" t="n">
        <v>-4.64</v>
      </c>
      <c r="S87" s="33" t="n">
        <v>0</v>
      </c>
      <c r="T87" s="32" t="n">
        <v>7.97</v>
      </c>
      <c r="U87" s="22" t="inlineStr">
        <is>
          <t>not-yet (at allotment)</t>
        </is>
      </c>
      <c r="V87" s="29" t="inlineStr">
        <is>
          <t>Y</t>
        </is>
      </c>
      <c r="W87" s="34" t="n">
        <v>179.1</v>
      </c>
      <c r="X87" s="34" t="n">
        <v>41.1</v>
      </c>
      <c r="Y87" s="36" t="n">
        <v>3450.4</v>
      </c>
      <c r="Z87" s="36" t="n">
        <v>791.7</v>
      </c>
      <c r="AA87" s="22" t="inlineStr">
        <is>
          <t>Y</t>
        </is>
      </c>
      <c r="AB87" s="22" t="inlineStr">
        <is>
          <t>002821.SZ</t>
        </is>
      </c>
      <c r="AC87" s="22" t="inlineStr">
        <is>
          <t>Goldman Sachs (Asia) L.L.C; CLSA Capital Markets Limited</t>
        </is>
      </c>
      <c r="AD87" s="22" t="inlineStr">
        <is>
          <t>Goldman Sachs (Asia) L.L.C; CLSA Limited; Managers Goldman Sachs (Asia) L.L.C; Credit Suisse (Hong Kong) Limited; Citigroup Global Markets Asia Limited; BOCOM International Securities Limited</t>
        </is>
      </c>
      <c r="AE87" s="22" t="n"/>
      <c r="AK87">
        <f>IF(AND(Screener!$B$7&lt;&gt;"",$E87=Screener!$B$7),1,0)</f>
        <v/>
      </c>
      <c r="AL87">
        <f>IF(AND(Screener!$B$6&lt;&gt;"",$D87=Screener!$B$6),1,0)</f>
        <v/>
      </c>
      <c r="AM87">
        <f>IF(OR($H87="",Screener!$B$8=""),0,MAX(0,1-ABS(LOG10($H87/Screener!$B$8))/W_SIZEHW))</f>
        <v/>
      </c>
      <c r="AN87">
        <f>IF(OR($V87="",Screener!$B$9=""),0,IF($V87=Screener!$B$9,1,0))</f>
        <v/>
      </c>
      <c r="AO87">
        <f>IF(OR($AA87="",Screener!$B$10=""),0,IF($AA87=Screener!$B$10,1,0))</f>
        <v/>
      </c>
      <c r="AP87">
        <f>IF($G87="",0,MAX(0,1-(Screener!$B$12-$G87)/W_RECD))</f>
        <v/>
      </c>
      <c r="AQ87">
        <f>IF($B87=Screener!$B$3,-999999,W_SUB*AK87+W_SEC*AL87*(1-AK87)+W_SIZE*AM87+W_PROF*AN87+W_AH*AO87+W_REC*AP87)+ROW()/1000000</f>
        <v/>
      </c>
      <c r="AR87">
        <f>IF(OR('NEW DEAL'!$B$6="",$E87&lt;&gt;'NEW DEAL'!$B$6),-1,1+IF(OR($H87="",'NEW DEAL'!$B$7=""),0,MAX(0,1-ABS(LOG10($H87/'NEW DEAL'!$B$7))/W_SIZEHW)))+ROW()/1000000</f>
        <v/>
      </c>
    </row>
    <row r="88">
      <c r="A88" s="23" t="inlineStr">
        <is>
          <t>2279</t>
        </is>
      </c>
      <c r="B88" s="22" t="inlineStr">
        <is>
          <t>YONGHE MEDICAL</t>
        </is>
      </c>
      <c r="C88" s="22" t="n"/>
      <c r="D88" s="24" t="inlineStr">
        <is>
          <t>Healthcare</t>
        </is>
      </c>
      <c r="E88" s="24" t="inlineStr">
        <is>
          <t>Hospitals / clinics</t>
        </is>
      </c>
      <c r="F88" s="22" t="inlineStr">
        <is>
          <t>Standard</t>
        </is>
      </c>
      <c r="G88" s="25" t="n">
        <v>44541</v>
      </c>
      <c r="H88" s="26" t="n">
        <v>1356.7</v>
      </c>
      <c r="I88" s="22" t="inlineStr">
        <is>
          <t>net proceeds</t>
        </is>
      </c>
      <c r="J88" s="27" t="n"/>
      <c r="K88" s="27" t="n">
        <v>15.8</v>
      </c>
      <c r="L88" s="27" t="n">
        <v>15.8</v>
      </c>
      <c r="M88" s="32" t="n"/>
      <c r="N88" s="29" t="inlineStr">
        <is>
          <t>Y</t>
        </is>
      </c>
      <c r="O88" s="36" t="n">
        <v>8215.299999999999</v>
      </c>
      <c r="P88" s="30" t="n">
        <v>160.06</v>
      </c>
      <c r="Q88" s="37" t="n">
        <v>8.390000000000001</v>
      </c>
      <c r="R88" s="32" t="n">
        <v>5.06</v>
      </c>
      <c r="S88" s="33" t="n">
        <v>50</v>
      </c>
      <c r="T88" s="32" t="n">
        <v>9.199999999999999</v>
      </c>
      <c r="U88" s="22" t="inlineStr">
        <is>
          <t>not-yet (at allotment)</t>
        </is>
      </c>
      <c r="V88" s="29" t="inlineStr">
        <is>
          <t>Y</t>
        </is>
      </c>
      <c r="W88" s="34" t="n">
        <v>45.7</v>
      </c>
      <c r="X88" s="31" t="n"/>
      <c r="Y88" s="36" t="n">
        <v>0</v>
      </c>
      <c r="Z88" s="36" t="n">
        <v>179.7</v>
      </c>
      <c r="AA88" s="22" t="n"/>
      <c r="AB88" s="22" t="n"/>
      <c r="AC88" s="22" t="inlineStr">
        <is>
          <t>Morgan Stanley Asia Limited; China International Capital Corporation Hong Kong Securities Limited</t>
        </is>
      </c>
      <c r="AD88" s="22" t="inlineStr">
        <is>
          <t>Morgan Stanley Asia Limited; China International Capital Corporation Hong Kong Securities Limited; Managers Morgan Stanley Asia Limited; Morgan Stanley &amp; Co. International plc</t>
        </is>
      </c>
      <c r="AE88" s="22" t="n"/>
      <c r="AK88">
        <f>IF(AND(Screener!$B$7&lt;&gt;"",$E88=Screener!$B$7),1,0)</f>
        <v/>
      </c>
      <c r="AL88">
        <f>IF(AND(Screener!$B$6&lt;&gt;"",$D88=Screener!$B$6),1,0)</f>
        <v/>
      </c>
      <c r="AM88">
        <f>IF(OR($H88="",Screener!$B$8=""),0,MAX(0,1-ABS(LOG10($H88/Screener!$B$8))/W_SIZEHW))</f>
        <v/>
      </c>
      <c r="AN88">
        <f>IF(OR($V88="",Screener!$B$9=""),0,IF($V88=Screener!$B$9,1,0))</f>
        <v/>
      </c>
      <c r="AO88">
        <f>IF(OR($AA88="",Screener!$B$10=""),0,IF($AA88=Screener!$B$10,1,0))</f>
        <v/>
      </c>
      <c r="AP88">
        <f>IF($G88="",0,MAX(0,1-(Screener!$B$12-$G88)/W_RECD))</f>
        <v/>
      </c>
      <c r="AQ88">
        <f>IF($B88=Screener!$B$3,-999999,W_SUB*AK88+W_SEC*AL88*(1-AK88)+W_SIZE*AM88+W_PROF*AN88+W_AH*AO88+W_REC*AP88)+ROW()/1000000</f>
        <v/>
      </c>
      <c r="AR88">
        <f>IF(OR('NEW DEAL'!$B$6="",$E88&lt;&gt;'NEW DEAL'!$B$6),-1,1+IF(OR($H88="",'NEW DEAL'!$B$7=""),0,MAX(0,1-ABS(LOG10($H88/'NEW DEAL'!$B$7))/W_SIZEHW)))+ROW()/1000000</f>
        <v/>
      </c>
    </row>
    <row r="89">
      <c r="A89" s="23" t="inlineStr">
        <is>
          <t>9699</t>
        </is>
      </c>
      <c r="B89" s="22" t="inlineStr">
        <is>
          <t>SF INTRA-CITY</t>
        </is>
      </c>
      <c r="C89" s="22" t="n"/>
      <c r="D89" s="24" t="inlineStr">
        <is>
          <t>Industrials</t>
        </is>
      </c>
      <c r="E89" s="24" t="inlineStr">
        <is>
          <t>Logistics</t>
        </is>
      </c>
      <c r="F89" s="22" t="inlineStr">
        <is>
          <t>Standard</t>
        </is>
      </c>
      <c r="G89" s="25" t="n">
        <v>44544</v>
      </c>
      <c r="H89" s="26" t="n">
        <v>2031.3</v>
      </c>
      <c r="I89" s="22" t="inlineStr">
        <is>
          <t>net proceeds</t>
        </is>
      </c>
      <c r="J89" s="27" t="n">
        <v>16.42</v>
      </c>
      <c r="K89" s="27" t="n">
        <v>17.96</v>
      </c>
      <c r="L89" s="27" t="n">
        <v>16.42</v>
      </c>
      <c r="M89" s="28" t="n">
        <v>0</v>
      </c>
      <c r="N89" s="29" t="inlineStr">
        <is>
          <t>N</t>
        </is>
      </c>
      <c r="O89" s="36" t="n">
        <v>15327.4</v>
      </c>
      <c r="P89" s="40" t="n"/>
      <c r="Q89" s="31" t="n"/>
      <c r="R89" s="32" t="n">
        <v>-9.26</v>
      </c>
      <c r="S89" s="33" t="n">
        <v>43.9</v>
      </c>
      <c r="T89" s="32" t="n">
        <v>5.6</v>
      </c>
      <c r="U89" s="22" t="inlineStr">
        <is>
          <t>not-yet (at allotment)</t>
        </is>
      </c>
      <c r="V89" s="29" t="inlineStr">
        <is>
          <t>N</t>
        </is>
      </c>
      <c r="W89" s="31" t="n"/>
      <c r="X89" s="34" t="n">
        <v>2.9</v>
      </c>
      <c r="Y89" s="36" t="n">
        <v>5327.7</v>
      </c>
      <c r="Z89" s="36" t="n">
        <v>-833.4</v>
      </c>
      <c r="AA89" s="22" t="n"/>
      <c r="AB89" s="22" t="n"/>
      <c r="AC89" s="22" t="inlineStr">
        <is>
          <t>China International Capital Corporation Hong Kong Securities Limited; Merrill Lynch (Asia Pacific) Limited</t>
        </is>
      </c>
      <c r="AD89" s="22" t="inlineStr">
        <is>
          <t>China International Capital Corporation Hong Kong Securities Limited; Merrill Lynch (Asia Pacific) Limited; Credit Suisse (Hong Kong) Limited; Huatai Financial Holdings (Hong Kong) Limited; CLSA Limited; CMB International Capital Limited; Central, Hong Kong ABCI Capital Limited; Futu Securities International (Hong Kong) Limited</t>
        </is>
      </c>
      <c r="AE89" s="22" t="n"/>
      <c r="AK89">
        <f>IF(AND(Screener!$B$7&lt;&gt;"",$E89=Screener!$B$7),1,0)</f>
        <v/>
      </c>
      <c r="AL89">
        <f>IF(AND(Screener!$B$6&lt;&gt;"",$D89=Screener!$B$6),1,0)</f>
        <v/>
      </c>
      <c r="AM89">
        <f>IF(OR($H89="",Screener!$B$8=""),0,MAX(0,1-ABS(LOG10($H89/Screener!$B$8))/W_SIZEHW))</f>
        <v/>
      </c>
      <c r="AN89">
        <f>IF(OR($V89="",Screener!$B$9=""),0,IF($V89=Screener!$B$9,1,0))</f>
        <v/>
      </c>
      <c r="AO89">
        <f>IF(OR($AA89="",Screener!$B$10=""),0,IF($AA89=Screener!$B$10,1,0))</f>
        <v/>
      </c>
      <c r="AP89">
        <f>IF($G89="",0,MAX(0,1-(Screener!$B$12-$G89)/W_RECD))</f>
        <v/>
      </c>
      <c r="AQ89">
        <f>IF($B89=Screener!$B$3,-999999,W_SUB*AK89+W_SEC*AL89*(1-AK89)+W_SIZE*AM89+W_PROF*AN89+W_AH*AO89+W_REC*AP89)+ROW()/1000000</f>
        <v/>
      </c>
      <c r="AR89">
        <f>IF(OR('NEW DEAL'!$B$6="",$E89&lt;&gt;'NEW DEAL'!$B$6),-1,1+IF(OR($H89="",'NEW DEAL'!$B$7=""),0,MAX(0,1-ABS(LOG10($H89/'NEW DEAL'!$B$7))/W_SIZEHW)))+ROW()/1000000</f>
        <v/>
      </c>
    </row>
    <row r="90">
      <c r="A90" s="23" t="inlineStr">
        <is>
          <t>2276</t>
        </is>
      </c>
      <c r="B90" s="22" t="inlineStr">
        <is>
          <t>CONANT OPTICAL</t>
        </is>
      </c>
      <c r="C90" s="22" t="n"/>
      <c r="D90" s="24" t="inlineStr">
        <is>
          <t>Healthcare</t>
        </is>
      </c>
      <c r="E90" s="24" t="inlineStr">
        <is>
          <t>Medical devices</t>
        </is>
      </c>
      <c r="F90" s="22" t="inlineStr">
        <is>
          <t>Standard</t>
        </is>
      </c>
      <c r="G90" s="39" t="n">
        <v>44546</v>
      </c>
      <c r="H90" s="26" t="n">
        <v>488.1</v>
      </c>
      <c r="I90" s="22" t="inlineStr">
        <is>
          <t>gross (price x shares)</t>
        </is>
      </c>
      <c r="J90" s="27" t="n"/>
      <c r="K90" s="27" t="n">
        <v>6.1</v>
      </c>
      <c r="L90" s="27" t="n">
        <v>4.46</v>
      </c>
      <c r="M90" s="32" t="n"/>
      <c r="N90" s="29" t="inlineStr">
        <is>
          <t>N</t>
        </is>
      </c>
      <c r="O90" s="36" t="n">
        <v>1902.6</v>
      </c>
      <c r="P90" s="30" t="n">
        <v>1.78</v>
      </c>
      <c r="Q90" s="31" t="n"/>
      <c r="R90" s="32" t="n">
        <v>2.02</v>
      </c>
      <c r="S90" s="33" t="n"/>
      <c r="T90" s="32" t="n">
        <v>15</v>
      </c>
      <c r="U90" s="22" t="inlineStr">
        <is>
          <t>not-yet (at allotment)</t>
        </is>
      </c>
      <c r="V90" s="29" t="inlineStr">
        <is>
          <t>N</t>
        </is>
      </c>
      <c r="W90" s="31" t="n"/>
      <c r="X90" s="34" t="n">
        <v>140.9</v>
      </c>
      <c r="Y90" s="36" t="n">
        <v>13.5</v>
      </c>
      <c r="Z90" s="36" t="n">
        <v>-1.6</v>
      </c>
      <c r="AA90" s="22" t="n"/>
      <c r="AB90" s="22" t="n"/>
      <c r="AC90" s="22" t="inlineStr">
        <is>
          <t>Guotai Junan Capital Limited</t>
        </is>
      </c>
      <c r="AD90" s="22" t="inlineStr">
        <is>
          <t>Guotai Junan Securities (Hong Kong) Limited</t>
        </is>
      </c>
      <c r="AE90" s="22" t="n"/>
      <c r="AK90">
        <f>IF(AND(Screener!$B$7&lt;&gt;"",$E90=Screener!$B$7),1,0)</f>
        <v/>
      </c>
      <c r="AL90">
        <f>IF(AND(Screener!$B$6&lt;&gt;"",$D90=Screener!$B$6),1,0)</f>
        <v/>
      </c>
      <c r="AM90">
        <f>IF(OR($H90="",Screener!$B$8=""),0,MAX(0,1-ABS(LOG10($H90/Screener!$B$8))/W_SIZEHW))</f>
        <v/>
      </c>
      <c r="AN90">
        <f>IF(OR($V90="",Screener!$B$9=""),0,IF($V90=Screener!$B$9,1,0))</f>
        <v/>
      </c>
      <c r="AO90">
        <f>IF(OR($AA90="",Screener!$B$10=""),0,IF($AA90=Screener!$B$10,1,0))</f>
        <v/>
      </c>
      <c r="AP90">
        <f>IF($G90="",0,MAX(0,1-(Screener!$B$12-$G90)/W_RECD))</f>
        <v/>
      </c>
      <c r="AQ90">
        <f>IF($B90=Screener!$B$3,-999999,W_SUB*AK90+W_SEC*AL90*(1-AK90)+W_SIZE*AM90+W_PROF*AN90+W_AH*AO90+W_REC*AP90)+ROW()/1000000</f>
        <v/>
      </c>
      <c r="AR90">
        <f>IF(OR('NEW DEAL'!$B$6="",$E90&lt;&gt;'NEW DEAL'!$B$6),-1,1+IF(OR($H90="",'NEW DEAL'!$B$7=""),0,MAX(0,1-ABS(LOG10($H90/'NEW DEAL'!$B$7))/W_SIZEHW)))+ROW()/1000000</f>
        <v/>
      </c>
    </row>
    <row r="91">
      <c r="A91" s="23" t="inlineStr">
        <is>
          <t>6633</t>
        </is>
      </c>
      <c r="B91" s="22" t="inlineStr">
        <is>
          <t>QINGCI GAMES</t>
        </is>
      </c>
      <c r="C91" s="22" t="n"/>
      <c r="D91" s="24" t="inlineStr">
        <is>
          <t>Tech/AI</t>
        </is>
      </c>
      <c r="E91" s="24" t="inlineStr">
        <is>
          <t>Gaming / entertainment tech</t>
        </is>
      </c>
      <c r="F91" s="22" t="inlineStr">
        <is>
          <t>Standard</t>
        </is>
      </c>
      <c r="G91" s="25" t="n">
        <v>44546</v>
      </c>
      <c r="H91" s="26" t="n">
        <v>863.1</v>
      </c>
      <c r="I91" s="22" t="inlineStr">
        <is>
          <t>net proceeds</t>
        </is>
      </c>
      <c r="J91" s="27" t="n">
        <v>11.2</v>
      </c>
      <c r="K91" s="27" t="n">
        <v>14</v>
      </c>
      <c r="L91" s="27" t="n">
        <v>11.2</v>
      </c>
      <c r="M91" s="28" t="n">
        <v>0</v>
      </c>
      <c r="N91" s="29" t="inlineStr">
        <is>
          <t>N</t>
        </is>
      </c>
      <c r="O91" s="36" t="n">
        <v>7672</v>
      </c>
      <c r="P91" s="30" t="n">
        <v>3.64</v>
      </c>
      <c r="Q91" s="31" t="n"/>
      <c r="R91" s="32" t="n">
        <v>-4.64</v>
      </c>
      <c r="S91" s="33" t="n">
        <v>57.3</v>
      </c>
      <c r="T91" s="32" t="n">
        <v>7.11</v>
      </c>
      <c r="U91" s="22" t="inlineStr">
        <is>
          <t>not-yet (at allotment)</t>
        </is>
      </c>
      <c r="V91" s="29" t="inlineStr">
        <is>
          <t>Y</t>
        </is>
      </c>
      <c r="W91" s="34" t="n">
        <v>61.6</v>
      </c>
      <c r="X91" s="34" t="n">
        <v>5.7</v>
      </c>
      <c r="Y91" s="36" t="n">
        <v>1349.6</v>
      </c>
      <c r="Z91" s="36" t="n">
        <v>124.6</v>
      </c>
      <c r="AA91" s="22" t="n"/>
      <c r="AB91" s="22" t="n"/>
      <c r="AC91" s="22" t="inlineStr">
        <is>
          <t>China International Capital Corporation Hong Kong Securities Limited; CLSA Capital Markets Limited; CLSA Limited</t>
        </is>
      </c>
      <c r="AD91" s="22" t="inlineStr">
        <is>
          <t>China International Capital Corporation Hong Kong Securities Limited; CLSA Limited; China Merchants Securities (HK) Co., Limited; (Below in alphabetical order) ABCI Capital Limited; Guotai Junan Securities (Hong Kong) Limited; Valuable Capital Limited</t>
        </is>
      </c>
      <c r="AE91" s="22" t="n"/>
      <c r="AK91">
        <f>IF(AND(Screener!$B$7&lt;&gt;"",$E91=Screener!$B$7),1,0)</f>
        <v/>
      </c>
      <c r="AL91">
        <f>IF(AND(Screener!$B$6&lt;&gt;"",$D91=Screener!$B$6),1,0)</f>
        <v/>
      </c>
      <c r="AM91">
        <f>IF(OR($H91="",Screener!$B$8=""),0,MAX(0,1-ABS(LOG10($H91/Screener!$B$8))/W_SIZEHW))</f>
        <v/>
      </c>
      <c r="AN91">
        <f>IF(OR($V91="",Screener!$B$9=""),0,IF($V91=Screener!$B$9,1,0))</f>
        <v/>
      </c>
      <c r="AO91">
        <f>IF(OR($AA91="",Screener!$B$10=""),0,IF($AA91=Screener!$B$10,1,0))</f>
        <v/>
      </c>
      <c r="AP91">
        <f>IF($G91="",0,MAX(0,1-(Screener!$B$12-$G91)/W_RECD))</f>
        <v/>
      </c>
      <c r="AQ91">
        <f>IF($B91=Screener!$B$3,-999999,W_SUB*AK91+W_SEC*AL91*(1-AK91)+W_SIZE*AM91+W_PROF*AN91+W_AH*AO91+W_REC*AP91)+ROW()/1000000</f>
        <v/>
      </c>
      <c r="AR91">
        <f>IF(OR('NEW DEAL'!$B$6="",$E91&lt;&gt;'NEW DEAL'!$B$6),-1,1+IF(OR($H91="",'NEW DEAL'!$B$7=""),0,MAX(0,1-ABS(LOG10($H91/'NEW DEAL'!$B$7))/W_SIZEHW)))+ROW()/1000000</f>
        <v/>
      </c>
    </row>
    <row r="92">
      <c r="A92" s="23" t="inlineStr">
        <is>
          <t>2270</t>
        </is>
      </c>
      <c r="B92" s="22" t="inlineStr">
        <is>
          <t>DESUN SERVICES</t>
        </is>
      </c>
      <c r="C92" s="22" t="inlineStr">
        <is>
          <t>德商產投服務集團有限公司</t>
        </is>
      </c>
      <c r="D92" s="24" t="inlineStr">
        <is>
          <t>Real Estate</t>
        </is>
      </c>
      <c r="E92" s="24" t="inlineStr">
        <is>
          <t>Property management</t>
        </is>
      </c>
      <c r="F92" s="22" t="inlineStr">
        <is>
          <t>Standard</t>
        </is>
      </c>
      <c r="G92" s="25" t="n">
        <v>44547</v>
      </c>
      <c r="H92" s="26" t="n">
        <v>128.4</v>
      </c>
      <c r="I92" s="22" t="inlineStr">
        <is>
          <t>net proceeds</t>
        </is>
      </c>
      <c r="J92" s="27" t="n">
        <v>1.1</v>
      </c>
      <c r="K92" s="27" t="n">
        <v>1.46</v>
      </c>
      <c r="L92" s="27" t="n">
        <v>1.11</v>
      </c>
      <c r="M92" s="28" t="n">
        <v>2.8</v>
      </c>
      <c r="N92" s="29" t="inlineStr">
        <is>
          <t>N</t>
        </is>
      </c>
      <c r="O92" s="36" t="n">
        <v>660</v>
      </c>
      <c r="P92" s="30" t="n">
        <v>1.37</v>
      </c>
      <c r="Q92" s="31" t="n"/>
      <c r="R92" s="32" t="n">
        <v>-5.41</v>
      </c>
      <c r="S92" s="33" t="n">
        <v>0</v>
      </c>
      <c r="T92" s="32" t="n">
        <v>15</v>
      </c>
      <c r="U92" s="22" t="inlineStr">
        <is>
          <t>not-yet (at allotment)</t>
        </is>
      </c>
      <c r="V92" s="29" t="inlineStr">
        <is>
          <t>Y</t>
        </is>
      </c>
      <c r="W92" s="34" t="n">
        <v>14</v>
      </c>
      <c r="X92" s="34" t="n">
        <v>10.8</v>
      </c>
      <c r="Y92" s="36" t="n">
        <v>61.3</v>
      </c>
      <c r="Z92" s="36" t="n">
        <v>47.2</v>
      </c>
      <c r="AA92" s="22" t="n"/>
      <c r="AB92" s="22" t="n"/>
      <c r="AC92" s="22" t="inlineStr">
        <is>
          <t>Shenwan Hongyuan Capital (H.K.) Limited</t>
        </is>
      </c>
      <c r="AD92" s="22" t="inlineStr">
        <is>
          <t>Shenwan Hongyuan Securities (H.K.) Limited; Wan Chai, Hong Kong China Everbright Securities (HK) Limited; Guosen Securities (HK) Capital Company Limited; Livermore Holdings Limited; CMBC Securities Company Limited; SPDB International Capital Limited; DIRECTORS AND PARTIES INVOLVED IN THE GLOBAL OFFERING –9 8– ZMF Asset Management Limited</t>
        </is>
      </c>
      <c r="AE92" s="22" t="n"/>
      <c r="AK92">
        <f>IF(AND(Screener!$B$7&lt;&gt;"",$E92=Screener!$B$7),1,0)</f>
        <v/>
      </c>
      <c r="AL92">
        <f>IF(AND(Screener!$B$6&lt;&gt;"",$D92=Screener!$B$6),1,0)</f>
        <v/>
      </c>
      <c r="AM92">
        <f>IF(OR($H92="",Screener!$B$8=""),0,MAX(0,1-ABS(LOG10($H92/Screener!$B$8))/W_SIZEHW))</f>
        <v/>
      </c>
      <c r="AN92">
        <f>IF(OR($V92="",Screener!$B$9=""),0,IF($V92=Screener!$B$9,1,0))</f>
        <v/>
      </c>
      <c r="AO92">
        <f>IF(OR($AA92="",Screener!$B$10=""),0,IF($AA92=Screener!$B$10,1,0))</f>
        <v/>
      </c>
      <c r="AP92">
        <f>IF($G92="",0,MAX(0,1-(Screener!$B$12-$G92)/W_RECD))</f>
        <v/>
      </c>
      <c r="AQ92">
        <f>IF($B92=Screener!$B$3,-999999,W_SUB*AK92+W_SEC*AL92*(1-AK92)+W_SIZE*AM92+W_PROF*AN92+W_AH*AO92+W_REC*AP92)+ROW()/1000000</f>
        <v/>
      </c>
      <c r="AR92">
        <f>IF(OR('NEW DEAL'!$B$6="",$E92&lt;&gt;'NEW DEAL'!$B$6),-1,1+IF(OR($H92="",'NEW DEAL'!$B$7=""),0,MAX(0,1-ABS(LOG10($H92/'NEW DEAL'!$B$7))/W_SIZEHW)))+ROW()/1000000</f>
        <v/>
      </c>
    </row>
    <row r="93">
      <c r="A93" s="23" t="inlineStr">
        <is>
          <t>2185</t>
        </is>
      </c>
      <c r="B93" s="22" t="inlineStr">
        <is>
          <t>BIOHEART-B</t>
        </is>
      </c>
      <c r="C93" s="22" t="n"/>
      <c r="D93" s="24" t="inlineStr">
        <is>
          <t>Healthcare</t>
        </is>
      </c>
      <c r="E93" s="24" t="inlineStr">
        <is>
          <t>Medical devices</t>
        </is>
      </c>
      <c r="F93" s="38" t="inlineStr">
        <is>
          <t>18A</t>
        </is>
      </c>
      <c r="G93" s="25" t="n">
        <v>44553</v>
      </c>
      <c r="H93" s="26" t="n">
        <v>26.5</v>
      </c>
      <c r="I93" s="22" t="inlineStr">
        <is>
          <t>gross (stated)</t>
        </is>
      </c>
      <c r="J93" s="27" t="n"/>
      <c r="K93" s="27" t="n">
        <v>24.79</v>
      </c>
      <c r="L93" s="27" t="n">
        <v>21.25</v>
      </c>
      <c r="M93" s="32" t="n"/>
      <c r="N93" s="29" t="inlineStr">
        <is>
          <t>N</t>
        </is>
      </c>
      <c r="O93" s="26" t="n">
        <v>238.3</v>
      </c>
      <c r="P93" s="30" t="n">
        <v>1.52</v>
      </c>
      <c r="Q93" s="31" t="n"/>
      <c r="R93" s="32" t="n">
        <v>-5.41</v>
      </c>
      <c r="S93" s="33" t="n">
        <v>0</v>
      </c>
      <c r="T93" s="32" t="n">
        <v>15.44</v>
      </c>
      <c r="U93" s="22" t="inlineStr">
        <is>
          <t>not-yet (at allotment)</t>
        </is>
      </c>
      <c r="V93" s="29" t="inlineStr">
        <is>
          <t>N</t>
        </is>
      </c>
      <c r="W93" s="31" t="n"/>
      <c r="X93" s="34" t="n">
        <v>2383</v>
      </c>
      <c r="Y93" s="36" t="n">
        <v>0.1</v>
      </c>
      <c r="Z93" s="36" t="n">
        <v>-15</v>
      </c>
      <c r="AA93" s="22" t="n"/>
      <c r="AB93" s="22" t="n"/>
      <c r="AC93" s="22" t="inlineStr">
        <is>
          <t>Huatai Financial Holdings (Hong Kong) Limited</t>
        </is>
      </c>
      <c r="AD93" s="22" t="inlineStr">
        <is>
          <t>Huatai Financial Holdings (Hong Kong) Limited; Sole Lead Manager Huatai Financial Holdings (Hong Kong) Limited</t>
        </is>
      </c>
      <c r="AE93" s="22" t="n"/>
      <c r="AK93">
        <f>IF(AND(Screener!$B$7&lt;&gt;"",$E93=Screener!$B$7),1,0)</f>
        <v/>
      </c>
      <c r="AL93">
        <f>IF(AND(Screener!$B$6&lt;&gt;"",$D93=Screener!$B$6),1,0)</f>
        <v/>
      </c>
      <c r="AM93">
        <f>IF(OR($H93="",Screener!$B$8=""),0,MAX(0,1-ABS(LOG10($H93/Screener!$B$8))/W_SIZEHW))</f>
        <v/>
      </c>
      <c r="AN93">
        <f>IF(OR($V93="",Screener!$B$9=""),0,IF($V93=Screener!$B$9,1,0))</f>
        <v/>
      </c>
      <c r="AO93">
        <f>IF(OR($AA93="",Screener!$B$10=""),0,IF($AA93=Screener!$B$10,1,0))</f>
        <v/>
      </c>
      <c r="AP93">
        <f>IF($G93="",0,MAX(0,1-(Screener!$B$12-$G93)/W_RECD))</f>
        <v/>
      </c>
      <c r="AQ93">
        <f>IF($B93=Screener!$B$3,-999999,W_SUB*AK93+W_SEC*AL93*(1-AK93)+W_SIZE*AM93+W_PROF*AN93+W_AH*AO93+W_REC*AP93)+ROW()/1000000</f>
        <v/>
      </c>
      <c r="AR93">
        <f>IF(OR('NEW DEAL'!$B$6="",$E93&lt;&gt;'NEW DEAL'!$B$6),-1,1+IF(OR($H93="",'NEW DEAL'!$B$7=""),0,MAX(0,1-ABS(LOG10($H93/'NEW DEAL'!$B$7))/W_SIZEHW)))+ROW()/1000000</f>
        <v/>
      </c>
    </row>
    <row r="94">
      <c r="A94" s="23" t="inlineStr">
        <is>
          <t>2285</t>
        </is>
      </c>
      <c r="B94" s="22" t="inlineStr">
        <is>
          <t>CHERVON</t>
        </is>
      </c>
      <c r="C94" s="22" t="n"/>
      <c r="D94" s="24" t="inlineStr">
        <is>
          <t>Industrials</t>
        </is>
      </c>
      <c r="E94" s="24" t="inlineStr">
        <is>
          <t>Capital goods / machinery</t>
        </is>
      </c>
      <c r="F94" s="22" t="inlineStr">
        <is>
          <t>Standard</t>
        </is>
      </c>
      <c r="G94" s="25" t="n">
        <v>44560</v>
      </c>
      <c r="H94" s="26" t="n">
        <v>2957.15</v>
      </c>
      <c r="I94" s="22" t="inlineStr">
        <is>
          <t>net proceeds</t>
        </is>
      </c>
      <c r="J94" s="27" t="n">
        <v>37.6</v>
      </c>
      <c r="K94" s="27" t="n">
        <v>43.6</v>
      </c>
      <c r="L94" s="27" t="n">
        <v>43.6</v>
      </c>
      <c r="M94" s="28" t="n">
        <v>100</v>
      </c>
      <c r="N94" s="29" t="inlineStr">
        <is>
          <t>Y</t>
        </is>
      </c>
      <c r="O94" s="36" t="n">
        <v>18030</v>
      </c>
      <c r="P94" s="30" t="n">
        <v>7.49</v>
      </c>
      <c r="Q94" s="31" t="n"/>
      <c r="R94" s="32" t="n">
        <v>28.44</v>
      </c>
      <c r="S94" s="33" t="n">
        <v>13.8</v>
      </c>
      <c r="T94" s="32" t="n">
        <v>10</v>
      </c>
      <c r="U94" s="22" t="inlineStr">
        <is>
          <t>partial</t>
        </is>
      </c>
      <c r="V94" s="29" t="inlineStr">
        <is>
          <t>Y</t>
        </is>
      </c>
      <c r="W94" s="34" t="n">
        <v>47.8</v>
      </c>
      <c r="X94" s="34" t="n">
        <v>1.9</v>
      </c>
      <c r="Y94" s="36" t="n">
        <v>9367</v>
      </c>
      <c r="Z94" s="36" t="n">
        <v>377.4</v>
      </c>
      <c r="AA94" s="22" t="n"/>
      <c r="AB94" s="22" t="n"/>
      <c r="AC94" s="22" t="inlineStr">
        <is>
          <t>China International Capital Corporation Hong Kong Securities Limited; Citigroup Global Markets Asia Limited</t>
        </is>
      </c>
      <c r="AD94" s="22" t="inlineStr">
        <is>
          <t>China International Capital Corporation Hong Kong Securities Limited; Citigroup Global Markets Asia Limited; The Hongkong and Shanghai Banking Corporation Limited; Managers China International Capital Corporation Hong Kong Securities Limited; (in relation to the Hong Kong Public Offering only) Citigroup Global Markets Limited; BOCOM International Securities Limited; CMB International Capital Limited</t>
        </is>
      </c>
      <c r="AE94" s="22" t="n"/>
      <c r="AK94">
        <f>IF(AND(Screener!$B$7&lt;&gt;"",$E94=Screener!$B$7),1,0)</f>
        <v/>
      </c>
      <c r="AL94">
        <f>IF(AND(Screener!$B$6&lt;&gt;"",$D94=Screener!$B$6),1,0)</f>
        <v/>
      </c>
      <c r="AM94">
        <f>IF(OR($H94="",Screener!$B$8=""),0,MAX(0,1-ABS(LOG10($H94/Screener!$B$8))/W_SIZEHW))</f>
        <v/>
      </c>
      <c r="AN94">
        <f>IF(OR($V94="",Screener!$B$9=""),0,IF($V94=Screener!$B$9,1,0))</f>
        <v/>
      </c>
      <c r="AO94">
        <f>IF(OR($AA94="",Screener!$B$10=""),0,IF($AA94=Screener!$B$10,1,0))</f>
        <v/>
      </c>
      <c r="AP94">
        <f>IF($G94="",0,MAX(0,1-(Screener!$B$12-$G94)/W_RECD))</f>
        <v/>
      </c>
      <c r="AQ94">
        <f>IF($B94=Screener!$B$3,-999999,W_SUB*AK94+W_SEC*AL94*(1-AK94)+W_SIZE*AM94+W_PROF*AN94+W_AH*AO94+W_REC*AP94)+ROW()/1000000</f>
        <v/>
      </c>
      <c r="AR94">
        <f>IF(OR('NEW DEAL'!$B$6="",$E94&lt;&gt;'NEW DEAL'!$B$6),-1,1+IF(OR($H94="",'NEW DEAL'!$B$7=""),0,MAX(0,1-ABS(LOG10($H94/'NEW DEAL'!$B$7))/W_SIZEHW)))+ROW()/1000000</f>
        <v/>
      </c>
    </row>
    <row r="95">
      <c r="A95" s="23" t="inlineStr">
        <is>
          <t>2257</t>
        </is>
      </c>
      <c r="B95" s="22" t="inlineStr">
        <is>
          <t>SIRNAOMICS-B</t>
        </is>
      </c>
      <c r="C95" s="22" t="n"/>
      <c r="D95" s="24" t="inlineStr">
        <is>
          <t>Healthcare</t>
        </is>
      </c>
      <c r="E95" s="24" t="inlineStr">
        <is>
          <t>Biotech pre-revenue (18A)</t>
        </is>
      </c>
      <c r="F95" s="38" t="inlineStr">
        <is>
          <t>18A</t>
        </is>
      </c>
      <c r="G95" s="25" t="n">
        <v>44560</v>
      </c>
      <c r="H95" s="26" t="n">
        <v>395.7</v>
      </c>
      <c r="I95" s="22" t="inlineStr">
        <is>
          <t>net proceeds</t>
        </is>
      </c>
      <c r="J95" s="27" t="n">
        <v>65.90000000000001</v>
      </c>
      <c r="K95" s="27" t="n">
        <v>72.7</v>
      </c>
      <c r="L95" s="27" t="n">
        <v>65.90000000000001</v>
      </c>
      <c r="M95" s="28" t="n">
        <v>0</v>
      </c>
      <c r="N95" s="22" t="inlineStr">
        <is>
          <t>N</t>
        </is>
      </c>
      <c r="O95" s="36" t="n">
        <v>5804</v>
      </c>
      <c r="P95" s="30" t="n">
        <v>5.68</v>
      </c>
      <c r="Q95" s="31" t="n"/>
      <c r="R95" s="32" t="n">
        <v>18.21</v>
      </c>
      <c r="S95" s="33" t="n">
        <v>41.1</v>
      </c>
      <c r="T95" s="32" t="n">
        <v>14.5</v>
      </c>
      <c r="U95" s="22" t="inlineStr">
        <is>
          <t>not-yet (at allotment)</t>
        </is>
      </c>
      <c r="V95" s="29" t="inlineStr">
        <is>
          <t>N</t>
        </is>
      </c>
      <c r="W95" s="31" t="n"/>
      <c r="X95" s="31" t="n"/>
      <c r="Y95" s="35" t="n"/>
      <c r="Z95" s="36" t="n">
        <v>-258.5</v>
      </c>
      <c r="AA95" s="22" t="n"/>
      <c r="AB95" s="22" t="n"/>
      <c r="AC95" s="22" t="inlineStr">
        <is>
          <t>China International Capital Corporation Hong Kong Securities Limited; Nomura International (Hong Kong) Limited</t>
        </is>
      </c>
      <c r="AD95" s="22" t="inlineStr">
        <is>
          <t>China International Capital Corporation Hong Kong Securities Limited; The Hongkong and Shanghai Banking Corporation Limited; Nomura International (Hong Kong) Limited; China Merchants Securities (HK) Co., Limited; China PA Securities (Hong Kong) Company Limited; Alpha Win Capital Limited; Valuable Capital Limited</t>
        </is>
      </c>
      <c r="AE95" s="22" t="n"/>
      <c r="AK95">
        <f>IF(AND(Screener!$B$7&lt;&gt;"",$E95=Screener!$B$7),1,0)</f>
        <v/>
      </c>
      <c r="AL95">
        <f>IF(AND(Screener!$B$6&lt;&gt;"",$D95=Screener!$B$6),1,0)</f>
        <v/>
      </c>
      <c r="AM95">
        <f>IF(OR($H95="",Screener!$B$8=""),0,MAX(0,1-ABS(LOG10($H95/Screener!$B$8))/W_SIZEHW))</f>
        <v/>
      </c>
      <c r="AN95">
        <f>IF(OR($V95="",Screener!$B$9=""),0,IF($V95=Screener!$B$9,1,0))</f>
        <v/>
      </c>
      <c r="AO95">
        <f>IF(OR($AA95="",Screener!$B$10=""),0,IF($AA95=Screener!$B$10,1,0))</f>
        <v/>
      </c>
      <c r="AP95">
        <f>IF($G95="",0,MAX(0,1-(Screener!$B$12-$G95)/W_RECD))</f>
        <v/>
      </c>
      <c r="AQ95">
        <f>IF($B95=Screener!$B$3,-999999,W_SUB*AK95+W_SEC*AL95*(1-AK95)+W_SIZE*AM95+W_PROF*AN95+W_AH*AO95+W_REC*AP95)+ROW()/1000000</f>
        <v/>
      </c>
      <c r="AR95">
        <f>IF(OR('NEW DEAL'!$B$6="",$E95&lt;&gt;'NEW DEAL'!$B$6),-1,1+IF(OR($H95="",'NEW DEAL'!$B$7=""),0,MAX(0,1-ABS(LOG10($H95/'NEW DEAL'!$B$7))/W_SIZEHW)))+ROW()/1000000</f>
        <v/>
      </c>
    </row>
    <row r="96">
      <c r="A96" s="23" t="inlineStr">
        <is>
          <t>0020</t>
        </is>
      </c>
      <c r="B96" s="22" t="inlineStr">
        <is>
          <t>SENSETIME-W</t>
        </is>
      </c>
      <c r="C96" s="22" t="n"/>
      <c r="D96" s="24" t="inlineStr">
        <is>
          <t>Tech/AI</t>
        </is>
      </c>
      <c r="E96" s="24" t="inlineStr">
        <is>
          <t>AI application / agent software</t>
        </is>
      </c>
      <c r="F96" s="38" t="inlineStr">
        <is>
          <t>WVR</t>
        </is>
      </c>
      <c r="G96" s="25" t="n">
        <v>44560</v>
      </c>
      <c r="H96" s="26" t="n">
        <v>5552</v>
      </c>
      <c r="I96" s="22" t="inlineStr">
        <is>
          <t>net proceeds</t>
        </is>
      </c>
      <c r="J96" s="27" t="n"/>
      <c r="K96" s="27" t="n"/>
      <c r="L96" s="27" t="n">
        <v>3.85</v>
      </c>
      <c r="M96" s="32" t="n"/>
      <c r="N96" s="22" t="n"/>
      <c r="O96" s="35" t="n"/>
      <c r="P96" s="30" t="n">
        <v>5.18</v>
      </c>
      <c r="Q96" s="31" t="n"/>
      <c r="R96" s="32" t="n">
        <v>7.27</v>
      </c>
      <c r="S96" s="33" t="n">
        <v>68.89</v>
      </c>
      <c r="T96" s="32" t="n"/>
      <c r="U96" s="22" t="inlineStr">
        <is>
          <t>not-yet (at allotment)</t>
        </is>
      </c>
      <c r="V96" s="22" t="n"/>
      <c r="W96" s="31" t="n"/>
      <c r="X96" s="31" t="n"/>
      <c r="Y96" s="35" t="n"/>
      <c r="Z96" s="35" t="n"/>
      <c r="AA96" s="22" t="n"/>
      <c r="AB96" s="22" t="n"/>
      <c r="AC96" s="22" t="n"/>
      <c r="AD96" s="22" t="n"/>
      <c r="AE96" s="22" t="n"/>
      <c r="AK96">
        <f>IF(AND(Screener!$B$7&lt;&gt;"",$E96=Screener!$B$7),1,0)</f>
        <v/>
      </c>
      <c r="AL96">
        <f>IF(AND(Screener!$B$6&lt;&gt;"",$D96=Screener!$B$6),1,0)</f>
        <v/>
      </c>
      <c r="AM96">
        <f>IF(OR($H96="",Screener!$B$8=""),0,MAX(0,1-ABS(LOG10($H96/Screener!$B$8))/W_SIZEHW))</f>
        <v/>
      </c>
      <c r="AN96">
        <f>IF(OR($V96="",Screener!$B$9=""),0,IF($V96=Screener!$B$9,1,0))</f>
        <v/>
      </c>
      <c r="AO96">
        <f>IF(OR($AA96="",Screener!$B$10=""),0,IF($AA96=Screener!$B$10,1,0))</f>
        <v/>
      </c>
      <c r="AP96">
        <f>IF($G96="",0,MAX(0,1-(Screener!$B$12-$G96)/W_RECD))</f>
        <v/>
      </c>
      <c r="AQ96">
        <f>IF($B96=Screener!$B$3,-999999,W_SUB*AK96+W_SEC*AL96*(1-AK96)+W_SIZE*AM96+W_PROF*AN96+W_AH*AO96+W_REC*AP96)+ROW()/1000000</f>
        <v/>
      </c>
      <c r="AR96">
        <f>IF(OR('NEW DEAL'!$B$6="",$E96&lt;&gt;'NEW DEAL'!$B$6),-1,1+IF(OR($H96="",'NEW DEAL'!$B$7=""),0,MAX(0,1-ABS(LOG10($H96/'NEW DEAL'!$B$7))/W_SIZEHW)))+ROW()/1000000</f>
        <v/>
      </c>
    </row>
    <row r="97">
      <c r="A97" s="23" t="inlineStr">
        <is>
          <t>2260</t>
        </is>
      </c>
      <c r="B97" s="22" t="inlineStr">
        <is>
          <t>VANOV HOLDINGS</t>
        </is>
      </c>
      <c r="C97" s="22" t="inlineStr">
        <is>
          <t>環龍控股有限公司</t>
        </is>
      </c>
      <c r="D97" s="24" t="inlineStr">
        <is>
          <t>Industrials</t>
        </is>
      </c>
      <c r="E97" s="24" t="inlineStr">
        <is>
          <t>Capital goods / machinery</t>
        </is>
      </c>
      <c r="F97" s="22" t="inlineStr">
        <is>
          <t>Standard</t>
        </is>
      </c>
      <c r="G97" s="25" t="n">
        <v>44572</v>
      </c>
      <c r="H97" s="26" t="n">
        <v>139.3</v>
      </c>
      <c r="I97" s="22" t="inlineStr">
        <is>
          <t>gross (price x shares)</t>
        </is>
      </c>
      <c r="J97" s="27" t="n"/>
      <c r="K97" s="27" t="n"/>
      <c r="L97" s="27" t="n">
        <v>1.22</v>
      </c>
      <c r="M97" s="32" t="n"/>
      <c r="N97" s="22" t="n"/>
      <c r="O97" s="36" t="n">
        <v>10200</v>
      </c>
      <c r="P97" s="30" t="n">
        <v>13.66</v>
      </c>
      <c r="Q97" s="31" t="n"/>
      <c r="R97" s="32" t="n">
        <v>0.82</v>
      </c>
      <c r="S97" s="33" t="n">
        <v>15.9</v>
      </c>
      <c r="T97" s="32" t="n">
        <v>7.58</v>
      </c>
      <c r="U97" s="22" t="inlineStr">
        <is>
          <t>not-yet (at allotment)</t>
        </is>
      </c>
      <c r="V97" s="29" t="inlineStr">
        <is>
          <t>Y</t>
        </is>
      </c>
      <c r="W97" s="34" t="n">
        <v>226.2</v>
      </c>
      <c r="X97" s="34" t="n">
        <v>50.7</v>
      </c>
      <c r="Y97" s="36" t="n">
        <v>201</v>
      </c>
      <c r="Z97" s="36" t="n">
        <v>45.1</v>
      </c>
      <c r="AA97" s="22" t="n"/>
      <c r="AB97" s="22" t="n"/>
      <c r="AC97" s="22" t="inlineStr">
        <is>
          <t>CMBC International Capital Limited</t>
        </is>
      </c>
      <c r="AD97" s="22" t="inlineStr">
        <is>
          <t>CMBC Securities Company Limited; DIRECTORS AND PARTIES INVOLVED IN THE GLOBAL OFFERING –7 6– ABCI Capital Limited; CCB International Capital Limited; Essence International Securities (Hong Kong) Limited; CEB International Capital Corporation Limited; China Everbright Securities (HK) Limited; China Industrial Securities International Capital Limited; Livermore Holdings Limited; SBI China Capital Financial Services Limited; China Tonghai Securities Limited; Zhongtai International Securities Limited</t>
        </is>
      </c>
      <c r="AE97" s="22" t="n"/>
      <c r="AK97">
        <f>IF(AND(Screener!$B$7&lt;&gt;"",$E97=Screener!$B$7),1,0)</f>
        <v/>
      </c>
      <c r="AL97">
        <f>IF(AND(Screener!$B$6&lt;&gt;"",$D97=Screener!$B$6),1,0)</f>
        <v/>
      </c>
      <c r="AM97">
        <f>IF(OR($H97="",Screener!$B$8=""),0,MAX(0,1-ABS(LOG10($H97/Screener!$B$8))/W_SIZEHW))</f>
        <v/>
      </c>
      <c r="AN97">
        <f>IF(OR($V97="",Screener!$B$9=""),0,IF($V97=Screener!$B$9,1,0))</f>
        <v/>
      </c>
      <c r="AO97">
        <f>IF(OR($AA97="",Screener!$B$10=""),0,IF($AA97=Screener!$B$10,1,0))</f>
        <v/>
      </c>
      <c r="AP97">
        <f>IF($G97="",0,MAX(0,1-(Screener!$B$12-$G97)/W_RECD))</f>
        <v/>
      </c>
      <c r="AQ97">
        <f>IF($B97=Screener!$B$3,-999999,W_SUB*AK97+W_SEC*AL97*(1-AK97)+W_SIZE*AM97+W_PROF*AN97+W_AH*AO97+W_REC*AP97)+ROW()/1000000</f>
        <v/>
      </c>
      <c r="AR97">
        <f>IF(OR('NEW DEAL'!$B$6="",$E97&lt;&gt;'NEW DEAL'!$B$6),-1,1+IF(OR($H97="",'NEW DEAL'!$B$7=""),0,MAX(0,1-ABS(LOG10($H97/'NEW DEAL'!$B$7))/W_SIZEHW)))+ROW()/1000000</f>
        <v/>
      </c>
    </row>
    <row r="98">
      <c r="A98" s="23" t="inlineStr">
        <is>
          <t>6680</t>
        </is>
      </c>
      <c r="B98" s="22" t="inlineStr">
        <is>
          <t>JLMAG</t>
        </is>
      </c>
      <c r="C98" s="22" t="inlineStr">
        <is>
          <t>江西金力永磁科技股份有限公司</t>
        </is>
      </c>
      <c r="D98" s="24" t="inlineStr">
        <is>
          <t>Industrials</t>
        </is>
      </c>
      <c r="E98" s="24" t="inlineStr">
        <is>
          <t>Capital goods / machinery</t>
        </is>
      </c>
      <c r="F98" s="22" t="inlineStr">
        <is>
          <t>Standard</t>
        </is>
      </c>
      <c r="G98" s="25" t="n">
        <v>44575</v>
      </c>
      <c r="H98" s="26" t="n">
        <v>4045.2</v>
      </c>
      <c r="I98" s="22" t="inlineStr">
        <is>
          <t>net proceeds</t>
        </is>
      </c>
      <c r="J98" s="27" t="n">
        <v>33.8</v>
      </c>
      <c r="K98" s="27" t="n">
        <v>40.3</v>
      </c>
      <c r="L98" s="27" t="n">
        <v>33.8</v>
      </c>
      <c r="M98" s="28" t="n">
        <v>0</v>
      </c>
      <c r="N98" s="29" t="inlineStr">
        <is>
          <t>N</t>
        </is>
      </c>
      <c r="O98" s="36" t="n">
        <v>5000</v>
      </c>
      <c r="P98" s="30" t="n">
        <v>2.39</v>
      </c>
      <c r="Q98" s="31" t="n"/>
      <c r="R98" s="32" t="n">
        <v>-16.57</v>
      </c>
      <c r="S98" s="33" t="n">
        <v>50.56</v>
      </c>
      <c r="T98" s="32" t="n">
        <v>15</v>
      </c>
      <c r="U98" s="22" t="inlineStr">
        <is>
          <t>not-yet (at allotment)</t>
        </is>
      </c>
      <c r="V98" s="29" t="inlineStr">
        <is>
          <t>N</t>
        </is>
      </c>
      <c r="W98" s="31" t="n"/>
      <c r="X98" s="34" t="n">
        <v>2</v>
      </c>
      <c r="Y98" s="36" t="n">
        <v>2517.5</v>
      </c>
      <c r="Z98" s="36" t="n">
        <v>-0.7</v>
      </c>
      <c r="AA98" s="22" t="inlineStr">
        <is>
          <t>Y</t>
        </is>
      </c>
      <c r="AB98" s="22" t="inlineStr">
        <is>
          <t>300748.SZ</t>
        </is>
      </c>
      <c r="AC98" s="22" t="inlineStr">
        <is>
          <t>CLSA Capital Markets Limited; BNP Paribas Securities (Asia) Limited</t>
        </is>
      </c>
      <c r="AD98" s="22" t="inlineStr">
        <is>
          <t>CLSA Limited; BNP Paribas Securities (Asia) Limited; DBS Asia Capital Limited</t>
        </is>
      </c>
      <c r="AE98" s="22" t="n"/>
      <c r="AK98">
        <f>IF(AND(Screener!$B$7&lt;&gt;"",$E98=Screener!$B$7),1,0)</f>
        <v/>
      </c>
      <c r="AL98">
        <f>IF(AND(Screener!$B$6&lt;&gt;"",$D98=Screener!$B$6),1,0)</f>
        <v/>
      </c>
      <c r="AM98">
        <f>IF(OR($H98="",Screener!$B$8=""),0,MAX(0,1-ABS(LOG10($H98/Screener!$B$8))/W_SIZEHW))</f>
        <v/>
      </c>
      <c r="AN98">
        <f>IF(OR($V98="",Screener!$B$9=""),0,IF($V98=Screener!$B$9,1,0))</f>
        <v/>
      </c>
      <c r="AO98">
        <f>IF(OR($AA98="",Screener!$B$10=""),0,IF($AA98=Screener!$B$10,1,0))</f>
        <v/>
      </c>
      <c r="AP98">
        <f>IF($G98="",0,MAX(0,1-(Screener!$B$12-$G98)/W_RECD))</f>
        <v/>
      </c>
      <c r="AQ98">
        <f>IF($B98=Screener!$B$3,-999999,W_SUB*AK98+W_SEC*AL98*(1-AK98)+W_SIZE*AM98+W_PROF*AN98+W_AH*AO98+W_REC*AP98)+ROW()/1000000</f>
        <v/>
      </c>
      <c r="AR98">
        <f>IF(OR('NEW DEAL'!$B$6="",$E98&lt;&gt;'NEW DEAL'!$B$6),-1,1+IF(OR($H98="",'NEW DEAL'!$B$7=""),0,MAX(0,1-ABS(LOG10($H98/'NEW DEAL'!$B$7))/W_SIZEHW)))+ROW()/1000000</f>
        <v/>
      </c>
    </row>
    <row r="99">
      <c r="A99" s="23" t="inlineStr">
        <is>
          <t>2250</t>
        </is>
      </c>
      <c r="B99" s="22" t="inlineStr">
        <is>
          <t>SEMK HOLDINGS</t>
        </is>
      </c>
      <c r="C99" s="22" t="n"/>
      <c r="D99" s="24" t="inlineStr">
        <is>
          <t>TMT-other</t>
        </is>
      </c>
      <c r="E99" s="24" t="inlineStr">
        <is>
          <t>Media / advertising</t>
        </is>
      </c>
      <c r="F99" s="22" t="inlineStr">
        <is>
          <t>Standard</t>
        </is>
      </c>
      <c r="G99" s="25" t="n">
        <v>44576</v>
      </c>
      <c r="H99" s="26" t="n">
        <v>221.4</v>
      </c>
      <c r="I99" s="22" t="inlineStr">
        <is>
          <t>gross (price x shares)</t>
        </is>
      </c>
      <c r="J99" s="27" t="n">
        <v>2.05</v>
      </c>
      <c r="K99" s="27" t="n">
        <v>3.45</v>
      </c>
      <c r="L99" s="27" t="n">
        <v>2.05</v>
      </c>
      <c r="M99" s="28" t="n">
        <v>0</v>
      </c>
      <c r="N99" s="29" t="inlineStr">
        <is>
          <t>N</t>
        </is>
      </c>
      <c r="O99" s="26" t="n">
        <v>3690</v>
      </c>
      <c r="P99" s="30" t="n">
        <v>7.31</v>
      </c>
      <c r="Q99" s="31" t="n"/>
      <c r="R99" s="32" t="n">
        <v>16.59</v>
      </c>
      <c r="S99" s="33" t="n">
        <v>0</v>
      </c>
      <c r="T99" s="32" t="n">
        <v>10</v>
      </c>
      <c r="U99" s="22" t="inlineStr">
        <is>
          <t>not-yet (at allotment)</t>
        </is>
      </c>
      <c r="V99" s="29" t="inlineStr">
        <is>
          <t>Y</t>
        </is>
      </c>
      <c r="W99" s="34" t="n">
        <v>67.7</v>
      </c>
      <c r="X99" s="34" t="n">
        <v>15.8</v>
      </c>
      <c r="Y99" s="36" t="n">
        <v>233.5</v>
      </c>
      <c r="Z99" s="36" t="n">
        <v>54.5</v>
      </c>
      <c r="AA99" s="22" t="n"/>
      <c r="AB99" s="22" t="n"/>
      <c r="AC99" s="22" t="inlineStr">
        <is>
          <t>: China Everbright Capital Limited; Sole Representative : China Everbright Securities (HK) Limited</t>
        </is>
      </c>
      <c r="AD99" s="22" t="inlineStr">
        <is>
          <t>: China Everbright Securities (HK) Limited; UOB Kay Hian (Hong Kong) Limited; BOCOM International Securities Limited; CMBC Securities Company Limited; Fosun Hani Securities Limited; Grand China Securities Limited; Zhongtai International Securities Limited</t>
        </is>
      </c>
      <c r="AE99" s="22" t="n"/>
      <c r="AK99">
        <f>IF(AND(Screener!$B$7&lt;&gt;"",$E99=Screener!$B$7),1,0)</f>
        <v/>
      </c>
      <c r="AL99">
        <f>IF(AND(Screener!$B$6&lt;&gt;"",$D99=Screener!$B$6),1,0)</f>
        <v/>
      </c>
      <c r="AM99">
        <f>IF(OR($H99="",Screener!$B$8=""),0,MAX(0,1-ABS(LOG10($H99/Screener!$B$8))/W_SIZEHW))</f>
        <v/>
      </c>
      <c r="AN99">
        <f>IF(OR($V99="",Screener!$B$9=""),0,IF($V99=Screener!$B$9,1,0))</f>
        <v/>
      </c>
      <c r="AO99">
        <f>IF(OR($AA99="",Screener!$B$10=""),0,IF($AA99=Screener!$B$10,1,0))</f>
        <v/>
      </c>
      <c r="AP99">
        <f>IF($G99="",0,MAX(0,1-(Screener!$B$12-$G99)/W_RECD))</f>
        <v/>
      </c>
      <c r="AQ99">
        <f>IF($B99=Screener!$B$3,-999999,W_SUB*AK99+W_SEC*AL99*(1-AK99)+W_SIZE*AM99+W_PROF*AN99+W_AH*AO99+W_REC*AP99)+ROW()/1000000</f>
        <v/>
      </c>
      <c r="AR99">
        <f>IF(OR('NEW DEAL'!$B$6="",$E99&lt;&gt;'NEW DEAL'!$B$6),-1,1+IF(OR($H99="",'NEW DEAL'!$B$7=""),0,MAX(0,1-ABS(LOG10($H99/'NEW DEAL'!$B$7))/W_SIZEHW)))+ROW()/1000000</f>
        <v/>
      </c>
    </row>
    <row r="100">
      <c r="A100" s="23" t="inlineStr">
        <is>
          <t>2121</t>
        </is>
      </c>
      <c r="B100" s="22" t="inlineStr">
        <is>
          <t>AINNOVATION</t>
        </is>
      </c>
      <c r="C100" s="22" t="n"/>
      <c r="D100" s="24" t="inlineStr">
        <is>
          <t>Tech/AI</t>
        </is>
      </c>
      <c r="E100" s="24" t="inlineStr">
        <is>
          <t>AI application / agent software</t>
        </is>
      </c>
      <c r="F100" s="22" t="inlineStr">
        <is>
          <t>Standard</t>
        </is>
      </c>
      <c r="G100" s="25" t="n">
        <v>44588</v>
      </c>
      <c r="H100" s="26" t="n">
        <v>1070.1</v>
      </c>
      <c r="I100" s="22" t="inlineStr">
        <is>
          <t>net proceeds</t>
        </is>
      </c>
      <c r="J100" s="27" t="n"/>
      <c r="K100" s="27" t="n"/>
      <c r="L100" s="27" t="n">
        <v>26.3</v>
      </c>
      <c r="M100" s="32" t="n"/>
      <c r="N100" s="22" t="n"/>
      <c r="O100" s="35" t="n"/>
      <c r="P100" s="30" t="n">
        <v>13.89</v>
      </c>
      <c r="Q100" s="31" t="n"/>
      <c r="R100" s="32" t="n">
        <v>-25.48</v>
      </c>
      <c r="S100" s="33" t="n">
        <v>10</v>
      </c>
      <c r="T100" s="32" t="n"/>
      <c r="U100" s="22" t="inlineStr">
        <is>
          <t>not-yet (at allotment)</t>
        </is>
      </c>
      <c r="V100" s="22" t="n"/>
      <c r="W100" s="31" t="n"/>
      <c r="X100" s="31" t="n"/>
      <c r="Y100" s="35" t="n"/>
      <c r="Z100" s="35" t="n"/>
      <c r="AA100" s="22" t="n"/>
      <c r="AB100" s="22" t="n"/>
      <c r="AC100" s="22" t="n"/>
      <c r="AD100" s="22" t="n"/>
      <c r="AE100" s="22" t="n"/>
      <c r="AK100">
        <f>IF(AND(Screener!$B$7&lt;&gt;"",$E100=Screener!$B$7),1,0)</f>
        <v/>
      </c>
      <c r="AL100">
        <f>IF(AND(Screener!$B$6&lt;&gt;"",$D100=Screener!$B$6),1,0)</f>
        <v/>
      </c>
      <c r="AM100">
        <f>IF(OR($H100="",Screener!$B$8=""),0,MAX(0,1-ABS(LOG10($H100/Screener!$B$8))/W_SIZEHW))</f>
        <v/>
      </c>
      <c r="AN100">
        <f>IF(OR($V100="",Screener!$B$9=""),0,IF($V100=Screener!$B$9,1,0))</f>
        <v/>
      </c>
      <c r="AO100">
        <f>IF(OR($AA100="",Screener!$B$10=""),0,IF($AA100=Screener!$B$10,1,0))</f>
        <v/>
      </c>
      <c r="AP100">
        <f>IF($G100="",0,MAX(0,1-(Screener!$B$12-$G100)/W_RECD))</f>
        <v/>
      </c>
      <c r="AQ100">
        <f>IF($B100=Screener!$B$3,-999999,W_SUB*AK100+W_SEC*AL100*(1-AK100)+W_SIZE*AM100+W_PROF*AN100+W_AH*AO100+W_REC*AP100)+ROW()/1000000</f>
        <v/>
      </c>
      <c r="AR100">
        <f>IF(OR('NEW DEAL'!$B$6="",$E100&lt;&gt;'NEW DEAL'!$B$6),-1,1+IF(OR($H100="",'NEW DEAL'!$B$7=""),0,MAX(0,1-ABS(LOG10($H100/'NEW DEAL'!$B$7))/W_SIZEHW)))+ROW()/1000000</f>
        <v/>
      </c>
    </row>
    <row r="101">
      <c r="A101" s="23" t="inlineStr">
        <is>
          <t>9878</t>
        </is>
      </c>
      <c r="B101" s="22" t="inlineStr">
        <is>
          <t>HUITONGDA NET</t>
        </is>
      </c>
      <c r="C101" s="22" t="inlineStr">
        <is>
          <t>匯通達網絡股份有限公司</t>
        </is>
      </c>
      <c r="D101" s="24" t="inlineStr">
        <is>
          <t>Tech/AI</t>
        </is>
      </c>
      <c r="E101" s="24" t="inlineStr">
        <is>
          <t>Internet platform / e-commerce</t>
        </is>
      </c>
      <c r="F101" s="22" t="inlineStr">
        <is>
          <t>Standard</t>
        </is>
      </c>
      <c r="G101" s="25" t="n">
        <v>44610</v>
      </c>
      <c r="H101" s="26" t="n">
        <v>2100.5</v>
      </c>
      <c r="I101" s="22" t="inlineStr">
        <is>
          <t>net proceeds</t>
        </is>
      </c>
      <c r="J101" s="27" t="n">
        <v>43</v>
      </c>
      <c r="K101" s="27" t="n">
        <v>48</v>
      </c>
      <c r="L101" s="27" t="n">
        <v>43</v>
      </c>
      <c r="M101" s="28" t="n">
        <v>0</v>
      </c>
      <c r="N101" s="29" t="inlineStr">
        <is>
          <t>N</t>
        </is>
      </c>
      <c r="O101" s="26" t="n">
        <v>20197.1</v>
      </c>
      <c r="P101" s="30" t="n">
        <v>1.67</v>
      </c>
      <c r="Q101" s="31" t="n"/>
      <c r="R101" s="32" t="n">
        <v>4.88</v>
      </c>
      <c r="S101" s="33" t="n">
        <v>23</v>
      </c>
      <c r="T101" s="32" t="n">
        <v>10.4</v>
      </c>
      <c r="U101" s="22" t="inlineStr">
        <is>
          <t>not-yet (at allotment)</t>
        </is>
      </c>
      <c r="V101" s="29" t="inlineStr">
        <is>
          <t>N</t>
        </is>
      </c>
      <c r="W101" s="31" t="n"/>
      <c r="X101" s="34" t="n">
        <v>0.4</v>
      </c>
      <c r="Y101" s="36" t="n">
        <v>54592</v>
      </c>
      <c r="Z101" s="36" t="n">
        <v>-308</v>
      </c>
      <c r="AA101" s="22" t="n"/>
      <c r="AB101" s="22" t="n"/>
      <c r="AC101" s="22" t="inlineStr">
        <is>
          <t>China International Capital Corporation Hong Kong Securities Limited; Citigroup Global Markets Asia Limited; China Renaissance Securities (Hong Kong) Limited</t>
        </is>
      </c>
      <c r="AD101" s="22" t="inlineStr">
        <is>
          <t>China International Capital Corporation Hong Kong Securities Limited; Citigroup Global Markets Asia Limited; China Renaissance Securities (Hong Kong) Limited; The Hongkong and Shanghai Banking Corporation Limited; Haitong International Securities Company Limited; SPDB International Capital Limited; Central, Hong Kong Citigroup Global Markets Limited; (Hong Kong) Limited; BOCOM International Securities Limited; BOCI Asia Limited; CCB International Capital Limited; ABCI CAPITAL LIMITED</t>
        </is>
      </c>
      <c r="AE101" s="22" t="n"/>
      <c r="AK101">
        <f>IF(AND(Screener!$B$7&lt;&gt;"",$E101=Screener!$B$7),1,0)</f>
        <v/>
      </c>
      <c r="AL101">
        <f>IF(AND(Screener!$B$6&lt;&gt;"",$D101=Screener!$B$6),1,0)</f>
        <v/>
      </c>
      <c r="AM101">
        <f>IF(OR($H101="",Screener!$B$8=""),0,MAX(0,1-ABS(LOG10($H101/Screener!$B$8))/W_SIZEHW))</f>
        <v/>
      </c>
      <c r="AN101">
        <f>IF(OR($V101="",Screener!$B$9=""),0,IF($V101=Screener!$B$9,1,0))</f>
        <v/>
      </c>
      <c r="AO101">
        <f>IF(OR($AA101="",Screener!$B$10=""),0,IF($AA101=Screener!$B$10,1,0))</f>
        <v/>
      </c>
      <c r="AP101">
        <f>IF($G101="",0,MAX(0,1-(Screener!$B$12-$G101)/W_RECD))</f>
        <v/>
      </c>
      <c r="AQ101">
        <f>IF($B101=Screener!$B$3,-999999,W_SUB*AK101+W_SEC*AL101*(1-AK101)+W_SIZE*AM101+W_PROF*AN101+W_AH*AO101+W_REC*AP101)+ROW()/1000000</f>
        <v/>
      </c>
      <c r="AR101">
        <f>IF(OR('NEW DEAL'!$B$6="",$E101&lt;&gt;'NEW DEAL'!$B$6),-1,1+IF(OR($H101="",'NEW DEAL'!$B$7=""),0,MAX(0,1-ABS(LOG10($H101/'NEW DEAL'!$B$7))/W_SIZEHW)))+ROW()/1000000</f>
        <v/>
      </c>
    </row>
    <row r="102">
      <c r="A102" s="23" t="inlineStr">
        <is>
          <t>1406</t>
        </is>
      </c>
      <c r="B102" s="22" t="inlineStr">
        <is>
          <t>CLARITY MEDICAL</t>
        </is>
      </c>
      <c r="C102" s="22" t="n"/>
      <c r="D102" s="24" t="inlineStr">
        <is>
          <t>Healthcare</t>
        </is>
      </c>
      <c r="E102" s="24" t="inlineStr">
        <is>
          <t>Hospitals / clinics</t>
        </is>
      </c>
      <c r="F102" s="22" t="inlineStr">
        <is>
          <t>Standard</t>
        </is>
      </c>
      <c r="G102" s="25" t="n">
        <v>44610</v>
      </c>
      <c r="H102" s="26" t="n">
        <v>195.8</v>
      </c>
      <c r="I102" s="22" t="inlineStr">
        <is>
          <t>gross (price x shares)</t>
        </is>
      </c>
      <c r="J102" s="27" t="n"/>
      <c r="K102" s="27" t="n">
        <v>3</v>
      </c>
      <c r="L102" s="27" t="n">
        <v>1.6</v>
      </c>
      <c r="M102" s="32" t="n"/>
      <c r="N102" s="29" t="inlineStr">
        <is>
          <t>N</t>
        </is>
      </c>
      <c r="O102" s="26" t="n">
        <v>3477.8</v>
      </c>
      <c r="P102" s="30" t="n">
        <v>6.17</v>
      </c>
      <c r="Q102" s="31" t="n"/>
      <c r="R102" s="32" t="n">
        <v>-3.75</v>
      </c>
      <c r="S102" s="33" t="n">
        <v>0</v>
      </c>
      <c r="T102" s="32" t="n">
        <v>5.63</v>
      </c>
      <c r="U102" s="22" t="inlineStr">
        <is>
          <t>not-yet (at allotment)</t>
        </is>
      </c>
      <c r="V102" s="29" t="inlineStr">
        <is>
          <t>Y</t>
        </is>
      </c>
      <c r="W102" s="34" t="n">
        <v>115.9</v>
      </c>
      <c r="X102" s="34" t="n">
        <v>15.6</v>
      </c>
      <c r="Y102" s="36" t="n">
        <v>222.4</v>
      </c>
      <c r="Z102" s="36" t="n">
        <v>30</v>
      </c>
      <c r="AA102" s="22" t="n"/>
      <c r="AB102" s="22" t="n"/>
      <c r="AC102" s="22" t="inlineStr">
        <is>
          <t>China Everbright Capital Limited; China Eve rbright Securities (HK) Limited; Zhongtai International Securities Limited</t>
        </is>
      </c>
      <c r="AD102" s="22" t="inlineStr">
        <is>
          <t>China Everbright Securities (HK) Limited; CMB International Capital Limited; Zhongtai International Securities Limited; ABCI Capital Limited; Bradbury Securities Limited; CMBC Securities Company Limited; First Shanghai Securities Limited; Futu Securities International (Hong Kong) Limited; Guotai Junan Securities (Hong Kong) Limited; Shenwan Hongyuan Securities (H.K.) Limited</t>
        </is>
      </c>
      <c r="AE102" s="22" t="n"/>
      <c r="AK102">
        <f>IF(AND(Screener!$B$7&lt;&gt;"",$E102=Screener!$B$7),1,0)</f>
        <v/>
      </c>
      <c r="AL102">
        <f>IF(AND(Screener!$B$6&lt;&gt;"",$D102=Screener!$B$6),1,0)</f>
        <v/>
      </c>
      <c r="AM102">
        <f>IF(OR($H102="",Screener!$B$8=""),0,MAX(0,1-ABS(LOG10($H102/Screener!$B$8))/W_SIZEHW))</f>
        <v/>
      </c>
      <c r="AN102">
        <f>IF(OR($V102="",Screener!$B$9=""),0,IF($V102=Screener!$B$9,1,0))</f>
        <v/>
      </c>
      <c r="AO102">
        <f>IF(OR($AA102="",Screener!$B$10=""),0,IF($AA102=Screener!$B$10,1,0))</f>
        <v/>
      </c>
      <c r="AP102">
        <f>IF($G102="",0,MAX(0,1-(Screener!$B$12-$G102)/W_RECD))</f>
        <v/>
      </c>
      <c r="AQ102">
        <f>IF($B102=Screener!$B$3,-999999,W_SUB*AK102+W_SEC*AL102*(1-AK102)+W_SIZE*AM102+W_PROF*AN102+W_AH*AO102+W_REC*AP102)+ROW()/1000000</f>
        <v/>
      </c>
      <c r="AR102">
        <f>IF(OR('NEW DEAL'!$B$6="",$E102&lt;&gt;'NEW DEAL'!$B$6),-1,1+IF(OR($H102="",'NEW DEAL'!$B$7=""),0,MAX(0,1-ABS(LOG10($H102/'NEW DEAL'!$B$7))/W_SIZEHW)))+ROW()/1000000</f>
        <v/>
      </c>
    </row>
    <row r="103">
      <c r="A103" s="23" t="inlineStr">
        <is>
          <t>2157</t>
        </is>
      </c>
      <c r="B103" s="22" t="inlineStr">
        <is>
          <t>LEPU BIO-B</t>
        </is>
      </c>
      <c r="C103" s="22" t="n"/>
      <c r="D103" s="24" t="inlineStr">
        <is>
          <t>Healthcare</t>
        </is>
      </c>
      <c r="E103" s="24" t="inlineStr">
        <is>
          <t>Biotech pre-revenue (18A)</t>
        </is>
      </c>
      <c r="F103" s="38" t="inlineStr">
        <is>
          <t>18A</t>
        </is>
      </c>
      <c r="G103" s="25" t="n">
        <v>44615</v>
      </c>
      <c r="H103" s="26" t="n">
        <v>36.2</v>
      </c>
      <c r="I103" s="22" t="inlineStr">
        <is>
          <t>gross (stated)</t>
        </is>
      </c>
      <c r="J103" s="27" t="n">
        <v>6.87</v>
      </c>
      <c r="K103" s="27" t="n">
        <v>7.38</v>
      </c>
      <c r="L103" s="27" t="n">
        <v>7.13</v>
      </c>
      <c r="M103" s="28" t="n">
        <v>51</v>
      </c>
      <c r="N103" s="29" t="inlineStr">
        <is>
          <t>N</t>
        </is>
      </c>
      <c r="O103" s="36" t="n">
        <v>11394</v>
      </c>
      <c r="P103" s="30" t="n">
        <v>5.65</v>
      </c>
      <c r="Q103" s="31" t="n"/>
      <c r="R103" s="32" t="n">
        <v>0.14</v>
      </c>
      <c r="S103" s="33" t="n">
        <v>10</v>
      </c>
      <c r="T103" s="32" t="n">
        <v>8.699999999999999</v>
      </c>
      <c r="U103" s="22" t="inlineStr">
        <is>
          <t>not-yet (at allotment)</t>
        </is>
      </c>
      <c r="V103" s="29" t="inlineStr">
        <is>
          <t>N</t>
        </is>
      </c>
      <c r="W103" s="31" t="n"/>
      <c r="X103" s="31" t="n"/>
      <c r="Y103" s="35" t="n"/>
      <c r="Z103" s="36" t="n">
        <v>-497.4</v>
      </c>
      <c r="AA103" s="22" t="n"/>
      <c r="AB103" s="22" t="n"/>
      <c r="AC103" s="22" t="inlineStr">
        <is>
          <t>China International Capital Corporation Hong Kong Securities Limited; Morgan Stanley Asia Limited</t>
        </is>
      </c>
      <c r="AD103" s="22" t="inlineStr">
        <is>
          <t>China International Capital Corporation Hong Kong Securities Limited; Morgan Stanley Asia Limited; DIRECTORS AND PARTIES INVOLVED IN THE GLOBAL OFFERING – 162 – Morgan Stanley Asia Limited; Morgan Stanley &amp; Co. International plc; Company Limited; Huatai Financial Holdings (Hong Kong) Limited; China Galaxy International Securities (Hong Kong) Co., Limited; Valuable Capital Limited</t>
        </is>
      </c>
      <c r="AE103" s="22" t="n"/>
      <c r="AK103">
        <f>IF(AND(Screener!$B$7&lt;&gt;"",$E103=Screener!$B$7),1,0)</f>
        <v/>
      </c>
      <c r="AL103">
        <f>IF(AND(Screener!$B$6&lt;&gt;"",$D103=Screener!$B$6),1,0)</f>
        <v/>
      </c>
      <c r="AM103">
        <f>IF(OR($H103="",Screener!$B$8=""),0,MAX(0,1-ABS(LOG10($H103/Screener!$B$8))/W_SIZEHW))</f>
        <v/>
      </c>
      <c r="AN103">
        <f>IF(OR($V103="",Screener!$B$9=""),0,IF($V103=Screener!$B$9,1,0))</f>
        <v/>
      </c>
      <c r="AO103">
        <f>IF(OR($AA103="",Screener!$B$10=""),0,IF($AA103=Screener!$B$10,1,0))</f>
        <v/>
      </c>
      <c r="AP103">
        <f>IF($G103="",0,MAX(0,1-(Screener!$B$12-$G103)/W_RECD))</f>
        <v/>
      </c>
      <c r="AQ103">
        <f>IF($B103=Screener!$B$3,-999999,W_SUB*AK103+W_SEC*AL103*(1-AK103)+W_SIZE*AM103+W_PROF*AN103+W_AH*AO103+W_REC*AP103)+ROW()/1000000</f>
        <v/>
      </c>
      <c r="AR103">
        <f>IF(OR('NEW DEAL'!$B$6="",$E103&lt;&gt;'NEW DEAL'!$B$6),-1,1+IF(OR($H103="",'NEW DEAL'!$B$7=""),0,MAX(0,1-ABS(LOG10($H103/'NEW DEAL'!$B$7))/W_SIZEHW)))+ROW()/1000000</f>
        <v/>
      </c>
    </row>
    <row r="104">
      <c r="A104" s="23" t="inlineStr">
        <is>
          <t>6639</t>
        </is>
      </c>
      <c r="B104" s="22" t="inlineStr">
        <is>
          <t>ARRAIL GROUP</t>
        </is>
      </c>
      <c r="C104" s="22" t="inlineStr">
        <is>
          <t>瑞爾集團有限公司</t>
        </is>
      </c>
      <c r="D104" s="24" t="inlineStr">
        <is>
          <t>Healthcare</t>
        </is>
      </c>
      <c r="E104" s="24" t="inlineStr">
        <is>
          <t>Hospitals / clinics</t>
        </is>
      </c>
      <c r="F104" s="22" t="inlineStr">
        <is>
          <t>Standard</t>
        </is>
      </c>
      <c r="G104" s="25" t="n">
        <v>44642</v>
      </c>
      <c r="H104" s="26" t="n">
        <v>589.9</v>
      </c>
      <c r="I104" s="22" t="inlineStr">
        <is>
          <t>net proceeds</t>
        </is>
      </c>
      <c r="J104" s="27" t="n"/>
      <c r="K104" s="27" t="n">
        <v>14.62</v>
      </c>
      <c r="L104" s="27" t="n">
        <v>14.62</v>
      </c>
      <c r="M104" s="32" t="n"/>
      <c r="N104" s="29" t="inlineStr">
        <is>
          <t>Y</t>
        </is>
      </c>
      <c r="O104" s="26" t="n">
        <v>6482.4</v>
      </c>
      <c r="P104" s="30" t="n">
        <v>1.74</v>
      </c>
      <c r="Q104" s="37" t="n">
        <v>1.62</v>
      </c>
      <c r="R104" s="32" t="n">
        <v>-5.61</v>
      </c>
      <c r="S104" s="33" t="n">
        <v>31.9</v>
      </c>
      <c r="T104" s="32" t="n">
        <v>10.92</v>
      </c>
      <c r="U104" s="22" t="inlineStr">
        <is>
          <t>not-yet (at allotment)</t>
        </is>
      </c>
      <c r="V104" s="29" t="inlineStr">
        <is>
          <t>N</t>
        </is>
      </c>
      <c r="W104" s="31" t="n"/>
      <c r="X104" s="34" t="n">
        <v>3.9</v>
      </c>
      <c r="Y104" s="36" t="n">
        <v>1666.6</v>
      </c>
      <c r="Z104" s="36" t="n">
        <v>-657.5</v>
      </c>
      <c r="AA104" s="22" t="n"/>
      <c r="AB104" s="22" t="n"/>
      <c r="AC104" s="22" t="inlineStr">
        <is>
          <t>Morgan Stanley Asia Limited; UBS Securities Hong Kong Limited</t>
        </is>
      </c>
      <c r="AD104" s="22" t="inlineStr">
        <is>
          <t>Morgan Stanley Asia Limited; UBS AG Hong Kong Branch; Central, Hong Kong China International Capital Corporation Hong Kong Securities Limited; Haitong International Securities Company Limited</t>
        </is>
      </c>
      <c r="AE104" s="22" t="n"/>
      <c r="AK104">
        <f>IF(AND(Screener!$B$7&lt;&gt;"",$E104=Screener!$B$7),1,0)</f>
        <v/>
      </c>
      <c r="AL104">
        <f>IF(AND(Screener!$B$6&lt;&gt;"",$D104=Screener!$B$6),1,0)</f>
        <v/>
      </c>
      <c r="AM104">
        <f>IF(OR($H104="",Screener!$B$8=""),0,MAX(0,1-ABS(LOG10($H104/Screener!$B$8))/W_SIZEHW))</f>
        <v/>
      </c>
      <c r="AN104">
        <f>IF(OR($V104="",Screener!$B$9=""),0,IF($V104=Screener!$B$9,1,0))</f>
        <v/>
      </c>
      <c r="AO104">
        <f>IF(OR($AA104="",Screener!$B$10=""),0,IF($AA104=Screener!$B$10,1,0))</f>
        <v/>
      </c>
      <c r="AP104">
        <f>IF($G104="",0,MAX(0,1-(Screener!$B$12-$G104)/W_RECD))</f>
        <v/>
      </c>
      <c r="AQ104">
        <f>IF($B104=Screener!$B$3,-999999,W_SUB*AK104+W_SEC*AL104*(1-AK104)+W_SIZE*AM104+W_PROF*AN104+W_AH*AO104+W_REC*AP104)+ROW()/1000000</f>
        <v/>
      </c>
      <c r="AR104">
        <f>IF(OR('NEW DEAL'!$B$6="",$E104&lt;&gt;'NEW DEAL'!$B$6),-1,1+IF(OR($H104="",'NEW DEAL'!$B$7=""),0,MAX(0,1-ABS(LOG10($H104/'NEW DEAL'!$B$7))/W_SIZEHW)))+ROW()/1000000</f>
        <v/>
      </c>
    </row>
    <row r="105">
      <c r="A105" s="23" t="inlineStr">
        <is>
          <t>9638</t>
        </is>
      </c>
      <c r="B105" s="22" t="inlineStr">
        <is>
          <t>FERRETTI</t>
        </is>
      </c>
      <c r="C105" s="22" t="n"/>
      <c r="D105" s="24" t="inlineStr">
        <is>
          <t>Consumer</t>
        </is>
      </c>
      <c r="E105" s="24" t="inlineStr">
        <is>
          <t>Apparel / luxury</t>
        </is>
      </c>
      <c r="F105" s="22" t="inlineStr">
        <is>
          <t>Standard</t>
        </is>
      </c>
      <c r="G105" s="25" t="n">
        <v>44651</v>
      </c>
      <c r="H105" s="26" t="n">
        <v>1771.4</v>
      </c>
      <c r="I105" s="22" t="inlineStr">
        <is>
          <t>net proceeds</t>
        </is>
      </c>
      <c r="J105" s="27" t="n">
        <v>21.82</v>
      </c>
      <c r="K105" s="27" t="n">
        <v>28.24</v>
      </c>
      <c r="L105" s="27" t="n">
        <v>22.88</v>
      </c>
      <c r="M105" s="28" t="n">
        <v>16.5</v>
      </c>
      <c r="N105" s="29" t="inlineStr">
        <is>
          <t>N</t>
        </is>
      </c>
      <c r="O105" s="35" t="n"/>
      <c r="P105" s="30" t="n">
        <v>1.07</v>
      </c>
      <c r="Q105" s="31" t="n"/>
      <c r="R105" s="32" t="n">
        <v>-0.13</v>
      </c>
      <c r="S105" s="33" t="n">
        <v>53.02</v>
      </c>
      <c r="T105" s="32" t="n">
        <v>15</v>
      </c>
      <c r="U105" s="22" t="inlineStr">
        <is>
          <t>not-yet (at allotment)</t>
        </is>
      </c>
      <c r="V105" s="22" t="n"/>
      <c r="W105" s="31" t="n"/>
      <c r="X105" s="31" t="n"/>
      <c r="Y105" s="35" t="n"/>
      <c r="Z105" s="35" t="n"/>
      <c r="AA105" s="22" t="n"/>
      <c r="AB105" s="22" t="n"/>
      <c r="AC105" s="22" t="inlineStr">
        <is>
          <t>China International Capital Corporation Hong Kong Securities Limited</t>
        </is>
      </c>
      <c r="AD105" s="22" t="inlineStr">
        <is>
          <t>China International Capital Corporation Hong Kong Securities Limited; BNP Paribas Securities (Asia) Limited; Zhongtai International Securities Limited</t>
        </is>
      </c>
      <c r="AE105" s="22" t="n"/>
      <c r="AK105">
        <f>IF(AND(Screener!$B$7&lt;&gt;"",$E105=Screener!$B$7),1,0)</f>
        <v/>
      </c>
      <c r="AL105">
        <f>IF(AND(Screener!$B$6&lt;&gt;"",$D105=Screener!$B$6),1,0)</f>
        <v/>
      </c>
      <c r="AM105">
        <f>IF(OR($H105="",Screener!$B$8=""),0,MAX(0,1-ABS(LOG10($H105/Screener!$B$8))/W_SIZEHW))</f>
        <v/>
      </c>
      <c r="AN105">
        <f>IF(OR($V105="",Screener!$B$9=""),0,IF($V105=Screener!$B$9,1,0))</f>
        <v/>
      </c>
      <c r="AO105">
        <f>IF(OR($AA105="",Screener!$B$10=""),0,IF($AA105=Screener!$B$10,1,0))</f>
        <v/>
      </c>
      <c r="AP105">
        <f>IF($G105="",0,MAX(0,1-(Screener!$B$12-$G105)/W_RECD))</f>
        <v/>
      </c>
      <c r="AQ105">
        <f>IF($B105=Screener!$B$3,-999999,W_SUB*AK105+W_SEC*AL105*(1-AK105)+W_SIZE*AM105+W_PROF*AN105+W_AH*AO105+W_REC*AP105)+ROW()/1000000</f>
        <v/>
      </c>
      <c r="AR105">
        <f>IF(OR('NEW DEAL'!$B$6="",$E105&lt;&gt;'NEW DEAL'!$B$6),-1,1+IF(OR($H105="",'NEW DEAL'!$B$7=""),0,MAX(0,1-ABS(LOG10($H105/'NEW DEAL'!$B$7))/W_SIZEHW)))+ROW()/1000000</f>
        <v/>
      </c>
    </row>
    <row r="106">
      <c r="A106" s="23" t="inlineStr">
        <is>
          <t>2179</t>
        </is>
      </c>
      <c r="B106" s="22" t="inlineStr">
        <is>
          <t>RECBIO-B</t>
        </is>
      </c>
      <c r="C106" s="22" t="n"/>
      <c r="D106" s="24" t="inlineStr">
        <is>
          <t>Healthcare</t>
        </is>
      </c>
      <c r="E106" s="24" t="inlineStr">
        <is>
          <t>Biotech pre-revenue (18A)</t>
        </is>
      </c>
      <c r="F106" s="38" t="inlineStr">
        <is>
          <t>18A</t>
        </is>
      </c>
      <c r="G106" s="25" t="n">
        <v>44651</v>
      </c>
      <c r="H106" s="26" t="n">
        <v>32.5</v>
      </c>
      <c r="I106" s="22" t="inlineStr">
        <is>
          <t>gross (stated)</t>
        </is>
      </c>
      <c r="J106" s="27" t="n"/>
      <c r="K106" s="27" t="n">
        <v>24.8</v>
      </c>
      <c r="L106" s="27" t="n">
        <v>24.8</v>
      </c>
      <c r="M106" s="32" t="n"/>
      <c r="N106" s="29" t="inlineStr">
        <is>
          <t>Y</t>
        </is>
      </c>
      <c r="O106" s="26" t="n">
        <v>442.8</v>
      </c>
      <c r="P106" s="30" t="n">
        <v>10.65</v>
      </c>
      <c r="Q106" s="31" t="n"/>
      <c r="R106" s="32" t="n">
        <v>1.81</v>
      </c>
      <c r="S106" s="33" t="n">
        <v>18.62</v>
      </c>
      <c r="T106" s="32" t="n">
        <v>6.44</v>
      </c>
      <c r="U106" s="22" t="inlineStr">
        <is>
          <t>not-yet (at allotment)</t>
        </is>
      </c>
      <c r="V106" s="29" t="inlineStr">
        <is>
          <t>N</t>
        </is>
      </c>
      <c r="W106" s="31" t="n"/>
      <c r="X106" s="31" t="n"/>
      <c r="Y106" s="35" t="n"/>
      <c r="Z106" s="36" t="n">
        <v>-79.7</v>
      </c>
      <c r="AA106" s="22" t="n"/>
      <c r="AB106" s="22" t="n"/>
      <c r="AC106" s="22" t="inlineStr">
        <is>
          <t>Morgan Stanley Asia Limited; CMB International Capital Limited; CLSA Capital Markets Limited; Morgan Stanley &amp; Co. International plc; London E14 4QA United Kingdom CMB International Capital Limited; CLSA Limited</t>
        </is>
      </c>
      <c r="AD106" s="22" t="inlineStr">
        <is>
          <t>Morgan Stanley Asia Limited; CMB International Capital Limited; CLSA Limited; Managers Morgan Stanley Asia Limited; Morgan Stanley &amp; Co. International plc; London E14 4QA United Kingdom CMB International Capital Limited; Haitong International Securities Company Limited; GF Securities (Hong Kong) Brokerage Limited; Essence International Securities (Hong Kong) Limited; Valuable Capital Limited</t>
        </is>
      </c>
      <c r="AE106" s="22" t="n"/>
      <c r="AK106">
        <f>IF(AND(Screener!$B$7&lt;&gt;"",$E106=Screener!$B$7),1,0)</f>
        <v/>
      </c>
      <c r="AL106">
        <f>IF(AND(Screener!$B$6&lt;&gt;"",$D106=Screener!$B$6),1,0)</f>
        <v/>
      </c>
      <c r="AM106">
        <f>IF(OR($H106="",Screener!$B$8=""),0,MAX(0,1-ABS(LOG10($H106/Screener!$B$8))/W_SIZEHW))</f>
        <v/>
      </c>
      <c r="AN106">
        <f>IF(OR($V106="",Screener!$B$9=""),0,IF($V106=Screener!$B$9,1,0))</f>
        <v/>
      </c>
      <c r="AO106">
        <f>IF(OR($AA106="",Screener!$B$10=""),0,IF($AA106=Screener!$B$10,1,0))</f>
        <v/>
      </c>
      <c r="AP106">
        <f>IF($G106="",0,MAX(0,1-(Screener!$B$12-$G106)/W_RECD))</f>
        <v/>
      </c>
      <c r="AQ106">
        <f>IF($B106=Screener!$B$3,-999999,W_SUB*AK106+W_SEC*AL106*(1-AK106)+W_SIZE*AM106+W_PROF*AN106+W_AH*AO106+W_REC*AP106)+ROW()/1000000</f>
        <v/>
      </c>
      <c r="AR106">
        <f>IF(OR('NEW DEAL'!$B$6="",$E106&lt;&gt;'NEW DEAL'!$B$6),-1,1+IF(OR($H106="",'NEW DEAL'!$B$7=""),0,MAX(0,1-ABS(LOG10($H106/'NEW DEAL'!$B$7))/W_SIZEHW)))+ROW()/1000000</f>
        <v/>
      </c>
    </row>
    <row r="107">
      <c r="A107" s="23" t="inlineStr">
        <is>
          <t>2370</t>
        </is>
      </c>
      <c r="B107" s="22" t="inlineStr">
        <is>
          <t>REDCO HEALTHY</t>
        </is>
      </c>
      <c r="C107" s="22" t="n"/>
      <c r="D107" s="24" t="inlineStr">
        <is>
          <t>Real Estate</t>
        </is>
      </c>
      <c r="E107" s="24" t="inlineStr">
        <is>
          <t>Property management</t>
        </is>
      </c>
      <c r="F107" s="22" t="inlineStr">
        <is>
          <t>Standard</t>
        </is>
      </c>
      <c r="G107" s="25" t="n">
        <v>44651</v>
      </c>
      <c r="H107" s="26" t="n">
        <v>184.5</v>
      </c>
      <c r="I107" s="22" t="inlineStr">
        <is>
          <t>gross (price x shares)</t>
        </is>
      </c>
      <c r="J107" s="27" t="n">
        <v>4.1</v>
      </c>
      <c r="K107" s="27" t="n">
        <v>5.1</v>
      </c>
      <c r="L107" s="27" t="n">
        <v>4.1</v>
      </c>
      <c r="M107" s="28" t="n">
        <v>0</v>
      </c>
      <c r="N107" s="29" t="inlineStr">
        <is>
          <t>N</t>
        </is>
      </c>
      <c r="O107" s="35" t="n"/>
      <c r="P107" s="30" t="n">
        <v>1.99</v>
      </c>
      <c r="Q107" s="31" t="n"/>
      <c r="R107" s="32" t="n">
        <v>26.34</v>
      </c>
      <c r="S107" s="33" t="n">
        <v>0</v>
      </c>
      <c r="T107" s="32" t="n">
        <v>15</v>
      </c>
      <c r="U107" s="22" t="inlineStr">
        <is>
          <t>not-yet (at allotment)</t>
        </is>
      </c>
      <c r="V107" s="29" t="inlineStr">
        <is>
          <t>Y</t>
        </is>
      </c>
      <c r="W107" s="31" t="n"/>
      <c r="X107" s="31" t="n"/>
      <c r="Y107" s="36" t="n">
        <v>243.8</v>
      </c>
      <c r="Z107" s="36" t="n">
        <v>32.8</v>
      </c>
      <c r="AA107" s="22" t="n"/>
      <c r="AB107" s="22" t="n"/>
      <c r="AC107" s="22" t="inlineStr">
        <is>
          <t>ABCI Capital Limited</t>
        </is>
      </c>
      <c r="AD107" s="22" t="inlineStr">
        <is>
          <t>ABCI Capital Limited; Valuable Capital Limited; Guotai Junan Securities (Hong Kong) Limited; CCB International Capital Limited; Zhongtai International Securities Limited</t>
        </is>
      </c>
      <c r="AE107" s="22" t="n"/>
      <c r="AK107">
        <f>IF(AND(Screener!$B$7&lt;&gt;"",$E107=Screener!$B$7),1,0)</f>
        <v/>
      </c>
      <c r="AL107">
        <f>IF(AND(Screener!$B$6&lt;&gt;"",$D107=Screener!$B$6),1,0)</f>
        <v/>
      </c>
      <c r="AM107">
        <f>IF(OR($H107="",Screener!$B$8=""),0,MAX(0,1-ABS(LOG10($H107/Screener!$B$8))/W_SIZEHW))</f>
        <v/>
      </c>
      <c r="AN107">
        <f>IF(OR($V107="",Screener!$B$9=""),0,IF($V107=Screener!$B$9,1,0))</f>
        <v/>
      </c>
      <c r="AO107">
        <f>IF(OR($AA107="",Screener!$B$10=""),0,IF($AA107=Screener!$B$10,1,0))</f>
        <v/>
      </c>
      <c r="AP107">
        <f>IF($G107="",0,MAX(0,1-(Screener!$B$12-$G107)/W_RECD))</f>
        <v/>
      </c>
      <c r="AQ107">
        <f>IF($B107=Screener!$B$3,-999999,W_SUB*AK107+W_SEC*AL107*(1-AK107)+W_SIZE*AM107+W_PROF*AN107+W_AH*AO107+W_REC*AP107)+ROW()/1000000</f>
        <v/>
      </c>
      <c r="AR107">
        <f>IF(OR('NEW DEAL'!$B$6="",$E107&lt;&gt;'NEW DEAL'!$B$6),-1,1+IF(OR($H107="",'NEW DEAL'!$B$7=""),0,MAX(0,1-ABS(LOG10($H107/'NEW DEAL'!$B$7))/W_SIZEHW)))+ROW()/1000000</f>
        <v/>
      </c>
    </row>
    <row r="108">
      <c r="A108" s="23" t="inlineStr">
        <is>
          <t>2390</t>
        </is>
      </c>
      <c r="B108" s="22" t="inlineStr">
        <is>
          <t>ZHIHU-W</t>
        </is>
      </c>
      <c r="C108" s="22" t="n"/>
      <c r="D108" s="24" t="inlineStr">
        <is>
          <t>Tech/AI</t>
        </is>
      </c>
      <c r="E108" s="24" t="inlineStr">
        <is>
          <t>Internet platform / e-commerce</t>
        </is>
      </c>
      <c r="F108" s="38" t="inlineStr">
        <is>
          <t>WVR</t>
        </is>
      </c>
      <c r="G108" s="25" t="n">
        <v>44673</v>
      </c>
      <c r="H108" s="26" t="n">
        <v>791.9400000000001</v>
      </c>
      <c r="I108" s="22" t="inlineStr">
        <is>
          <t>net proceeds</t>
        </is>
      </c>
      <c r="J108" s="27" t="n"/>
      <c r="K108" s="27" t="n"/>
      <c r="L108" s="27" t="n">
        <v>32.06</v>
      </c>
      <c r="M108" s="32" t="n"/>
      <c r="N108" s="22" t="n"/>
      <c r="O108" s="36" t="n">
        <v>16410</v>
      </c>
      <c r="P108" s="30" t="n">
        <v>15</v>
      </c>
      <c r="Q108" s="31" t="n"/>
      <c r="R108" s="32" t="n">
        <v>-23.58</v>
      </c>
      <c r="S108" s="33" t="n"/>
      <c r="T108" s="32" t="n">
        <v>8.199999999999999</v>
      </c>
      <c r="U108" s="22" t="inlineStr">
        <is>
          <t>not-yet (at allotment)</t>
        </is>
      </c>
      <c r="V108" s="29" t="inlineStr">
        <is>
          <t>N</t>
        </is>
      </c>
      <c r="W108" s="31" t="n"/>
      <c r="X108" s="34" t="n">
        <v>5</v>
      </c>
      <c r="Y108" s="36" t="n">
        <v>3255.3</v>
      </c>
      <c r="Z108" s="36" t="n">
        <v>-569.3</v>
      </c>
      <c r="AA108" s="22" t="n"/>
      <c r="AB108" s="22" t="n"/>
      <c r="AC108" s="22" t="inlineStr">
        <is>
          <t>Credit Suisse (Hong Kong) Limited; J.P. Morgan Securities (Far East) Limited; China International Capital Corporation Hong Kong Securities Limited; CMB International Capital Limited</t>
        </is>
      </c>
      <c r="AD108" s="22" t="inlineStr">
        <is>
          <t>Credit Suisse (Hong Kong) Limited; J.P. Morgan Securities (Asia Pacific) Limited; China International Capital Corporation Hong Kong Securities Limited</t>
        </is>
      </c>
      <c r="AE108" s="22" t="n"/>
      <c r="AK108">
        <f>IF(AND(Screener!$B$7&lt;&gt;"",$E108=Screener!$B$7),1,0)</f>
        <v/>
      </c>
      <c r="AL108">
        <f>IF(AND(Screener!$B$6&lt;&gt;"",$D108=Screener!$B$6),1,0)</f>
        <v/>
      </c>
      <c r="AM108">
        <f>IF(OR($H108="",Screener!$B$8=""),0,MAX(0,1-ABS(LOG10($H108/Screener!$B$8))/W_SIZEHW))</f>
        <v/>
      </c>
      <c r="AN108">
        <f>IF(OR($V108="",Screener!$B$9=""),0,IF($V108=Screener!$B$9,1,0))</f>
        <v/>
      </c>
      <c r="AO108">
        <f>IF(OR($AA108="",Screener!$B$10=""),0,IF($AA108=Screener!$B$10,1,0))</f>
        <v/>
      </c>
      <c r="AP108">
        <f>IF($G108="",0,MAX(0,1-(Screener!$B$12-$G108)/W_RECD))</f>
        <v/>
      </c>
      <c r="AQ108">
        <f>IF($B108=Screener!$B$3,-999999,W_SUB*AK108+W_SEC*AL108*(1-AK108)+W_SIZE*AM108+W_PROF*AN108+W_AH*AO108+W_REC*AP108)+ROW()/1000000</f>
        <v/>
      </c>
      <c r="AR108">
        <f>IF(OR('NEW DEAL'!$B$6="",$E108&lt;&gt;'NEW DEAL'!$B$6),-1,1+IF(OR($H108="",'NEW DEAL'!$B$7=""),0,MAX(0,1-ABS(LOG10($H108/'NEW DEAL'!$B$7))/W_SIZEHW)))+ROW()/1000000</f>
        <v/>
      </c>
    </row>
    <row r="109">
      <c r="A109" s="23" t="inlineStr">
        <is>
          <t>2352</t>
        </is>
      </c>
      <c r="B109" s="22" t="inlineStr">
        <is>
          <t>DOWELL SERVICE</t>
        </is>
      </c>
      <c r="C109" s="22" t="inlineStr">
        <is>
          <t>東原仁知城市運營服務集團股份有限公司</t>
        </is>
      </c>
      <c r="D109" s="24" t="inlineStr">
        <is>
          <t>Real Estate</t>
        </is>
      </c>
      <c r="E109" s="24" t="inlineStr">
        <is>
          <t>Property management</t>
        </is>
      </c>
      <c r="F109" s="22" t="inlineStr">
        <is>
          <t>Standard</t>
        </is>
      </c>
      <c r="G109" s="25" t="n">
        <v>44680</v>
      </c>
      <c r="H109" s="26" t="n">
        <v>135.9</v>
      </c>
      <c r="I109" s="22" t="inlineStr">
        <is>
          <t>net proceeds</t>
        </is>
      </c>
      <c r="J109" s="27" t="n">
        <v>11.9</v>
      </c>
      <c r="K109" s="27" t="n">
        <v>15.4</v>
      </c>
      <c r="L109" s="27" t="n">
        <v>11.9</v>
      </c>
      <c r="M109" s="28" t="n">
        <v>0</v>
      </c>
      <c r="N109" s="29" t="inlineStr">
        <is>
          <t>N</t>
        </is>
      </c>
      <c r="O109" s="26" t="n">
        <v>543.6</v>
      </c>
      <c r="P109" s="30" t="n">
        <v>4.35</v>
      </c>
      <c r="Q109" s="31" t="n"/>
      <c r="R109" s="32" t="n">
        <v>0</v>
      </c>
      <c r="S109" s="33" t="n">
        <v>0</v>
      </c>
      <c r="T109" s="32" t="n">
        <v>7.48</v>
      </c>
      <c r="U109" s="22" t="inlineStr">
        <is>
          <t>not-yet (at allotment)</t>
        </is>
      </c>
      <c r="V109" s="29" t="inlineStr">
        <is>
          <t>Y</t>
        </is>
      </c>
      <c r="W109" s="34" t="n">
        <v>3.8</v>
      </c>
      <c r="X109" s="34" t="n">
        <v>0.4</v>
      </c>
      <c r="Y109" s="36" t="n">
        <v>1312.8</v>
      </c>
      <c r="Z109" s="36" t="n">
        <v>143.4</v>
      </c>
      <c r="AA109" s="22" t="n"/>
      <c r="AB109" s="22" t="n"/>
      <c r="AC109" s="22" t="inlineStr">
        <is>
          <t>Guotai Junan Capital Limited</t>
        </is>
      </c>
      <c r="AD109" s="22" t="inlineStr">
        <is>
          <t>Guotai Junan Securities (Hong Kong) Limited; ABCI Capital Limited; BOCOM International Securities Limited; CLSA Limited; ICBC International Capital Limited; CMBC Securities Company Limited; Fortune (HK) Securities Limited; Futu Securities International (Hong Kong) Limited; Guosen Securities (HK) Capital Company Limited; Zheshang International Financial Holdings Co., Limited</t>
        </is>
      </c>
      <c r="AE109" s="22" t="n"/>
      <c r="AK109">
        <f>IF(AND(Screener!$B$7&lt;&gt;"",$E109=Screener!$B$7),1,0)</f>
        <v/>
      </c>
      <c r="AL109">
        <f>IF(AND(Screener!$B$6&lt;&gt;"",$D109=Screener!$B$6),1,0)</f>
        <v/>
      </c>
      <c r="AM109">
        <f>IF(OR($H109="",Screener!$B$8=""),0,MAX(0,1-ABS(LOG10($H109/Screener!$B$8))/W_SIZEHW))</f>
        <v/>
      </c>
      <c r="AN109">
        <f>IF(OR($V109="",Screener!$B$9=""),0,IF($V109=Screener!$B$9,1,0))</f>
        <v/>
      </c>
      <c r="AO109">
        <f>IF(OR($AA109="",Screener!$B$10=""),0,IF($AA109=Screener!$B$10,1,0))</f>
        <v/>
      </c>
      <c r="AP109">
        <f>IF($G109="",0,MAX(0,1-(Screener!$B$12-$G109)/W_RECD))</f>
        <v/>
      </c>
      <c r="AQ109">
        <f>IF($B109=Screener!$B$3,-999999,W_SUB*AK109+W_SEC*AL109*(1-AK109)+W_SIZE*AM109+W_PROF*AN109+W_AH*AO109+W_REC*AP109)+ROW()/1000000</f>
        <v/>
      </c>
      <c r="AR109">
        <f>IF(OR('NEW DEAL'!$B$6="",$E109&lt;&gt;'NEW DEAL'!$B$6),-1,1+IF(OR($H109="",'NEW DEAL'!$B$7=""),0,MAX(0,1-ABS(LOG10($H109/'NEW DEAL'!$B$7))/W_SIZEHW)))+ROW()/1000000</f>
        <v/>
      </c>
    </row>
    <row r="110">
      <c r="A110" s="23" t="inlineStr">
        <is>
          <t>2325</t>
        </is>
      </c>
      <c r="B110" s="22" t="inlineStr">
        <is>
          <t>YUNKANG GROUP</t>
        </is>
      </c>
      <c r="C110" s="22" t="n"/>
      <c r="D110" s="24" t="inlineStr">
        <is>
          <t>Healthcare</t>
        </is>
      </c>
      <c r="E110" s="24" t="inlineStr">
        <is>
          <t>CXO / pharma services</t>
        </is>
      </c>
      <c r="F110" s="22" t="inlineStr">
        <is>
          <t>Standard</t>
        </is>
      </c>
      <c r="G110" s="25" t="n">
        <v>44699</v>
      </c>
      <c r="H110" s="26" t="n">
        <v>760.9</v>
      </c>
      <c r="I110" s="22" t="inlineStr">
        <is>
          <t>net proceeds</t>
        </is>
      </c>
      <c r="J110" s="27" t="n"/>
      <c r="K110" s="27" t="n">
        <v>7.89</v>
      </c>
      <c r="L110" s="27" t="n">
        <v>7.89</v>
      </c>
      <c r="M110" s="32" t="n"/>
      <c r="N110" s="29" t="inlineStr">
        <is>
          <t>Y</t>
        </is>
      </c>
      <c r="O110" s="26" t="n">
        <v>3031.5</v>
      </c>
      <c r="P110" s="30" t="n">
        <v>1.35</v>
      </c>
      <c r="Q110" s="31" t="n"/>
      <c r="R110" s="32" t="n">
        <v>7.73</v>
      </c>
      <c r="S110" s="33" t="n">
        <v>30.2</v>
      </c>
      <c r="T110" s="32" t="n">
        <v>6.17</v>
      </c>
      <c r="U110" s="22" t="inlineStr">
        <is>
          <t>not-yet (at allotment)</t>
        </is>
      </c>
      <c r="V110" s="29" t="inlineStr">
        <is>
          <t>Y</t>
        </is>
      </c>
      <c r="W110" s="34" t="n">
        <v>10.6</v>
      </c>
      <c r="X110" s="34" t="n">
        <v>2.3</v>
      </c>
      <c r="Y110" s="36" t="n">
        <v>1320.4</v>
      </c>
      <c r="Z110" s="36" t="n">
        <v>286.2</v>
      </c>
      <c r="AA110" s="22" t="n"/>
      <c r="AB110" s="22" t="n"/>
      <c r="AC110" s="22" t="inlineStr">
        <is>
          <t>CMB International Capital Limited; SPDB International Capital Limited</t>
        </is>
      </c>
      <c r="AD110" s="22" t="inlineStr">
        <is>
          <t>CMB International Capital Limited; SPDB International Capital Limited; China Merchants Securities (HK) Co., Limited; CCB International Capital Limited; CRIC Securities Company Limited; Futu Securities International (Hong Kong) Limited</t>
        </is>
      </c>
      <c r="AE110" s="22" t="n"/>
      <c r="AK110">
        <f>IF(AND(Screener!$B$7&lt;&gt;"",$E110=Screener!$B$7),1,0)</f>
        <v/>
      </c>
      <c r="AL110">
        <f>IF(AND(Screener!$B$6&lt;&gt;"",$D110=Screener!$B$6),1,0)</f>
        <v/>
      </c>
      <c r="AM110">
        <f>IF(OR($H110="",Screener!$B$8=""),0,MAX(0,1-ABS(LOG10($H110/Screener!$B$8))/W_SIZEHW))</f>
        <v/>
      </c>
      <c r="AN110">
        <f>IF(OR($V110="",Screener!$B$9=""),0,IF($V110=Screener!$B$9,1,0))</f>
        <v/>
      </c>
      <c r="AO110">
        <f>IF(OR($AA110="",Screener!$B$10=""),0,IF($AA110=Screener!$B$10,1,0))</f>
        <v/>
      </c>
      <c r="AP110">
        <f>IF($G110="",0,MAX(0,1-(Screener!$B$12-$G110)/W_RECD))</f>
        <v/>
      </c>
      <c r="AQ110">
        <f>IF($B110=Screener!$B$3,-999999,W_SUB*AK110+W_SEC*AL110*(1-AK110)+W_SIZE*AM110+W_PROF*AN110+W_AH*AO110+W_REC*AP110)+ROW()/1000000</f>
        <v/>
      </c>
      <c r="AR110">
        <f>IF(OR('NEW DEAL'!$B$6="",$E110&lt;&gt;'NEW DEAL'!$B$6),-1,1+IF(OR($H110="",'NEW DEAL'!$B$7=""),0,MAX(0,1-ABS(LOG10($H110/'NEW DEAL'!$B$7))/W_SIZEHW)))+ROW()/1000000</f>
        <v/>
      </c>
    </row>
    <row r="111">
      <c r="A111" s="23" t="inlineStr">
        <is>
          <t>2347</t>
        </is>
      </c>
      <c r="B111" s="22" t="inlineStr">
        <is>
          <t>YOHO GROUP</t>
        </is>
      </c>
      <c r="C111" s="22" t="n"/>
      <c r="D111" s="24" t="inlineStr">
        <is>
          <t>Consumer</t>
        </is>
      </c>
      <c r="E111" s="24" t="inlineStr">
        <is>
          <t>Retail / distribution</t>
        </is>
      </c>
      <c r="F111" s="22" t="inlineStr">
        <is>
          <t>Standard</t>
        </is>
      </c>
      <c r="G111" s="25" t="n">
        <v>44722</v>
      </c>
      <c r="H111" s="26" t="n">
        <v>74.7</v>
      </c>
      <c r="I111" s="22" t="inlineStr">
        <is>
          <t>net proceeds</t>
        </is>
      </c>
      <c r="J111" s="27" t="n"/>
      <c r="K111" s="27" t="n"/>
      <c r="L111" s="27" t="n">
        <v>2.1</v>
      </c>
      <c r="M111" s="32" t="n"/>
      <c r="N111" s="22" t="n"/>
      <c r="O111" s="26" t="n">
        <v>4611.1</v>
      </c>
      <c r="P111" s="30" t="n">
        <v>8.369999999999999</v>
      </c>
      <c r="Q111" s="37" t="n">
        <v>1.23</v>
      </c>
      <c r="R111" s="32" t="n">
        <v>0</v>
      </c>
      <c r="S111" s="33" t="n">
        <v>0</v>
      </c>
      <c r="T111" s="32" t="n">
        <v>15</v>
      </c>
      <c r="U111" s="22" t="inlineStr">
        <is>
          <t>not-yet (at allotment)</t>
        </is>
      </c>
      <c r="V111" s="29" t="inlineStr">
        <is>
          <t>Y</t>
        </is>
      </c>
      <c r="W111" s="34" t="n">
        <v>136.8</v>
      </c>
      <c r="X111" s="34" t="n">
        <v>8.800000000000001</v>
      </c>
      <c r="Y111" s="36" t="n">
        <v>523</v>
      </c>
      <c r="Z111" s="36" t="n">
        <v>33.7</v>
      </c>
      <c r="AA111" s="22" t="n"/>
      <c r="AB111" s="22" t="n"/>
      <c r="AC111" s="22" t="inlineStr">
        <is>
          <t>CMBC International Capital Limited; Financial Adviser Note Wings Securities Limited</t>
        </is>
      </c>
      <c r="AD111" s="22" t="inlineStr">
        <is>
          <t>CMBC Securities Company Limited; Eddid Securities and Futures Limited; Haitong International Securities Company Limited; Zhongtai International Securities Limited; China Everbright Securities (HK) Limited; SBI China Capital Financial Services Limited; Futu Securities International (Hong Kong) Limited; Valuable Capital Limited; Cinda International Capital Limited</t>
        </is>
      </c>
      <c r="AE111" s="22" t="n"/>
      <c r="AK111">
        <f>IF(AND(Screener!$B$7&lt;&gt;"",$E111=Screener!$B$7),1,0)</f>
        <v/>
      </c>
      <c r="AL111">
        <f>IF(AND(Screener!$B$6&lt;&gt;"",$D111=Screener!$B$6),1,0)</f>
        <v/>
      </c>
      <c r="AM111">
        <f>IF(OR($H111="",Screener!$B$8=""),0,MAX(0,1-ABS(LOG10($H111/Screener!$B$8))/W_SIZEHW))</f>
        <v/>
      </c>
      <c r="AN111">
        <f>IF(OR($V111="",Screener!$B$9=""),0,IF($V111=Screener!$B$9,1,0))</f>
        <v/>
      </c>
      <c r="AO111">
        <f>IF(OR($AA111="",Screener!$B$10=""),0,IF($AA111=Screener!$B$10,1,0))</f>
        <v/>
      </c>
      <c r="AP111">
        <f>IF($G111="",0,MAX(0,1-(Screener!$B$12-$G111)/W_RECD))</f>
        <v/>
      </c>
      <c r="AQ111">
        <f>IF($B111=Screener!$B$3,-999999,W_SUB*AK111+W_SEC*AL111*(1-AK111)+W_SIZE*AM111+W_PROF*AN111+W_AH*AO111+W_REC*AP111)+ROW()/1000000</f>
        <v/>
      </c>
      <c r="AR111">
        <f>IF(OR('NEW DEAL'!$B$6="",$E111&lt;&gt;'NEW DEAL'!$B$6),-1,1+IF(OR($H111="",'NEW DEAL'!$B$7=""),0,MAX(0,1-ABS(LOG10($H111/'NEW DEAL'!$B$7))/W_SIZEHW)))+ROW()/1000000</f>
        <v/>
      </c>
    </row>
    <row r="112">
      <c r="A112" s="23" t="inlineStr">
        <is>
          <t>6667</t>
        </is>
      </c>
      <c r="B112" s="22" t="inlineStr">
        <is>
          <t>MEGA GENOMICS</t>
        </is>
      </c>
      <c r="C112" s="22" t="n"/>
      <c r="D112" s="24" t="inlineStr">
        <is>
          <t>Healthcare</t>
        </is>
      </c>
      <c r="E112" s="24" t="inlineStr">
        <is>
          <t>CXO / pharma services</t>
        </is>
      </c>
      <c r="F112" s="22" t="inlineStr">
        <is>
          <t>Standard</t>
        </is>
      </c>
      <c r="G112" s="25" t="n">
        <v>44734</v>
      </c>
      <c r="H112" s="26" t="n">
        <v>174.5</v>
      </c>
      <c r="I112" s="22" t="inlineStr">
        <is>
          <t>gross (price x shares)</t>
        </is>
      </c>
      <c r="J112" s="27" t="n"/>
      <c r="K112" s="27" t="n">
        <v>22</v>
      </c>
      <c r="L112" s="27" t="n">
        <v>18</v>
      </c>
      <c r="M112" s="32" t="n"/>
      <c r="N112" s="29" t="inlineStr">
        <is>
          <t>N</t>
        </is>
      </c>
      <c r="O112" s="26" t="n">
        <v>3490</v>
      </c>
      <c r="P112" s="30" t="n">
        <v>9.619999999999999</v>
      </c>
      <c r="Q112" s="31" t="n"/>
      <c r="R112" s="32" t="n">
        <v>0</v>
      </c>
      <c r="S112" s="33" t="n">
        <v>27.01</v>
      </c>
      <c r="T112" s="32" t="n">
        <v>15</v>
      </c>
      <c r="U112" s="22" t="inlineStr">
        <is>
          <t>not-yet (at allotment)</t>
        </is>
      </c>
      <c r="V112" s="29" t="inlineStr">
        <is>
          <t>Y</t>
        </is>
      </c>
      <c r="W112" s="34" t="n">
        <v>40.2</v>
      </c>
      <c r="X112" s="34" t="n">
        <v>13.4</v>
      </c>
      <c r="Y112" s="36" t="n">
        <v>260.9</v>
      </c>
      <c r="Z112" s="36" t="n">
        <v>86.90000000000001</v>
      </c>
      <c r="AA112" s="22" t="n"/>
      <c r="AB112" s="22" t="n"/>
      <c r="AC112" s="22" t="inlineStr">
        <is>
          <t>China Securities (International) Corporate Finance Company Limited</t>
        </is>
      </c>
      <c r="AD112" s="22" t="inlineStr">
        <is>
          <t>China Securities (International) Corporate Finance Company Limited; Central, Hong Kong China Merchants Securities (HK) Co., Limited</t>
        </is>
      </c>
      <c r="AE112" s="22" t="n"/>
      <c r="AK112">
        <f>IF(AND(Screener!$B$7&lt;&gt;"",$E112=Screener!$B$7),1,0)</f>
        <v/>
      </c>
      <c r="AL112">
        <f>IF(AND(Screener!$B$6&lt;&gt;"",$D112=Screener!$B$6),1,0)</f>
        <v/>
      </c>
      <c r="AM112">
        <f>IF(OR($H112="",Screener!$B$8=""),0,MAX(0,1-ABS(LOG10($H112/Screener!$B$8))/W_SIZEHW))</f>
        <v/>
      </c>
      <c r="AN112">
        <f>IF(OR($V112="",Screener!$B$9=""),0,IF($V112=Screener!$B$9,1,0))</f>
        <v/>
      </c>
      <c r="AO112">
        <f>IF(OR($AA112="",Screener!$B$10=""),0,IF($AA112=Screener!$B$10,1,0))</f>
        <v/>
      </c>
      <c r="AP112">
        <f>IF($G112="",0,MAX(0,1-(Screener!$B$12-$G112)/W_RECD))</f>
        <v/>
      </c>
      <c r="AQ112">
        <f>IF($B112=Screener!$B$3,-999999,W_SUB*AK112+W_SEC*AL112*(1-AK112)+W_SIZE*AM112+W_PROF*AN112+W_AH*AO112+W_REC*AP112)+ROW()/1000000</f>
        <v/>
      </c>
      <c r="AR112">
        <f>IF(OR('NEW DEAL'!$B$6="",$E112&lt;&gt;'NEW DEAL'!$B$6),-1,1+IF(OR($H112="",'NEW DEAL'!$B$7=""),0,MAX(0,1-ABS(LOG10($H112/'NEW DEAL'!$B$7))/W_SIZEHW)))+ROW()/1000000</f>
        <v/>
      </c>
    </row>
    <row r="113">
      <c r="A113" s="23" t="inlineStr">
        <is>
          <t>2246</t>
        </is>
      </c>
      <c r="B113" s="22" t="inlineStr">
        <is>
          <t>GOGOX</t>
        </is>
      </c>
      <c r="C113" s="22" t="inlineStr">
        <is>
          <t>快狗打車控股有限公司</t>
        </is>
      </c>
      <c r="D113" s="24" t="inlineStr">
        <is>
          <t>Industrials</t>
        </is>
      </c>
      <c r="E113" s="24" t="inlineStr">
        <is>
          <t>Logistics</t>
        </is>
      </c>
      <c r="F113" s="22" t="inlineStr">
        <is>
          <t>Standard</t>
        </is>
      </c>
      <c r="G113" s="25" t="n">
        <v>44736</v>
      </c>
      <c r="H113" s="26" t="n">
        <v>567.3</v>
      </c>
      <c r="I113" s="22" t="inlineStr">
        <is>
          <t>net proceeds</t>
        </is>
      </c>
      <c r="J113" s="27" t="n"/>
      <c r="K113" s="27" t="n">
        <v>21.5</v>
      </c>
      <c r="L113" s="27" t="n">
        <v>21.5</v>
      </c>
      <c r="M113" s="32" t="n"/>
      <c r="N113" s="29" t="inlineStr">
        <is>
          <t>Y</t>
        </is>
      </c>
      <c r="O113" s="26" t="n">
        <v>11123.5</v>
      </c>
      <c r="P113" s="30" t="n">
        <v>4.05</v>
      </c>
      <c r="Q113" s="31" t="n"/>
      <c r="R113" s="32" t="n">
        <v>-22.23</v>
      </c>
      <c r="S113" s="33" t="n">
        <v>10</v>
      </c>
      <c r="T113" s="32" t="n">
        <v>19.11</v>
      </c>
      <c r="U113" s="22" t="inlineStr">
        <is>
          <t>not-yet (at allotment)</t>
        </is>
      </c>
      <c r="V113" s="22" t="n"/>
      <c r="W113" s="31" t="n"/>
      <c r="X113" s="34" t="n">
        <v>19.1</v>
      </c>
      <c r="Y113" s="36" t="n">
        <v>583.4</v>
      </c>
      <c r="Z113" s="35" t="n"/>
      <c r="AA113" s="22" t="n"/>
      <c r="AB113" s="22" t="n"/>
      <c r="AC113" s="22" t="inlineStr">
        <is>
          <t>UBS Securities Hong Kong Limited; China International Capital Corporation Hong Kong Securities Limited; BOCOM International (Asia) Limited; ABCI Capital Limited</t>
        </is>
      </c>
      <c r="AD113" s="22" t="inlineStr">
        <is>
          <t>UBS AG Hong Kong Branch; China International Capital Corporation Hong Kong Securities Limited; BOCOM International Securities Limited; ABCI Capital Limited; Futu Securities International (Hong Kong) Limited; Zhongtai International Securities Limited; Fosun Hani Securities Limited</t>
        </is>
      </c>
      <c r="AE113" s="22" t="n"/>
      <c r="AK113">
        <f>IF(AND(Screener!$B$7&lt;&gt;"",$E113=Screener!$B$7),1,0)</f>
        <v/>
      </c>
      <c r="AL113">
        <f>IF(AND(Screener!$B$6&lt;&gt;"",$D113=Screener!$B$6),1,0)</f>
        <v/>
      </c>
      <c r="AM113">
        <f>IF(OR($H113="",Screener!$B$8=""),0,MAX(0,1-ABS(LOG10($H113/Screener!$B$8))/W_SIZEHW))</f>
        <v/>
      </c>
      <c r="AN113">
        <f>IF(OR($V113="",Screener!$B$9=""),0,IF($V113=Screener!$B$9,1,0))</f>
        <v/>
      </c>
      <c r="AO113">
        <f>IF(OR($AA113="",Screener!$B$10=""),0,IF($AA113=Screener!$B$10,1,0))</f>
        <v/>
      </c>
      <c r="AP113">
        <f>IF($G113="",0,MAX(0,1-(Screener!$B$12-$G113)/W_RECD))</f>
        <v/>
      </c>
      <c r="AQ113">
        <f>IF($B113=Screener!$B$3,-999999,W_SUB*AK113+W_SEC*AL113*(1-AK113)+W_SIZE*AM113+W_PROF*AN113+W_AH*AO113+W_REC*AP113)+ROW()/1000000</f>
        <v/>
      </c>
      <c r="AR113">
        <f>IF(OR('NEW DEAL'!$B$6="",$E113&lt;&gt;'NEW DEAL'!$B$6),-1,1+IF(OR($H113="",'NEW DEAL'!$B$7=""),0,MAX(0,1-ABS(LOG10($H113/'NEW DEAL'!$B$7))/W_SIZEHW)))+ROW()/1000000</f>
        <v/>
      </c>
    </row>
    <row r="114">
      <c r="A114" s="23" t="inlineStr">
        <is>
          <t>2167</t>
        </is>
      </c>
      <c r="B114" s="22" t="inlineStr">
        <is>
          <t>TI CLOUD</t>
        </is>
      </c>
      <c r="C114" s="22" t="inlineStr">
        <is>
          <t>天潤雲股份有限公司</t>
        </is>
      </c>
      <c r="D114" s="24" t="inlineStr">
        <is>
          <t>Tech/AI</t>
        </is>
      </c>
      <c r="E114" s="24" t="inlineStr">
        <is>
          <t>SaaS / enterprise software</t>
        </is>
      </c>
      <c r="F114" s="22" t="inlineStr">
        <is>
          <t>Standard</t>
        </is>
      </c>
      <c r="G114" s="25" t="n">
        <v>44742</v>
      </c>
      <c r="H114" s="26" t="n">
        <v>255.7</v>
      </c>
      <c r="I114" s="22" t="inlineStr">
        <is>
          <t>net proceeds</t>
        </is>
      </c>
      <c r="J114" s="27" t="n">
        <v>12.85</v>
      </c>
      <c r="K114" s="27" t="n">
        <v>13.85</v>
      </c>
      <c r="L114" s="27" t="n">
        <v>12.85</v>
      </c>
      <c r="M114" s="28" t="n">
        <v>0</v>
      </c>
      <c r="N114" s="29" t="inlineStr">
        <is>
          <t>N</t>
        </is>
      </c>
      <c r="O114" s="26" t="n">
        <v>1022.8</v>
      </c>
      <c r="P114" s="30" t="n">
        <v>1.17</v>
      </c>
      <c r="Q114" s="31" t="n"/>
      <c r="R114" s="32" t="n">
        <v>-0.08</v>
      </c>
      <c r="S114" s="33" t="n">
        <v>23.4</v>
      </c>
      <c r="T114" s="32" t="n">
        <v>8.09</v>
      </c>
      <c r="U114" s="22" t="inlineStr">
        <is>
          <t>not-yet (at allotment)</t>
        </is>
      </c>
      <c r="V114" s="29" t="inlineStr">
        <is>
          <t>Y</t>
        </is>
      </c>
      <c r="W114" s="34" t="n">
        <v>52.2</v>
      </c>
      <c r="X114" s="34" t="n">
        <v>2.3</v>
      </c>
      <c r="Y114" s="36" t="n">
        <v>442.1</v>
      </c>
      <c r="Z114" s="36" t="n">
        <v>19.6</v>
      </c>
      <c r="AA114" s="22" t="n"/>
      <c r="AB114" s="22" t="n"/>
      <c r="AC114" s="22" t="inlineStr">
        <is>
          <t>China International Capital Corporation Hong Kong Securities Limited</t>
        </is>
      </c>
      <c r="AD114" s="22" t="inlineStr">
        <is>
          <t>China International Capital Corporation Hong Kong Securities Limited; Macquarie Capital Limited; CMB International Capital Limited; DIRECTORS AND PARTIES INVOLVED IN THE GLOBAL OFFERING –1 1 5– BOCI Asia Limited; Shenwan Hongyuan Securities (H.K.) Limited; Tiger Brokers (HK) Global Limited; Futu Securities International (Hong Kong) Limited</t>
        </is>
      </c>
      <c r="AE114" s="22" t="n"/>
      <c r="AK114">
        <f>IF(AND(Screener!$B$7&lt;&gt;"",$E114=Screener!$B$7),1,0)</f>
        <v/>
      </c>
      <c r="AL114">
        <f>IF(AND(Screener!$B$6&lt;&gt;"",$D114=Screener!$B$6),1,0)</f>
        <v/>
      </c>
      <c r="AM114">
        <f>IF(OR($H114="",Screener!$B$8=""),0,MAX(0,1-ABS(LOG10($H114/Screener!$B$8))/W_SIZEHW))</f>
        <v/>
      </c>
      <c r="AN114">
        <f>IF(OR($V114="",Screener!$B$9=""),0,IF($V114=Screener!$B$9,1,0))</f>
        <v/>
      </c>
      <c r="AO114">
        <f>IF(OR($AA114="",Screener!$B$10=""),0,IF($AA114=Screener!$B$10,1,0))</f>
        <v/>
      </c>
      <c r="AP114">
        <f>IF($G114="",0,MAX(0,1-(Screener!$B$12-$G114)/W_RECD))</f>
        <v/>
      </c>
      <c r="AQ114">
        <f>IF($B114=Screener!$B$3,-999999,W_SUB*AK114+W_SEC*AL114*(1-AK114)+W_SIZE*AM114+W_PROF*AN114+W_AH*AO114+W_REC*AP114)+ROW()/1000000</f>
        <v/>
      </c>
      <c r="AR114">
        <f>IF(OR('NEW DEAL'!$B$6="",$E114&lt;&gt;'NEW DEAL'!$B$6),-1,1+IF(OR($H114="",'NEW DEAL'!$B$7=""),0,MAX(0,1-ABS(LOG10($H114/'NEW DEAL'!$B$7))/W_SIZEHW)))+ROW()/1000000</f>
        <v/>
      </c>
    </row>
    <row r="115">
      <c r="A115" s="23" t="inlineStr">
        <is>
          <t>2372</t>
        </is>
      </c>
      <c r="B115" s="22" t="inlineStr">
        <is>
          <t>WEILI HOLDINGS</t>
        </is>
      </c>
      <c r="C115" s="22" t="inlineStr">
        <is>
          <t>偉立控股有限公司</t>
        </is>
      </c>
      <c r="D115" s="24" t="inlineStr">
        <is>
          <t>Materials/Energy</t>
        </is>
      </c>
      <c r="E115" s="24" t="inlineStr">
        <is>
          <t>Chemicals</t>
        </is>
      </c>
      <c r="F115" s="22" t="inlineStr">
        <is>
          <t>Standard</t>
        </is>
      </c>
      <c r="G115" s="25" t="n">
        <v>44742</v>
      </c>
      <c r="H115" s="26" t="n">
        <v>90.3</v>
      </c>
      <c r="I115" s="22" t="inlineStr">
        <is>
          <t>net proceeds</t>
        </is>
      </c>
      <c r="J115" s="27" t="n">
        <v>0.63</v>
      </c>
      <c r="K115" s="41" t="n">
        <v>0.67</v>
      </c>
      <c r="L115" s="27" t="n">
        <v>0.63</v>
      </c>
      <c r="M115" s="28" t="n">
        <v>0</v>
      </c>
      <c r="N115" s="29" t="inlineStr">
        <is>
          <t>N</t>
        </is>
      </c>
      <c r="O115" s="35" t="n"/>
      <c r="P115" s="30" t="n">
        <v>11.37</v>
      </c>
      <c r="Q115" s="37" t="n">
        <v>1.29</v>
      </c>
      <c r="R115" s="32" t="n">
        <v>0</v>
      </c>
      <c r="S115" s="33" t="n">
        <v>0</v>
      </c>
      <c r="T115" s="32" t="n">
        <v>15</v>
      </c>
      <c r="U115" s="22" t="inlineStr">
        <is>
          <t>not-yet (at allotment)</t>
        </is>
      </c>
      <c r="V115" s="29" t="inlineStr">
        <is>
          <t>Y</t>
        </is>
      </c>
      <c r="W115" s="31" t="n"/>
      <c r="X115" s="31" t="n"/>
      <c r="Y115" s="36" t="n">
        <v>407.3</v>
      </c>
      <c r="Z115" s="36" t="n">
        <v>39.3</v>
      </c>
      <c r="AA115" s="22" t="n"/>
      <c r="AB115" s="22" t="n"/>
      <c r="AC115" s="22" t="n"/>
      <c r="AD115" s="22" t="inlineStr">
        <is>
          <t>Managers First Shanghai Securities Limited; CRIC Securities Company Limited; Zhongtai International Securities Limited</t>
        </is>
      </c>
      <c r="AE115" s="22" t="n"/>
      <c r="AK115">
        <f>IF(AND(Screener!$B$7&lt;&gt;"",$E115=Screener!$B$7),1,0)</f>
        <v/>
      </c>
      <c r="AL115">
        <f>IF(AND(Screener!$B$6&lt;&gt;"",$D115=Screener!$B$6),1,0)</f>
        <v/>
      </c>
      <c r="AM115">
        <f>IF(OR($H115="",Screener!$B$8=""),0,MAX(0,1-ABS(LOG10($H115/Screener!$B$8))/W_SIZEHW))</f>
        <v/>
      </c>
      <c r="AN115">
        <f>IF(OR($V115="",Screener!$B$9=""),0,IF($V115=Screener!$B$9,1,0))</f>
        <v/>
      </c>
      <c r="AO115">
        <f>IF(OR($AA115="",Screener!$B$10=""),0,IF($AA115=Screener!$B$10,1,0))</f>
        <v/>
      </c>
      <c r="AP115">
        <f>IF($G115="",0,MAX(0,1-(Screener!$B$12-$G115)/W_RECD))</f>
        <v/>
      </c>
      <c r="AQ115">
        <f>IF($B115=Screener!$B$3,-999999,W_SUB*AK115+W_SEC*AL115*(1-AK115)+W_SIZE*AM115+W_PROF*AN115+W_AH*AO115+W_REC*AP115)+ROW()/1000000</f>
        <v/>
      </c>
      <c r="AR115">
        <f>IF(OR('NEW DEAL'!$B$6="",$E115&lt;&gt;'NEW DEAL'!$B$6),-1,1+IF(OR($H115="",'NEW DEAL'!$B$7=""),0,MAX(0,1-ABS(LOG10($H115/'NEW DEAL'!$B$7))/W_SIZEHW)))+ROW()/1000000</f>
        <v/>
      </c>
    </row>
    <row r="116">
      <c r="A116" s="23" t="inlineStr">
        <is>
          <t>2391</t>
        </is>
      </c>
      <c r="B116" s="22" t="inlineStr">
        <is>
          <t>TUYA-W</t>
        </is>
      </c>
      <c r="C116" s="22" t="n"/>
      <c r="D116" s="24" t="inlineStr">
        <is>
          <t>Tech/AI</t>
        </is>
      </c>
      <c r="E116" s="24" t="inlineStr">
        <is>
          <t>SaaS / enterprise software</t>
        </is>
      </c>
      <c r="F116" s="38" t="inlineStr">
        <is>
          <t>WVR</t>
        </is>
      </c>
      <c r="G116" s="25" t="n">
        <v>44747</v>
      </c>
      <c r="H116" s="26" t="n">
        <v>70</v>
      </c>
      <c r="I116" s="22" t="inlineStr">
        <is>
          <t>net proceeds</t>
        </is>
      </c>
      <c r="J116" s="27" t="n"/>
      <c r="K116" s="27" t="n">
        <v>22.8</v>
      </c>
      <c r="L116" s="27" t="n">
        <v>19.3</v>
      </c>
      <c r="M116" s="32" t="n"/>
      <c r="N116" s="29" t="inlineStr">
        <is>
          <t>N</t>
        </is>
      </c>
      <c r="O116" s="36" t="n">
        <v>13190.9</v>
      </c>
      <c r="P116" s="30" t="n">
        <v>9.949999999999999</v>
      </c>
      <c r="Q116" s="31" t="n"/>
      <c r="R116" s="32" t="n">
        <v>0</v>
      </c>
      <c r="S116" s="33" t="n"/>
      <c r="T116" s="32" t="n">
        <v>10.33</v>
      </c>
      <c r="U116" s="22" t="inlineStr">
        <is>
          <t>not-yet (at allotment)</t>
        </is>
      </c>
      <c r="V116" s="29" t="inlineStr">
        <is>
          <t>N</t>
        </is>
      </c>
      <c r="W116" s="31" t="n"/>
      <c r="X116" s="34" t="n">
        <v>5.6</v>
      </c>
      <c r="Y116" s="36" t="n">
        <v>2356.2</v>
      </c>
      <c r="Z116" s="36" t="n">
        <v>-1368.3</v>
      </c>
      <c r="AA116" s="22" t="n"/>
      <c r="AB116" s="22" t="n"/>
      <c r="AC116" s="22" t="n"/>
      <c r="AD116" s="22" t="n"/>
      <c r="AE116" s="22" t="n"/>
      <c r="AK116">
        <f>IF(AND(Screener!$B$7&lt;&gt;"",$E116=Screener!$B$7),1,0)</f>
        <v/>
      </c>
      <c r="AL116">
        <f>IF(AND(Screener!$B$6&lt;&gt;"",$D116=Screener!$B$6),1,0)</f>
        <v/>
      </c>
      <c r="AM116">
        <f>IF(OR($H116="",Screener!$B$8=""),0,MAX(0,1-ABS(LOG10($H116/Screener!$B$8))/W_SIZEHW))</f>
        <v/>
      </c>
      <c r="AN116">
        <f>IF(OR($V116="",Screener!$B$9=""),0,IF($V116=Screener!$B$9,1,0))</f>
        <v/>
      </c>
      <c r="AO116">
        <f>IF(OR($AA116="",Screener!$B$10=""),0,IF($AA116=Screener!$B$10,1,0))</f>
        <v/>
      </c>
      <c r="AP116">
        <f>IF($G116="",0,MAX(0,1-(Screener!$B$12-$G116)/W_RECD))</f>
        <v/>
      </c>
      <c r="AQ116">
        <f>IF($B116=Screener!$B$3,-999999,W_SUB*AK116+W_SEC*AL116*(1-AK116)+W_SIZE*AM116+W_PROF*AN116+W_AH*AO116+W_REC*AP116)+ROW()/1000000</f>
        <v/>
      </c>
      <c r="AR116">
        <f>IF(OR('NEW DEAL'!$B$6="",$E116&lt;&gt;'NEW DEAL'!$B$6),-1,1+IF(OR($H116="",'NEW DEAL'!$B$7=""),0,MAX(0,1-ABS(LOG10($H116/'NEW DEAL'!$B$7))/W_SIZEHW)))+ROW()/1000000</f>
        <v/>
      </c>
    </row>
    <row r="117">
      <c r="A117" s="23" t="inlineStr">
        <is>
          <t>9955</t>
        </is>
      </c>
      <c r="B117" s="22" t="inlineStr">
        <is>
          <t>CLOUDR</t>
        </is>
      </c>
      <c r="C117" s="22" t="n"/>
      <c r="D117" s="24" t="inlineStr">
        <is>
          <t>Healthcare</t>
        </is>
      </c>
      <c r="E117" s="24" t="inlineStr">
        <is>
          <t>Digital health</t>
        </is>
      </c>
      <c r="F117" s="22" t="inlineStr">
        <is>
          <t>Standard</t>
        </is>
      </c>
      <c r="G117" s="25" t="n">
        <v>44748</v>
      </c>
      <c r="H117" s="26" t="n">
        <v>83.40000000000001</v>
      </c>
      <c r="I117" s="22" t="inlineStr">
        <is>
          <t>net proceeds</t>
        </is>
      </c>
      <c r="J117" s="27" t="n"/>
      <c r="K117" s="27" t="n"/>
      <c r="L117" s="27" t="n">
        <v>30.5</v>
      </c>
      <c r="M117" s="32" t="n"/>
      <c r="N117" s="22" t="n"/>
      <c r="O117" s="35" t="n"/>
      <c r="P117" s="30" t="n">
        <v>7.89</v>
      </c>
      <c r="Q117" s="31" t="n"/>
      <c r="R117" s="32" t="n">
        <v>-7.54</v>
      </c>
      <c r="S117" s="33" t="n">
        <v>60.96</v>
      </c>
      <c r="T117" s="32" t="n">
        <v>15.23</v>
      </c>
      <c r="U117" s="22" t="inlineStr">
        <is>
          <t>not-yet (at allotment)</t>
        </is>
      </c>
      <c r="V117" s="29" t="inlineStr">
        <is>
          <t>N</t>
        </is>
      </c>
      <c r="W117" s="31" t="n"/>
      <c r="X117" s="31" t="n"/>
      <c r="Y117" s="36" t="n">
        <v>1932.4</v>
      </c>
      <c r="Z117" s="36" t="n">
        <v>-3186.6</v>
      </c>
      <c r="AA117" s="22" t="n"/>
      <c r="AB117" s="22" t="n"/>
      <c r="AC117" s="22" t="inlineStr">
        <is>
          <t>Morgan Stanley Asia Limited; J.P. Morgan Securities (Far East) Limited; J.P. Morgan Securities (Asia Pacific) Limited; China International Capital Corporation Hong Kong Securities Limited</t>
        </is>
      </c>
      <c r="AD117" s="22" t="inlineStr">
        <is>
          <t>Morgan Stanley Asia Limited; J.P. Morgan Securities (Asia Pacific) Limited; China International Capital Corporation Hong Kong Securities Limited; CMB International Capital Limited; Managers Morgan Stanley Asia Limited; J.P. Morgan Securities plc; Hong Kong Securities Limited; Valuable Capital Limited</t>
        </is>
      </c>
      <c r="AE117" s="22" t="n"/>
      <c r="AK117">
        <f>IF(AND(Screener!$B$7&lt;&gt;"",$E117=Screener!$B$7),1,0)</f>
        <v/>
      </c>
      <c r="AL117">
        <f>IF(AND(Screener!$B$6&lt;&gt;"",$D117=Screener!$B$6),1,0)</f>
        <v/>
      </c>
      <c r="AM117">
        <f>IF(OR($H117="",Screener!$B$8=""),0,MAX(0,1-ABS(LOG10($H117/Screener!$B$8))/W_SIZEHW))</f>
        <v/>
      </c>
      <c r="AN117">
        <f>IF(OR($V117="",Screener!$B$9=""),0,IF($V117=Screener!$B$9,1,0))</f>
        <v/>
      </c>
      <c r="AO117">
        <f>IF(OR($AA117="",Screener!$B$10=""),0,IF($AA117=Screener!$B$10,1,0))</f>
        <v/>
      </c>
      <c r="AP117">
        <f>IF($G117="",0,MAX(0,1-(Screener!$B$12-$G117)/W_RECD))</f>
        <v/>
      </c>
      <c r="AQ117">
        <f>IF($B117=Screener!$B$3,-999999,W_SUB*AK117+W_SEC*AL117*(1-AK117)+W_SIZE*AM117+W_PROF*AN117+W_AH*AO117+W_REC*AP117)+ROW()/1000000</f>
        <v/>
      </c>
      <c r="AR117">
        <f>IF(OR('NEW DEAL'!$B$6="",$E117&lt;&gt;'NEW DEAL'!$B$6),-1,1+IF(OR($H117="",'NEW DEAL'!$B$7=""),0,MAX(0,1-ABS(LOG10($H117/'NEW DEAL'!$B$7))/W_SIZEHW)))+ROW()/1000000</f>
        <v/>
      </c>
    </row>
    <row r="118">
      <c r="A118" s="23" t="inlineStr">
        <is>
          <t>2376</t>
        </is>
      </c>
      <c r="B118" s="22" t="inlineStr">
        <is>
          <t>LUSHANGSERVICES</t>
        </is>
      </c>
      <c r="C118" s="22" t="inlineStr">
        <is>
          <t>魯商生活服務股份有限公司</t>
        </is>
      </c>
      <c r="D118" s="24" t="inlineStr">
        <is>
          <t>Real Estate</t>
        </is>
      </c>
      <c r="E118" s="24" t="inlineStr">
        <is>
          <t>Property management</t>
        </is>
      </c>
      <c r="F118" s="22" t="inlineStr">
        <is>
          <t>Standard</t>
        </is>
      </c>
      <c r="G118" s="25" t="n">
        <v>44750</v>
      </c>
      <c r="H118" s="26" t="n">
        <v>28.6</v>
      </c>
      <c r="I118" s="22" t="inlineStr">
        <is>
          <t>net proceeds</t>
        </is>
      </c>
      <c r="J118" s="27" t="n"/>
      <c r="K118" s="27" t="n">
        <v>7.92</v>
      </c>
      <c r="L118" s="27" t="n">
        <v>5.92</v>
      </c>
      <c r="M118" s="32" t="n"/>
      <c r="N118" s="29" t="inlineStr">
        <is>
          <t>N</t>
        </is>
      </c>
      <c r="O118" s="35" t="n"/>
      <c r="P118" s="30" t="n">
        <v>7.39</v>
      </c>
      <c r="Q118" s="31" t="n"/>
      <c r="R118" s="32" t="n">
        <v>-25.17</v>
      </c>
      <c r="S118" s="33" t="n">
        <v>0</v>
      </c>
      <c r="T118" s="32" t="n">
        <v>15</v>
      </c>
      <c r="U118" s="22" t="inlineStr">
        <is>
          <t>not-yet (at allotment)</t>
        </is>
      </c>
      <c r="V118" s="29" t="inlineStr">
        <is>
          <t>Y</t>
        </is>
      </c>
      <c r="W118" s="31" t="n"/>
      <c r="X118" s="31" t="n"/>
      <c r="Y118" s="36" t="n">
        <v>641.1</v>
      </c>
      <c r="Z118" s="36" t="n">
        <v>84.7</v>
      </c>
      <c r="AA118" s="22" t="n"/>
      <c r="AB118" s="22" t="n"/>
      <c r="AC118" s="22" t="inlineStr">
        <is>
          <t>ABCI Capital Limited</t>
        </is>
      </c>
      <c r="AD118" s="22" t="inlineStr">
        <is>
          <t>ABCI Capital Limited; Zhongtai International Securities Limited; China International Capital Corporation Hong Kong Securities Limited; Central, Hong Kong GF Securities (Hong Kong) Brokerage Limited; Wanchai, Hong Kong Guotai Junan Securities (Hong Kong) Limited; CMBC Securities Company Limited; Yue Xiu Securities Company Limited; Wanchai, Hong Kong China Chengtong (Hong Kong) Asset Management Company Limited; Wan Chai, Hong Kong Fortune (HK) Securities Limited; Eddid Securities and Futures Limited</t>
        </is>
      </c>
      <c r="AE118" s="22" t="n"/>
      <c r="AK118">
        <f>IF(AND(Screener!$B$7&lt;&gt;"",$E118=Screener!$B$7),1,0)</f>
        <v/>
      </c>
      <c r="AL118">
        <f>IF(AND(Screener!$B$6&lt;&gt;"",$D118=Screener!$B$6),1,0)</f>
        <v/>
      </c>
      <c r="AM118">
        <f>IF(OR($H118="",Screener!$B$8=""),0,MAX(0,1-ABS(LOG10($H118/Screener!$B$8))/W_SIZEHW))</f>
        <v/>
      </c>
      <c r="AN118">
        <f>IF(OR($V118="",Screener!$B$9=""),0,IF($V118=Screener!$B$9,1,0))</f>
        <v/>
      </c>
      <c r="AO118">
        <f>IF(OR($AA118="",Screener!$B$10=""),0,IF($AA118=Screener!$B$10,1,0))</f>
        <v/>
      </c>
      <c r="AP118">
        <f>IF($G118="",0,MAX(0,1-(Screener!$B$12-$G118)/W_RECD))</f>
        <v/>
      </c>
      <c r="AQ118">
        <f>IF($B118=Screener!$B$3,-999999,W_SUB*AK118+W_SEC*AL118*(1-AK118)+W_SIZE*AM118+W_PROF*AN118+W_AH*AO118+W_REC*AP118)+ROW()/1000000</f>
        <v/>
      </c>
      <c r="AR118">
        <f>IF(OR('NEW DEAL'!$B$6="",$E118&lt;&gt;'NEW DEAL'!$B$6),-1,1+IF(OR($H118="",'NEW DEAL'!$B$7=""),0,MAX(0,1-ABS(LOG10($H118/'NEW DEAL'!$B$7))/W_SIZEHW)))+ROW()/1000000</f>
        <v/>
      </c>
    </row>
    <row r="119">
      <c r="A119" s="23" t="inlineStr">
        <is>
          <t>2392</t>
        </is>
      </c>
      <c r="B119" s="22" t="inlineStr">
        <is>
          <t>XUANWU CLOUD</t>
        </is>
      </c>
      <c r="C119" s="22" t="n"/>
      <c r="D119" s="24" t="inlineStr">
        <is>
          <t>Tech/AI</t>
        </is>
      </c>
      <c r="E119" s="24" t="inlineStr">
        <is>
          <t>SaaS / enterprise software</t>
        </is>
      </c>
      <c r="F119" s="22" t="inlineStr">
        <is>
          <t>Standard</t>
        </is>
      </c>
      <c r="G119" s="25" t="n">
        <v>44750</v>
      </c>
      <c r="H119" s="26" t="n">
        <v>183.7</v>
      </c>
      <c r="I119" s="22" t="inlineStr">
        <is>
          <t>net proceeds</t>
        </is>
      </c>
      <c r="J119" s="27" t="n">
        <v>4.93</v>
      </c>
      <c r="K119" s="27" t="n">
        <v>6.91</v>
      </c>
      <c r="L119" s="27" t="n">
        <v>6.24</v>
      </c>
      <c r="M119" s="28" t="n">
        <v>66.2</v>
      </c>
      <c r="N119" s="29" t="inlineStr">
        <is>
          <t>N</t>
        </is>
      </c>
      <c r="O119" s="36" t="n">
        <v>2762.4</v>
      </c>
      <c r="P119" s="30" t="n">
        <v>42.13</v>
      </c>
      <c r="Q119" s="31" t="n"/>
      <c r="R119" s="32" t="n">
        <v>0.64</v>
      </c>
      <c r="S119" s="33" t="n">
        <v>27.2</v>
      </c>
      <c r="T119" s="32" t="n">
        <v>5.62</v>
      </c>
      <c r="U119" s="22" t="inlineStr">
        <is>
          <t>not-yet (at allotment)</t>
        </is>
      </c>
      <c r="V119" s="29" t="inlineStr">
        <is>
          <t>Y</t>
        </is>
      </c>
      <c r="W119" s="34" t="n">
        <v>85.8</v>
      </c>
      <c r="X119" s="34" t="n">
        <v>3.2</v>
      </c>
      <c r="Y119" s="36" t="n">
        <v>876.4</v>
      </c>
      <c r="Z119" s="36" t="n">
        <v>32.2</v>
      </c>
      <c r="AA119" s="22" t="n"/>
      <c r="AB119" s="22" t="n"/>
      <c r="AC119" s="22" t="inlineStr">
        <is>
          <t>CMB International Capital Limited</t>
        </is>
      </c>
      <c r="AD119" s="22" t="inlineStr">
        <is>
          <t>CMB International Capital Limited; Huatai Financial Holdings (Hong Kong) Limited; CLSA Limited; Guotai Junan Securities (Hong Kong) Limited; Citrus Securities Limited</t>
        </is>
      </c>
      <c r="AE119" s="22" t="n"/>
      <c r="AK119">
        <f>IF(AND(Screener!$B$7&lt;&gt;"",$E119=Screener!$B$7),1,0)</f>
        <v/>
      </c>
      <c r="AL119">
        <f>IF(AND(Screener!$B$6&lt;&gt;"",$D119=Screener!$B$6),1,0)</f>
        <v/>
      </c>
      <c r="AM119">
        <f>IF(OR($H119="",Screener!$B$8=""),0,MAX(0,1-ABS(LOG10($H119/Screener!$B$8))/W_SIZEHW))</f>
        <v/>
      </c>
      <c r="AN119">
        <f>IF(OR($V119="",Screener!$B$9=""),0,IF($V119=Screener!$B$9,1,0))</f>
        <v/>
      </c>
      <c r="AO119">
        <f>IF(OR($AA119="",Screener!$B$10=""),0,IF($AA119=Screener!$B$10,1,0))</f>
        <v/>
      </c>
      <c r="AP119">
        <f>IF($G119="",0,MAX(0,1-(Screener!$B$12-$G119)/W_RECD))</f>
        <v/>
      </c>
      <c r="AQ119">
        <f>IF($B119=Screener!$B$3,-999999,W_SUB*AK119+W_SEC*AL119*(1-AK119)+W_SIZE*AM119+W_PROF*AN119+W_AH*AO119+W_REC*AP119)+ROW()/1000000</f>
        <v/>
      </c>
      <c r="AR119">
        <f>IF(OR('NEW DEAL'!$B$6="",$E119&lt;&gt;'NEW DEAL'!$B$6),-1,1+IF(OR($H119="",'NEW DEAL'!$B$7=""),0,MAX(0,1-ABS(LOG10($H119/'NEW DEAL'!$B$7))/W_SIZEHW)))+ROW()/1000000</f>
        <v/>
      </c>
    </row>
    <row r="120">
      <c r="A120" s="23" t="inlineStr">
        <is>
          <t>2297</t>
        </is>
      </c>
      <c r="B120" s="22" t="inlineStr">
        <is>
          <t>RAINMED-B</t>
        </is>
      </c>
      <c r="C120" s="22" t="inlineStr">
        <is>
          <t>潤邁德醫療有限公司</t>
        </is>
      </c>
      <c r="D120" s="24" t="inlineStr">
        <is>
          <t>Healthcare</t>
        </is>
      </c>
      <c r="E120" s="24" t="inlineStr">
        <is>
          <t>Medical devices</t>
        </is>
      </c>
      <c r="F120" s="38" t="inlineStr">
        <is>
          <t>18A</t>
        </is>
      </c>
      <c r="G120" s="25" t="n">
        <v>44750</v>
      </c>
      <c r="H120" s="26" t="n">
        <v>78.90000000000001</v>
      </c>
      <c r="I120" s="22" t="inlineStr">
        <is>
          <t>net proceeds</t>
        </is>
      </c>
      <c r="J120" s="27" t="n"/>
      <c r="K120" s="27" t="n">
        <v>6.24</v>
      </c>
      <c r="L120" s="27" t="n">
        <v>6.24</v>
      </c>
      <c r="M120" s="32" t="n"/>
      <c r="N120" s="29" t="inlineStr">
        <is>
          <t>Y</t>
        </is>
      </c>
      <c r="O120" s="36" t="n">
        <v>4996</v>
      </c>
      <c r="P120" s="30" t="n">
        <v>6.35</v>
      </c>
      <c r="Q120" s="31" t="n"/>
      <c r="R120" s="32" t="n">
        <v>-15.38</v>
      </c>
      <c r="S120" s="33" t="n">
        <v>0</v>
      </c>
      <c r="T120" s="32" t="n">
        <v>18.4</v>
      </c>
      <c r="U120" s="22" t="inlineStr">
        <is>
          <t>not-yet (at allotment)</t>
        </is>
      </c>
      <c r="V120" s="29" t="inlineStr">
        <is>
          <t>N</t>
        </is>
      </c>
      <c r="W120" s="31" t="n"/>
      <c r="X120" s="34" t="n">
        <v>55.9</v>
      </c>
      <c r="Y120" s="36" t="n">
        <v>89.3</v>
      </c>
      <c r="Z120" s="36" t="n">
        <v>-697</v>
      </c>
      <c r="AA120" s="22" t="n"/>
      <c r="AB120" s="22" t="n"/>
      <c r="AC120" s="22" t="inlineStr">
        <is>
          <t>Huatai Financial Holdings (Hong Kong) Limited</t>
        </is>
      </c>
      <c r="AD120" s="22" t="inlineStr">
        <is>
          <t>Huatai Financial Holdings (Hong Kong) Limited; Zhongtai International Securities Limited; BOCOM International Securities Limited; Eddid Securities and Futures Limited</t>
        </is>
      </c>
      <c r="AE120" s="22" t="n"/>
      <c r="AK120">
        <f>IF(AND(Screener!$B$7&lt;&gt;"",$E120=Screener!$B$7),1,0)</f>
        <v/>
      </c>
      <c r="AL120">
        <f>IF(AND(Screener!$B$6&lt;&gt;"",$D120=Screener!$B$6),1,0)</f>
        <v/>
      </c>
      <c r="AM120">
        <f>IF(OR($H120="",Screener!$B$8=""),0,MAX(0,1-ABS(LOG10($H120/Screener!$B$8))/W_SIZEHW))</f>
        <v/>
      </c>
      <c r="AN120">
        <f>IF(OR($V120="",Screener!$B$9=""),0,IF($V120=Screener!$B$9,1,0))</f>
        <v/>
      </c>
      <c r="AO120">
        <f>IF(OR($AA120="",Screener!$B$10=""),0,IF($AA120=Screener!$B$10,1,0))</f>
        <v/>
      </c>
      <c r="AP120">
        <f>IF($G120="",0,MAX(0,1-(Screener!$B$12-$G120)/W_RECD))</f>
        <v/>
      </c>
      <c r="AQ120">
        <f>IF($B120=Screener!$B$3,-999999,W_SUB*AK120+W_SEC*AL120*(1-AK120)+W_SIZE*AM120+W_PROF*AN120+W_AH*AO120+W_REC*AP120)+ROW()/1000000</f>
        <v/>
      </c>
      <c r="AR120">
        <f>IF(OR('NEW DEAL'!$B$6="",$E120&lt;&gt;'NEW DEAL'!$B$6),-1,1+IF(OR($H120="",'NEW DEAL'!$B$7=""),0,MAX(0,1-ABS(LOG10($H120/'NEW DEAL'!$B$7))/W_SIZEHW)))+ROW()/1000000</f>
        <v/>
      </c>
    </row>
    <row r="121">
      <c r="A121" s="23" t="inlineStr">
        <is>
          <t>2361</t>
        </is>
      </c>
      <c r="B121" s="22" t="inlineStr">
        <is>
          <t>SINOHEALTH HLDG</t>
        </is>
      </c>
      <c r="C121" s="22" t="n"/>
      <c r="D121" s="24" t="inlineStr">
        <is>
          <t>Healthcare</t>
        </is>
      </c>
      <c r="E121" s="24" t="inlineStr">
        <is>
          <t>Digital health</t>
        </is>
      </c>
      <c r="F121" s="22" t="inlineStr">
        <is>
          <t>Standard</t>
        </is>
      </c>
      <c r="G121" s="25" t="n">
        <v>44754</v>
      </c>
      <c r="H121" s="26" t="n">
        <v>335.4</v>
      </c>
      <c r="I121" s="22" t="inlineStr">
        <is>
          <t>net proceeds</t>
        </is>
      </c>
      <c r="J121" s="27" t="n">
        <v>4.83</v>
      </c>
      <c r="K121" s="27" t="n"/>
      <c r="L121" s="27" t="n">
        <v>5.36</v>
      </c>
      <c r="M121" s="32" t="n"/>
      <c r="N121" s="22" t="n"/>
      <c r="O121" s="35" t="n"/>
      <c r="P121" s="30" t="n">
        <v>2.21</v>
      </c>
      <c r="Q121" s="37" t="n">
        <v>1.36</v>
      </c>
      <c r="R121" s="32" t="n">
        <v>0</v>
      </c>
      <c r="S121" s="33" t="n">
        <v>13.8</v>
      </c>
      <c r="T121" s="32" t="n">
        <v>16.6667</v>
      </c>
      <c r="U121" s="22" t="inlineStr">
        <is>
          <t>not-yet (at allotment)</t>
        </is>
      </c>
      <c r="V121" s="29" t="inlineStr">
        <is>
          <t>Y</t>
        </is>
      </c>
      <c r="W121" s="31" t="n"/>
      <c r="X121" s="31" t="n"/>
      <c r="Y121" s="36" t="n">
        <v>356.6</v>
      </c>
      <c r="Z121" s="36" t="n">
        <v>79.2</v>
      </c>
      <c r="AA121" s="22" t="n"/>
      <c r="AB121" s="22" t="n"/>
      <c r="AC121" s="22" t="inlineStr">
        <is>
          <t>and Sole Representative BNP Paribas Securities (Asia) Limited</t>
        </is>
      </c>
      <c r="AD121" s="22" t="inlineStr">
        <is>
          <t>BNP Paribas Securities (Asia) Limited; CCB International Capital Limited; Orient Securities (Hong Kong) Limited</t>
        </is>
      </c>
      <c r="AE121" s="22" t="n"/>
      <c r="AK121">
        <f>IF(AND(Screener!$B$7&lt;&gt;"",$E121=Screener!$B$7),1,0)</f>
        <v/>
      </c>
      <c r="AL121">
        <f>IF(AND(Screener!$B$6&lt;&gt;"",$D121=Screener!$B$6),1,0)</f>
        <v/>
      </c>
      <c r="AM121">
        <f>IF(OR($H121="",Screener!$B$8=""),0,MAX(0,1-ABS(LOG10($H121/Screener!$B$8))/W_SIZEHW))</f>
        <v/>
      </c>
      <c r="AN121">
        <f>IF(OR($V121="",Screener!$B$9=""),0,IF($V121=Screener!$B$9,1,0))</f>
        <v/>
      </c>
      <c r="AO121">
        <f>IF(OR($AA121="",Screener!$B$10=""),0,IF($AA121=Screener!$B$10,1,0))</f>
        <v/>
      </c>
      <c r="AP121">
        <f>IF($G121="",0,MAX(0,1-(Screener!$B$12-$G121)/W_RECD))</f>
        <v/>
      </c>
      <c r="AQ121">
        <f>IF($B121=Screener!$B$3,-999999,W_SUB*AK121+W_SEC*AL121*(1-AK121)+W_SIZE*AM121+W_PROF*AN121+W_AH*AO121+W_REC*AP121)+ROW()/1000000</f>
        <v/>
      </c>
      <c r="AR121">
        <f>IF(OR('NEW DEAL'!$B$6="",$E121&lt;&gt;'NEW DEAL'!$B$6),-1,1+IF(OR($H121="",'NEW DEAL'!$B$7=""),0,MAX(0,1-ABS(LOG10($H121/'NEW DEAL'!$B$7))/W_SIZEHW)))+ROW()/1000000</f>
        <v/>
      </c>
    </row>
    <row r="122">
      <c r="A122" s="23" t="inlineStr">
        <is>
          <t>2385</t>
        </is>
      </c>
      <c r="B122" s="22" t="inlineStr">
        <is>
          <t>READBOY</t>
        </is>
      </c>
      <c r="C122" s="22" t="inlineStr">
        <is>
          <t>讀書郎教育控股有限公司</t>
        </is>
      </c>
      <c r="D122" s="24" t="inlineStr">
        <is>
          <t>Tech/AI</t>
        </is>
      </c>
      <c r="E122" s="24" t="inlineStr">
        <is>
          <t>Smart hardware / consumer electronics</t>
        </is>
      </c>
      <c r="F122" s="22" t="inlineStr">
        <is>
          <t>Standard</t>
        </is>
      </c>
      <c r="G122" s="25" t="n">
        <v>44754</v>
      </c>
      <c r="H122" s="26" t="n">
        <v>364.6</v>
      </c>
      <c r="I122" s="22" t="inlineStr">
        <is>
          <t>net proceeds</t>
        </is>
      </c>
      <c r="J122" s="27" t="n"/>
      <c r="K122" s="27" t="n">
        <v>10</v>
      </c>
      <c r="L122" s="27" t="n">
        <v>7.6</v>
      </c>
      <c r="M122" s="32" t="n"/>
      <c r="N122" s="29" t="inlineStr">
        <is>
          <t>N</t>
        </is>
      </c>
      <c r="O122" s="26" t="n">
        <v>2196.4</v>
      </c>
      <c r="P122" s="30" t="n">
        <v>1.73</v>
      </c>
      <c r="Q122" s="31" t="n"/>
      <c r="R122" s="32" t="n">
        <v>-5.26</v>
      </c>
      <c r="S122" s="33" t="n">
        <v>54.22</v>
      </c>
      <c r="T122" s="32" t="n">
        <v>15</v>
      </c>
      <c r="U122" s="22" t="inlineStr">
        <is>
          <t>not-yet (at allotment)</t>
        </is>
      </c>
      <c r="V122" s="29" t="inlineStr">
        <is>
          <t>Y</t>
        </is>
      </c>
      <c r="W122" s="34" t="n">
        <v>24.3</v>
      </c>
      <c r="X122" s="34" t="n">
        <v>2.5</v>
      </c>
      <c r="Y122" s="36" t="n">
        <v>894.5</v>
      </c>
      <c r="Z122" s="36" t="n">
        <v>90.40000000000001</v>
      </c>
      <c r="AA122" s="22" t="n"/>
      <c r="AB122" s="22" t="n"/>
      <c r="AC122" s="22" t="inlineStr">
        <is>
          <t>China Securities (International) Corporate Finance Company Limited; Macquarie Capital Limited</t>
        </is>
      </c>
      <c r="AD122" s="22" t="inlineStr">
        <is>
          <t>China Securities (International) Corporate Finance Company Limited; Macquarie Capital Limited</t>
        </is>
      </c>
      <c r="AE122" s="22" t="n"/>
      <c r="AK122">
        <f>IF(AND(Screener!$B$7&lt;&gt;"",$E122=Screener!$B$7),1,0)</f>
        <v/>
      </c>
      <c r="AL122">
        <f>IF(AND(Screener!$B$6&lt;&gt;"",$D122=Screener!$B$6),1,0)</f>
        <v/>
      </c>
      <c r="AM122">
        <f>IF(OR($H122="",Screener!$B$8=""),0,MAX(0,1-ABS(LOG10($H122/Screener!$B$8))/W_SIZEHW))</f>
        <v/>
      </c>
      <c r="AN122">
        <f>IF(OR($V122="",Screener!$B$9=""),0,IF($V122=Screener!$B$9,1,0))</f>
        <v/>
      </c>
      <c r="AO122">
        <f>IF(OR($AA122="",Screener!$B$10=""),0,IF($AA122=Screener!$B$10,1,0))</f>
        <v/>
      </c>
      <c r="AP122">
        <f>IF($G122="",0,MAX(0,1-(Screener!$B$12-$G122)/W_RECD))</f>
        <v/>
      </c>
      <c r="AQ122">
        <f>IF($B122=Screener!$B$3,-999999,W_SUB*AK122+W_SEC*AL122*(1-AK122)+W_SIZE*AM122+W_PROF*AN122+W_AH*AO122+W_REC*AP122)+ROW()/1000000</f>
        <v/>
      </c>
      <c r="AR122">
        <f>IF(OR('NEW DEAL'!$B$6="",$E122&lt;&gt;'NEW DEAL'!$B$6),-1,1+IF(OR($H122="",'NEW DEAL'!$B$7=""),0,MAX(0,1-ABS(LOG10($H122/'NEW DEAL'!$B$7))/W_SIZEHW)))+ROW()/1000000</f>
        <v/>
      </c>
    </row>
    <row r="123">
      <c r="A123" s="23" t="inlineStr">
        <is>
          <t>9896</t>
        </is>
      </c>
      <c r="B123" s="22" t="inlineStr">
        <is>
          <t>MNSO</t>
        </is>
      </c>
      <c r="C123" s="22" t="n"/>
      <c r="D123" s="24" t="inlineStr">
        <is>
          <t>Consumer</t>
        </is>
      </c>
      <c r="E123" s="24" t="inlineStr">
        <is>
          <t>Retail / distribution</t>
        </is>
      </c>
      <c r="F123" s="22" t="inlineStr">
        <is>
          <t>Standard</t>
        </is>
      </c>
      <c r="G123" s="25" t="n">
        <v>44755</v>
      </c>
      <c r="H123" s="26" t="n">
        <v>475.7</v>
      </c>
      <c r="I123" s="22" t="inlineStr">
        <is>
          <t>net proceeds</t>
        </is>
      </c>
      <c r="J123" s="27" t="n"/>
      <c r="K123" s="27" t="n"/>
      <c r="L123" s="27" t="n">
        <v>13.8</v>
      </c>
      <c r="M123" s="32" t="n"/>
      <c r="N123" s="22" t="n"/>
      <c r="O123" s="26" t="n">
        <v>12856.8</v>
      </c>
      <c r="P123" s="30" t="n">
        <v>1.4</v>
      </c>
      <c r="Q123" s="31" t="n"/>
      <c r="R123" s="32" t="n">
        <v>-3.04</v>
      </c>
      <c r="S123" s="33" t="n"/>
      <c r="T123" s="32" t="n">
        <v>5</v>
      </c>
      <c r="U123" s="22" t="inlineStr">
        <is>
          <t>not-yet (at allotment)</t>
        </is>
      </c>
      <c r="V123" s="22" t="n"/>
      <c r="W123" s="31" t="n"/>
      <c r="X123" s="31" t="n"/>
      <c r="Y123" s="35" t="n"/>
      <c r="Z123" s="35" t="n"/>
      <c r="AA123" s="22" t="n"/>
      <c r="AB123" s="22" t="n"/>
      <c r="AC123" s="22" t="inlineStr">
        <is>
          <t>Merrill Lynch (Asia Pacific) Limited; Haitong International Capital Limited; UBS Securities Hong Kong Limited</t>
        </is>
      </c>
      <c r="AD123" s="22" t="inlineStr">
        <is>
          <t>Merrill Lynch (Asia Pacific) Limited; Haitong International Securities Company Limited; UBS AG Hong Kong Branch; Managers Merrill Lynch (Asia Pacific) Limited; UBS Securities LLC</t>
        </is>
      </c>
      <c r="AE123" s="22" t="n"/>
      <c r="AK123">
        <f>IF(AND(Screener!$B$7&lt;&gt;"",$E123=Screener!$B$7),1,0)</f>
        <v/>
      </c>
      <c r="AL123">
        <f>IF(AND(Screener!$B$6&lt;&gt;"",$D123=Screener!$B$6),1,0)</f>
        <v/>
      </c>
      <c r="AM123">
        <f>IF(OR($H123="",Screener!$B$8=""),0,MAX(0,1-ABS(LOG10($H123/Screener!$B$8))/W_SIZEHW))</f>
        <v/>
      </c>
      <c r="AN123">
        <f>IF(OR($V123="",Screener!$B$9=""),0,IF($V123=Screener!$B$9,1,0))</f>
        <v/>
      </c>
      <c r="AO123">
        <f>IF(OR($AA123="",Screener!$B$10=""),0,IF($AA123=Screener!$B$10,1,0))</f>
        <v/>
      </c>
      <c r="AP123">
        <f>IF($G123="",0,MAX(0,1-(Screener!$B$12-$G123)/W_RECD))</f>
        <v/>
      </c>
      <c r="AQ123">
        <f>IF($B123=Screener!$B$3,-999999,W_SUB*AK123+W_SEC*AL123*(1-AK123)+W_SIZE*AM123+W_PROF*AN123+W_AH*AO123+W_REC*AP123)+ROW()/1000000</f>
        <v/>
      </c>
      <c r="AR123">
        <f>IF(OR('NEW DEAL'!$B$6="",$E123&lt;&gt;'NEW DEAL'!$B$6),-1,1+IF(OR($H123="",'NEW DEAL'!$B$7=""),0,MAX(0,1-ABS(LOG10($H123/'NEW DEAL'!$B$7))/W_SIZEHW)))+ROW()/1000000</f>
        <v/>
      </c>
    </row>
    <row r="124">
      <c r="A124" s="23" t="inlineStr">
        <is>
          <t>6661</t>
        </is>
      </c>
      <c r="B124" s="22" t="inlineStr">
        <is>
          <t>HUZHOU GAS</t>
        </is>
      </c>
      <c r="C124" s="22" t="n"/>
      <c r="D124" s="24" t="inlineStr">
        <is>
          <t>Materials/Energy</t>
        </is>
      </c>
      <c r="E124" s="24" t="inlineStr">
        <is>
          <t>Oil &amp; gas / utilities</t>
        </is>
      </c>
      <c r="F124" s="22" t="inlineStr">
        <is>
          <t>Standard</t>
        </is>
      </c>
      <c r="G124" s="25" t="n">
        <v>44755</v>
      </c>
      <c r="H124" s="26" t="n">
        <v>44</v>
      </c>
      <c r="I124" s="22" t="inlineStr">
        <is>
          <t>net proceeds</t>
        </is>
      </c>
      <c r="J124" s="27" t="n"/>
      <c r="K124" s="27" t="n">
        <v>6.08</v>
      </c>
      <c r="L124" s="27" t="n">
        <v>6.08</v>
      </c>
      <c r="M124" s="32" t="n"/>
      <c r="N124" s="29" t="inlineStr">
        <is>
          <t>Y</t>
        </is>
      </c>
      <c r="O124" s="26" t="n">
        <v>158.8</v>
      </c>
      <c r="P124" s="30" t="n">
        <v>8.08</v>
      </c>
      <c r="Q124" s="37" t="n">
        <v>1.18</v>
      </c>
      <c r="R124" s="32" t="n">
        <v>-7.89</v>
      </c>
      <c r="S124" s="33" t="n">
        <v>18.9</v>
      </c>
      <c r="T124" s="32" t="n">
        <v>14.6</v>
      </c>
      <c r="U124" s="22" t="inlineStr">
        <is>
          <t>not-yet (at allotment)</t>
        </is>
      </c>
      <c r="V124" s="29" t="inlineStr">
        <is>
          <t>Y</t>
        </is>
      </c>
      <c r="W124" s="34" t="n">
        <v>0.9</v>
      </c>
      <c r="X124" s="34" t="n">
        <v>0.1</v>
      </c>
      <c r="Y124" s="36" t="n">
        <v>2044.6</v>
      </c>
      <c r="Z124" s="36" t="n">
        <v>183.4</v>
      </c>
      <c r="AA124" s="22" t="n"/>
      <c r="AB124" s="22" t="n"/>
      <c r="AC124" s="22" t="inlineStr">
        <is>
          <t>BOCOM International (Asia) Limited</t>
        </is>
      </c>
      <c r="AD124" s="22" t="inlineStr">
        <is>
          <t>Managers CEB International Capital Corporation Limited; China Everbright Securities (HK) Limited; Wanchai, Hong Kong China Industrial Securities International Capital Limited; Sheung Wan, Hong Kong China Tonghai Securities Limited; CMBC Securities Company Limited; Central, Hong Kong Guotai Junan Securities (Hong Kong) Limited; Zhongtai International Securities Limited</t>
        </is>
      </c>
      <c r="AE124" s="22" t="n"/>
      <c r="AK124">
        <f>IF(AND(Screener!$B$7&lt;&gt;"",$E124=Screener!$B$7),1,0)</f>
        <v/>
      </c>
      <c r="AL124">
        <f>IF(AND(Screener!$B$6&lt;&gt;"",$D124=Screener!$B$6),1,0)</f>
        <v/>
      </c>
      <c r="AM124">
        <f>IF(OR($H124="",Screener!$B$8=""),0,MAX(0,1-ABS(LOG10($H124/Screener!$B$8))/W_SIZEHW))</f>
        <v/>
      </c>
      <c r="AN124">
        <f>IF(OR($V124="",Screener!$B$9=""),0,IF($V124=Screener!$B$9,1,0))</f>
        <v/>
      </c>
      <c r="AO124">
        <f>IF(OR($AA124="",Screener!$B$10=""),0,IF($AA124=Screener!$B$10,1,0))</f>
        <v/>
      </c>
      <c r="AP124">
        <f>IF($G124="",0,MAX(0,1-(Screener!$B$12-$G124)/W_RECD))</f>
        <v/>
      </c>
      <c r="AQ124">
        <f>IF($B124=Screener!$B$3,-999999,W_SUB*AK124+W_SEC*AL124*(1-AK124)+W_SIZE*AM124+W_PROF*AN124+W_AH*AO124+W_REC*AP124)+ROW()/1000000</f>
        <v/>
      </c>
      <c r="AR124">
        <f>IF(OR('NEW DEAL'!$B$6="",$E124&lt;&gt;'NEW DEAL'!$B$6),-1,1+IF(OR($H124="",'NEW DEAL'!$B$7=""),0,MAX(0,1-ABS(LOG10($H124/'NEW DEAL'!$B$7))/W_SIZEHW)))+ROW()/1000000</f>
        <v/>
      </c>
    </row>
    <row r="125">
      <c r="A125" s="23" t="inlineStr">
        <is>
          <t>6686</t>
        </is>
      </c>
      <c r="B125" s="22" t="inlineStr">
        <is>
          <t>NOAH HOLDINGS-S</t>
        </is>
      </c>
      <c r="C125" s="22" t="inlineStr">
        <is>
          <t>諾亞控股私人財富資產管理有限公司</t>
        </is>
      </c>
      <c r="D125" s="24" t="inlineStr">
        <is>
          <t>Financials</t>
        </is>
      </c>
      <c r="E125" s="24" t="inlineStr">
        <is>
          <t>Brokers / asset management</t>
        </is>
      </c>
      <c r="F125" s="38" t="inlineStr">
        <is>
          <t>Secondary</t>
        </is>
      </c>
      <c r="G125" s="25" t="n">
        <v>44755</v>
      </c>
      <c r="H125" s="26" t="n">
        <v>270</v>
      </c>
      <c r="I125" s="22" t="inlineStr">
        <is>
          <t>net proceeds</t>
        </is>
      </c>
      <c r="J125" s="27" t="n"/>
      <c r="K125" s="27" t="n">
        <v>307</v>
      </c>
      <c r="L125" s="27" t="n">
        <v>292</v>
      </c>
      <c r="M125" s="32" t="n"/>
      <c r="N125" s="29" t="inlineStr">
        <is>
          <t>N</t>
        </is>
      </c>
      <c r="O125" s="36" t="n">
        <v>9575.1</v>
      </c>
      <c r="P125" s="30" t="n">
        <v>3.26</v>
      </c>
      <c r="Q125" s="31" t="n"/>
      <c r="R125" s="32" t="n">
        <v>-4.45</v>
      </c>
      <c r="S125" s="33" t="n">
        <v>0</v>
      </c>
      <c r="T125" s="32" t="n">
        <v>11.9</v>
      </c>
      <c r="U125" s="22" t="inlineStr">
        <is>
          <t>not-yet (at allotment)</t>
        </is>
      </c>
      <c r="V125" s="29" t="inlineStr">
        <is>
          <t>Y</t>
        </is>
      </c>
      <c r="W125" s="34" t="n">
        <v>5039.5</v>
      </c>
      <c r="X125" s="34" t="n">
        <v>2</v>
      </c>
      <c r="Y125" s="36" t="n">
        <v>4759.3</v>
      </c>
      <c r="Z125" s="36" t="n">
        <v>1.9</v>
      </c>
      <c r="AA125" s="22" t="n"/>
      <c r="AB125" s="22" t="n"/>
      <c r="AC125" s="22" t="inlineStr">
        <is>
          <t>and Sole Representative Goldman Sachs (Asia) L.L.C</t>
        </is>
      </c>
      <c r="AD125" s="22" t="inlineStr">
        <is>
          <t>Manager Futu Securities International (Hong Kong) Limited</t>
        </is>
      </c>
      <c r="AE125" s="22" t="n"/>
      <c r="AK125">
        <f>IF(AND(Screener!$B$7&lt;&gt;"",$E125=Screener!$B$7),1,0)</f>
        <v/>
      </c>
      <c r="AL125">
        <f>IF(AND(Screener!$B$6&lt;&gt;"",$D125=Screener!$B$6),1,0)</f>
        <v/>
      </c>
      <c r="AM125">
        <f>IF(OR($H125="",Screener!$B$8=""),0,MAX(0,1-ABS(LOG10($H125/Screener!$B$8))/W_SIZEHW))</f>
        <v/>
      </c>
      <c r="AN125">
        <f>IF(OR($V125="",Screener!$B$9=""),0,IF($V125=Screener!$B$9,1,0))</f>
        <v/>
      </c>
      <c r="AO125">
        <f>IF(OR($AA125="",Screener!$B$10=""),0,IF($AA125=Screener!$B$10,1,0))</f>
        <v/>
      </c>
      <c r="AP125">
        <f>IF($G125="",0,MAX(0,1-(Screener!$B$12-$G125)/W_RECD))</f>
        <v/>
      </c>
      <c r="AQ125">
        <f>IF($B125=Screener!$B$3,-999999,W_SUB*AK125+W_SEC*AL125*(1-AK125)+W_SIZE*AM125+W_PROF*AN125+W_AH*AO125+W_REC*AP125)+ROW()/1000000</f>
        <v/>
      </c>
      <c r="AR125">
        <f>IF(OR('NEW DEAL'!$B$6="",$E125&lt;&gt;'NEW DEAL'!$B$6),-1,1+IF(OR($H125="",'NEW DEAL'!$B$7=""),0,MAX(0,1-ABS(LOG10($H125/'NEW DEAL'!$B$7))/W_SIZEHW)))+ROW()/1000000</f>
        <v/>
      </c>
    </row>
    <row r="126">
      <c r="A126" s="23" t="inlineStr">
        <is>
          <t>9696</t>
        </is>
      </c>
      <c r="B126" s="22" t="inlineStr">
        <is>
          <t>TIANQI LITHIUM</t>
        </is>
      </c>
      <c r="C126" s="22" t="n"/>
      <c r="D126" s="24" t="inlineStr">
        <is>
          <t>Materials/Energy</t>
        </is>
      </c>
      <c r="E126" s="24" t="inlineStr">
        <is>
          <t>Mining / metals</t>
        </is>
      </c>
      <c r="F126" s="22" t="inlineStr">
        <is>
          <t>Standard</t>
        </is>
      </c>
      <c r="G126" s="25" t="n">
        <v>44755</v>
      </c>
      <c r="H126" s="26" t="n">
        <v>13062</v>
      </c>
      <c r="I126" s="22" t="inlineStr">
        <is>
          <t>net proceeds</t>
        </is>
      </c>
      <c r="J126" s="27" t="n">
        <v>69</v>
      </c>
      <c r="K126" s="27" t="n">
        <v>82</v>
      </c>
      <c r="L126" s="27" t="n">
        <v>82</v>
      </c>
      <c r="M126" s="28" t="n">
        <v>100</v>
      </c>
      <c r="N126" s="22" t="inlineStr">
        <is>
          <t>Y</t>
        </is>
      </c>
      <c r="O126" s="26" t="n">
        <v>115592.9</v>
      </c>
      <c r="P126" s="30" t="n">
        <v>9.300000000000001</v>
      </c>
      <c r="Q126" s="31" t="n"/>
      <c r="R126" s="32" t="n">
        <v>0</v>
      </c>
      <c r="S126" s="33" t="n">
        <v>43.3</v>
      </c>
      <c r="T126" s="32" t="n">
        <v>15</v>
      </c>
      <c r="U126" s="22" t="inlineStr">
        <is>
          <t>not-yet (at allotment)</t>
        </is>
      </c>
      <c r="V126" s="29" t="inlineStr">
        <is>
          <t>Y</t>
        </is>
      </c>
      <c r="W126" s="34" t="n">
        <v>22</v>
      </c>
      <c r="X126" s="34" t="n">
        <v>13761.1</v>
      </c>
      <c r="Y126" s="36" t="n">
        <v>8.4</v>
      </c>
      <c r="Z126" s="36" t="n">
        <v>5258.7</v>
      </c>
      <c r="AA126" s="22" t="inlineStr">
        <is>
          <t>Y</t>
        </is>
      </c>
      <c r="AB126" s="22" t="inlineStr">
        <is>
          <t>002466.SZ</t>
        </is>
      </c>
      <c r="AC126" s="22" t="inlineStr">
        <is>
          <t>Morgan Stanley Asia Limited; China International Capital Corporation Hong Kong Securities Limited; CMB International Capital Limited</t>
        </is>
      </c>
      <c r="AD126" s="22" t="inlineStr">
        <is>
          <t>Morgan Stanley Asia Limited; CMB International Capital Limited; BNP Paribas Securities (Asia) Limited; Credit Suisse (Hong Kong) Limited; Manager Morgan Stanley Asia Limited; China International Capital Corporation Hong Kong Securities Limited; Banco BTG Pactual S.A. – Cayman Branch; Futu Securities International (Hong Kong) Limited; Huatai Financial Holdings (Hong Kong) Limited</t>
        </is>
      </c>
      <c r="AE126" s="22" t="n"/>
      <c r="AK126">
        <f>IF(AND(Screener!$B$7&lt;&gt;"",$E126=Screener!$B$7),1,0)</f>
        <v/>
      </c>
      <c r="AL126">
        <f>IF(AND(Screener!$B$6&lt;&gt;"",$D126=Screener!$B$6),1,0)</f>
        <v/>
      </c>
      <c r="AM126">
        <f>IF(OR($H126="",Screener!$B$8=""),0,MAX(0,1-ABS(LOG10($H126/Screener!$B$8))/W_SIZEHW))</f>
        <v/>
      </c>
      <c r="AN126">
        <f>IF(OR($V126="",Screener!$B$9=""),0,IF($V126=Screener!$B$9,1,0))</f>
        <v/>
      </c>
      <c r="AO126">
        <f>IF(OR($AA126="",Screener!$B$10=""),0,IF($AA126=Screener!$B$10,1,0))</f>
        <v/>
      </c>
      <c r="AP126">
        <f>IF($G126="",0,MAX(0,1-(Screener!$B$12-$G126)/W_RECD))</f>
        <v/>
      </c>
      <c r="AQ126">
        <f>IF($B126=Screener!$B$3,-999999,W_SUB*AK126+W_SEC*AL126*(1-AK126)+W_SIZE*AM126+W_PROF*AN126+W_AH*AO126+W_REC*AP126)+ROW()/1000000</f>
        <v/>
      </c>
      <c r="AR126">
        <f>IF(OR('NEW DEAL'!$B$6="",$E126&lt;&gt;'NEW DEAL'!$B$6),-1,1+IF(OR($H126="",'NEW DEAL'!$B$7=""),0,MAX(0,1-ABS(LOG10($H126/'NEW DEAL'!$B$7))/W_SIZEHW)))+ROW()/1000000</f>
        <v/>
      </c>
    </row>
    <row r="127">
      <c r="A127" s="23" t="inlineStr">
        <is>
          <t>2418</t>
        </is>
      </c>
      <c r="B127" s="22" t="inlineStr">
        <is>
          <t>DEEWIN</t>
        </is>
      </c>
      <c r="C127" s="22" t="n"/>
      <c r="D127" s="24" t="inlineStr">
        <is>
          <t>Industrials</t>
        </is>
      </c>
      <c r="E127" s="24" t="inlineStr">
        <is>
          <t>Logistics</t>
        </is>
      </c>
      <c r="F127" s="22" t="inlineStr">
        <is>
          <t>Standard</t>
        </is>
      </c>
      <c r="G127" s="25" t="n">
        <v>44757</v>
      </c>
      <c r="H127" s="26" t="n">
        <v>891.9</v>
      </c>
      <c r="I127" s="22" t="inlineStr">
        <is>
          <t>net proceeds</t>
        </is>
      </c>
      <c r="J127" s="27" t="n">
        <v>1.78</v>
      </c>
      <c r="K127" s="27" t="n">
        <v>2.13</v>
      </c>
      <c r="L127" s="27" t="n">
        <v>1.8</v>
      </c>
      <c r="M127" s="28" t="n">
        <v>5.7</v>
      </c>
      <c r="N127" s="29" t="inlineStr">
        <is>
          <t>N</t>
        </is>
      </c>
      <c r="O127" s="26" t="n">
        <v>3567.6</v>
      </c>
      <c r="P127" s="30" t="n">
        <v>0.42</v>
      </c>
      <c r="Q127" s="31" t="n"/>
      <c r="R127" s="32" t="n">
        <v>0</v>
      </c>
      <c r="S127" s="33" t="n">
        <v>21.12</v>
      </c>
      <c r="T127" s="32" t="n">
        <v>5.28</v>
      </c>
      <c r="U127" s="22" t="inlineStr">
        <is>
          <t>not-yet (at allotment)</t>
        </is>
      </c>
      <c r="V127" s="29" t="inlineStr">
        <is>
          <t>Y</t>
        </is>
      </c>
      <c r="W127" s="34" t="n">
        <v>8.800000000000001</v>
      </c>
      <c r="X127" s="34" t="n">
        <v>1</v>
      </c>
      <c r="Y127" s="36" t="n">
        <v>3439.5</v>
      </c>
      <c r="Z127" s="36" t="n">
        <v>405.6</v>
      </c>
      <c r="AA127" s="22" t="n"/>
      <c r="AB127" s="22" t="n"/>
      <c r="AC127" s="22" t="n"/>
      <c r="AD127" s="22" t="inlineStr">
        <is>
          <t>China Securities (International) Corporate Finance Company Limited; Huatai Financial Holdings (Hong Kong) Limited; CEB International Capital Corporation Limited; BOCI Asia Limited; Futu Securities International (Hong Kong) Limited; Tiger Brokers (HK) Global Limited; Livermore Holdings Limited; Guotai Junan Securities (Hong Kong) Limited; Eddid Securities and Futures Limited</t>
        </is>
      </c>
      <c r="AE127" s="22" t="n"/>
      <c r="AK127">
        <f>IF(AND(Screener!$B$7&lt;&gt;"",$E127=Screener!$B$7),1,0)</f>
        <v/>
      </c>
      <c r="AL127">
        <f>IF(AND(Screener!$B$6&lt;&gt;"",$D127=Screener!$B$6),1,0)</f>
        <v/>
      </c>
      <c r="AM127">
        <f>IF(OR($H127="",Screener!$B$8=""),0,MAX(0,1-ABS(LOG10($H127/Screener!$B$8))/W_SIZEHW))</f>
        <v/>
      </c>
      <c r="AN127">
        <f>IF(OR($V127="",Screener!$B$9=""),0,IF($V127=Screener!$B$9,1,0))</f>
        <v/>
      </c>
      <c r="AO127">
        <f>IF(OR($AA127="",Screener!$B$10=""),0,IF($AA127=Screener!$B$10,1,0))</f>
        <v/>
      </c>
      <c r="AP127">
        <f>IF($G127="",0,MAX(0,1-(Screener!$B$12-$G127)/W_RECD))</f>
        <v/>
      </c>
      <c r="AQ127">
        <f>IF($B127=Screener!$B$3,-999999,W_SUB*AK127+W_SEC*AL127*(1-AK127)+W_SIZE*AM127+W_PROF*AN127+W_AH*AO127+W_REC*AP127)+ROW()/1000000</f>
        <v/>
      </c>
      <c r="AR127">
        <f>IF(OR('NEW DEAL'!$B$6="",$E127&lt;&gt;'NEW DEAL'!$B$6),-1,1+IF(OR($H127="",'NEW DEAL'!$B$7=""),0,MAX(0,1-ABS(LOG10($H127/'NEW DEAL'!$B$7))/W_SIZEHW)))+ROW()/1000000</f>
        <v/>
      </c>
    </row>
    <row r="128">
      <c r="A128" s="23" t="inlineStr">
        <is>
          <t>1204</t>
        </is>
      </c>
      <c r="B128" s="22" t="inlineStr">
        <is>
          <t>BOARDWARE INTEL</t>
        </is>
      </c>
      <c r="C128" s="22" t="n"/>
      <c r="D128" s="24" t="inlineStr">
        <is>
          <t>Tech/AI</t>
        </is>
      </c>
      <c r="E128" s="24" t="inlineStr">
        <is>
          <t>SaaS / enterprise software</t>
        </is>
      </c>
      <c r="F128" s="22" t="inlineStr">
        <is>
          <t>Standard</t>
        </is>
      </c>
      <c r="G128" s="25" t="n">
        <v>44757</v>
      </c>
      <c r="H128" s="26" t="n">
        <v>94.09999999999999</v>
      </c>
      <c r="I128" s="22" t="inlineStr">
        <is>
          <t>net proceeds</t>
        </is>
      </c>
      <c r="J128" s="27" t="n">
        <v>1.08</v>
      </c>
      <c r="K128" s="27" t="n">
        <v>1.26</v>
      </c>
      <c r="L128" s="27" t="n">
        <v>1.08</v>
      </c>
      <c r="M128" s="28" t="n">
        <v>0</v>
      </c>
      <c r="N128" s="22" t="inlineStr">
        <is>
          <t>N</t>
        </is>
      </c>
      <c r="O128" s="26" t="n">
        <v>418.2</v>
      </c>
      <c r="P128" s="30" t="n">
        <v>10.69</v>
      </c>
      <c r="Q128" s="37" t="n">
        <v>1.03</v>
      </c>
      <c r="R128" s="32" t="n">
        <v>12.96</v>
      </c>
      <c r="S128" s="33" t="n">
        <v>71.59999999999999</v>
      </c>
      <c r="T128" s="32" t="n">
        <v>15</v>
      </c>
      <c r="U128" s="22" t="inlineStr">
        <is>
          <t>not-yet (at allotment)</t>
        </is>
      </c>
      <c r="V128" s="29" t="inlineStr">
        <is>
          <t>Y</t>
        </is>
      </c>
      <c r="W128" s="34" t="n">
        <v>17.4</v>
      </c>
      <c r="X128" s="34" t="n">
        <v>0.8</v>
      </c>
      <c r="Y128" s="36" t="n">
        <v>534.3</v>
      </c>
      <c r="Z128" s="36" t="n">
        <v>24</v>
      </c>
      <c r="AA128" s="22" t="n"/>
      <c r="AB128" s="22" t="n"/>
      <c r="AC128" s="22" t="inlineStr">
        <is>
          <t>China Tonghai Capital Limited</t>
        </is>
      </c>
      <c r="AD128" s="22" t="inlineStr">
        <is>
          <t>China Tonghai Securities Limited; Blackwell Global Securities Limited; Wanchai, Hong Kong BOCOM International Securities Limited; CCB International Capital Limited; Central, Hong Kong China Galaxy International Securities (Hong Kong) Co., Limited; CMBC Securities Company Limited; Central, Hong Kong Eddid Securities and Futures Limited; Central, Hong Kong Fortune (HK) Securities Limited; Innovax Securities Limited; Wan Chai, Hong Kong Zhongtai International Securities Limited</t>
        </is>
      </c>
      <c r="AE128" s="22" t="n"/>
      <c r="AK128">
        <f>IF(AND(Screener!$B$7&lt;&gt;"",$E128=Screener!$B$7),1,0)</f>
        <v/>
      </c>
      <c r="AL128">
        <f>IF(AND(Screener!$B$6&lt;&gt;"",$D128=Screener!$B$6),1,0)</f>
        <v/>
      </c>
      <c r="AM128">
        <f>IF(OR($H128="",Screener!$B$8=""),0,MAX(0,1-ABS(LOG10($H128/Screener!$B$8))/W_SIZEHW))</f>
        <v/>
      </c>
      <c r="AN128">
        <f>IF(OR($V128="",Screener!$B$9=""),0,IF($V128=Screener!$B$9,1,0))</f>
        <v/>
      </c>
      <c r="AO128">
        <f>IF(OR($AA128="",Screener!$B$10=""),0,IF($AA128=Screener!$B$10,1,0))</f>
        <v/>
      </c>
      <c r="AP128">
        <f>IF($G128="",0,MAX(0,1-(Screener!$B$12-$G128)/W_RECD))</f>
        <v/>
      </c>
      <c r="AQ128">
        <f>IF($B128=Screener!$B$3,-999999,W_SUB*AK128+W_SEC*AL128*(1-AK128)+W_SIZE*AM128+W_PROF*AN128+W_AH*AO128+W_REC*AP128)+ROW()/1000000</f>
        <v/>
      </c>
      <c r="AR128">
        <f>IF(OR('NEW DEAL'!$B$6="",$E128&lt;&gt;'NEW DEAL'!$B$6),-1,1+IF(OR($H128="",'NEW DEAL'!$B$7=""),0,MAX(0,1-ABS(LOG10($H128/'NEW DEAL'!$B$7))/W_SIZEHW)))+ROW()/1000000</f>
        <v/>
      </c>
    </row>
    <row r="129">
      <c r="A129" s="23" t="inlineStr">
        <is>
          <t>2172</t>
        </is>
      </c>
      <c r="B129" s="22" t="inlineStr">
        <is>
          <t>MICROPORT NEURO</t>
        </is>
      </c>
      <c r="C129" s="22" t="n"/>
      <c r="D129" s="24" t="inlineStr">
        <is>
          <t>Healthcare</t>
        </is>
      </c>
      <c r="E129" s="24" t="inlineStr">
        <is>
          <t>Medical devices</t>
        </is>
      </c>
      <c r="F129" s="22" t="inlineStr">
        <is>
          <t>Standard</t>
        </is>
      </c>
      <c r="G129" s="25" t="n">
        <v>44757</v>
      </c>
      <c r="H129" s="26" t="n">
        <v>303.8</v>
      </c>
      <c r="I129" s="22" t="inlineStr">
        <is>
          <t>gross (price x shares)</t>
        </is>
      </c>
      <c r="J129" s="27" t="n"/>
      <c r="K129" s="27" t="n"/>
      <c r="L129" s="27" t="n">
        <v>24.64</v>
      </c>
      <c r="M129" s="32" t="n"/>
      <c r="N129" s="22" t="n"/>
      <c r="O129" s="35" t="n"/>
      <c r="P129" s="30" t="n">
        <v>45.27</v>
      </c>
      <c r="Q129" s="31" t="n"/>
      <c r="R129" s="32" t="n">
        <v>-0.16</v>
      </c>
      <c r="S129" s="33" t="n">
        <v>61.9</v>
      </c>
      <c r="T129" s="32" t="n">
        <v>10.97</v>
      </c>
      <c r="U129" s="22" t="inlineStr">
        <is>
          <t>not-yet (at allotment)</t>
        </is>
      </c>
      <c r="V129" s="29" t="inlineStr">
        <is>
          <t>Y</t>
        </is>
      </c>
      <c r="W129" s="31" t="n"/>
      <c r="X129" s="31" t="n"/>
      <c r="Y129" s="36" t="n">
        <v>421.1</v>
      </c>
      <c r="Z129" s="36" t="n">
        <v>26.6</v>
      </c>
      <c r="AA129" s="22" t="n"/>
      <c r="AB129" s="22" t="n"/>
      <c r="AC129" s="22" t="inlineStr">
        <is>
          <t>J.P. Morgan Securities (Far East) Limited; China International Capital Corporation Hong Kong Securities Limited</t>
        </is>
      </c>
      <c r="AD129" s="22" t="inlineStr">
        <is>
          <t>J.P. Morgan Securities (Asia Pacific) Limited; China International Capital Corporation Hong Kong Securities Limited; J.P. Morgan Securities plc; Futu Securities International (Hong Kong) Limited; Livermore Holdings Limited</t>
        </is>
      </c>
      <c r="AE129" s="22" t="n"/>
      <c r="AK129">
        <f>IF(AND(Screener!$B$7&lt;&gt;"",$E129=Screener!$B$7),1,0)</f>
        <v/>
      </c>
      <c r="AL129">
        <f>IF(AND(Screener!$B$6&lt;&gt;"",$D129=Screener!$B$6),1,0)</f>
        <v/>
      </c>
      <c r="AM129">
        <f>IF(OR($H129="",Screener!$B$8=""),0,MAX(0,1-ABS(LOG10($H129/Screener!$B$8))/W_SIZEHW))</f>
        <v/>
      </c>
      <c r="AN129">
        <f>IF(OR($V129="",Screener!$B$9=""),0,IF($V129=Screener!$B$9,1,0))</f>
        <v/>
      </c>
      <c r="AO129">
        <f>IF(OR($AA129="",Screener!$B$10=""),0,IF($AA129=Screener!$B$10,1,0))</f>
        <v/>
      </c>
      <c r="AP129">
        <f>IF($G129="",0,MAX(0,1-(Screener!$B$12-$G129)/W_RECD))</f>
        <v/>
      </c>
      <c r="AQ129">
        <f>IF($B129=Screener!$B$3,-999999,W_SUB*AK129+W_SEC*AL129*(1-AK129)+W_SIZE*AM129+W_PROF*AN129+W_AH*AO129+W_REC*AP129)+ROW()/1000000</f>
        <v/>
      </c>
      <c r="AR129">
        <f>IF(OR('NEW DEAL'!$B$6="",$E129&lt;&gt;'NEW DEAL'!$B$6),-1,1+IF(OR($H129="",'NEW DEAL'!$B$7=""),0,MAX(0,1-ABS(LOG10($H129/'NEW DEAL'!$B$7))/W_SIZEHW)))+ROW()/1000000</f>
        <v/>
      </c>
    </row>
    <row r="130">
      <c r="A130" s="23" t="inlineStr">
        <is>
          <t>2237</t>
        </is>
      </c>
      <c r="B130" s="22" t="inlineStr">
        <is>
          <t>CHINA GRAPHITE</t>
        </is>
      </c>
      <c r="C130" s="22" t="n"/>
      <c r="D130" s="24" t="inlineStr">
        <is>
          <t>Materials/Energy</t>
        </is>
      </c>
      <c r="E130" s="24" t="inlineStr">
        <is>
          <t>Mining / metals</t>
        </is>
      </c>
      <c r="F130" s="22" t="inlineStr">
        <is>
          <t>Standard</t>
        </is>
      </c>
      <c r="G130" s="25" t="n">
        <v>44758</v>
      </c>
      <c r="H130" s="26" t="n">
        <v>83.8</v>
      </c>
      <c r="I130" s="22" t="inlineStr">
        <is>
          <t>net proceeds</t>
        </is>
      </c>
      <c r="J130" s="27" t="n"/>
      <c r="K130" s="27" t="n">
        <v>0.375</v>
      </c>
      <c r="L130" s="27" t="n">
        <v>0.325</v>
      </c>
      <c r="M130" s="32" t="n"/>
      <c r="N130" s="29" t="inlineStr">
        <is>
          <t>N</t>
        </is>
      </c>
      <c r="O130" s="26" t="n">
        <v>335.2</v>
      </c>
      <c r="P130" s="30" t="n">
        <v>50</v>
      </c>
      <c r="Q130" s="37" t="n">
        <v>6</v>
      </c>
      <c r="R130" s="32" t="n">
        <v>143.08</v>
      </c>
      <c r="S130" s="33" t="n"/>
      <c r="T130" s="32" t="n">
        <v>15</v>
      </c>
      <c r="U130" s="22" t="inlineStr">
        <is>
          <t>not-yet (at allotment)</t>
        </is>
      </c>
      <c r="V130" s="29" t="inlineStr">
        <is>
          <t>Y</t>
        </is>
      </c>
      <c r="W130" s="34" t="n">
        <v>5.7</v>
      </c>
      <c r="X130" s="34" t="n">
        <v>1.5</v>
      </c>
      <c r="Y130" s="36" t="n">
        <v>218.2</v>
      </c>
      <c r="Z130" s="36" t="n">
        <v>58.7</v>
      </c>
      <c r="AA130" s="22" t="n"/>
      <c r="AB130" s="22" t="n"/>
      <c r="AC130" s="22" t="inlineStr">
        <is>
          <t>Lego Corporate Finance Limited</t>
        </is>
      </c>
      <c r="AD130" s="22" t="inlineStr">
        <is>
          <t>China Galaxy Internati onal Securities (Hong Kong) Co., Limited; China Tonghai Securities Limited; Guotai Junan Securities (Hong Kong) Limited</t>
        </is>
      </c>
      <c r="AE130" s="22" t="n"/>
      <c r="AK130">
        <f>IF(AND(Screener!$B$7&lt;&gt;"",$E130=Screener!$B$7),1,0)</f>
        <v/>
      </c>
      <c r="AL130">
        <f>IF(AND(Screener!$B$6&lt;&gt;"",$D130=Screener!$B$6),1,0)</f>
        <v/>
      </c>
      <c r="AM130">
        <f>IF(OR($H130="",Screener!$B$8=""),0,MAX(0,1-ABS(LOG10($H130/Screener!$B$8))/W_SIZEHW))</f>
        <v/>
      </c>
      <c r="AN130">
        <f>IF(OR($V130="",Screener!$B$9=""),0,IF($V130=Screener!$B$9,1,0))</f>
        <v/>
      </c>
      <c r="AO130">
        <f>IF(OR($AA130="",Screener!$B$10=""),0,IF($AA130=Screener!$B$10,1,0))</f>
        <v/>
      </c>
      <c r="AP130">
        <f>IF($G130="",0,MAX(0,1-(Screener!$B$12-$G130)/W_RECD))</f>
        <v/>
      </c>
      <c r="AQ130">
        <f>IF($B130=Screener!$B$3,-999999,W_SUB*AK130+W_SEC*AL130*(1-AK130)+W_SIZE*AM130+W_PROF*AN130+W_AH*AO130+W_REC*AP130)+ROW()/1000000</f>
        <v/>
      </c>
      <c r="AR130">
        <f>IF(OR('NEW DEAL'!$B$6="",$E130&lt;&gt;'NEW DEAL'!$B$6),-1,1+IF(OR($H130="",'NEW DEAL'!$B$7=""),0,MAX(0,1-ABS(LOG10($H130/'NEW DEAL'!$B$7))/W_SIZEHW)))+ROW()/1000000</f>
        <v/>
      </c>
    </row>
    <row r="131">
      <c r="A131" s="23" t="inlineStr">
        <is>
          <t>9857</t>
        </is>
      </c>
      <c r="B131" s="22" t="inlineStr">
        <is>
          <t>LINMON MEDIA</t>
        </is>
      </c>
      <c r="C131" s="22" t="n"/>
      <c r="D131" s="24" t="inlineStr">
        <is>
          <t>TMT-other</t>
        </is>
      </c>
      <c r="E131" s="24" t="inlineStr">
        <is>
          <t>Media / advertising</t>
        </is>
      </c>
      <c r="F131" s="22" t="inlineStr">
        <is>
          <t>Standard</t>
        </is>
      </c>
      <c r="G131" s="25" t="n">
        <v>44783</v>
      </c>
      <c r="H131" s="26" t="n">
        <v>322.5</v>
      </c>
      <c r="I131" s="22" t="inlineStr">
        <is>
          <t>net proceeds</t>
        </is>
      </c>
      <c r="J131" s="27" t="n">
        <v>27.75</v>
      </c>
      <c r="K131" s="27" t="n">
        <v>33.3</v>
      </c>
      <c r="L131" s="27" t="n">
        <v>27.75</v>
      </c>
      <c r="M131" s="28" t="n">
        <v>0</v>
      </c>
      <c r="N131" s="29" t="inlineStr">
        <is>
          <t>N</t>
        </is>
      </c>
      <c r="O131" s="36" t="n">
        <v>10002.7</v>
      </c>
      <c r="P131" s="30" t="n">
        <v>0.8100000000000001</v>
      </c>
      <c r="Q131" s="31" t="n"/>
      <c r="R131" s="32" t="n">
        <v>-2.7</v>
      </c>
      <c r="S131" s="33" t="n">
        <v>16.23</v>
      </c>
      <c r="T131" s="32" t="n">
        <v>20</v>
      </c>
      <c r="U131" s="22" t="inlineStr">
        <is>
          <t>not-yet (at allotment)</t>
        </is>
      </c>
      <c r="V131" s="22" t="n"/>
      <c r="W131" s="31" t="n"/>
      <c r="X131" s="34" t="n">
        <v>7.3</v>
      </c>
      <c r="Y131" s="36" t="n">
        <v>1373.9</v>
      </c>
      <c r="Z131" s="35" t="n"/>
      <c r="AA131" s="22" t="n"/>
      <c r="AB131" s="22" t="n"/>
      <c r="AC131" s="22" t="inlineStr">
        <is>
          <t>Morgan Stanley Asia Limited; China International Capital Corporation Hong Kong Securities Limited</t>
        </is>
      </c>
      <c r="AD131" s="22" t="inlineStr">
        <is>
          <t>Morgan Stanley Asia Limited; China International Capital Corporation Hong Kong Securities Limited; CMB International Capital Limited; Futu Securities International (Hong Kong) Limited</t>
        </is>
      </c>
      <c r="AE131" s="22" t="n"/>
      <c r="AK131">
        <f>IF(AND(Screener!$B$7&lt;&gt;"",$E131=Screener!$B$7),1,0)</f>
        <v/>
      </c>
      <c r="AL131">
        <f>IF(AND(Screener!$B$6&lt;&gt;"",$D131=Screener!$B$6),1,0)</f>
        <v/>
      </c>
      <c r="AM131">
        <f>IF(OR($H131="",Screener!$B$8=""),0,MAX(0,1-ABS(LOG10($H131/Screener!$B$8))/W_SIZEHW))</f>
        <v/>
      </c>
      <c r="AN131">
        <f>IF(OR($V131="",Screener!$B$9=""),0,IF($V131=Screener!$B$9,1,0))</f>
        <v/>
      </c>
      <c r="AO131">
        <f>IF(OR($AA131="",Screener!$B$10=""),0,IF($AA131=Screener!$B$10,1,0))</f>
        <v/>
      </c>
      <c r="AP131">
        <f>IF($G131="",0,MAX(0,1-(Screener!$B$12-$G131)/W_RECD))</f>
        <v/>
      </c>
      <c r="AQ131">
        <f>IF($B131=Screener!$B$3,-999999,W_SUB*AK131+W_SEC*AL131*(1-AK131)+W_SIZE*AM131+W_PROF*AN131+W_AH*AO131+W_REC*AP131)+ROW()/1000000</f>
        <v/>
      </c>
      <c r="AR131">
        <f>IF(OR('NEW DEAL'!$B$6="",$E131&lt;&gt;'NEW DEAL'!$B$6),-1,1+IF(OR($H131="",'NEW DEAL'!$B$7=""),0,MAX(0,1-ABS(LOG10($H131/'NEW DEAL'!$B$7))/W_SIZEHW)))+ROW()/1000000</f>
        <v/>
      </c>
    </row>
    <row r="132">
      <c r="A132" s="23" t="inlineStr">
        <is>
          <t>2321</t>
        </is>
      </c>
      <c r="B132" s="22" t="inlineStr">
        <is>
          <t>SWANGCHAICHUAN</t>
        </is>
      </c>
      <c r="C132" s="22" t="inlineStr">
        <is>
          <t>雙財莊有限公司</t>
        </is>
      </c>
      <c r="D132" s="24" t="inlineStr">
        <is>
          <t>Materials/Energy</t>
        </is>
      </c>
      <c r="E132" s="24" t="inlineStr">
        <is>
          <t>Oil &amp; gas / utilities</t>
        </is>
      </c>
      <c r="F132" s="22" t="inlineStr">
        <is>
          <t>Standard</t>
        </is>
      </c>
      <c r="G132" s="25" t="n">
        <v>44792</v>
      </c>
      <c r="H132" s="26" t="n">
        <v>87</v>
      </c>
      <c r="I132" s="22" t="inlineStr">
        <is>
          <t>net proceeds</t>
        </is>
      </c>
      <c r="J132" s="27" t="n">
        <v>0.52</v>
      </c>
      <c r="K132" s="27" t="n">
        <v>0.5600000000000001</v>
      </c>
      <c r="L132" s="27" t="n">
        <v>0.5600000000000001</v>
      </c>
      <c r="M132" s="28" t="n">
        <v>100</v>
      </c>
      <c r="N132" s="29" t="inlineStr">
        <is>
          <t>Y</t>
        </is>
      </c>
      <c r="O132" s="26" t="n">
        <v>314.1</v>
      </c>
      <c r="P132" s="30" t="n">
        <v>19.2</v>
      </c>
      <c r="Q132" s="31" t="n"/>
      <c r="R132" s="32" t="n">
        <v>41.07</v>
      </c>
      <c r="S132" s="33" t="n">
        <v>38.4</v>
      </c>
      <c r="T132" s="32" t="n">
        <v>15</v>
      </c>
      <c r="U132" s="22" t="inlineStr">
        <is>
          <t>not-yet (at allotment)</t>
        </is>
      </c>
      <c r="V132" s="29" t="inlineStr">
        <is>
          <t>Y</t>
        </is>
      </c>
      <c r="W132" s="34" t="n">
        <v>13.3</v>
      </c>
      <c r="X132" s="34" t="n">
        <v>0.5</v>
      </c>
      <c r="Y132" s="36" t="n">
        <v>668.7</v>
      </c>
      <c r="Z132" s="36" t="n">
        <v>23.6</v>
      </c>
      <c r="AA132" s="22" t="n"/>
      <c r="AB132" s="22" t="n"/>
      <c r="AC132" s="22" t="inlineStr">
        <is>
          <t>Sunny Fortune Capital Limited</t>
        </is>
      </c>
      <c r="AD132" s="22" t="inlineStr">
        <is>
          <t>Sunny Fortune Capital Limited; Elstone Securities Limited; BOCOM International Securities Limited; Central, Hong Kong China Galaxy International Securities (Hong Kong) Co., Limited; CMBC Securities Company Limited; Central, Hong Kong Haitong International Securities Company Limited; Phillip Securities (Hong Kong) Limited</t>
        </is>
      </c>
      <c r="AE132" s="22" t="n"/>
      <c r="AK132">
        <f>IF(AND(Screener!$B$7&lt;&gt;"",$E132=Screener!$B$7),1,0)</f>
        <v/>
      </c>
      <c r="AL132">
        <f>IF(AND(Screener!$B$6&lt;&gt;"",$D132=Screener!$B$6),1,0)</f>
        <v/>
      </c>
      <c r="AM132">
        <f>IF(OR($H132="",Screener!$B$8=""),0,MAX(0,1-ABS(LOG10($H132/Screener!$B$8))/W_SIZEHW))</f>
        <v/>
      </c>
      <c r="AN132">
        <f>IF(OR($V132="",Screener!$B$9=""),0,IF($V132=Screener!$B$9,1,0))</f>
        <v/>
      </c>
      <c r="AO132">
        <f>IF(OR($AA132="",Screener!$B$10=""),0,IF($AA132=Screener!$B$10,1,0))</f>
        <v/>
      </c>
      <c r="AP132">
        <f>IF($G132="",0,MAX(0,1-(Screener!$B$12-$G132)/W_RECD))</f>
        <v/>
      </c>
      <c r="AQ132">
        <f>IF($B132=Screener!$B$3,-999999,W_SUB*AK132+W_SEC*AL132*(1-AK132)+W_SIZE*AM132+W_PROF*AN132+W_AH*AO132+W_REC*AP132)+ROW()/1000000</f>
        <v/>
      </c>
      <c r="AR132">
        <f>IF(OR('NEW DEAL'!$B$6="",$E132&lt;&gt;'NEW DEAL'!$B$6),-1,1+IF(OR($H132="",'NEW DEAL'!$B$7=""),0,MAX(0,1-ABS(LOG10($H132/'NEW DEAL'!$B$7))/W_SIZEHW)))+ROW()/1000000</f>
        <v/>
      </c>
    </row>
    <row r="133">
      <c r="A133" s="23" t="inlineStr">
        <is>
          <t>2152</t>
        </is>
      </c>
      <c r="B133" s="22" t="inlineStr">
        <is>
          <t>SUXIN SERVICES</t>
        </is>
      </c>
      <c r="C133" s="22" t="inlineStr">
        <is>
          <t>蘇新美好生活服務股份有限公司</t>
        </is>
      </c>
      <c r="D133" s="24" t="inlineStr">
        <is>
          <t>Real Estate</t>
        </is>
      </c>
      <c r="E133" s="24" t="inlineStr">
        <is>
          <t>Property management</t>
        </is>
      </c>
      <c r="F133" s="22" t="inlineStr">
        <is>
          <t>Standard</t>
        </is>
      </c>
      <c r="G133" s="25" t="n">
        <v>44797</v>
      </c>
      <c r="H133" s="26" t="n">
        <v>193.5</v>
      </c>
      <c r="I133" s="22" t="inlineStr">
        <is>
          <t>gross (price x shares)</t>
        </is>
      </c>
      <c r="J133" s="27" t="n">
        <v>8.6</v>
      </c>
      <c r="K133" s="27" t="n">
        <v>9.6</v>
      </c>
      <c r="L133" s="27" t="n">
        <v>8.6</v>
      </c>
      <c r="M133" s="28" t="n">
        <v>0</v>
      </c>
      <c r="N133" s="29" t="inlineStr">
        <is>
          <t>N</t>
        </is>
      </c>
      <c r="O133" s="26" t="n">
        <v>7740</v>
      </c>
      <c r="P133" s="30" t="n">
        <v>0.71</v>
      </c>
      <c r="Q133" s="31" t="n"/>
      <c r="R133" s="32" t="n">
        <v>-0.12</v>
      </c>
      <c r="S133" s="33" t="n">
        <v>7.1</v>
      </c>
      <c r="T133" s="32" t="n">
        <v>17.55</v>
      </c>
      <c r="U133" s="22" t="inlineStr">
        <is>
          <t>not-yet (at allotment)</t>
        </is>
      </c>
      <c r="V133" s="29" t="inlineStr">
        <is>
          <t>Y</t>
        </is>
      </c>
      <c r="W133" s="34" t="n">
        <v>124.4</v>
      </c>
      <c r="X133" s="34" t="n">
        <v>15.2</v>
      </c>
      <c r="Y133" s="36" t="n">
        <v>508.2</v>
      </c>
      <c r="Z133" s="36" t="n">
        <v>62.2</v>
      </c>
      <c r="AA133" s="22" t="n"/>
      <c r="AB133" s="22" t="n"/>
      <c r="AC133" s="22" t="inlineStr">
        <is>
          <t>BOCOM International (Asia) Limited; Central, Hong Kong Sole Representative BOCOM International Securities Limited</t>
        </is>
      </c>
      <c r="AD133" s="22" t="inlineStr">
        <is>
          <t>Haitong International Securities Company Limited; China Everbright Securities (HK) Limited; Wanchai, Hong Kong CEB International Capital Corporation Limited; Central, Hong Kong CMBC Securities Company Limited; Central, Hong Kong Essence International Securities (Hong Kong) Limited; Central, Hong Kong ABCI Capital Limited</t>
        </is>
      </c>
      <c r="AE133" s="22" t="n"/>
      <c r="AK133">
        <f>IF(AND(Screener!$B$7&lt;&gt;"",$E133=Screener!$B$7),1,0)</f>
        <v/>
      </c>
      <c r="AL133">
        <f>IF(AND(Screener!$B$6&lt;&gt;"",$D133=Screener!$B$6),1,0)</f>
        <v/>
      </c>
      <c r="AM133">
        <f>IF(OR($H133="",Screener!$B$8=""),0,MAX(0,1-ABS(LOG10($H133/Screener!$B$8))/W_SIZEHW))</f>
        <v/>
      </c>
      <c r="AN133">
        <f>IF(OR($V133="",Screener!$B$9=""),0,IF($V133=Screener!$B$9,1,0))</f>
        <v/>
      </c>
      <c r="AO133">
        <f>IF(OR($AA133="",Screener!$B$10=""),0,IF($AA133=Screener!$B$10,1,0))</f>
        <v/>
      </c>
      <c r="AP133">
        <f>IF($G133="",0,MAX(0,1-(Screener!$B$12-$G133)/W_RECD))</f>
        <v/>
      </c>
      <c r="AQ133">
        <f>IF($B133=Screener!$B$3,-999999,W_SUB*AK133+W_SEC*AL133*(1-AK133)+W_SIZE*AM133+W_PROF*AN133+W_AH*AO133+W_REC*AP133)+ROW()/1000000</f>
        <v/>
      </c>
      <c r="AR133">
        <f>IF(OR('NEW DEAL'!$B$6="",$E133&lt;&gt;'NEW DEAL'!$B$6),-1,1+IF(OR($H133="",'NEW DEAL'!$B$7=""),0,MAX(0,1-ABS(LOG10($H133/'NEW DEAL'!$B$7))/W_SIZEHW)))+ROW()/1000000</f>
        <v/>
      </c>
    </row>
    <row r="134">
      <c r="A134" s="23" t="inlineStr">
        <is>
          <t>1880</t>
        </is>
      </c>
      <c r="B134" s="22" t="inlineStr">
        <is>
          <t>CTG DUTY-FREE</t>
        </is>
      </c>
      <c r="C134" s="22" t="n"/>
      <c r="D134" s="24" t="inlineStr">
        <is>
          <t>Consumer</t>
        </is>
      </c>
      <c r="E134" s="24" t="inlineStr">
        <is>
          <t>Retail / distribution</t>
        </is>
      </c>
      <c r="F134" s="22" t="inlineStr">
        <is>
          <t>Standard</t>
        </is>
      </c>
      <c r="G134" s="25" t="n">
        <v>44798</v>
      </c>
      <c r="H134" s="26" t="n">
        <v>15892.3</v>
      </c>
      <c r="I134" s="22" t="inlineStr">
        <is>
          <t>net proceeds</t>
        </is>
      </c>
      <c r="J134" s="27" t="n"/>
      <c r="K134" s="27" t="n"/>
      <c r="L134" s="27" t="n">
        <v>158</v>
      </c>
      <c r="M134" s="32" t="n"/>
      <c r="N134" s="22" t="n"/>
      <c r="O134" s="35" t="n"/>
      <c r="P134" s="30" t="n">
        <v>1.06</v>
      </c>
      <c r="Q134" s="31" t="n"/>
      <c r="R134" s="32" t="n">
        <v>0</v>
      </c>
      <c r="S134" s="33" t="n"/>
      <c r="T134" s="32" t="n"/>
      <c r="U134" s="22" t="inlineStr">
        <is>
          <t>not-yet (at allotment)</t>
        </is>
      </c>
      <c r="V134" s="22" t="n"/>
      <c r="W134" s="31" t="n"/>
      <c r="X134" s="31" t="n"/>
      <c r="Y134" s="35" t="n"/>
      <c r="Z134" s="35" t="n"/>
      <c r="AA134" s="22" t="inlineStr">
        <is>
          <t>Y</t>
        </is>
      </c>
      <c r="AB134" s="22" t="inlineStr">
        <is>
          <t>601888.SS</t>
        </is>
      </c>
      <c r="AC134" s="22" t="n"/>
      <c r="AD134" s="22" t="n"/>
      <c r="AE134" s="22" t="n"/>
      <c r="AK134">
        <f>IF(AND(Screener!$B$7&lt;&gt;"",$E134=Screener!$B$7),1,0)</f>
        <v/>
      </c>
      <c r="AL134">
        <f>IF(AND(Screener!$B$6&lt;&gt;"",$D134=Screener!$B$6),1,0)</f>
        <v/>
      </c>
      <c r="AM134">
        <f>IF(OR($H134="",Screener!$B$8=""),0,MAX(0,1-ABS(LOG10($H134/Screener!$B$8))/W_SIZEHW))</f>
        <v/>
      </c>
      <c r="AN134">
        <f>IF(OR($V134="",Screener!$B$9=""),0,IF($V134=Screener!$B$9,1,0))</f>
        <v/>
      </c>
      <c r="AO134">
        <f>IF(OR($AA134="",Screener!$B$10=""),0,IF($AA134=Screener!$B$10,1,0))</f>
        <v/>
      </c>
      <c r="AP134">
        <f>IF($G134="",0,MAX(0,1-(Screener!$B$12-$G134)/W_RECD))</f>
        <v/>
      </c>
      <c r="AQ134">
        <f>IF($B134=Screener!$B$3,-999999,W_SUB*AK134+W_SEC*AL134*(1-AK134)+W_SIZE*AM134+W_PROF*AN134+W_AH*AO134+W_REC*AP134)+ROW()/1000000</f>
        <v/>
      </c>
      <c r="AR134">
        <f>IF(OR('NEW DEAL'!$B$6="",$E134&lt;&gt;'NEW DEAL'!$B$6),-1,1+IF(OR($H134="",'NEW DEAL'!$B$7=""),0,MAX(0,1-ABS(LOG10($H134/'NEW DEAL'!$B$7))/W_SIZEHW)))+ROW()/1000000</f>
        <v/>
      </c>
    </row>
    <row r="135">
      <c r="A135" s="23" t="inlineStr">
        <is>
          <t>2315</t>
        </is>
      </c>
      <c r="B135" s="22" t="inlineStr">
        <is>
          <t>BIOCYTOGEN-B</t>
        </is>
      </c>
      <c r="C135" s="22" t="n"/>
      <c r="D135" s="24" t="inlineStr">
        <is>
          <t>Healthcare</t>
        </is>
      </c>
      <c r="E135" s="24" t="inlineStr">
        <is>
          <t>Biotech pre-revenue (18A)</t>
        </is>
      </c>
      <c r="F135" s="38" t="inlineStr">
        <is>
          <t>18A</t>
        </is>
      </c>
      <c r="G135" s="25" t="n">
        <v>44805</v>
      </c>
      <c r="H135" s="26" t="n">
        <v>16.9</v>
      </c>
      <c r="I135" s="22" t="inlineStr">
        <is>
          <t>gross (stated)</t>
        </is>
      </c>
      <c r="J135" s="27" t="n"/>
      <c r="K135" s="27" t="n">
        <v>25.22</v>
      </c>
      <c r="L135" s="27" t="n">
        <v>25.22</v>
      </c>
      <c r="M135" s="32" t="n"/>
      <c r="N135" s="29" t="inlineStr">
        <is>
          <t>Y</t>
        </is>
      </c>
      <c r="O135" s="36" t="n">
        <v>10004.5</v>
      </c>
      <c r="P135" s="30" t="n">
        <v>5.93</v>
      </c>
      <c r="Q135" s="31" t="n"/>
      <c r="R135" s="32" t="n">
        <v>3.09</v>
      </c>
      <c r="S135" s="33" t="n">
        <v>71.14</v>
      </c>
      <c r="T135" s="32" t="n">
        <v>14.1</v>
      </c>
      <c r="U135" s="22" t="inlineStr">
        <is>
          <t>not-yet (at allotment)</t>
        </is>
      </c>
      <c r="V135" s="22" t="n"/>
      <c r="W135" s="31" t="n"/>
      <c r="X135" s="31" t="n"/>
      <c r="Y135" s="35" t="n"/>
      <c r="Z135" s="35" t="n"/>
      <c r="AA135" s="22" t="inlineStr">
        <is>
          <t>Y</t>
        </is>
      </c>
      <c r="AB135" s="22" t="inlineStr">
        <is>
          <t>688796.SS</t>
        </is>
      </c>
      <c r="AC135" s="22" t="inlineStr">
        <is>
          <t>Goldman Sachs (Asia) L.L.C; China International Capital Corporation Hong Kong Securities Limited</t>
        </is>
      </c>
      <c r="AD135" s="22" t="inlineStr">
        <is>
          <t>Goldman Sachs (Asia) L.L.C; Securities Limited; CMB International Capital Limited; CLSA Limited; China International Capital Corporation Hong Kong Securities Limited; Futu Securities International (Hong Kong) Limited; Valuable Capital Limited; Haitong International Securities Company Limited</t>
        </is>
      </c>
      <c r="AE135" s="22" t="n"/>
      <c r="AK135">
        <f>IF(AND(Screener!$B$7&lt;&gt;"",$E135=Screener!$B$7),1,0)</f>
        <v/>
      </c>
      <c r="AL135">
        <f>IF(AND(Screener!$B$6&lt;&gt;"",$D135=Screener!$B$6),1,0)</f>
        <v/>
      </c>
      <c r="AM135">
        <f>IF(OR($H135="",Screener!$B$8=""),0,MAX(0,1-ABS(LOG10($H135/Screener!$B$8))/W_SIZEHW))</f>
        <v/>
      </c>
      <c r="AN135">
        <f>IF(OR($V135="",Screener!$B$9=""),0,IF($V135=Screener!$B$9,1,0))</f>
        <v/>
      </c>
      <c r="AO135">
        <f>IF(OR($AA135="",Screener!$B$10=""),0,IF($AA135=Screener!$B$10,1,0))</f>
        <v/>
      </c>
      <c r="AP135">
        <f>IF($G135="",0,MAX(0,1-(Screener!$B$12-$G135)/W_RECD))</f>
        <v/>
      </c>
      <c r="AQ135">
        <f>IF($B135=Screener!$B$3,-999999,W_SUB*AK135+W_SEC*AL135*(1-AK135)+W_SIZE*AM135+W_PROF*AN135+W_AH*AO135+W_REC*AP135)+ROW()/1000000</f>
        <v/>
      </c>
      <c r="AR135">
        <f>IF(OR('NEW DEAL'!$B$6="",$E135&lt;&gt;'NEW DEAL'!$B$6),-1,1+IF(OR($H135="",'NEW DEAL'!$B$7=""),0,MAX(0,1-ABS(LOG10($H135/'NEW DEAL'!$B$7))/W_SIZEHW)))+ROW()/1000000</f>
        <v/>
      </c>
    </row>
    <row r="136">
      <c r="A136" s="23" t="inlineStr">
        <is>
          <t>9886</t>
        </is>
      </c>
      <c r="B136" s="22" t="inlineStr">
        <is>
          <t>DINGDANG HEALTH</t>
        </is>
      </c>
      <c r="C136" s="22" t="inlineStr">
        <is>
          <t>叮噹健康科技集團有限公司</t>
        </is>
      </c>
      <c r="D136" s="24" t="inlineStr">
        <is>
          <t>Healthcare</t>
        </is>
      </c>
      <c r="E136" s="24" t="inlineStr">
        <is>
          <t>Digital health</t>
        </is>
      </c>
      <c r="F136" s="22" t="inlineStr">
        <is>
          <t>Standard</t>
        </is>
      </c>
      <c r="G136" s="25" t="n">
        <v>44818</v>
      </c>
      <c r="H136" s="26" t="n">
        <v>341.6</v>
      </c>
      <c r="I136" s="22" t="inlineStr">
        <is>
          <t>net proceeds</t>
        </is>
      </c>
      <c r="J136" s="27" t="n"/>
      <c r="K136" s="27" t="n">
        <v>12</v>
      </c>
      <c r="L136" s="27" t="n">
        <v>12</v>
      </c>
      <c r="M136" s="32" t="n"/>
      <c r="N136" s="29" t="inlineStr">
        <is>
          <t>Y</t>
        </is>
      </c>
      <c r="O136" s="26" t="n">
        <v>13664</v>
      </c>
      <c r="P136" s="30" t="n">
        <v>7.2</v>
      </c>
      <c r="Q136" s="31" t="n"/>
      <c r="R136" s="32" t="n">
        <v>0</v>
      </c>
      <c r="S136" s="33" t="n">
        <v>74.09</v>
      </c>
      <c r="T136" s="32" t="n">
        <v>10</v>
      </c>
      <c r="U136" s="22" t="inlineStr">
        <is>
          <t>not-yet (at allotment)</t>
        </is>
      </c>
      <c r="V136" s="22" t="n"/>
      <c r="W136" s="31" t="n"/>
      <c r="X136" s="34" t="n">
        <v>5.6</v>
      </c>
      <c r="Y136" s="36" t="n">
        <v>2451.4</v>
      </c>
      <c r="Z136" s="35" t="n"/>
      <c r="AA136" s="22" t="n"/>
      <c r="AB136" s="22" t="n"/>
      <c r="AC136" s="22" t="inlineStr">
        <is>
          <t>CMB International Capital Limited</t>
        </is>
      </c>
      <c r="AD136" s="22" t="inlineStr">
        <is>
          <t>CMB International Capital Limited; China International Capital Corporation Hong Kong Securities Limited; Futu Securities International (Hong Kong) Limited</t>
        </is>
      </c>
      <c r="AE136" s="22" t="n"/>
      <c r="AK136">
        <f>IF(AND(Screener!$B$7&lt;&gt;"",$E136=Screener!$B$7),1,0)</f>
        <v/>
      </c>
      <c r="AL136">
        <f>IF(AND(Screener!$B$6&lt;&gt;"",$D136=Screener!$B$6),1,0)</f>
        <v/>
      </c>
      <c r="AM136">
        <f>IF(OR($H136="",Screener!$B$8=""),0,MAX(0,1-ABS(LOG10($H136/Screener!$B$8))/W_SIZEHW))</f>
        <v/>
      </c>
      <c r="AN136">
        <f>IF(OR($V136="",Screener!$B$9=""),0,IF($V136=Screener!$B$9,1,0))</f>
        <v/>
      </c>
      <c r="AO136">
        <f>IF(OR($AA136="",Screener!$B$10=""),0,IF($AA136=Screener!$B$10,1,0))</f>
        <v/>
      </c>
      <c r="AP136">
        <f>IF($G136="",0,MAX(0,1-(Screener!$B$12-$G136)/W_RECD))</f>
        <v/>
      </c>
      <c r="AQ136">
        <f>IF($B136=Screener!$B$3,-999999,W_SUB*AK136+W_SEC*AL136*(1-AK136)+W_SIZE*AM136+W_PROF*AN136+W_AH*AO136+W_REC*AP136)+ROW()/1000000</f>
        <v/>
      </c>
      <c r="AR136">
        <f>IF(OR('NEW DEAL'!$B$6="",$E136&lt;&gt;'NEW DEAL'!$B$6),-1,1+IF(OR($H136="",'NEW DEAL'!$B$7=""),0,MAX(0,1-ABS(LOG10($H136/'NEW DEAL'!$B$7))/W_SIZEHW)))+ROW()/1000000</f>
        <v/>
      </c>
    </row>
    <row r="137">
      <c r="A137" s="23" t="inlineStr">
        <is>
          <t>2350</t>
        </is>
      </c>
      <c r="B137" s="22" t="inlineStr">
        <is>
          <t>MTT GROUP</t>
        </is>
      </c>
      <c r="C137" s="22" t="n"/>
      <c r="D137" s="24" t="inlineStr">
        <is>
          <t>Industrials</t>
        </is>
      </c>
      <c r="E137" s="24" t="inlineStr">
        <is>
          <t>Construction / engineering</t>
        </is>
      </c>
      <c r="F137" s="22" t="inlineStr">
        <is>
          <t>Standard</t>
        </is>
      </c>
      <c r="G137" s="25" t="n">
        <v>44828</v>
      </c>
      <c r="H137" s="26" t="n">
        <v>71.2</v>
      </c>
      <c r="I137" s="22" t="inlineStr">
        <is>
          <t>net proceeds</t>
        </is>
      </c>
      <c r="J137" s="27" t="n">
        <v>0.8</v>
      </c>
      <c r="K137" s="27" t="n">
        <v>0.86</v>
      </c>
      <c r="L137" s="27" t="n">
        <v>0.85</v>
      </c>
      <c r="M137" s="28" t="n">
        <v>83.3</v>
      </c>
      <c r="N137" s="22" t="inlineStr">
        <is>
          <t>N</t>
        </is>
      </c>
      <c r="O137" s="26" t="n">
        <v>284.8</v>
      </c>
      <c r="P137" s="30" t="n">
        <v>151.3</v>
      </c>
      <c r="Q137" s="31" t="n"/>
      <c r="R137" s="32" t="n">
        <v>-27.06</v>
      </c>
      <c r="S137" s="33" t="n">
        <v>99.8</v>
      </c>
      <c r="T137" s="32" t="n">
        <v>15</v>
      </c>
      <c r="U137" s="22" t="inlineStr">
        <is>
          <t>not-yet (at allotment)</t>
        </is>
      </c>
      <c r="V137" s="29" t="inlineStr">
        <is>
          <t>Y</t>
        </is>
      </c>
      <c r="W137" s="34" t="n">
        <v>6</v>
      </c>
      <c r="X137" s="34" t="n">
        <v>0.5</v>
      </c>
      <c r="Y137" s="36" t="n">
        <v>631.5</v>
      </c>
      <c r="Z137" s="36" t="n">
        <v>47.3</v>
      </c>
      <c r="AA137" s="22" t="n"/>
      <c r="AB137" s="22" t="n"/>
      <c r="AC137" s="22" t="inlineStr">
        <is>
          <t>Innovax Capital Limited</t>
        </is>
      </c>
      <c r="AD137" s="22" t="inlineStr">
        <is>
          <t>and Innovax Securities Limited</t>
        </is>
      </c>
      <c r="AE137" s="22" t="n"/>
      <c r="AK137">
        <f>IF(AND(Screener!$B$7&lt;&gt;"",$E137=Screener!$B$7),1,0)</f>
        <v/>
      </c>
      <c r="AL137">
        <f>IF(AND(Screener!$B$6&lt;&gt;"",$D137=Screener!$B$6),1,0)</f>
        <v/>
      </c>
      <c r="AM137">
        <f>IF(OR($H137="",Screener!$B$8=""),0,MAX(0,1-ABS(LOG10($H137/Screener!$B$8))/W_SIZEHW))</f>
        <v/>
      </c>
      <c r="AN137">
        <f>IF(OR($V137="",Screener!$B$9=""),0,IF($V137=Screener!$B$9,1,0))</f>
        <v/>
      </c>
      <c r="AO137">
        <f>IF(OR($AA137="",Screener!$B$10=""),0,IF($AA137=Screener!$B$10,1,0))</f>
        <v/>
      </c>
      <c r="AP137">
        <f>IF($G137="",0,MAX(0,1-(Screener!$B$12-$G137)/W_RECD))</f>
        <v/>
      </c>
      <c r="AQ137">
        <f>IF($B137=Screener!$B$3,-999999,W_SUB*AK137+W_SEC*AL137*(1-AK137)+W_SIZE*AM137+W_PROF*AN137+W_AH*AO137+W_REC*AP137)+ROW()/1000000</f>
        <v/>
      </c>
      <c r="AR137">
        <f>IF(OR('NEW DEAL'!$B$6="",$E137&lt;&gt;'NEW DEAL'!$B$6),-1,1+IF(OR($H137="",'NEW DEAL'!$B$7=""),0,MAX(0,1-ABS(LOG10($H137/'NEW DEAL'!$B$7))/W_SIZEHW)))+ROW()/1000000</f>
        <v/>
      </c>
    </row>
    <row r="138">
      <c r="A138" s="23" t="inlineStr">
        <is>
          <t>9863</t>
        </is>
      </c>
      <c r="B138" s="22" t="inlineStr">
        <is>
          <t>LEAPMOTOR</t>
        </is>
      </c>
      <c r="C138" s="22" t="n"/>
      <c r="D138" s="24" t="inlineStr">
        <is>
          <t>Consumer</t>
        </is>
      </c>
      <c r="E138" s="24" t="inlineStr">
        <is>
          <t>Autos (NEV OEM)</t>
        </is>
      </c>
      <c r="F138" s="22" t="inlineStr">
        <is>
          <t>Standard</t>
        </is>
      </c>
      <c r="G138" s="25" t="n">
        <v>44833</v>
      </c>
      <c r="H138" s="26" t="n">
        <v>6057.4</v>
      </c>
      <c r="I138" s="22" t="inlineStr">
        <is>
          <t>net proceeds</t>
        </is>
      </c>
      <c r="J138" s="27" t="n">
        <v>48</v>
      </c>
      <c r="K138" s="27" t="n">
        <v>62</v>
      </c>
      <c r="L138" s="27" t="n">
        <v>48</v>
      </c>
      <c r="M138" s="28" t="n">
        <v>0</v>
      </c>
      <c r="N138" s="29" t="inlineStr">
        <is>
          <t>N</t>
        </is>
      </c>
      <c r="O138" s="26" t="n">
        <v>53135.1</v>
      </c>
      <c r="P138" s="30" t="n">
        <v>0.16</v>
      </c>
      <c r="Q138" s="31" t="n"/>
      <c r="R138" s="32" t="n">
        <v>-33.54</v>
      </c>
      <c r="S138" s="33" t="n">
        <v>29.6</v>
      </c>
      <c r="T138" s="32" t="n">
        <v>14.6</v>
      </c>
      <c r="U138" s="22" t="inlineStr">
        <is>
          <t>not-yet (at allotment)</t>
        </is>
      </c>
      <c r="V138" s="29" t="inlineStr">
        <is>
          <t>N</t>
        </is>
      </c>
      <c r="W138" s="31" t="n"/>
      <c r="X138" s="34" t="n">
        <v>76.5</v>
      </c>
      <c r="Y138" s="36" t="n">
        <v>694.4</v>
      </c>
      <c r="Z138" s="36" t="n">
        <v>-3130.4</v>
      </c>
      <c r="AA138" s="22" t="n"/>
      <c r="AB138" s="22" t="n"/>
      <c r="AC138" s="22" t="inlineStr">
        <is>
          <t>J.P . Morgan Securities (Far East) Limited; China International Capital Corporation Hong Kong Securities Limited; Citigroup Global Markets Asia Limited; CCB International Capital Limited</t>
        </is>
      </c>
      <c r="AD138" s="22" t="inlineStr">
        <is>
          <t>J.P . Morgan Securities (Asia Pacific) Limited; China International Capital Corporation Hong Kong Securities Limited; Citigroup Global Markets Asia Limited; CCB International Capital Limited; China Securities (International) Corporate Finance Company Limited; J.P . Morgan Securities plc; Securities Limited; Citigroup Global Markets Limited; London E14 5LB United Kingdom CCB International Capital Limited; Huatai Financial Holdings (Hong Kong) Limited; ABCI Capital Limited; Futu Securities International (Hong Kong) Limited</t>
        </is>
      </c>
      <c r="AE138" s="22" t="n"/>
      <c r="AK138">
        <f>IF(AND(Screener!$B$7&lt;&gt;"",$E138=Screener!$B$7),1,0)</f>
        <v/>
      </c>
      <c r="AL138">
        <f>IF(AND(Screener!$B$6&lt;&gt;"",$D138=Screener!$B$6),1,0)</f>
        <v/>
      </c>
      <c r="AM138">
        <f>IF(OR($H138="",Screener!$B$8=""),0,MAX(0,1-ABS(LOG10($H138/Screener!$B$8))/W_SIZEHW))</f>
        <v/>
      </c>
      <c r="AN138">
        <f>IF(OR($V138="",Screener!$B$9=""),0,IF($V138=Screener!$B$9,1,0))</f>
        <v/>
      </c>
      <c r="AO138">
        <f>IF(OR($AA138="",Screener!$B$10=""),0,IF($AA138=Screener!$B$10,1,0))</f>
        <v/>
      </c>
      <c r="AP138">
        <f>IF($G138="",0,MAX(0,1-(Screener!$B$12-$G138)/W_RECD))</f>
        <v/>
      </c>
      <c r="AQ138">
        <f>IF($B138=Screener!$B$3,-999999,W_SUB*AK138+W_SEC*AL138*(1-AK138)+W_SIZE*AM138+W_PROF*AN138+W_AH*AO138+W_REC*AP138)+ROW()/1000000</f>
        <v/>
      </c>
      <c r="AR138">
        <f>IF(OR('NEW DEAL'!$B$6="",$E138&lt;&gt;'NEW DEAL'!$B$6),-1,1+IF(OR($H138="",'NEW DEAL'!$B$7=""),0,MAX(0,1-ABS(LOG10($H138/'NEW DEAL'!$B$7))/W_SIZEHW)))+ROW()/1000000</f>
        <v/>
      </c>
    </row>
    <row r="139">
      <c r="A139" s="23" t="inlineStr">
        <is>
          <t>2602</t>
        </is>
      </c>
      <c r="B139" s="22" t="inlineStr">
        <is>
          <t>ONEWO</t>
        </is>
      </c>
      <c r="C139" s="22" t="inlineStr">
        <is>
          <t>萬物雲空間科技服務股份有限公司</t>
        </is>
      </c>
      <c r="D139" s="24" t="inlineStr">
        <is>
          <t>Real Estate</t>
        </is>
      </c>
      <c r="E139" s="24" t="inlineStr">
        <is>
          <t>Property management</t>
        </is>
      </c>
      <c r="F139" s="22" t="inlineStr">
        <is>
          <t>Standard</t>
        </is>
      </c>
      <c r="G139" s="25" t="n">
        <v>44833</v>
      </c>
      <c r="H139" s="26" t="n">
        <v>5600</v>
      </c>
      <c r="I139" s="22" t="inlineStr">
        <is>
          <t>net proceeds</t>
        </is>
      </c>
      <c r="J139" s="27" t="n"/>
      <c r="K139" s="27" t="n">
        <v>52.7</v>
      </c>
      <c r="L139" s="27" t="n">
        <v>49.35</v>
      </c>
      <c r="M139" s="32" t="n"/>
      <c r="N139" s="29" t="inlineStr">
        <is>
          <t>N</t>
        </is>
      </c>
      <c r="O139" s="36" t="n">
        <v>10000</v>
      </c>
      <c r="P139" s="30" t="n">
        <v>0.82</v>
      </c>
      <c r="Q139" s="31" t="n"/>
      <c r="R139" s="32" t="n">
        <v>-6.79</v>
      </c>
      <c r="S139" s="33" t="n">
        <v>37.56</v>
      </c>
      <c r="T139" s="32" t="n">
        <v>10</v>
      </c>
      <c r="U139" s="22" t="inlineStr">
        <is>
          <t>not-yet (at allotment)</t>
        </is>
      </c>
      <c r="V139" s="29" t="inlineStr">
        <is>
          <t>Y</t>
        </is>
      </c>
      <c r="W139" s="34" t="n">
        <v>5.3</v>
      </c>
      <c r="X139" s="34" t="n">
        <v>0.4</v>
      </c>
      <c r="Y139" s="36" t="n">
        <v>26075</v>
      </c>
      <c r="Z139" s="36" t="n">
        <v>1885.7</v>
      </c>
      <c r="AA139" s="22" t="n"/>
      <c r="AB139" s="22" t="n"/>
      <c r="AC139" s="22" t="inlineStr">
        <is>
          <t>CLSA Capital Markets Limited; Citigroup Global Markets Asia Limited; Goldman Sachs (Asia) L.L.C; CLSA Limited</t>
        </is>
      </c>
      <c r="AD139" s="22" t="inlineStr">
        <is>
          <t>CLSA Limited; Citigroup Global Markets Asia Limited; Goldman Sachs (Asia) L.L.C; CMB International Capital Limited; ICBC International Capital Limited; Managers CLSA Limited; Citigroup Global Markets Limited; Canary Wharf London E14 5LB United Kingdom Goldman Sachs (Asia) L.L.C; ICBC International Securities Limited</t>
        </is>
      </c>
      <c r="AE139" s="22" t="n"/>
      <c r="AK139">
        <f>IF(AND(Screener!$B$7&lt;&gt;"",$E139=Screener!$B$7),1,0)</f>
        <v/>
      </c>
      <c r="AL139">
        <f>IF(AND(Screener!$B$6&lt;&gt;"",$D139=Screener!$B$6),1,0)</f>
        <v/>
      </c>
      <c r="AM139">
        <f>IF(OR($H139="",Screener!$B$8=""),0,MAX(0,1-ABS(LOG10($H139/Screener!$B$8))/W_SIZEHW))</f>
        <v/>
      </c>
      <c r="AN139">
        <f>IF(OR($V139="",Screener!$B$9=""),0,IF($V139=Screener!$B$9,1,0))</f>
        <v/>
      </c>
      <c r="AO139">
        <f>IF(OR($AA139="",Screener!$B$10=""),0,IF($AA139=Screener!$B$10,1,0))</f>
        <v/>
      </c>
      <c r="AP139">
        <f>IF($G139="",0,MAX(0,1-(Screener!$B$12-$G139)/W_RECD))</f>
        <v/>
      </c>
      <c r="AQ139">
        <f>IF($B139=Screener!$B$3,-999999,W_SUB*AK139+W_SEC*AL139*(1-AK139)+W_SIZE*AM139+W_PROF*AN139+W_AH*AO139+W_REC*AP139)+ROW()/1000000</f>
        <v/>
      </c>
      <c r="AR139">
        <f>IF(OR('NEW DEAL'!$B$6="",$E139&lt;&gt;'NEW DEAL'!$B$6),-1,1+IF(OR($H139="",'NEW DEAL'!$B$7=""),0,MAX(0,1-ABS(LOG10($H139/'NEW DEAL'!$B$7))/W_SIZEHW)))+ROW()/1000000</f>
        <v/>
      </c>
    </row>
    <row r="140">
      <c r="A140" s="23" t="inlineStr">
        <is>
          <t>6660</t>
        </is>
      </c>
      <c r="B140" s="22" t="inlineStr">
        <is>
          <t>AIM VACCINE</t>
        </is>
      </c>
      <c r="C140" s="22" t="n"/>
      <c r="D140" s="24" t="inlineStr">
        <is>
          <t>Healthcare</t>
        </is>
      </c>
      <c r="E140" s="24" t="inlineStr">
        <is>
          <t>Biopharma commercial</t>
        </is>
      </c>
      <c r="F140" s="22" t="inlineStr">
        <is>
          <t>Standard</t>
        </is>
      </c>
      <c r="G140" s="25" t="n">
        <v>44840</v>
      </c>
      <c r="H140" s="26" t="n">
        <v>70.01000000000001</v>
      </c>
      <c r="I140" s="22" t="inlineStr">
        <is>
          <t>net proceeds</t>
        </is>
      </c>
      <c r="J140" s="27" t="n"/>
      <c r="K140" s="27" t="n">
        <v>16.16</v>
      </c>
      <c r="L140" s="27" t="n">
        <v>16.16</v>
      </c>
      <c r="M140" s="32" t="n"/>
      <c r="N140" s="29" t="inlineStr">
        <is>
          <t>Y</t>
        </is>
      </c>
      <c r="O140" s="36" t="n">
        <v>19549</v>
      </c>
      <c r="P140" s="40" t="n"/>
      <c r="Q140" s="37" t="n">
        <v>3.27</v>
      </c>
      <c r="R140" s="32" t="n">
        <v>3.09</v>
      </c>
      <c r="S140" s="33" t="n">
        <v>0</v>
      </c>
      <c r="T140" s="32" t="n">
        <v>20</v>
      </c>
      <c r="U140" s="22" t="inlineStr">
        <is>
          <t>not-yet (at allotment)</t>
        </is>
      </c>
      <c r="V140" s="29" t="inlineStr">
        <is>
          <t>N</t>
        </is>
      </c>
      <c r="W140" s="31" t="n"/>
      <c r="X140" s="34" t="n">
        <v>11.3</v>
      </c>
      <c r="Y140" s="36" t="n">
        <v>1727.1</v>
      </c>
      <c r="Z140" s="36" t="n">
        <v>-667.4</v>
      </c>
      <c r="AA140" s="22" t="n"/>
      <c r="AB140" s="22" t="n"/>
      <c r="AC140" s="22" t="inlineStr">
        <is>
          <t>Coordinators Goldman Sachs (Asia) L.L.C; China International Capital Corporation Hong Kong Securities Limited; China Securities (International) Corporate Finance Company Limited; Central, Hong Kong Macquarie Capital Limited</t>
        </is>
      </c>
      <c r="AD140" s="22" t="inlineStr">
        <is>
          <t>Goldman Sachs (Asia) L.L.C; China International Capital Corporation Hong Kong Securities Limited; China Securities (International) Corporate Finance Company Limited; Central, Hong Kong Macquarie Capital Limited; Central, Hong Kong ICBC International Capital Limited; CMB International Capital Limited; Central, Hong Kong Futu Securities International (Hong Kong) Limited; Tiger Brokers (HK) Global Limited</t>
        </is>
      </c>
      <c r="AE140" s="22" t="n"/>
      <c r="AK140">
        <f>IF(AND(Screener!$B$7&lt;&gt;"",$E140=Screener!$B$7),1,0)</f>
        <v/>
      </c>
      <c r="AL140">
        <f>IF(AND(Screener!$B$6&lt;&gt;"",$D140=Screener!$B$6),1,0)</f>
        <v/>
      </c>
      <c r="AM140">
        <f>IF(OR($H140="",Screener!$B$8=""),0,MAX(0,1-ABS(LOG10($H140/Screener!$B$8))/W_SIZEHW))</f>
        <v/>
      </c>
      <c r="AN140">
        <f>IF(OR($V140="",Screener!$B$9=""),0,IF($V140=Screener!$B$9,1,0))</f>
        <v/>
      </c>
      <c r="AO140">
        <f>IF(OR($AA140="",Screener!$B$10=""),0,IF($AA140=Screener!$B$10,1,0))</f>
        <v/>
      </c>
      <c r="AP140">
        <f>IF($G140="",0,MAX(0,1-(Screener!$B$12-$G140)/W_RECD))</f>
        <v/>
      </c>
      <c r="AQ140">
        <f>IF($B140=Screener!$B$3,-999999,W_SUB*AK140+W_SEC*AL140*(1-AK140)+W_SIZE*AM140+W_PROF*AN140+W_AH*AO140+W_REC*AP140)+ROW()/1000000</f>
        <v/>
      </c>
      <c r="AR140">
        <f>IF(OR('NEW DEAL'!$B$6="",$E140&lt;&gt;'NEW DEAL'!$B$6),-1,1+IF(OR($H140="",'NEW DEAL'!$B$7=""),0,MAX(0,1-ABS(LOG10($H140/'NEW DEAL'!$B$7))/W_SIZEHW)))+ROW()/1000000</f>
        <v/>
      </c>
    </row>
    <row r="141">
      <c r="A141" s="23" t="inlineStr">
        <is>
          <t>3931</t>
        </is>
      </c>
      <c r="B141" s="22" t="inlineStr">
        <is>
          <t>CALB</t>
        </is>
      </c>
      <c r="C141" s="22" t="inlineStr">
        <is>
          <t>中創新航科技股份有限公司</t>
        </is>
      </c>
      <c r="D141" s="24" t="inlineStr">
        <is>
          <t>Industrials</t>
        </is>
      </c>
      <c r="E141" s="24" t="inlineStr">
        <is>
          <t>Batteries / energy storage</t>
        </is>
      </c>
      <c r="F141" s="22" t="inlineStr">
        <is>
          <t>Standard</t>
        </is>
      </c>
      <c r="G141" s="25" t="n">
        <v>44840</v>
      </c>
      <c r="H141" s="26" t="n">
        <v>9863.9</v>
      </c>
      <c r="I141" s="22" t="inlineStr">
        <is>
          <t>net proceeds</t>
        </is>
      </c>
      <c r="J141" s="27" t="n">
        <v>38</v>
      </c>
      <c r="K141" s="27" t="n">
        <v>51</v>
      </c>
      <c r="L141" s="27" t="n">
        <v>38</v>
      </c>
      <c r="M141" s="28" t="n">
        <v>0</v>
      </c>
      <c r="N141" s="29" t="inlineStr">
        <is>
          <t>N</t>
        </is>
      </c>
      <c r="O141" s="36" t="n">
        <v>67347.5</v>
      </c>
      <c r="P141" s="30" t="n">
        <v>0.21</v>
      </c>
      <c r="Q141" s="31" t="n"/>
      <c r="R141" s="32" t="n">
        <v>0</v>
      </c>
      <c r="S141" s="33" t="n">
        <v>93.40000000000001</v>
      </c>
      <c r="T141" s="32" t="n">
        <v>14.32</v>
      </c>
      <c r="U141" s="22" t="inlineStr">
        <is>
          <t>not-yet (at allotment)</t>
        </is>
      </c>
      <c r="V141" s="29" t="inlineStr">
        <is>
          <t>Y</t>
        </is>
      </c>
      <c r="W141" s="34" t="n">
        <v>548.9</v>
      </c>
      <c r="X141" s="34" t="n">
        <v>9</v>
      </c>
      <c r="Y141" s="36" t="n">
        <v>7498.8</v>
      </c>
      <c r="Z141" s="36" t="n">
        <v>122.7</v>
      </c>
      <c r="AA141" s="22" t="n"/>
      <c r="AB141" s="22" t="n"/>
      <c r="AC141" s="22" t="inlineStr">
        <is>
          <t>and Sponsor – OC Huatai Financial Holdings (Hong Kong) Limited</t>
        </is>
      </c>
      <c r="AD141" s="22" t="inlineStr">
        <is>
          <t>Huatai Financial Holdings (Hong Kong) Limited; J.P. Morgan Securities (Asia Pacific) Limited; Citigroup Global Markets Asia Limited</t>
        </is>
      </c>
      <c r="AE141" s="22" t="n"/>
      <c r="AK141">
        <f>IF(AND(Screener!$B$7&lt;&gt;"",$E141=Screener!$B$7),1,0)</f>
        <v/>
      </c>
      <c r="AL141">
        <f>IF(AND(Screener!$B$6&lt;&gt;"",$D141=Screener!$B$6),1,0)</f>
        <v/>
      </c>
      <c r="AM141">
        <f>IF(OR($H141="",Screener!$B$8=""),0,MAX(0,1-ABS(LOG10($H141/Screener!$B$8))/W_SIZEHW))</f>
        <v/>
      </c>
      <c r="AN141">
        <f>IF(OR($V141="",Screener!$B$9=""),0,IF($V141=Screener!$B$9,1,0))</f>
        <v/>
      </c>
      <c r="AO141">
        <f>IF(OR($AA141="",Screener!$B$10=""),0,IF($AA141=Screener!$B$10,1,0))</f>
        <v/>
      </c>
      <c r="AP141">
        <f>IF($G141="",0,MAX(0,1-(Screener!$B$12-$G141)/W_RECD))</f>
        <v/>
      </c>
      <c r="AQ141">
        <f>IF($B141=Screener!$B$3,-999999,W_SUB*AK141+W_SEC*AL141*(1-AK141)+W_SIZE*AM141+W_PROF*AN141+W_AH*AO141+W_REC*AP141)+ROW()/1000000</f>
        <v/>
      </c>
      <c r="AR141">
        <f>IF(OR('NEW DEAL'!$B$6="",$E141&lt;&gt;'NEW DEAL'!$B$6),-1,1+IF(OR($H141="",'NEW DEAL'!$B$7=""),0,MAX(0,1-ABS(LOG10($H141/'NEW DEAL'!$B$7))/W_SIZEHW)))+ROW()/1000000</f>
        <v/>
      </c>
    </row>
    <row r="142">
      <c r="A142" s="23" t="inlineStr">
        <is>
          <t>9877</t>
        </is>
      </c>
      <c r="B142" s="22" t="inlineStr">
        <is>
          <t>JENSCARE-B</t>
        </is>
      </c>
      <c r="C142" s="22" t="n"/>
      <c r="D142" s="24" t="inlineStr">
        <is>
          <t>Healthcare</t>
        </is>
      </c>
      <c r="E142" s="24" t="inlineStr">
        <is>
          <t>Medical devices</t>
        </is>
      </c>
      <c r="F142" s="38" t="inlineStr">
        <is>
          <t>18A</t>
        </is>
      </c>
      <c r="G142" s="25" t="n">
        <v>44842</v>
      </c>
      <c r="H142" s="26" t="n">
        <v>11.2</v>
      </c>
      <c r="I142" s="22" t="inlineStr">
        <is>
          <t>gross (stated)</t>
        </is>
      </c>
      <c r="J142" s="27" t="n"/>
      <c r="K142" s="27" t="n">
        <v>28.8</v>
      </c>
      <c r="L142" s="27" t="n">
        <v>27.8</v>
      </c>
      <c r="M142" s="32" t="n"/>
      <c r="N142" s="29" t="inlineStr">
        <is>
          <t>N</t>
        </is>
      </c>
      <c r="O142" s="36" t="n">
        <v>11138.4</v>
      </c>
      <c r="P142" s="30" t="n">
        <v>1.52</v>
      </c>
      <c r="Q142" s="31" t="n"/>
      <c r="R142" s="32" t="n">
        <v>1.62</v>
      </c>
      <c r="S142" s="33" t="n">
        <v>77.7</v>
      </c>
      <c r="T142" s="32" t="n">
        <v>17.32</v>
      </c>
      <c r="U142" s="22" t="inlineStr">
        <is>
          <t>not-yet (at allotment)</t>
        </is>
      </c>
      <c r="V142" s="29" t="inlineStr">
        <is>
          <t>Y</t>
        </is>
      </c>
      <c r="W142" s="34" t="n">
        <v>186.6</v>
      </c>
      <c r="X142" s="34" t="n">
        <v>64.5</v>
      </c>
      <c r="Y142" s="36" t="n">
        <v>172.8</v>
      </c>
      <c r="Z142" s="36" t="n">
        <v>59.7</v>
      </c>
      <c r="AA142" s="22" t="n"/>
      <c r="AB142" s="22" t="n"/>
      <c r="AC142" s="22" t="inlineStr">
        <is>
          <t>China International Capital Corporation Hong Kong Securities Limited; Citigroup Global Markets Asia Limited</t>
        </is>
      </c>
      <c r="AD142" s="22" t="inlineStr">
        <is>
          <t>China International Capital Corporation Hong Kong Securities Limited; Citigroup Global Markets Asia Limited; Huatai Financial Holdings (Hong Kong) Limited; ABCI Capital Limited; Citigroup Global Markets Limited; – 115 – Huatai Financial Holdings (Hong Kong) Limited; BOCOM International Securities Limited; Futu Securities International (Hong Kong) Limited; Tiger Brokers (HK) Global Limited</t>
        </is>
      </c>
      <c r="AE142" s="22" t="n"/>
      <c r="AK142">
        <f>IF(AND(Screener!$B$7&lt;&gt;"",$E142=Screener!$B$7),1,0)</f>
        <v/>
      </c>
      <c r="AL142">
        <f>IF(AND(Screener!$B$6&lt;&gt;"",$D142=Screener!$B$6),1,0)</f>
        <v/>
      </c>
      <c r="AM142">
        <f>IF(OR($H142="",Screener!$B$8=""),0,MAX(0,1-ABS(LOG10($H142/Screener!$B$8))/W_SIZEHW))</f>
        <v/>
      </c>
      <c r="AN142">
        <f>IF(OR($V142="",Screener!$B$9=""),0,IF($V142=Screener!$B$9,1,0))</f>
        <v/>
      </c>
      <c r="AO142">
        <f>IF(OR($AA142="",Screener!$B$10=""),0,IF($AA142=Screener!$B$10,1,0))</f>
        <v/>
      </c>
      <c r="AP142">
        <f>IF($G142="",0,MAX(0,1-(Screener!$B$12-$G142)/W_RECD))</f>
        <v/>
      </c>
      <c r="AQ142">
        <f>IF($B142=Screener!$B$3,-999999,W_SUB*AK142+W_SEC*AL142*(1-AK142)+W_SIZE*AM142+W_PROF*AN142+W_AH*AO142+W_REC*AP142)+ROW()/1000000</f>
        <v/>
      </c>
      <c r="AR142">
        <f>IF(OR('NEW DEAL'!$B$6="",$E142&lt;&gt;'NEW DEAL'!$B$6),-1,1+IF(OR($H142="",'NEW DEAL'!$B$7=""),0,MAX(0,1-ABS(LOG10($H142/'NEW DEAL'!$B$7))/W_SIZEHW)))+ROW()/1000000</f>
        <v/>
      </c>
    </row>
    <row r="143">
      <c r="A143" s="23" t="inlineStr">
        <is>
          <t>1489</t>
        </is>
      </c>
      <c r="B143" s="22" t="inlineStr">
        <is>
          <t>GC CONSTRUCTION</t>
        </is>
      </c>
      <c r="C143" s="22" t="n"/>
      <c r="D143" s="24" t="inlineStr">
        <is>
          <t>Industrials</t>
        </is>
      </c>
      <c r="E143" s="24" t="inlineStr">
        <is>
          <t>Construction / engineering</t>
        </is>
      </c>
      <c r="F143" s="22" t="inlineStr">
        <is>
          <t>Standard</t>
        </is>
      </c>
      <c r="G143" s="25" t="n">
        <v>44842</v>
      </c>
      <c r="H143" s="26" t="n">
        <v>117</v>
      </c>
      <c r="I143" s="22" t="inlineStr">
        <is>
          <t>gross (price x shares)</t>
        </is>
      </c>
      <c r="J143" s="27" t="n">
        <v>0.5</v>
      </c>
      <c r="K143" s="27" t="n">
        <v>0.54</v>
      </c>
      <c r="L143" s="27" t="n">
        <v>0.5</v>
      </c>
      <c r="M143" s="28" t="n">
        <v>0</v>
      </c>
      <c r="N143" s="29" t="inlineStr">
        <is>
          <t>N</t>
        </is>
      </c>
      <c r="O143" s="35" t="n"/>
      <c r="P143" s="30" t="n">
        <v>7.58</v>
      </c>
      <c r="Q143" s="37" t="n">
        <v>1.04</v>
      </c>
      <c r="R143" s="32" t="n">
        <v>10</v>
      </c>
      <c r="S143" s="33" t="n">
        <v>10</v>
      </c>
      <c r="T143" s="32" t="n">
        <v>15</v>
      </c>
      <c r="U143" s="22" t="inlineStr">
        <is>
          <t>not-yet (at allotment)</t>
        </is>
      </c>
      <c r="V143" s="29" t="inlineStr">
        <is>
          <t>Y</t>
        </is>
      </c>
      <c r="W143" s="31" t="n"/>
      <c r="X143" s="31" t="n"/>
      <c r="Y143" s="36" t="n">
        <v>440.4</v>
      </c>
      <c r="Z143" s="36" t="n">
        <v>46</v>
      </c>
      <c r="AA143" s="22" t="n"/>
      <c r="AB143" s="22" t="n"/>
      <c r="AC143" s="22" t="n"/>
      <c r="AD143" s="22" t="inlineStr">
        <is>
          <t>Joint Lead Manager China Tonghai Securities Limited; Manager Realord Asia Pacific Securities Limited</t>
        </is>
      </c>
      <c r="AE143" s="22" t="n"/>
      <c r="AK143">
        <f>IF(AND(Screener!$B$7&lt;&gt;"",$E143=Screener!$B$7),1,0)</f>
        <v/>
      </c>
      <c r="AL143">
        <f>IF(AND(Screener!$B$6&lt;&gt;"",$D143=Screener!$B$6),1,0)</f>
        <v/>
      </c>
      <c r="AM143">
        <f>IF(OR($H143="",Screener!$B$8=""),0,MAX(0,1-ABS(LOG10($H143/Screener!$B$8))/W_SIZEHW))</f>
        <v/>
      </c>
      <c r="AN143">
        <f>IF(OR($V143="",Screener!$B$9=""),0,IF($V143=Screener!$B$9,1,0))</f>
        <v/>
      </c>
      <c r="AO143">
        <f>IF(OR($AA143="",Screener!$B$10=""),0,IF($AA143=Screener!$B$10,1,0))</f>
        <v/>
      </c>
      <c r="AP143">
        <f>IF($G143="",0,MAX(0,1-(Screener!$B$12-$G143)/W_RECD))</f>
        <v/>
      </c>
      <c r="AQ143">
        <f>IF($B143=Screener!$B$3,-999999,W_SUB*AK143+W_SEC*AL143*(1-AK143)+W_SIZE*AM143+W_PROF*AN143+W_AH*AO143+W_REC*AP143)+ROW()/1000000</f>
        <v/>
      </c>
      <c r="AR143">
        <f>IF(OR('NEW DEAL'!$B$6="",$E143&lt;&gt;'NEW DEAL'!$B$6),-1,1+IF(OR($H143="",'NEW DEAL'!$B$7=""),0,MAX(0,1-ABS(LOG10($H143/'NEW DEAL'!$B$7))/W_SIZEHW)))+ROW()/1000000</f>
        <v/>
      </c>
    </row>
    <row r="144">
      <c r="A144" s="23" t="inlineStr">
        <is>
          <t>2422</t>
        </is>
      </c>
      <c r="B144" s="22" t="inlineStr">
        <is>
          <t>REGO INTERACT</t>
        </is>
      </c>
      <c r="C144" s="22" t="inlineStr">
        <is>
          <t>潤歌互動有限公司</t>
        </is>
      </c>
      <c r="D144" s="24" t="inlineStr">
        <is>
          <t>TMT-other</t>
        </is>
      </c>
      <c r="E144" s="24" t="inlineStr">
        <is>
          <t>Media / advertising</t>
        </is>
      </c>
      <c r="F144" s="22" t="inlineStr">
        <is>
          <t>Standard</t>
        </is>
      </c>
      <c r="G144" s="25" t="n">
        <v>44849</v>
      </c>
      <c r="H144" s="26" t="n">
        <v>100.7</v>
      </c>
      <c r="I144" s="22" t="inlineStr">
        <is>
          <t>net proceeds</t>
        </is>
      </c>
      <c r="J144" s="27" t="n">
        <v>0.64</v>
      </c>
      <c r="K144" s="27" t="n">
        <v>0.8</v>
      </c>
      <c r="L144" s="27" t="n">
        <v>0.64</v>
      </c>
      <c r="M144" s="28" t="n">
        <v>0</v>
      </c>
      <c r="N144" s="29" t="inlineStr">
        <is>
          <t>N</t>
        </is>
      </c>
      <c r="O144" s="26" t="n">
        <v>363.4</v>
      </c>
      <c r="P144" s="30" t="n">
        <v>14.1</v>
      </c>
      <c r="Q144" s="37" t="n">
        <v>1.37</v>
      </c>
      <c r="R144" s="32" t="n">
        <v>76.69</v>
      </c>
      <c r="S144" s="33" t="n">
        <v>9.4</v>
      </c>
      <c r="T144" s="32" t="n">
        <v>10</v>
      </c>
      <c r="U144" s="22" t="inlineStr">
        <is>
          <t>not-yet (at allotment)</t>
        </is>
      </c>
      <c r="V144" s="29" t="inlineStr">
        <is>
          <t>Y</t>
        </is>
      </c>
      <c r="W144" s="34" t="n">
        <v>6.6</v>
      </c>
      <c r="X144" s="34" t="n">
        <v>1.5</v>
      </c>
      <c r="Y144" s="36" t="n">
        <v>241.5</v>
      </c>
      <c r="Z144" s="36" t="n">
        <v>55</v>
      </c>
      <c r="AA144" s="22" t="n"/>
      <c r="AB144" s="22" t="n"/>
      <c r="AC144" s="22" t="inlineStr">
        <is>
          <t>CMBC International Capital Limited</t>
        </is>
      </c>
      <c r="AD144" s="22" t="inlineStr">
        <is>
          <t>CMBC Securities Company Limited; China Galaxy International Securities (Hong Kong) Co., Limited; Alpha International Securities (HONG KONG) Limited; Zheshang International Financial Holdings Co., Limited; Blackwell Global Securities Limited; ABCI Capital Limited; BOCOM International Securities Limited; CCB International Capital Limited; China Everbright Securities (HK) Limited; Zhongtai International Securities Limited; SBI China Capital Financial Services Limited; Shenwan Hongyuan Securities (H.K.) Limited</t>
        </is>
      </c>
      <c r="AE144" s="22" t="n"/>
      <c r="AK144">
        <f>IF(AND(Screener!$B$7&lt;&gt;"",$E144=Screener!$B$7),1,0)</f>
        <v/>
      </c>
      <c r="AL144">
        <f>IF(AND(Screener!$B$6&lt;&gt;"",$D144=Screener!$B$6),1,0)</f>
        <v/>
      </c>
      <c r="AM144">
        <f>IF(OR($H144="",Screener!$B$8=""),0,MAX(0,1-ABS(LOG10($H144/Screener!$B$8))/W_SIZEHW))</f>
        <v/>
      </c>
      <c r="AN144">
        <f>IF(OR($V144="",Screener!$B$9=""),0,IF($V144=Screener!$B$9,1,0))</f>
        <v/>
      </c>
      <c r="AO144">
        <f>IF(OR($AA144="",Screener!$B$10=""),0,IF($AA144=Screener!$B$10,1,0))</f>
        <v/>
      </c>
      <c r="AP144">
        <f>IF($G144="",0,MAX(0,1-(Screener!$B$12-$G144)/W_RECD))</f>
        <v/>
      </c>
      <c r="AQ144">
        <f>IF($B144=Screener!$B$3,-999999,W_SUB*AK144+W_SEC*AL144*(1-AK144)+W_SIZE*AM144+W_PROF*AN144+W_AH*AO144+W_REC*AP144)+ROW()/1000000</f>
        <v/>
      </c>
      <c r="AR144">
        <f>IF(OR('NEW DEAL'!$B$6="",$E144&lt;&gt;'NEW DEAL'!$B$6),-1,1+IF(OR($H144="",'NEW DEAL'!$B$7=""),0,MAX(0,1-ABS(LOG10($H144/'NEW DEAL'!$B$7))/W_SIZEHW)))+ROW()/1000000</f>
        <v/>
      </c>
    </row>
    <row r="145">
      <c r="A145" s="23" t="inlineStr">
        <is>
          <t>6610</t>
        </is>
      </c>
      <c r="B145" s="22" t="inlineStr">
        <is>
          <t>FLOWING CLOUD</t>
        </is>
      </c>
      <c r="C145" s="22" t="n"/>
      <c r="D145" s="24" t="inlineStr">
        <is>
          <t>TMT-other</t>
        </is>
      </c>
      <c r="E145" s="24" t="inlineStr">
        <is>
          <t>Media / advertising</t>
        </is>
      </c>
      <c r="F145" s="22" t="inlineStr">
        <is>
          <t>Standard</t>
        </is>
      </c>
      <c r="G145" s="25" t="n">
        <v>44852</v>
      </c>
      <c r="H145" s="26" t="n">
        <v>531.9</v>
      </c>
      <c r="I145" s="22" t="inlineStr">
        <is>
          <t>net proceeds</t>
        </is>
      </c>
      <c r="J145" s="27" t="n"/>
      <c r="K145" s="27" t="n">
        <v>2.88</v>
      </c>
      <c r="L145" s="27" t="n">
        <v>2.21</v>
      </c>
      <c r="M145" s="32" t="n"/>
      <c r="N145" s="29" t="inlineStr">
        <is>
          <t>N</t>
        </is>
      </c>
      <c r="O145" s="26" t="n">
        <v>3152.9</v>
      </c>
      <c r="P145" s="30" t="n">
        <v>1.05</v>
      </c>
      <c r="Q145" s="37" t="n">
        <v>1.07</v>
      </c>
      <c r="R145" s="32" t="n">
        <v>-4.07</v>
      </c>
      <c r="S145" s="33" t="n">
        <v>14.7</v>
      </c>
      <c r="T145" s="32" t="n">
        <v>16.87</v>
      </c>
      <c r="U145" s="22" t="inlineStr">
        <is>
          <t>not-yet (at allotment)</t>
        </is>
      </c>
      <c r="V145" s="29" t="inlineStr">
        <is>
          <t>Y</t>
        </is>
      </c>
      <c r="W145" s="34" t="n">
        <v>40</v>
      </c>
      <c r="X145" s="34" t="n">
        <v>4.8</v>
      </c>
      <c r="Y145" s="36" t="n">
        <v>654.8</v>
      </c>
      <c r="Z145" s="36" t="n">
        <v>78.90000000000001</v>
      </c>
      <c r="AA145" s="22" t="n"/>
      <c r="AB145" s="22" t="n"/>
      <c r="AC145" s="22" t="inlineStr">
        <is>
          <t>Shenwan Hongyuan Capital (H.K.) Limited</t>
        </is>
      </c>
      <c r="AD145" s="22" t="inlineStr">
        <is>
          <t>Shenwan Hongyuan Securities (H.K.) Limited; CLSA Limited; CMB International Capital Limited; DBS Asia Capital Limited; DIRECTORS AND PARTIES INVOLVED IN THE GLOBAL OFFERING –1 1 5– CLSA Limited; Huatai Financial Holdings (Hong Kong) Limited; ABCI Capital Limited; Citrus Securities Limited; Zhongtai International Securities Limited; China Everbright Securities (HK) Limited; West Bull Securities Limited; China Galaxy International Securities (Hong Kong) Co., Limited</t>
        </is>
      </c>
      <c r="AE145" s="22" t="n"/>
      <c r="AK145">
        <f>IF(AND(Screener!$B$7&lt;&gt;"",$E145=Screener!$B$7),1,0)</f>
        <v/>
      </c>
      <c r="AL145">
        <f>IF(AND(Screener!$B$6&lt;&gt;"",$D145=Screener!$B$6),1,0)</f>
        <v/>
      </c>
      <c r="AM145">
        <f>IF(OR($H145="",Screener!$B$8=""),0,MAX(0,1-ABS(LOG10($H145/Screener!$B$8))/W_SIZEHW))</f>
        <v/>
      </c>
      <c r="AN145">
        <f>IF(OR($V145="",Screener!$B$9=""),0,IF($V145=Screener!$B$9,1,0))</f>
        <v/>
      </c>
      <c r="AO145">
        <f>IF(OR($AA145="",Screener!$B$10=""),0,IF($AA145=Screener!$B$10,1,0))</f>
        <v/>
      </c>
      <c r="AP145">
        <f>IF($G145="",0,MAX(0,1-(Screener!$B$12-$G145)/W_RECD))</f>
        <v/>
      </c>
      <c r="AQ145">
        <f>IF($B145=Screener!$B$3,-999999,W_SUB*AK145+W_SEC*AL145*(1-AK145)+W_SIZE*AM145+W_PROF*AN145+W_AH*AO145+W_REC*AP145)+ROW()/1000000</f>
        <v/>
      </c>
      <c r="AR145">
        <f>IF(OR('NEW DEAL'!$B$6="",$E145&lt;&gt;'NEW DEAL'!$B$6),-1,1+IF(OR($H145="",'NEW DEAL'!$B$7=""),0,MAX(0,1-ABS(LOG10($H145/'NEW DEAL'!$B$7))/W_SIZEHW)))+ROW()/1000000</f>
        <v/>
      </c>
    </row>
    <row r="146">
      <c r="A146" s="23" t="inlineStr">
        <is>
          <t>2367</t>
        </is>
      </c>
      <c r="B146" s="22" t="inlineStr">
        <is>
          <t>GIANT BIOGENE</t>
        </is>
      </c>
      <c r="C146" s="22" t="n"/>
      <c r="D146" s="24" t="inlineStr">
        <is>
          <t>Consumer</t>
        </is>
      </c>
      <c r="E146" s="24" t="inlineStr">
        <is>
          <t>Beauty / personal care</t>
        </is>
      </c>
      <c r="F146" s="22" t="inlineStr">
        <is>
          <t>Standard</t>
        </is>
      </c>
      <c r="G146" s="25" t="n">
        <v>44869</v>
      </c>
      <c r="H146" s="26" t="n">
        <v>495.8</v>
      </c>
      <c r="I146" s="22" t="inlineStr">
        <is>
          <t>net proceeds</t>
        </is>
      </c>
      <c r="J146" s="27" t="n"/>
      <c r="K146" s="27" t="n">
        <v>27.7</v>
      </c>
      <c r="L146" s="27" t="n">
        <v>24.3</v>
      </c>
      <c r="M146" s="32" t="n"/>
      <c r="N146" s="29" t="inlineStr">
        <is>
          <t>N</t>
        </is>
      </c>
      <c r="O146" s="36" t="n">
        <v>24096</v>
      </c>
      <c r="P146" s="30" t="n">
        <v>2.08</v>
      </c>
      <c r="Q146" s="31" t="n"/>
      <c r="R146" s="32" t="n">
        <v>9.880000000000001</v>
      </c>
      <c r="S146" s="33" t="n">
        <v>0</v>
      </c>
      <c r="T146" s="32" t="n">
        <v>10</v>
      </c>
      <c r="U146" s="22" t="inlineStr">
        <is>
          <t>not-yet (at allotment)</t>
        </is>
      </c>
      <c r="V146" s="29" t="inlineStr">
        <is>
          <t>Y</t>
        </is>
      </c>
      <c r="W146" s="34" t="n">
        <v>26.5</v>
      </c>
      <c r="X146" s="34" t="n">
        <v>14.1</v>
      </c>
      <c r="Y146" s="36" t="n">
        <v>1707.7</v>
      </c>
      <c r="Z146" s="36" t="n">
        <v>910.9</v>
      </c>
      <c r="AA146" s="22" t="n"/>
      <c r="AB146" s="22" t="n"/>
      <c r="AC146" s="22" t="n"/>
      <c r="AD146" s="22" t="n"/>
      <c r="AE146" s="22" t="n"/>
      <c r="AK146">
        <f>IF(AND(Screener!$B$7&lt;&gt;"",$E146=Screener!$B$7),1,0)</f>
        <v/>
      </c>
      <c r="AL146">
        <f>IF(AND(Screener!$B$6&lt;&gt;"",$D146=Screener!$B$6),1,0)</f>
        <v/>
      </c>
      <c r="AM146">
        <f>IF(OR($H146="",Screener!$B$8=""),0,MAX(0,1-ABS(LOG10($H146/Screener!$B$8))/W_SIZEHW))</f>
        <v/>
      </c>
      <c r="AN146">
        <f>IF(OR($V146="",Screener!$B$9=""),0,IF($V146=Screener!$B$9,1,0))</f>
        <v/>
      </c>
      <c r="AO146">
        <f>IF(OR($AA146="",Screener!$B$10=""),0,IF($AA146=Screener!$B$10,1,0))</f>
        <v/>
      </c>
      <c r="AP146">
        <f>IF($G146="",0,MAX(0,1-(Screener!$B$12-$G146)/W_RECD))</f>
        <v/>
      </c>
      <c r="AQ146">
        <f>IF($B146=Screener!$B$3,-999999,W_SUB*AK146+W_SEC*AL146*(1-AK146)+W_SIZE*AM146+W_PROF*AN146+W_AH*AO146+W_REC*AP146)+ROW()/1000000</f>
        <v/>
      </c>
      <c r="AR146">
        <f>IF(OR('NEW DEAL'!$B$6="",$E146&lt;&gt;'NEW DEAL'!$B$6),-1,1+IF(OR($H146="",'NEW DEAL'!$B$7=""),0,MAX(0,1-ABS(LOG10($H146/'NEW DEAL'!$B$7))/W_SIZEHW)))+ROW()/1000000</f>
        <v/>
      </c>
    </row>
    <row r="147">
      <c r="A147" s="23" t="inlineStr">
        <is>
          <t>2291</t>
        </is>
      </c>
      <c r="B147" s="22" t="inlineStr">
        <is>
          <t>SCIENTECH</t>
        </is>
      </c>
      <c r="C147" s="22" t="n"/>
      <c r="D147" s="24" t="inlineStr">
        <is>
          <t>Healthcare</t>
        </is>
      </c>
      <c r="E147" s="24" t="inlineStr">
        <is>
          <t>Medical devices</t>
        </is>
      </c>
      <c r="F147" s="22" t="inlineStr">
        <is>
          <t>Standard</t>
        </is>
      </c>
      <c r="G147" s="25" t="n">
        <v>44873</v>
      </c>
      <c r="H147" s="26" t="n">
        <v>567.3</v>
      </c>
      <c r="I147" s="22" t="inlineStr">
        <is>
          <t>net proceeds</t>
        </is>
      </c>
      <c r="J147" s="27" t="n">
        <v>29.15</v>
      </c>
      <c r="K147" s="27" t="n">
        <v>31.45</v>
      </c>
      <c r="L147" s="27" t="n">
        <v>29.15</v>
      </c>
      <c r="M147" s="28" t="n">
        <v>0</v>
      </c>
      <c r="N147" s="29" t="inlineStr">
        <is>
          <t>N</t>
        </is>
      </c>
      <c r="O147" s="36" t="n">
        <v>50000</v>
      </c>
      <c r="P147" s="30" t="n">
        <v>2.11</v>
      </c>
      <c r="Q147" s="31" t="n"/>
      <c r="R147" s="32" t="n">
        <v>0</v>
      </c>
      <c r="S147" s="33" t="n">
        <v>10</v>
      </c>
      <c r="T147" s="32" t="n">
        <v>8.52</v>
      </c>
      <c r="U147" s="22" t="inlineStr">
        <is>
          <t>not-yet (at allotment)</t>
        </is>
      </c>
      <c r="V147" s="29" t="inlineStr">
        <is>
          <t>Y</t>
        </is>
      </c>
      <c r="W147" s="34" t="n">
        <v>774</v>
      </c>
      <c r="X147" s="31" t="n"/>
      <c r="Y147" s="35" t="n"/>
      <c r="Z147" s="36" t="n">
        <v>64.59999999999999</v>
      </c>
      <c r="AA147" s="22" t="n"/>
      <c r="AB147" s="22" t="n"/>
      <c r="AC147" s="22" t="n"/>
      <c r="AD147" s="22" t="inlineStr">
        <is>
          <t>China International Capital Corporation Hong Kong Securities Limited; CLSA Limited; China Galaxy International Securities (Hong Kong) Co., Limited; Huatai Financial Holdings (Hong Kong) Limited; V aluable Capital Limited</t>
        </is>
      </c>
      <c r="AE147" s="22" t="n"/>
      <c r="AK147">
        <f>IF(AND(Screener!$B$7&lt;&gt;"",$E147=Screener!$B$7),1,0)</f>
        <v/>
      </c>
      <c r="AL147">
        <f>IF(AND(Screener!$B$6&lt;&gt;"",$D147=Screener!$B$6),1,0)</f>
        <v/>
      </c>
      <c r="AM147">
        <f>IF(OR($H147="",Screener!$B$8=""),0,MAX(0,1-ABS(LOG10($H147/Screener!$B$8))/W_SIZEHW))</f>
        <v/>
      </c>
      <c r="AN147">
        <f>IF(OR($V147="",Screener!$B$9=""),0,IF($V147=Screener!$B$9,1,0))</f>
        <v/>
      </c>
      <c r="AO147">
        <f>IF(OR($AA147="",Screener!$B$10=""),0,IF($AA147=Screener!$B$10,1,0))</f>
        <v/>
      </c>
      <c r="AP147">
        <f>IF($G147="",0,MAX(0,1-(Screener!$B$12-$G147)/W_RECD))</f>
        <v/>
      </c>
      <c r="AQ147">
        <f>IF($B147=Screener!$B$3,-999999,W_SUB*AK147+W_SEC*AL147*(1-AK147)+W_SIZE*AM147+W_PROF*AN147+W_AH*AO147+W_REC*AP147)+ROW()/1000000</f>
        <v/>
      </c>
      <c r="AR147">
        <f>IF(OR('NEW DEAL'!$B$6="",$E147&lt;&gt;'NEW DEAL'!$B$6),-1,1+IF(OR($H147="",'NEW DEAL'!$B$7=""),0,MAX(0,1-ABS(LOG10($H147/'NEW DEAL'!$B$7))/W_SIZEHW)))+ROW()/1000000</f>
        <v/>
      </c>
    </row>
    <row r="148">
      <c r="A148" s="23" t="inlineStr">
        <is>
          <t>6696</t>
        </is>
      </c>
      <c r="B148" s="22" t="inlineStr">
        <is>
          <t>MANY IDEA CLOUD</t>
        </is>
      </c>
      <c r="C148" s="22" t="inlineStr">
        <is>
          <t>多想雲控股有限公司</t>
        </is>
      </c>
      <c r="D148" s="24" t="inlineStr">
        <is>
          <t>TMT-other</t>
        </is>
      </c>
      <c r="E148" s="24" t="inlineStr">
        <is>
          <t>Media / advertising</t>
        </is>
      </c>
      <c r="F148" s="22" t="inlineStr">
        <is>
          <t>Standard</t>
        </is>
      </c>
      <c r="G148" s="25" t="n">
        <v>44874</v>
      </c>
      <c r="H148" s="26" t="n">
        <v>249.7</v>
      </c>
      <c r="I148" s="22" t="inlineStr">
        <is>
          <t>net proceeds</t>
        </is>
      </c>
      <c r="J148" s="27" t="n">
        <v>1.88</v>
      </c>
      <c r="K148" s="27" t="n">
        <v>2.38</v>
      </c>
      <c r="L148" s="27" t="n">
        <v>1.96</v>
      </c>
      <c r="M148" s="28" t="n">
        <v>16</v>
      </c>
      <c r="N148" s="22" t="inlineStr">
        <is>
          <t>N</t>
        </is>
      </c>
      <c r="O148" s="35" t="n"/>
      <c r="P148" s="30" t="n">
        <v>2.81</v>
      </c>
      <c r="Q148" s="37" t="n">
        <v>1.01</v>
      </c>
      <c r="R148" s="32" t="n">
        <v>-9.890000000000001</v>
      </c>
      <c r="S148" s="33" t="n">
        <v>10</v>
      </c>
      <c r="T148" s="32" t="n">
        <v>15</v>
      </c>
      <c r="U148" s="22" t="inlineStr">
        <is>
          <t>not-yet (at allotment)</t>
        </is>
      </c>
      <c r="V148" s="29" t="inlineStr">
        <is>
          <t>Y</t>
        </is>
      </c>
      <c r="W148" s="31" t="n"/>
      <c r="X148" s="31" t="n"/>
      <c r="Y148" s="36" t="n">
        <v>388.6</v>
      </c>
      <c r="Z148" s="36" t="n">
        <v>71.2</v>
      </c>
      <c r="AA148" s="22" t="n"/>
      <c r="AB148" s="22" t="n"/>
      <c r="AC148" s="22" t="inlineStr">
        <is>
          <t>Zhongtai International Capital Limited</t>
        </is>
      </c>
      <c r="AD148" s="22" t="inlineStr">
        <is>
          <t>Zhongtai International Securities Limited; Sunfund Securities Limited; CLSALimited; Zheshang International Financial Holdings Co., Limited; SPDB International Capital Limited; BOCOM International Securities Limited; Shenwan Hongyuan Securities (H.K.) Limited; China Industrial Securities International Capital Limited; Guotai Junan Securities (Hong Kong) Limited; Maxa Capital Limited</t>
        </is>
      </c>
      <c r="AE148" s="22" t="n"/>
      <c r="AK148">
        <f>IF(AND(Screener!$B$7&lt;&gt;"",$E148=Screener!$B$7),1,0)</f>
        <v/>
      </c>
      <c r="AL148">
        <f>IF(AND(Screener!$B$6&lt;&gt;"",$D148=Screener!$B$6),1,0)</f>
        <v/>
      </c>
      <c r="AM148">
        <f>IF(OR($H148="",Screener!$B$8=""),0,MAX(0,1-ABS(LOG10($H148/Screener!$B$8))/W_SIZEHW))</f>
        <v/>
      </c>
      <c r="AN148">
        <f>IF(OR($V148="",Screener!$B$9=""),0,IF($V148=Screener!$B$9,1,0))</f>
        <v/>
      </c>
      <c r="AO148">
        <f>IF(OR($AA148="",Screener!$B$10=""),0,IF($AA148=Screener!$B$10,1,0))</f>
        <v/>
      </c>
      <c r="AP148">
        <f>IF($G148="",0,MAX(0,1-(Screener!$B$12-$G148)/W_RECD))</f>
        <v/>
      </c>
      <c r="AQ148">
        <f>IF($B148=Screener!$B$3,-999999,W_SUB*AK148+W_SEC*AL148*(1-AK148)+W_SIZE*AM148+W_PROF*AN148+W_AH*AO148+W_REC*AP148)+ROW()/1000000</f>
        <v/>
      </c>
      <c r="AR148">
        <f>IF(OR('NEW DEAL'!$B$6="",$E148&lt;&gt;'NEW DEAL'!$B$6),-1,1+IF(OR($H148="",'NEW DEAL'!$B$7=""),0,MAX(0,1-ABS(LOG10($H148/'NEW DEAL'!$B$7))/W_SIZEHW)))+ROW()/1000000</f>
        <v/>
      </c>
    </row>
    <row r="149">
      <c r="A149" s="23" t="inlineStr">
        <is>
          <t>2420</t>
        </is>
      </c>
      <c r="B149" s="22" t="inlineStr">
        <is>
          <t>ZIBUYU</t>
        </is>
      </c>
      <c r="C149" s="22" t="n"/>
      <c r="D149" s="24" t="inlineStr">
        <is>
          <t>Tech/AI</t>
        </is>
      </c>
      <c r="E149" s="24" t="inlineStr">
        <is>
          <t>Internet platform / e-commerce</t>
        </is>
      </c>
      <c r="F149" s="22" t="inlineStr">
        <is>
          <t>Standard</t>
        </is>
      </c>
      <c r="G149" s="25" t="n">
        <v>44876</v>
      </c>
      <c r="H149" s="26" t="n">
        <v>197.7</v>
      </c>
      <c r="I149" s="22" t="inlineStr">
        <is>
          <t>net proceeds</t>
        </is>
      </c>
      <c r="J149" s="27" t="n">
        <v>7.86</v>
      </c>
      <c r="K149" s="27" t="n">
        <v>9.42</v>
      </c>
      <c r="L149" s="27" t="n">
        <v>7.86</v>
      </c>
      <c r="M149" s="28" t="n">
        <v>0</v>
      </c>
      <c r="N149" s="29" t="inlineStr">
        <is>
          <t>N</t>
        </is>
      </c>
      <c r="O149" s="36" t="n">
        <v>3930</v>
      </c>
      <c r="P149" s="30" t="n">
        <v>1.91</v>
      </c>
      <c r="Q149" s="31" t="n"/>
      <c r="R149" s="32" t="n">
        <v>5.47</v>
      </c>
      <c r="S149" s="33" t="n">
        <v>37.9</v>
      </c>
      <c r="T149" s="32" t="n"/>
      <c r="U149" s="22" t="n"/>
      <c r="V149" s="22" t="n"/>
      <c r="W149" s="31" t="n"/>
      <c r="X149" s="31" t="n"/>
      <c r="Y149" s="36" t="n">
        <v>-0</v>
      </c>
      <c r="Z149" s="35" t="n"/>
      <c r="AA149" s="22" t="n"/>
      <c r="AB149" s="22" t="n"/>
      <c r="AC149" s="22" t="inlineStr">
        <is>
          <t>and Sponsor-OC Huatai Financial Holdings (Hong Kong) Limited; ABCI Capital Limited</t>
        </is>
      </c>
      <c r="AD149" s="22" t="inlineStr">
        <is>
          <t>Huatai Financial Holdings (Hong Kong) Limited; ABCI Capital Limited; Shenwan Hongyuan Securities (H.K.) Limited; BOCOM International Securities Limited</t>
        </is>
      </c>
      <c r="AE149" s="22" t="n"/>
      <c r="AK149">
        <f>IF(AND(Screener!$B$7&lt;&gt;"",$E149=Screener!$B$7),1,0)</f>
        <v/>
      </c>
      <c r="AL149">
        <f>IF(AND(Screener!$B$6&lt;&gt;"",$D149=Screener!$B$6),1,0)</f>
        <v/>
      </c>
      <c r="AM149">
        <f>IF(OR($H149="",Screener!$B$8=""),0,MAX(0,1-ABS(LOG10($H149/Screener!$B$8))/W_SIZEHW))</f>
        <v/>
      </c>
      <c r="AN149">
        <f>IF(OR($V149="",Screener!$B$9=""),0,IF($V149=Screener!$B$9,1,0))</f>
        <v/>
      </c>
      <c r="AO149">
        <f>IF(OR($AA149="",Screener!$B$10=""),0,IF($AA149=Screener!$B$10,1,0))</f>
        <v/>
      </c>
      <c r="AP149">
        <f>IF($G149="",0,MAX(0,1-(Screener!$B$12-$G149)/W_RECD))</f>
        <v/>
      </c>
      <c r="AQ149">
        <f>IF($B149=Screener!$B$3,-999999,W_SUB*AK149+W_SEC*AL149*(1-AK149)+W_SIZE*AM149+W_PROF*AN149+W_AH*AO149+W_REC*AP149)+ROW()/1000000</f>
        <v/>
      </c>
      <c r="AR149">
        <f>IF(OR('NEW DEAL'!$B$6="",$E149&lt;&gt;'NEW DEAL'!$B$6),-1,1+IF(OR($H149="",'NEW DEAL'!$B$7=""),0,MAX(0,1-ABS(LOG10($H149/'NEW DEAL'!$B$7))/W_SIZEHW)))+ROW()/1000000</f>
        <v/>
      </c>
    </row>
    <row r="150">
      <c r="A150" s="23" t="inlineStr">
        <is>
          <t>1407</t>
        </is>
      </c>
      <c r="B150" s="22" t="inlineStr">
        <is>
          <t>JY GAS</t>
        </is>
      </c>
      <c r="C150" s="22" t="n"/>
      <c r="D150" s="24" t="inlineStr">
        <is>
          <t>Materials/Energy</t>
        </is>
      </c>
      <c r="E150" s="24" t="inlineStr">
        <is>
          <t>Oil &amp; gas / utilities</t>
        </is>
      </c>
      <c r="F150" s="22" t="inlineStr">
        <is>
          <t>Standard</t>
        </is>
      </c>
      <c r="G150" s="25" t="n">
        <v>44881</v>
      </c>
      <c r="H150" s="26" t="n">
        <v>111.6</v>
      </c>
      <c r="I150" s="22" t="inlineStr">
        <is>
          <t>net proceeds</t>
        </is>
      </c>
      <c r="J150" s="27" t="n">
        <v>1.42</v>
      </c>
      <c r="K150" s="27" t="n">
        <v>1.62</v>
      </c>
      <c r="L150" s="27" t="n">
        <v>1.42</v>
      </c>
      <c r="M150" s="28" t="n">
        <v>0</v>
      </c>
      <c r="N150" s="29" t="inlineStr">
        <is>
          <t>N</t>
        </is>
      </c>
      <c r="O150" s="26" t="n">
        <v>3100</v>
      </c>
      <c r="P150" s="30" t="n">
        <v>7.15</v>
      </c>
      <c r="Q150" s="31" t="n"/>
      <c r="R150" s="32" t="n">
        <v>0</v>
      </c>
      <c r="S150" s="33" t="n">
        <v>0</v>
      </c>
      <c r="T150" s="32" t="n">
        <v>10</v>
      </c>
      <c r="U150" s="22" t="inlineStr">
        <is>
          <t>not-yet (at allotment)</t>
        </is>
      </c>
      <c r="V150" s="29" t="inlineStr">
        <is>
          <t>Y</t>
        </is>
      </c>
      <c r="W150" s="34" t="n">
        <v>41.2</v>
      </c>
      <c r="X150" s="34" t="n">
        <v>6.4</v>
      </c>
      <c r="Y150" s="36" t="n">
        <v>485</v>
      </c>
      <c r="Z150" s="36" t="n">
        <v>75.2</v>
      </c>
      <c r="AA150" s="22" t="n"/>
      <c r="AB150" s="22" t="n"/>
      <c r="AC150" s="22" t="inlineStr">
        <is>
          <t>China Industrial Securities International Capital Limited</t>
        </is>
      </c>
      <c r="AD150" s="22" t="inlineStr">
        <is>
          <t>China Industrial Securities International Capital Limited; ABCI Capital Limited; ICBC International Capital Limited; CCB International Capital Limited; BOCOM International Securities Limited; CMBC Securities Company Limited; SPDB International Capital Limited; Zhongtai International Securities Limited; China Everbright Securities (HK) Limited; SBI China Capital Financial Services Limited; Livermore Holdings Limited; Valuable Capital Limited</t>
        </is>
      </c>
      <c r="AE150" s="22" t="n"/>
      <c r="AK150">
        <f>IF(AND(Screener!$B$7&lt;&gt;"",$E150=Screener!$B$7),1,0)</f>
        <v/>
      </c>
      <c r="AL150">
        <f>IF(AND(Screener!$B$6&lt;&gt;"",$D150=Screener!$B$6),1,0)</f>
        <v/>
      </c>
      <c r="AM150">
        <f>IF(OR($H150="",Screener!$B$8=""),0,MAX(0,1-ABS(LOG10($H150/Screener!$B$8))/W_SIZEHW))</f>
        <v/>
      </c>
      <c r="AN150">
        <f>IF(OR($V150="",Screener!$B$9=""),0,IF($V150=Screener!$B$9,1,0))</f>
        <v/>
      </c>
      <c r="AO150">
        <f>IF(OR($AA150="",Screener!$B$10=""),0,IF($AA150=Screener!$B$10,1,0))</f>
        <v/>
      </c>
      <c r="AP150">
        <f>IF($G150="",0,MAX(0,1-(Screener!$B$12-$G150)/W_RECD))</f>
        <v/>
      </c>
      <c r="AQ150">
        <f>IF($B150=Screener!$B$3,-999999,W_SUB*AK150+W_SEC*AL150*(1-AK150)+W_SIZE*AM150+W_PROF*AN150+W_AH*AO150+W_REC*AP150)+ROW()/1000000</f>
        <v/>
      </c>
      <c r="AR150">
        <f>IF(OR('NEW DEAL'!$B$6="",$E150&lt;&gt;'NEW DEAL'!$B$6),-1,1+IF(OR($H150="",'NEW DEAL'!$B$7=""),0,MAX(0,1-ABS(LOG10($H150/'NEW DEAL'!$B$7))/W_SIZEHW)))+ROW()/1000000</f>
        <v/>
      </c>
    </row>
    <row r="151">
      <c r="A151" s="23" t="inlineStr">
        <is>
          <t>2436</t>
        </is>
      </c>
      <c r="B151" s="22" t="inlineStr">
        <is>
          <t>LX TECHNOLOGY</t>
        </is>
      </c>
      <c r="C151" s="22" t="inlineStr">
        <is>
          <t>凌雄科技集團有限公司</t>
        </is>
      </c>
      <c r="D151" s="24" t="inlineStr">
        <is>
          <t>Tech/AI</t>
        </is>
      </c>
      <c r="E151" s="24" t="inlineStr">
        <is>
          <t>SaaS / enterprise software</t>
        </is>
      </c>
      <c r="F151" s="22" t="inlineStr">
        <is>
          <t>Standard</t>
        </is>
      </c>
      <c r="G151" s="25" t="n">
        <v>44889</v>
      </c>
      <c r="H151" s="26" t="n">
        <v>337.2</v>
      </c>
      <c r="I151" s="22" t="inlineStr">
        <is>
          <t>net proceeds</t>
        </is>
      </c>
      <c r="J151" s="27" t="n"/>
      <c r="K151" s="27" t="n">
        <v>8.74</v>
      </c>
      <c r="L151" s="27" t="n">
        <v>7.6</v>
      </c>
      <c r="M151" s="32" t="n"/>
      <c r="N151" s="29" t="inlineStr">
        <is>
          <t>N</t>
        </is>
      </c>
      <c r="O151" s="26" t="n">
        <v>2236.1</v>
      </c>
      <c r="P151" s="30" t="n">
        <v>6.16</v>
      </c>
      <c r="Q151" s="31" t="n"/>
      <c r="R151" s="32" t="n">
        <v>2.63</v>
      </c>
      <c r="S151" s="33" t="n">
        <v>0</v>
      </c>
      <c r="T151" s="32" t="n">
        <v>5.06</v>
      </c>
      <c r="U151" s="22" t="inlineStr">
        <is>
          <t>not-yet (at allotment)</t>
        </is>
      </c>
      <c r="V151" s="29" t="inlineStr">
        <is>
          <t>N</t>
        </is>
      </c>
      <c r="W151" s="31" t="n"/>
      <c r="X151" s="31" t="n"/>
      <c r="Y151" s="35" t="n"/>
      <c r="Z151" s="36" t="n">
        <v>-493.6</v>
      </c>
      <c r="AA151" s="22" t="n"/>
      <c r="AB151" s="22" t="n"/>
      <c r="AC151" s="22" t="inlineStr">
        <is>
          <t>Haitong International Capital Limited</t>
        </is>
      </c>
      <c r="AD151" s="22" t="inlineStr">
        <is>
          <t>Haitong International Securities Company Limited; Futu Securities International (Hong Kong) Limited; Tiger Brokers (HK) Global Limited; Dragonstone Capital Management Limited</t>
        </is>
      </c>
      <c r="AE151" s="22" t="n"/>
      <c r="AK151">
        <f>IF(AND(Screener!$B$7&lt;&gt;"",$E151=Screener!$B$7),1,0)</f>
        <v/>
      </c>
      <c r="AL151">
        <f>IF(AND(Screener!$B$6&lt;&gt;"",$D151=Screener!$B$6),1,0)</f>
        <v/>
      </c>
      <c r="AM151">
        <f>IF(OR($H151="",Screener!$B$8=""),0,MAX(0,1-ABS(LOG10($H151/Screener!$B$8))/W_SIZEHW))</f>
        <v/>
      </c>
      <c r="AN151">
        <f>IF(OR($V151="",Screener!$B$9=""),0,IF($V151=Screener!$B$9,1,0))</f>
        <v/>
      </c>
      <c r="AO151">
        <f>IF(OR($AA151="",Screener!$B$10=""),0,IF($AA151=Screener!$B$10,1,0))</f>
        <v/>
      </c>
      <c r="AP151">
        <f>IF($G151="",0,MAX(0,1-(Screener!$B$12-$G151)/W_RECD))</f>
        <v/>
      </c>
      <c r="AQ151">
        <f>IF($B151=Screener!$B$3,-999999,W_SUB*AK151+W_SEC*AL151*(1-AK151)+W_SIZE*AM151+W_PROF*AN151+W_AH*AO151+W_REC*AP151)+ROW()/1000000</f>
        <v/>
      </c>
      <c r="AR151">
        <f>IF(OR('NEW DEAL'!$B$6="",$E151&lt;&gt;'NEW DEAL'!$B$6),-1,1+IF(OR($H151="",'NEW DEAL'!$B$7=""),0,MAX(0,1-ABS(LOG10($H151/'NEW DEAL'!$B$7))/W_SIZEHW)))+ROW()/1000000</f>
        <v/>
      </c>
    </row>
    <row r="152">
      <c r="A152" s="23" t="inlineStr">
        <is>
          <t>3660</t>
        </is>
      </c>
      <c r="B152" s="22" t="inlineStr">
        <is>
          <t>360 DIGITECH-S</t>
        </is>
      </c>
      <c r="C152" s="22" t="n"/>
      <c r="D152" s="24" t="inlineStr">
        <is>
          <t>Tech/AI</t>
        </is>
      </c>
      <c r="E152" s="24" t="inlineStr">
        <is>
          <t>Fintech platform</t>
        </is>
      </c>
      <c r="F152" s="38" t="inlineStr">
        <is>
          <t>Secondary</t>
        </is>
      </c>
      <c r="G152" s="25" t="n">
        <v>44894</v>
      </c>
      <c r="H152" s="26" t="n">
        <v>169.7</v>
      </c>
      <c r="I152" s="22" t="inlineStr">
        <is>
          <t>net proceeds</t>
        </is>
      </c>
      <c r="J152" s="27" t="n"/>
      <c r="K152" s="27" t="n"/>
      <c r="L152" s="27" t="n">
        <v>50.03</v>
      </c>
      <c r="M152" s="32" t="n"/>
      <c r="N152" s="22" t="n"/>
      <c r="O152" s="36" t="n">
        <v>28200</v>
      </c>
      <c r="P152" s="30" t="n">
        <v>2.46</v>
      </c>
      <c r="Q152" s="31" t="n"/>
      <c r="R152" s="32" t="n">
        <v>3.44</v>
      </c>
      <c r="S152" s="33" t="n"/>
      <c r="T152" s="32" t="n">
        <v>10</v>
      </c>
      <c r="U152" s="22" t="inlineStr">
        <is>
          <t>not-yet (at allotment)</t>
        </is>
      </c>
      <c r="V152" s="22" t="n"/>
      <c r="W152" s="31" t="n"/>
      <c r="X152" s="31" t="n"/>
      <c r="Y152" s="35" t="n"/>
      <c r="Z152" s="35" t="n"/>
      <c r="AA152" s="22" t="n"/>
      <c r="AB152" s="22" t="n"/>
      <c r="AC152" s="22" t="inlineStr">
        <is>
          <t>Citigroup Global Markets Asia Limited; China International Capital Corporation Hong Kong Securities Limited</t>
        </is>
      </c>
      <c r="AD152" s="22" t="inlineStr">
        <is>
          <t>Citigroup Global Markets Asia Limited; China International Capital Corporation Hong Kong Securities Limited; Citigroup Global Markets Limited; – 198 – China International Capital Corporation Hong Kong Securities Limited; CCB International Capital Limited; Futu Securities International (Hong Kong) Limited; Tiger Brokers (HK) Global Limited</t>
        </is>
      </c>
      <c r="AE152" s="22" t="n"/>
      <c r="AK152">
        <f>IF(AND(Screener!$B$7&lt;&gt;"",$E152=Screener!$B$7),1,0)</f>
        <v/>
      </c>
      <c r="AL152">
        <f>IF(AND(Screener!$B$6&lt;&gt;"",$D152=Screener!$B$6),1,0)</f>
        <v/>
      </c>
      <c r="AM152">
        <f>IF(OR($H152="",Screener!$B$8=""),0,MAX(0,1-ABS(LOG10($H152/Screener!$B$8))/W_SIZEHW))</f>
        <v/>
      </c>
      <c r="AN152">
        <f>IF(OR($V152="",Screener!$B$9=""),0,IF($V152=Screener!$B$9,1,0))</f>
        <v/>
      </c>
      <c r="AO152">
        <f>IF(OR($AA152="",Screener!$B$10=""),0,IF($AA152=Screener!$B$10,1,0))</f>
        <v/>
      </c>
      <c r="AP152">
        <f>IF($G152="",0,MAX(0,1-(Screener!$B$12-$G152)/W_RECD))</f>
        <v/>
      </c>
      <c r="AQ152">
        <f>IF($B152=Screener!$B$3,-999999,W_SUB*AK152+W_SEC*AL152*(1-AK152)+W_SIZE*AM152+W_PROF*AN152+W_AH*AO152+W_REC*AP152)+ROW()/1000000</f>
        <v/>
      </c>
      <c r="AR152">
        <f>IF(OR('NEW DEAL'!$B$6="",$E152&lt;&gt;'NEW DEAL'!$B$6),-1,1+IF(OR($H152="",'NEW DEAL'!$B$7=""),0,MAX(0,1-ABS(LOG10($H152/'NEW DEAL'!$B$7))/W_SIZEHW)))+ROW()/1000000</f>
        <v/>
      </c>
    </row>
    <row r="153">
      <c r="A153" s="23" t="inlineStr">
        <is>
          <t>2245</t>
        </is>
      </c>
      <c r="B153" s="22" t="inlineStr">
        <is>
          <t>LYGEND RESOURCE</t>
        </is>
      </c>
      <c r="C153" s="22" t="inlineStr">
        <is>
          <t>宁波力勤资源科技股份有限公司</t>
        </is>
      </c>
      <c r="D153" s="24" t="inlineStr">
        <is>
          <t>Materials/Energy</t>
        </is>
      </c>
      <c r="E153" s="24" t="inlineStr">
        <is>
          <t>Mining / metals</t>
        </is>
      </c>
      <c r="F153" s="22" t="inlineStr">
        <is>
          <t>Standard</t>
        </is>
      </c>
      <c r="G153" s="25" t="n">
        <v>44896</v>
      </c>
      <c r="H153" s="26" t="n">
        <v>3515.7</v>
      </c>
      <c r="I153" s="22" t="inlineStr">
        <is>
          <t>net proceeds</t>
        </is>
      </c>
      <c r="J153" s="27" t="n"/>
      <c r="K153" s="27" t="n">
        <v>19.96</v>
      </c>
      <c r="L153" s="27" t="n">
        <v>15.8</v>
      </c>
      <c r="M153" s="32" t="n"/>
      <c r="N153" s="22" t="inlineStr">
        <is>
          <t>N</t>
        </is>
      </c>
      <c r="O153" s="36" t="n">
        <v>10000</v>
      </c>
      <c r="P153" s="30" t="n">
        <v>1.47</v>
      </c>
      <c r="Q153" s="31" t="n"/>
      <c r="R153" s="32" t="n">
        <v>0</v>
      </c>
      <c r="S153" s="33" t="n">
        <v>10</v>
      </c>
      <c r="T153" s="32" t="n">
        <v>15</v>
      </c>
      <c r="U153" s="22" t="inlineStr">
        <is>
          <t>not-yet (at allotment)</t>
        </is>
      </c>
      <c r="V153" s="29" t="inlineStr">
        <is>
          <t>Y</t>
        </is>
      </c>
      <c r="W153" s="34" t="n">
        <v>7.2</v>
      </c>
      <c r="X153" s="34" t="n">
        <v>0.7</v>
      </c>
      <c r="Y153" s="36" t="n">
        <v>13694.2</v>
      </c>
      <c r="Z153" s="36" t="n">
        <v>1386</v>
      </c>
      <c r="AA153" s="22" t="n"/>
      <c r="AB153" s="22" t="n"/>
      <c r="AC153" s="22" t="inlineStr">
        <is>
          <t>China International Capital Corporation Hong Kong Securities Limited; CMB International Capital Limited</t>
        </is>
      </c>
      <c r="AD153" s="22" t="inlineStr">
        <is>
          <t>China International Capital Corporation Hong Kong Securities Limited; CMB International Capital Limited; Central, Hong Kong BOCI Asia Limited; Central, Hong Kong DBS Asia Capital Limited; ABCI Capital Limited; BNP Paribas Securities (Asia) Limited</t>
        </is>
      </c>
      <c r="AE153" s="22" t="n"/>
      <c r="AK153">
        <f>IF(AND(Screener!$B$7&lt;&gt;"",$E153=Screener!$B$7),1,0)</f>
        <v/>
      </c>
      <c r="AL153">
        <f>IF(AND(Screener!$B$6&lt;&gt;"",$D153=Screener!$B$6),1,0)</f>
        <v/>
      </c>
      <c r="AM153">
        <f>IF(OR($H153="",Screener!$B$8=""),0,MAX(0,1-ABS(LOG10($H153/Screener!$B$8))/W_SIZEHW))</f>
        <v/>
      </c>
      <c r="AN153">
        <f>IF(OR($V153="",Screener!$B$9=""),0,IF($V153=Screener!$B$9,1,0))</f>
        <v/>
      </c>
      <c r="AO153">
        <f>IF(OR($AA153="",Screener!$B$10=""),0,IF($AA153=Screener!$B$10,1,0))</f>
        <v/>
      </c>
      <c r="AP153">
        <f>IF($G153="",0,MAX(0,1-(Screener!$B$12-$G153)/W_RECD))</f>
        <v/>
      </c>
      <c r="AQ153">
        <f>IF($B153=Screener!$B$3,-999999,W_SUB*AK153+W_SEC*AL153*(1-AK153)+W_SIZE*AM153+W_PROF*AN153+W_AH*AO153+W_REC*AP153)+ROW()/1000000</f>
        <v/>
      </c>
      <c r="AR153">
        <f>IF(OR('NEW DEAL'!$B$6="",$E153&lt;&gt;'NEW DEAL'!$B$6),-1,1+IF(OR($H153="",'NEW DEAL'!$B$7=""),0,MAX(0,1-ABS(LOG10($H153/'NEW DEAL'!$B$7))/W_SIZEHW)))+ROW()/1000000</f>
        <v/>
      </c>
    </row>
    <row r="154">
      <c r="A154" s="23" t="inlineStr">
        <is>
          <t>6963</t>
        </is>
      </c>
      <c r="B154" s="22" t="inlineStr">
        <is>
          <t>SUNSHINE INS</t>
        </is>
      </c>
      <c r="C154" s="22" t="inlineStr">
        <is>
          <t>險集團</t>
        </is>
      </c>
      <c r="D154" s="24" t="inlineStr">
        <is>
          <t>Financials</t>
        </is>
      </c>
      <c r="E154" s="24" t="inlineStr">
        <is>
          <t>Insurance</t>
        </is>
      </c>
      <c r="F154" s="22" t="inlineStr">
        <is>
          <t>Standard</t>
        </is>
      </c>
      <c r="G154" s="25" t="n">
        <v>44904</v>
      </c>
      <c r="H154" s="26" t="n">
        <v>6419.5</v>
      </c>
      <c r="I154" s="22" t="inlineStr">
        <is>
          <t>net proceeds</t>
        </is>
      </c>
      <c r="J154" s="27" t="n"/>
      <c r="K154" s="27" t="n">
        <v>6.45</v>
      </c>
      <c r="L154" s="27" t="n">
        <v>5.83</v>
      </c>
      <c r="M154" s="32" t="n"/>
      <c r="N154" s="29" t="inlineStr">
        <is>
          <t>N</t>
        </is>
      </c>
      <c r="O154" s="26" t="n">
        <v>56659.3</v>
      </c>
      <c r="P154" s="30" t="n">
        <v>0.13</v>
      </c>
      <c r="Q154" s="31" t="n"/>
      <c r="R154" s="32" t="n">
        <v>0</v>
      </c>
      <c r="S154" s="33" t="n">
        <v>15</v>
      </c>
      <c r="T154" s="32" t="n">
        <v>10</v>
      </c>
      <c r="U154" s="22" t="inlineStr">
        <is>
          <t>not-yet (at allotment)</t>
        </is>
      </c>
      <c r="V154" s="22" t="n"/>
      <c r="W154" s="31" t="n"/>
      <c r="X154" s="31" t="n"/>
      <c r="Y154" s="35" t="n"/>
      <c r="Z154" s="35" t="n"/>
      <c r="AA154" s="22" t="n"/>
      <c r="AB154" s="22" t="n"/>
      <c r="AC154" s="22" t="inlineStr">
        <is>
          <t>Huatai Financial Holdings (Hong Kong) Limited; China International Capital Corporation Hong Kong Securities Limited; UBS Securities Hong Kong Limited; CCB International Capital Limited</t>
        </is>
      </c>
      <c r="AD154" s="22" t="inlineStr">
        <is>
          <t>Huatai Financial Holdings (Hong Kong) Limited; China International Capital Corporation Hong Kong Securities Limited; UBS AG Hong Kong Branch; CCB International Capital Limited; BNP Paribas Securities (Asia) Limited; BOCOM International Securities Limited; ICBC International Capital Limited; CLSA Limited; ABCI Capital Limited; China Merchants Securities (HK) Co., Limited; Shenwan Hongyuan Securities (H.K.) Limited; Soochow Securities International Brokerage Limited</t>
        </is>
      </c>
      <c r="AE154" s="22" t="n"/>
      <c r="AK154">
        <f>IF(AND(Screener!$B$7&lt;&gt;"",$E154=Screener!$B$7),1,0)</f>
        <v/>
      </c>
      <c r="AL154">
        <f>IF(AND(Screener!$B$6&lt;&gt;"",$D154=Screener!$B$6),1,0)</f>
        <v/>
      </c>
      <c r="AM154">
        <f>IF(OR($H154="",Screener!$B$8=""),0,MAX(0,1-ABS(LOG10($H154/Screener!$B$8))/W_SIZEHW))</f>
        <v/>
      </c>
      <c r="AN154">
        <f>IF(OR($V154="",Screener!$B$9=""),0,IF($V154=Screener!$B$9,1,0))</f>
        <v/>
      </c>
      <c r="AO154">
        <f>IF(OR($AA154="",Screener!$B$10=""),0,IF($AA154=Screener!$B$10,1,0))</f>
        <v/>
      </c>
      <c r="AP154">
        <f>IF($G154="",0,MAX(0,1-(Screener!$B$12-$G154)/W_RECD))</f>
        <v/>
      </c>
      <c r="AQ154">
        <f>IF($B154=Screener!$B$3,-999999,W_SUB*AK154+W_SEC*AL154*(1-AK154)+W_SIZE*AM154+W_PROF*AN154+W_AH*AO154+W_REC*AP154)+ROW()/1000000</f>
        <v/>
      </c>
      <c r="AR154">
        <f>IF(OR('NEW DEAL'!$B$6="",$E154&lt;&gt;'NEW DEAL'!$B$6),-1,1+IF(OR($H154="",'NEW DEAL'!$B$7=""),0,MAX(0,1-ABS(LOG10($H154/'NEW DEAL'!$B$7))/W_SIZEHW)))+ROW()/1000000</f>
        <v/>
      </c>
    </row>
    <row r="155">
      <c r="A155" s="23" t="inlineStr">
        <is>
          <t>2407</t>
        </is>
      </c>
      <c r="B155" s="22" t="inlineStr">
        <is>
          <t>GAUSH MEDITECH</t>
        </is>
      </c>
      <c r="C155" s="22" t="n"/>
      <c r="D155" s="24" t="inlineStr">
        <is>
          <t>Healthcare</t>
        </is>
      </c>
      <c r="E155" s="24" t="inlineStr">
        <is>
          <t>Medical devices</t>
        </is>
      </c>
      <c r="F155" s="22" t="inlineStr">
        <is>
          <t>Standard</t>
        </is>
      </c>
      <c r="G155" s="25" t="n">
        <v>44905</v>
      </c>
      <c r="H155" s="26" t="n">
        <v>283.1</v>
      </c>
      <c r="I155" s="22" t="inlineStr">
        <is>
          <t>net proceeds</t>
        </is>
      </c>
      <c r="J155" s="27" t="n"/>
      <c r="K155" s="27" t="n">
        <v>51.4</v>
      </c>
      <c r="L155" s="27" t="n">
        <v>51.4</v>
      </c>
      <c r="M155" s="32" t="n"/>
      <c r="N155" s="29" t="inlineStr">
        <is>
          <t>Y</t>
        </is>
      </c>
      <c r="O155" s="26" t="n">
        <v>2822.5</v>
      </c>
      <c r="P155" s="30" t="n">
        <v>1.52</v>
      </c>
      <c r="Q155" s="31" t="n"/>
      <c r="R155" s="32" t="n">
        <v>0</v>
      </c>
      <c r="S155" s="33" t="n">
        <v>94.52</v>
      </c>
      <c r="T155" s="32" t="n">
        <v>8.83</v>
      </c>
      <c r="U155" s="22" t="inlineStr">
        <is>
          <t>not-yet (at allotment)</t>
        </is>
      </c>
      <c r="V155" s="29" t="inlineStr">
        <is>
          <t>N</t>
        </is>
      </c>
      <c r="W155" s="31" t="n"/>
      <c r="X155" s="31" t="n"/>
      <c r="Y155" s="35" t="n"/>
      <c r="Z155" s="36" t="n">
        <v>-151.8</v>
      </c>
      <c r="AA155" s="22" t="n"/>
      <c r="AB155" s="22" t="n"/>
      <c r="AC155" s="22" t="inlineStr">
        <is>
          <t>Morgan Stanley Asia Limited; Haitong International Capital Limited</t>
        </is>
      </c>
      <c r="AD155" s="22" t="inlineStr">
        <is>
          <t>Morgan Stanley Asia Limited; Haitong International Securities Company Limited</t>
        </is>
      </c>
      <c r="AE155" s="22" t="n"/>
      <c r="AK155">
        <f>IF(AND(Screener!$B$7&lt;&gt;"",$E155=Screener!$B$7),1,0)</f>
        <v/>
      </c>
      <c r="AL155">
        <f>IF(AND(Screener!$B$6&lt;&gt;"",$D155=Screener!$B$6),1,0)</f>
        <v/>
      </c>
      <c r="AM155">
        <f>IF(OR($H155="",Screener!$B$8=""),0,MAX(0,1-ABS(LOG10($H155/Screener!$B$8))/W_SIZEHW))</f>
        <v/>
      </c>
      <c r="AN155">
        <f>IF(OR($V155="",Screener!$B$9=""),0,IF($V155=Screener!$B$9,1,0))</f>
        <v/>
      </c>
      <c r="AO155">
        <f>IF(OR($AA155="",Screener!$B$10=""),0,IF($AA155=Screener!$B$10,1,0))</f>
        <v/>
      </c>
      <c r="AP155">
        <f>IF($G155="",0,MAX(0,1-(Screener!$B$12-$G155)/W_RECD))</f>
        <v/>
      </c>
      <c r="AQ155">
        <f>IF($B155=Screener!$B$3,-999999,W_SUB*AK155+W_SEC*AL155*(1-AK155)+W_SIZE*AM155+W_PROF*AN155+W_AH*AO155+W_REC*AP155)+ROW()/1000000</f>
        <v/>
      </c>
      <c r="AR155">
        <f>IF(OR('NEW DEAL'!$B$6="",$E155&lt;&gt;'NEW DEAL'!$B$6),-1,1+IF(OR($H155="",'NEW DEAL'!$B$7=""),0,MAX(0,1-ABS(LOG10($H155/'NEW DEAL'!$B$7))/W_SIZEHW)))+ROW()/1000000</f>
        <v/>
      </c>
    </row>
    <row r="156">
      <c r="A156" s="23" t="inlineStr">
        <is>
          <t>2440</t>
        </is>
      </c>
      <c r="B156" s="22" t="inlineStr">
        <is>
          <t>HOWKINGTECH</t>
        </is>
      </c>
      <c r="C156" s="22" t="inlineStr">
        <is>
          <t>濠暻科技國際控股有限公司</t>
        </is>
      </c>
      <c r="D156" s="24" t="inlineStr">
        <is>
          <t>Tech/AI</t>
        </is>
      </c>
      <c r="E156" s="24" t="inlineStr">
        <is>
          <t>SaaS / enterprise software</t>
        </is>
      </c>
      <c r="F156" s="22" t="inlineStr">
        <is>
          <t>Standard</t>
        </is>
      </c>
      <c r="G156" s="25" t="n">
        <v>44905</v>
      </c>
      <c r="H156" s="26" t="n">
        <v>59.4</v>
      </c>
      <c r="I156" s="22" t="inlineStr">
        <is>
          <t>net proceeds</t>
        </is>
      </c>
      <c r="J156" s="27" t="n">
        <v>2.73</v>
      </c>
      <c r="K156" s="27" t="n">
        <v>3.28</v>
      </c>
      <c r="L156" s="27" t="n">
        <v>2.73</v>
      </c>
      <c r="M156" s="28" t="n">
        <v>0</v>
      </c>
      <c r="N156" s="29" t="inlineStr">
        <is>
          <t>N</t>
        </is>
      </c>
      <c r="O156" s="26" t="n">
        <v>371.2</v>
      </c>
      <c r="P156" s="30" t="n">
        <v>96.73</v>
      </c>
      <c r="Q156" s="31" t="n"/>
      <c r="R156" s="32" t="n">
        <v>-26.74</v>
      </c>
      <c r="S156" s="33" t="n">
        <v>40</v>
      </c>
      <c r="T156" s="32" t="n">
        <v>9.333</v>
      </c>
      <c r="U156" s="22" t="inlineStr">
        <is>
          <t>not-yet (at allotment)</t>
        </is>
      </c>
      <c r="V156" s="29" t="inlineStr">
        <is>
          <t>Y</t>
        </is>
      </c>
      <c r="W156" s="34" t="n">
        <v>9.800000000000001</v>
      </c>
      <c r="X156" s="34" t="n">
        <v>1.8</v>
      </c>
      <c r="Y156" s="36" t="n">
        <v>208.5</v>
      </c>
      <c r="Z156" s="36" t="n">
        <v>37.8</v>
      </c>
      <c r="AA156" s="22" t="n"/>
      <c r="AB156" s="22" t="n"/>
      <c r="AC156" s="22" t="inlineStr">
        <is>
          <t>Ping An of China Capital (Hong Kong) Company Limited</t>
        </is>
      </c>
      <c r="AD156" s="22" t="inlineStr">
        <is>
          <t>China PA Securities (Hong Kong) Company Limited; Innovax Securities Limited; CMBC Securities Company Limited; Valuable Capital Limited</t>
        </is>
      </c>
      <c r="AE156" s="22" t="n"/>
      <c r="AK156">
        <f>IF(AND(Screener!$B$7&lt;&gt;"",$E156=Screener!$B$7),1,0)</f>
        <v/>
      </c>
      <c r="AL156">
        <f>IF(AND(Screener!$B$6&lt;&gt;"",$D156=Screener!$B$6),1,0)</f>
        <v/>
      </c>
      <c r="AM156">
        <f>IF(OR($H156="",Screener!$B$8=""),0,MAX(0,1-ABS(LOG10($H156/Screener!$B$8))/W_SIZEHW))</f>
        <v/>
      </c>
      <c r="AN156">
        <f>IF(OR($V156="",Screener!$B$9=""),0,IF($V156=Screener!$B$9,1,0))</f>
        <v/>
      </c>
      <c r="AO156">
        <f>IF(OR($AA156="",Screener!$B$10=""),0,IF($AA156=Screener!$B$10,1,0))</f>
        <v/>
      </c>
      <c r="AP156">
        <f>IF($G156="",0,MAX(0,1-(Screener!$B$12-$G156)/W_RECD))</f>
        <v/>
      </c>
      <c r="AQ156">
        <f>IF($B156=Screener!$B$3,-999999,W_SUB*AK156+W_SEC*AL156*(1-AK156)+W_SIZE*AM156+W_PROF*AN156+W_AH*AO156+W_REC*AP156)+ROW()/1000000</f>
        <v/>
      </c>
      <c r="AR156">
        <f>IF(OR('NEW DEAL'!$B$6="",$E156&lt;&gt;'NEW DEAL'!$B$6),-1,1+IF(OR($H156="",'NEW DEAL'!$B$7=""),0,MAX(0,1-ABS(LOG10($H156/'NEW DEAL'!$B$7))/W_SIZEHW)))+ROW()/1000000</f>
        <v/>
      </c>
    </row>
    <row r="157">
      <c r="A157" s="23" t="inlineStr">
        <is>
          <t>1947</t>
        </is>
      </c>
      <c r="B157" s="22" t="inlineStr">
        <is>
          <t>MEIHAO GROUP</t>
        </is>
      </c>
      <c r="C157" s="22" t="inlineStr">
        <is>
          <t>美皓醫療集團有限公司</t>
        </is>
      </c>
      <c r="D157" s="24" t="inlineStr">
        <is>
          <t>Healthcare</t>
        </is>
      </c>
      <c r="E157" s="24" t="inlineStr">
        <is>
          <t>Hospitals / clinics</t>
        </is>
      </c>
      <c r="F157" s="22" t="inlineStr">
        <is>
          <t>Standard</t>
        </is>
      </c>
      <c r="G157" s="25" t="n">
        <v>44909</v>
      </c>
      <c r="H157" s="26" t="n">
        <v>74.90000000000001</v>
      </c>
      <c r="I157" s="22" t="inlineStr">
        <is>
          <t>net proceeds</t>
        </is>
      </c>
      <c r="J157" s="27" t="n"/>
      <c r="K157" s="27" t="n">
        <v>1</v>
      </c>
      <c r="L157" s="27" t="n">
        <v>0.84</v>
      </c>
      <c r="M157" s="32" t="n"/>
      <c r="N157" s="29" t="inlineStr">
        <is>
          <t>N</t>
        </is>
      </c>
      <c r="O157" s="26" t="n">
        <v>332.9</v>
      </c>
      <c r="P157" s="30" t="n">
        <v>41.31</v>
      </c>
      <c r="Q157" s="31" t="n"/>
      <c r="R157" s="32" t="n">
        <v>-14.29</v>
      </c>
      <c r="S157" s="33" t="n">
        <v>0</v>
      </c>
      <c r="T157" s="32" t="n">
        <v>10</v>
      </c>
      <c r="U157" s="22" t="inlineStr">
        <is>
          <t>not-yet (at allotment)</t>
        </is>
      </c>
      <c r="V157" s="29" t="inlineStr">
        <is>
          <t>Y</t>
        </is>
      </c>
      <c r="W157" s="34" t="n">
        <v>9.4</v>
      </c>
      <c r="X157" s="34" t="n">
        <v>2.9</v>
      </c>
      <c r="Y157" s="36" t="n">
        <v>115.8</v>
      </c>
      <c r="Z157" s="36" t="n">
        <v>35.4</v>
      </c>
      <c r="AA157" s="22" t="n"/>
      <c r="AB157" s="22" t="n"/>
      <c r="AC157" s="22" t="inlineStr">
        <is>
          <t>Innovax Capital Limited; Sinolink Securities (Hong Kong) Company Limited</t>
        </is>
      </c>
      <c r="AD157" s="22" t="inlineStr">
        <is>
          <t>Innovax Securities Limited; DIRECTORS AND PARTIES INVOLVED IN THE GLOBAL OFFERING –8 7– WE Securities Limited; Managers Innovax Securities Limited; WE Securities Limited; Sinolink Securities (Hong Kong) Company Limited; Guotai Junan Securities (Hong Kong) Limited; CCB International Capital Limited; Central, Hong Kong CMBC Securities Company Limited; CSFG International Securities Limited; HGNH International Securities Co., Limited</t>
        </is>
      </c>
      <c r="AE157" s="22" t="n"/>
      <c r="AK157">
        <f>IF(AND(Screener!$B$7&lt;&gt;"",$E157=Screener!$B$7),1,0)</f>
        <v/>
      </c>
      <c r="AL157">
        <f>IF(AND(Screener!$B$6&lt;&gt;"",$D157=Screener!$B$6),1,0)</f>
        <v/>
      </c>
      <c r="AM157">
        <f>IF(OR($H157="",Screener!$B$8=""),0,MAX(0,1-ABS(LOG10($H157/Screener!$B$8))/W_SIZEHW))</f>
        <v/>
      </c>
      <c r="AN157">
        <f>IF(OR($V157="",Screener!$B$9=""),0,IF($V157=Screener!$B$9,1,0))</f>
        <v/>
      </c>
      <c r="AO157">
        <f>IF(OR($AA157="",Screener!$B$10=""),0,IF($AA157=Screener!$B$10,1,0))</f>
        <v/>
      </c>
      <c r="AP157">
        <f>IF($G157="",0,MAX(0,1-(Screener!$B$12-$G157)/W_RECD))</f>
        <v/>
      </c>
      <c r="AQ157">
        <f>IF($B157=Screener!$B$3,-999999,W_SUB*AK157+W_SEC*AL157*(1-AK157)+W_SIZE*AM157+W_PROF*AN157+W_AH*AO157+W_REC*AP157)+ROW()/1000000</f>
        <v/>
      </c>
      <c r="AR157">
        <f>IF(OR('NEW DEAL'!$B$6="",$E157&lt;&gt;'NEW DEAL'!$B$6),-1,1+IF(OR($H157="",'NEW DEAL'!$B$7=""),0,MAX(0,1-ABS(LOG10($H157/'NEW DEAL'!$B$7))/W_SIZEHW)))+ROW()/1000000</f>
        <v/>
      </c>
    </row>
    <row r="158">
      <c r="A158" s="23" t="inlineStr">
        <is>
          <t>1244</t>
        </is>
      </c>
      <c r="B158" s="22" t="inlineStr">
        <is>
          <t>3D MEDICINES-B</t>
        </is>
      </c>
      <c r="C158" s="22" t="n"/>
      <c r="D158" s="24" t="inlineStr">
        <is>
          <t>Healthcare</t>
        </is>
      </c>
      <c r="E158" s="24" t="inlineStr">
        <is>
          <t>Biotech pre-revenue (18A)</t>
        </is>
      </c>
      <c r="F158" s="38" t="inlineStr">
        <is>
          <t>18A</t>
        </is>
      </c>
      <c r="G158" s="25" t="n">
        <v>44910</v>
      </c>
      <c r="H158" s="26" t="n">
        <v>251.1</v>
      </c>
      <c r="I158" s="22" t="inlineStr">
        <is>
          <t>net proceeds</t>
        </is>
      </c>
      <c r="J158" s="27" t="n">
        <v>22.96</v>
      </c>
      <c r="K158" s="27" t="n">
        <v>26.24</v>
      </c>
      <c r="L158" s="27" t="n">
        <v>24.98</v>
      </c>
      <c r="M158" s="28" t="n">
        <v>61.6</v>
      </c>
      <c r="N158" s="29" t="inlineStr">
        <is>
          <t>N</t>
        </is>
      </c>
      <c r="O158" s="26" t="n">
        <v>3444.4</v>
      </c>
      <c r="P158" s="30" t="n">
        <v>5.97</v>
      </c>
      <c r="Q158" s="31" t="n"/>
      <c r="R158" s="32" t="n">
        <v>25.9</v>
      </c>
      <c r="S158" s="33" t="n">
        <v>10</v>
      </c>
      <c r="T158" s="32" t="n">
        <v>7.29</v>
      </c>
      <c r="U158" s="22" t="inlineStr">
        <is>
          <t>not-yet (at allotment)</t>
        </is>
      </c>
      <c r="V158" s="22" t="n"/>
      <c r="W158" s="31" t="n"/>
      <c r="X158" s="34" t="n">
        <v>19.4</v>
      </c>
      <c r="Y158" s="36" t="n">
        <v>177.2</v>
      </c>
      <c r="Z158" s="35" t="n"/>
      <c r="AA158" s="22" t="n"/>
      <c r="AB158" s="22" t="n"/>
      <c r="AC158" s="22" t="inlineStr">
        <is>
          <t>China International Capital Corporation Hong Kong Securities Limited; China Securities (International) Corporate Finance Company Limited</t>
        </is>
      </c>
      <c r="AD158" s="22" t="inlineStr">
        <is>
          <t>China International Capital Corporation Hong Kong Securities Limited; China Securities (International) Corporate Finance Company Limited; CNCB (Hong Kong) Capital Limited; CCB International Capital Limited; Huarong International Securities Limited; Livermore Holdings Limited; DIRECTORS AND PARTIES INVOLVED IN THE GLOBAL OFFERING – 176 – ABCI Capital Limited; Tiger Brokers (HK) Global Limited</t>
        </is>
      </c>
      <c r="AE158" s="22" t="n"/>
      <c r="AK158">
        <f>IF(AND(Screener!$B$7&lt;&gt;"",$E158=Screener!$B$7),1,0)</f>
        <v/>
      </c>
      <c r="AL158">
        <f>IF(AND(Screener!$B$6&lt;&gt;"",$D158=Screener!$B$6),1,0)</f>
        <v/>
      </c>
      <c r="AM158">
        <f>IF(OR($H158="",Screener!$B$8=""),0,MAX(0,1-ABS(LOG10($H158/Screener!$B$8))/W_SIZEHW))</f>
        <v/>
      </c>
      <c r="AN158">
        <f>IF(OR($V158="",Screener!$B$9=""),0,IF($V158=Screener!$B$9,1,0))</f>
        <v/>
      </c>
      <c r="AO158">
        <f>IF(OR($AA158="",Screener!$B$10=""),0,IF($AA158=Screener!$B$10,1,0))</f>
        <v/>
      </c>
      <c r="AP158">
        <f>IF($G158="",0,MAX(0,1-(Screener!$B$12-$G158)/W_RECD))</f>
        <v/>
      </c>
      <c r="AQ158">
        <f>IF($B158=Screener!$B$3,-999999,W_SUB*AK158+W_SEC*AL158*(1-AK158)+W_SIZE*AM158+W_PROF*AN158+W_AH*AO158+W_REC*AP158)+ROW()/1000000</f>
        <v/>
      </c>
      <c r="AR158">
        <f>IF(OR('NEW DEAL'!$B$6="",$E158&lt;&gt;'NEW DEAL'!$B$6),-1,1+IF(OR($H158="",'NEW DEAL'!$B$7=""),0,MAX(0,1-ABS(LOG10($H158/'NEW DEAL'!$B$7))/W_SIZEHW)))+ROW()/1000000</f>
        <v/>
      </c>
    </row>
    <row r="159">
      <c r="A159" s="23" t="inlineStr">
        <is>
          <t>9985</t>
        </is>
      </c>
      <c r="B159" s="22" t="inlineStr">
        <is>
          <t>WEILONG</t>
        </is>
      </c>
      <c r="C159" s="22" t="n"/>
      <c r="D159" s="24" t="inlineStr">
        <is>
          <t>Consumer</t>
        </is>
      </c>
      <c r="E159" s="24" t="inlineStr">
        <is>
          <t>Beverages / packaged food</t>
        </is>
      </c>
      <c r="F159" s="22" t="inlineStr">
        <is>
          <t>Standard</t>
        </is>
      </c>
      <c r="G159" s="25" t="n">
        <v>44910</v>
      </c>
      <c r="H159" s="26" t="n">
        <v>898.9</v>
      </c>
      <c r="I159" s="22" t="inlineStr">
        <is>
          <t>net proceeds</t>
        </is>
      </c>
      <c r="J159" s="27" t="n">
        <v>10.4</v>
      </c>
      <c r="K159" s="27" t="n">
        <v>11.4</v>
      </c>
      <c r="L159" s="27" t="n">
        <v>10.56</v>
      </c>
      <c r="M159" s="28" t="n">
        <v>16</v>
      </c>
      <c r="N159" s="22" t="inlineStr">
        <is>
          <t>N</t>
        </is>
      </c>
      <c r="O159" s="26" t="n">
        <v>21924.4</v>
      </c>
      <c r="P159" s="30" t="n">
        <v>15.3</v>
      </c>
      <c r="Q159" s="37" t="n">
        <v>2.6</v>
      </c>
      <c r="R159" s="32" t="n">
        <v>-5.11</v>
      </c>
      <c r="S159" s="33" t="n">
        <v>15</v>
      </c>
      <c r="T159" s="32" t="n">
        <v>17.06</v>
      </c>
      <c r="U159" s="22" t="inlineStr">
        <is>
          <t>partial</t>
        </is>
      </c>
      <c r="V159" s="29" t="inlineStr">
        <is>
          <t>Y</t>
        </is>
      </c>
      <c r="W159" s="34" t="n">
        <v>18.2</v>
      </c>
      <c r="X159" s="34" t="n">
        <v>4.2</v>
      </c>
      <c r="Y159" s="36" t="n">
        <v>5280.2</v>
      </c>
      <c r="Z159" s="36" t="n">
        <v>1206.3</v>
      </c>
      <c r="AA159" s="22" t="n"/>
      <c r="AB159" s="22" t="n"/>
      <c r="AC159" s="22" t="inlineStr">
        <is>
          <t>Morgan Stanley Asia Limited; China International Capital Corporation Hong Kong Securities Limited</t>
        </is>
      </c>
      <c r="AD159" s="22" t="inlineStr">
        <is>
          <t>UBS AG Hong Kong Branch; Morgan Stanley Asia Limited; China International Capital Corporation Hong Kong Securities Limited; Futu Securities International (Hong Kong) Limited</t>
        </is>
      </c>
      <c r="AE159" s="22" t="n"/>
      <c r="AK159">
        <f>IF(AND(Screener!$B$7&lt;&gt;"",$E159=Screener!$B$7),1,0)</f>
        <v/>
      </c>
      <c r="AL159">
        <f>IF(AND(Screener!$B$6&lt;&gt;"",$D159=Screener!$B$6),1,0)</f>
        <v/>
      </c>
      <c r="AM159">
        <f>IF(OR($H159="",Screener!$B$8=""),0,MAX(0,1-ABS(LOG10($H159/Screener!$B$8))/W_SIZEHW))</f>
        <v/>
      </c>
      <c r="AN159">
        <f>IF(OR($V159="",Screener!$B$9=""),0,IF($V159=Screener!$B$9,1,0))</f>
        <v/>
      </c>
      <c r="AO159">
        <f>IF(OR($AA159="",Screener!$B$10=""),0,IF($AA159=Screener!$B$10,1,0))</f>
        <v/>
      </c>
      <c r="AP159">
        <f>IF($G159="",0,MAX(0,1-(Screener!$B$12-$G159)/W_RECD))</f>
        <v/>
      </c>
      <c r="AQ159">
        <f>IF($B159=Screener!$B$3,-999999,W_SUB*AK159+W_SEC*AL159*(1-AK159)+W_SIZE*AM159+W_PROF*AN159+W_AH*AO159+W_REC*AP159)+ROW()/1000000</f>
        <v/>
      </c>
      <c r="AR159">
        <f>IF(OR('NEW DEAL'!$B$6="",$E159&lt;&gt;'NEW DEAL'!$B$6),-1,1+IF(OR($H159="",'NEW DEAL'!$B$7=""),0,MAX(0,1-ABS(LOG10($H159/'NEW DEAL'!$B$7))/W_SIZEHW)))+ROW()/1000000</f>
        <v/>
      </c>
    </row>
    <row r="160">
      <c r="A160" s="23" t="inlineStr">
        <is>
          <t>2457</t>
        </is>
      </c>
      <c r="B160" s="22" t="inlineStr">
        <is>
          <t>BUYANG INTL</t>
        </is>
      </c>
      <c r="C160" s="22" t="n"/>
      <c r="D160" s="24" t="inlineStr">
        <is>
          <t>Consumer</t>
        </is>
      </c>
      <c r="E160" s="24" t="inlineStr">
        <is>
          <t>Auto parts / supply chain</t>
        </is>
      </c>
      <c r="F160" s="22" t="inlineStr">
        <is>
          <t>Standard</t>
        </is>
      </c>
      <c r="G160" s="25" t="n">
        <v>44910</v>
      </c>
      <c r="H160" s="26" t="n">
        <v>76.7</v>
      </c>
      <c r="I160" s="22" t="inlineStr">
        <is>
          <t>net proceeds</t>
        </is>
      </c>
      <c r="J160" s="27" t="n">
        <v>0.5</v>
      </c>
      <c r="K160" s="27" t="n">
        <v>0.6</v>
      </c>
      <c r="L160" s="27" t="n">
        <v>0.5</v>
      </c>
      <c r="M160" s="28" t="n">
        <v>0</v>
      </c>
      <c r="N160" s="22" t="inlineStr">
        <is>
          <t>N</t>
        </is>
      </c>
      <c r="O160" s="35" t="n"/>
      <c r="P160" s="30" t="n">
        <v>51.22</v>
      </c>
      <c r="Q160" s="31" t="n"/>
      <c r="R160" s="32" t="n">
        <v>-40</v>
      </c>
      <c r="S160" s="33" t="n">
        <v>40</v>
      </c>
      <c r="T160" s="32" t="n">
        <v>6</v>
      </c>
      <c r="U160" s="22" t="inlineStr">
        <is>
          <t>not-yet (at allotment)</t>
        </is>
      </c>
      <c r="V160" s="29" t="inlineStr">
        <is>
          <t>Y</t>
        </is>
      </c>
      <c r="W160" s="31" t="n"/>
      <c r="X160" s="31" t="n"/>
      <c r="Y160" s="36" t="n">
        <v>484.4</v>
      </c>
      <c r="Z160" s="36" t="n">
        <v>41.4</v>
      </c>
      <c r="AA160" s="22" t="n"/>
      <c r="AB160" s="22" t="n"/>
      <c r="AC160" s="22" t="inlineStr">
        <is>
          <t>Zhongtai International Capital Limited; –OC Zhongtai International Securities Limited</t>
        </is>
      </c>
      <c r="AD160" s="22" t="inlineStr">
        <is>
          <t>Zhongtai International Securities Limited; BOCOM International Securities Limited; SPDB International Capital Limited; GF Securities (Hong Kong) Brokerage Limited; CEB International Capital Corporation Limited; Southwest Securities (HK) Brokerage Limited; First Shanghai Securities Limited; China Tonghai Securities Limited; Zheshang International Financial Holdings Co., Limited; ZMF Asset Management Limited</t>
        </is>
      </c>
      <c r="AE160" s="22" t="n"/>
      <c r="AK160">
        <f>IF(AND(Screener!$B$7&lt;&gt;"",$E160=Screener!$B$7),1,0)</f>
        <v/>
      </c>
      <c r="AL160">
        <f>IF(AND(Screener!$B$6&lt;&gt;"",$D160=Screener!$B$6),1,0)</f>
        <v/>
      </c>
      <c r="AM160">
        <f>IF(OR($H160="",Screener!$B$8=""),0,MAX(0,1-ABS(LOG10($H160/Screener!$B$8))/W_SIZEHW))</f>
        <v/>
      </c>
      <c r="AN160">
        <f>IF(OR($V160="",Screener!$B$9=""),0,IF($V160=Screener!$B$9,1,0))</f>
        <v/>
      </c>
      <c r="AO160">
        <f>IF(OR($AA160="",Screener!$B$10=""),0,IF($AA160=Screener!$B$10,1,0))</f>
        <v/>
      </c>
      <c r="AP160">
        <f>IF($G160="",0,MAX(0,1-(Screener!$B$12-$G160)/W_RECD))</f>
        <v/>
      </c>
      <c r="AQ160">
        <f>IF($B160=Screener!$B$3,-999999,W_SUB*AK160+W_SEC*AL160*(1-AK160)+W_SIZE*AM160+W_PROF*AN160+W_AH*AO160+W_REC*AP160)+ROW()/1000000</f>
        <v/>
      </c>
      <c r="AR160">
        <f>IF(OR('NEW DEAL'!$B$6="",$E160&lt;&gt;'NEW DEAL'!$B$6),-1,1+IF(OR($H160="",'NEW DEAL'!$B$7=""),0,MAX(0,1-ABS(LOG10($H160/'NEW DEAL'!$B$7))/W_SIZEHW)))+ROW()/1000000</f>
        <v/>
      </c>
    </row>
    <row r="161">
      <c r="A161" s="23" t="inlineStr">
        <is>
          <t>2145</t>
        </is>
      </c>
      <c r="B161" s="22" t="inlineStr">
        <is>
          <t>CHICMAX</t>
        </is>
      </c>
      <c r="C161" s="22" t="n"/>
      <c r="D161" s="24" t="inlineStr">
        <is>
          <t>Consumer</t>
        </is>
      </c>
      <c r="E161" s="24" t="inlineStr">
        <is>
          <t>Beauty / personal care</t>
        </is>
      </c>
      <c r="F161" s="22" t="inlineStr">
        <is>
          <t>Standard</t>
        </is>
      </c>
      <c r="G161" s="25" t="n">
        <v>44917</v>
      </c>
      <c r="H161" s="26" t="n">
        <v>835.1</v>
      </c>
      <c r="I161" s="22" t="inlineStr">
        <is>
          <t>net proceeds</t>
        </is>
      </c>
      <c r="J161" s="27" t="n"/>
      <c r="K161" s="27" t="n">
        <v>29.8</v>
      </c>
      <c r="L161" s="27" t="n">
        <v>25.2</v>
      </c>
      <c r="M161" s="32" t="n"/>
      <c r="N161" s="29" t="inlineStr">
        <is>
          <t>N</t>
        </is>
      </c>
      <c r="O161" s="26" t="n">
        <v>7878.3</v>
      </c>
      <c r="P161" s="30" t="n">
        <v>0.48</v>
      </c>
      <c r="Q161" s="31" t="n"/>
      <c r="R161" s="32" t="n">
        <v>0</v>
      </c>
      <c r="S161" s="33" t="n">
        <v>0</v>
      </c>
      <c r="T161" s="32" t="n">
        <v>10.6</v>
      </c>
      <c r="U161" s="22" t="inlineStr">
        <is>
          <t>not-yet (at allotment)</t>
        </is>
      </c>
      <c r="V161" s="29" t="inlineStr">
        <is>
          <t>Y</t>
        </is>
      </c>
      <c r="W161" s="34" t="n">
        <v>19695.8</v>
      </c>
      <c r="X161" s="31" t="n"/>
      <c r="Y161" s="35" t="n"/>
      <c r="Z161" s="36" t="n">
        <v>0.4</v>
      </c>
      <c r="AA161" s="22" t="n"/>
      <c r="AB161" s="22" t="n"/>
      <c r="AC161" s="22" t="inlineStr">
        <is>
          <t>J.P. Morgan Securities (Far East) Limited; China International Capital Corporation Hong Kong Securities Limited; CLSA Capital Markets Limited</t>
        </is>
      </c>
      <c r="AD161" s="22" t="inlineStr">
        <is>
          <t>J.P. Morgan Securities (Asia Pacific) Limited; China International Capital Corporation Hong Kong Securities Limited; CLSA Limited; Managers J.P. Morgan Securities (Asia Pacific) Limited; J.P. Morgan Securities plc; Hong Kong Securities Limited; Shenwan Hongyuan Securities (H.K.) Limited; Tiger Brokers (HK) Global Limited; Futu Securities International (Hong Kong) Limited; No.95 Queensway Admiralty, Hong Kong Valuable Capital Limited; BOCI Asia Limited</t>
        </is>
      </c>
      <c r="AE161" s="22" t="n"/>
      <c r="AK161">
        <f>IF(AND(Screener!$B$7&lt;&gt;"",$E161=Screener!$B$7),1,0)</f>
        <v/>
      </c>
      <c r="AL161">
        <f>IF(AND(Screener!$B$6&lt;&gt;"",$D161=Screener!$B$6),1,0)</f>
        <v/>
      </c>
      <c r="AM161">
        <f>IF(OR($H161="",Screener!$B$8=""),0,MAX(0,1-ABS(LOG10($H161/Screener!$B$8))/W_SIZEHW))</f>
        <v/>
      </c>
      <c r="AN161">
        <f>IF(OR($V161="",Screener!$B$9=""),0,IF($V161=Screener!$B$9,1,0))</f>
        <v/>
      </c>
      <c r="AO161">
        <f>IF(OR($AA161="",Screener!$B$10=""),0,IF($AA161=Screener!$B$10,1,0))</f>
        <v/>
      </c>
      <c r="AP161">
        <f>IF($G161="",0,MAX(0,1-(Screener!$B$12-$G161)/W_RECD))</f>
        <v/>
      </c>
      <c r="AQ161">
        <f>IF($B161=Screener!$B$3,-999999,W_SUB*AK161+W_SEC*AL161*(1-AK161)+W_SIZE*AM161+W_PROF*AN161+W_AH*AO161+W_REC*AP161)+ROW()/1000000</f>
        <v/>
      </c>
      <c r="AR161">
        <f>IF(OR('NEW DEAL'!$B$6="",$E161&lt;&gt;'NEW DEAL'!$B$6),-1,1+IF(OR($H161="",'NEW DEAL'!$B$7=""),0,MAX(0,1-ABS(LOG10($H161/'NEW DEAL'!$B$7))/W_SIZEHW)))+ROW()/1000000</f>
        <v/>
      </c>
    </row>
    <row r="162">
      <c r="A162" s="23" t="inlineStr">
        <is>
          <t>0314</t>
        </is>
      </c>
      <c r="B162" s="22" t="inlineStr">
        <is>
          <t>SIPAI HEALTH</t>
        </is>
      </c>
      <c r="C162" s="22" t="n"/>
      <c r="D162" s="24" t="inlineStr">
        <is>
          <t>Healthcare</t>
        </is>
      </c>
      <c r="E162" s="24" t="inlineStr">
        <is>
          <t>Digital health</t>
        </is>
      </c>
      <c r="F162" s="22" t="inlineStr">
        <is>
          <t>Standard</t>
        </is>
      </c>
      <c r="G162" s="25" t="n">
        <v>44918</v>
      </c>
      <c r="H162" s="26" t="n">
        <v>120.4</v>
      </c>
      <c r="I162" s="22" t="inlineStr">
        <is>
          <t>net proceeds</t>
        </is>
      </c>
      <c r="J162" s="27" t="n"/>
      <c r="K162" s="27" t="n"/>
      <c r="L162" s="27" t="n">
        <v>18.6</v>
      </c>
      <c r="M162" s="32" t="n"/>
      <c r="N162" s="22" t="n"/>
      <c r="O162" s="36" t="n">
        <v>4000</v>
      </c>
      <c r="P162" s="30" t="n">
        <v>8.27</v>
      </c>
      <c r="Q162" s="31" t="n"/>
      <c r="R162" s="32" t="n">
        <v>34.41</v>
      </c>
      <c r="S162" s="33" t="n">
        <v>0</v>
      </c>
      <c r="T162" s="32" t="n">
        <v>12.94</v>
      </c>
      <c r="U162" s="22" t="inlineStr">
        <is>
          <t>not-yet (at allotment)</t>
        </is>
      </c>
      <c r="V162" s="22" t="n"/>
      <c r="W162" s="31" t="n"/>
      <c r="X162" s="31" t="n"/>
      <c r="Y162" s="36" t="n">
        <v>-0</v>
      </c>
      <c r="Z162" s="35" t="n"/>
      <c r="AA162" s="22" t="n"/>
      <c r="AB162" s="22" t="n"/>
      <c r="AC162" s="22" t="inlineStr">
        <is>
          <t>Morgan Stanley Asia Limited; Haitong International Capital Limited; Haitong International Securities Company Limited</t>
        </is>
      </c>
      <c r="AD162" s="22" t="n"/>
      <c r="AE162" s="22" t="n"/>
      <c r="AK162">
        <f>IF(AND(Screener!$B$7&lt;&gt;"",$E162=Screener!$B$7),1,0)</f>
        <v/>
      </c>
      <c r="AL162">
        <f>IF(AND(Screener!$B$6&lt;&gt;"",$D162=Screener!$B$6),1,0)</f>
        <v/>
      </c>
      <c r="AM162">
        <f>IF(OR($H162="",Screener!$B$8=""),0,MAX(0,1-ABS(LOG10($H162/Screener!$B$8))/W_SIZEHW))</f>
        <v/>
      </c>
      <c r="AN162">
        <f>IF(OR($V162="",Screener!$B$9=""),0,IF($V162=Screener!$B$9,1,0))</f>
        <v/>
      </c>
      <c r="AO162">
        <f>IF(OR($AA162="",Screener!$B$10=""),0,IF($AA162=Screener!$B$10,1,0))</f>
        <v/>
      </c>
      <c r="AP162">
        <f>IF($G162="",0,MAX(0,1-(Screener!$B$12-$G162)/W_RECD))</f>
        <v/>
      </c>
      <c r="AQ162">
        <f>IF($B162=Screener!$B$3,-999999,W_SUB*AK162+W_SEC*AL162*(1-AK162)+W_SIZE*AM162+W_PROF*AN162+W_AH*AO162+W_REC*AP162)+ROW()/1000000</f>
        <v/>
      </c>
      <c r="AR162">
        <f>IF(OR('NEW DEAL'!$B$6="",$E162&lt;&gt;'NEW DEAL'!$B$6),-1,1+IF(OR($H162="",'NEW DEAL'!$B$7=""),0,MAX(0,1-ABS(LOG10($H162/'NEW DEAL'!$B$7))/W_SIZEHW)))+ROW()/1000000</f>
        <v/>
      </c>
    </row>
    <row r="163">
      <c r="A163" s="23" t="inlineStr">
        <is>
          <t>6929</t>
        </is>
      </c>
      <c r="B163" s="22" t="inlineStr">
        <is>
          <t>ORBUSNEICH</t>
        </is>
      </c>
      <c r="C163" s="22" t="n"/>
      <c r="D163" s="24" t="inlineStr">
        <is>
          <t>Healthcare</t>
        </is>
      </c>
      <c r="E163" s="24" t="inlineStr">
        <is>
          <t>Medical devices</t>
        </is>
      </c>
      <c r="F163" s="22" t="inlineStr">
        <is>
          <t>Standard</t>
        </is>
      </c>
      <c r="G163" s="25" t="n">
        <v>44918</v>
      </c>
      <c r="H163" s="26" t="n">
        <v>432.7</v>
      </c>
      <c r="I163" s="22" t="inlineStr">
        <is>
          <t>gross (price x shares)</t>
        </is>
      </c>
      <c r="J163" s="27" t="n"/>
      <c r="K163" s="27" t="n">
        <v>8.800000000000001</v>
      </c>
      <c r="L163" s="27" t="n">
        <v>8.800000000000001</v>
      </c>
      <c r="M163" s="32" t="n"/>
      <c r="N163" s="29" t="inlineStr">
        <is>
          <t>Y</t>
        </is>
      </c>
      <c r="O163" s="36" t="n">
        <v>7284</v>
      </c>
      <c r="P163" s="30" t="n">
        <v>2.01</v>
      </c>
      <c r="Q163" s="31" t="n"/>
      <c r="R163" s="32" t="n">
        <v>3.98</v>
      </c>
      <c r="S163" s="33" t="n">
        <v>72.59999999999999</v>
      </c>
      <c r="T163" s="32" t="n"/>
      <c r="U163" s="22" t="n"/>
      <c r="V163" s="29" t="inlineStr">
        <is>
          <t>N</t>
        </is>
      </c>
      <c r="W163" s="31" t="n"/>
      <c r="X163" s="34" t="n">
        <v>8</v>
      </c>
      <c r="Y163" s="36" t="n">
        <v>908.4</v>
      </c>
      <c r="Z163" s="36" t="n">
        <v>-10.3</v>
      </c>
      <c r="AA163" s="22" t="n"/>
      <c r="AB163" s="22" t="n"/>
      <c r="AC163" s="22" t="inlineStr">
        <is>
          <t>China International Capital Corporation Hong Kong Securities Limited; CCB International Capital Limited</t>
        </is>
      </c>
      <c r="AD163" s="22" t="inlineStr">
        <is>
          <t>China International Capital Corporation Hong Kong Securities Limited; CCB International Capital Limited; BNP Paribas Securities (Asia) Limited; CLSA Limited; China Merchants Securities (HK) Co., Limited; ZMF Asset Management Limited; Futu Securities International (Hong Kong) Limited</t>
        </is>
      </c>
      <c r="AE163" s="22" t="n"/>
      <c r="AK163">
        <f>IF(AND(Screener!$B$7&lt;&gt;"",$E163=Screener!$B$7),1,0)</f>
        <v/>
      </c>
      <c r="AL163">
        <f>IF(AND(Screener!$B$6&lt;&gt;"",$D163=Screener!$B$6),1,0)</f>
        <v/>
      </c>
      <c r="AM163">
        <f>IF(OR($H163="",Screener!$B$8=""),0,MAX(0,1-ABS(LOG10($H163/Screener!$B$8))/W_SIZEHW))</f>
        <v/>
      </c>
      <c r="AN163">
        <f>IF(OR($V163="",Screener!$B$9=""),0,IF($V163=Screener!$B$9,1,0))</f>
        <v/>
      </c>
      <c r="AO163">
        <f>IF(OR($AA163="",Screener!$B$10=""),0,IF($AA163=Screener!$B$10,1,0))</f>
        <v/>
      </c>
      <c r="AP163">
        <f>IF($G163="",0,MAX(0,1-(Screener!$B$12-$G163)/W_RECD))</f>
        <v/>
      </c>
      <c r="AQ163">
        <f>IF($B163=Screener!$B$3,-999999,W_SUB*AK163+W_SEC*AL163*(1-AK163)+W_SIZE*AM163+W_PROF*AN163+W_AH*AO163+W_REC*AP163)+ROW()/1000000</f>
        <v/>
      </c>
      <c r="AR163">
        <f>IF(OR('NEW DEAL'!$B$6="",$E163&lt;&gt;'NEW DEAL'!$B$6),-1,1+IF(OR($H163="",'NEW DEAL'!$B$7=""),0,MAX(0,1-ABS(LOG10($H163/'NEW DEAL'!$B$7))/W_SIZEHW)))+ROW()/1000000</f>
        <v/>
      </c>
    </row>
    <row r="164">
      <c r="A164" s="23" t="inlineStr">
        <is>
          <t>2427</t>
        </is>
      </c>
      <c r="B164" s="22" t="inlineStr">
        <is>
          <t>GUANZE MEDICAL</t>
        </is>
      </c>
      <c r="C164" s="22" t="n"/>
      <c r="D164" s="24" t="inlineStr">
        <is>
          <t>Healthcare</t>
        </is>
      </c>
      <c r="E164" s="24" t="inlineStr">
        <is>
          <t>Medical devices</t>
        </is>
      </c>
      <c r="F164" s="22" t="inlineStr">
        <is>
          <t>Standard</t>
        </is>
      </c>
      <c r="G164" s="25" t="n">
        <v>44924</v>
      </c>
      <c r="H164" s="26" t="n">
        <v>73.3</v>
      </c>
      <c r="I164" s="22" t="inlineStr">
        <is>
          <t>net proceeds</t>
        </is>
      </c>
      <c r="J164" s="27" t="n">
        <v>0.53</v>
      </c>
      <c r="K164" s="27" t="n">
        <v>0.63</v>
      </c>
      <c r="L164" s="27" t="n">
        <v>0.53</v>
      </c>
      <c r="M164" s="28" t="n">
        <v>0</v>
      </c>
      <c r="N164" s="29" t="inlineStr">
        <is>
          <t>N</t>
        </is>
      </c>
      <c r="O164" s="26" t="n">
        <v>1466</v>
      </c>
      <c r="P164" s="30" t="n">
        <v>14.23</v>
      </c>
      <c r="Q164" s="31" t="n"/>
      <c r="R164" s="32" t="n">
        <v>230.19</v>
      </c>
      <c r="S164" s="33" t="n">
        <v>24</v>
      </c>
      <c r="T164" s="32" t="n">
        <v>10</v>
      </c>
      <c r="U164" s="22" t="inlineStr">
        <is>
          <t>not-yet (at allotment)</t>
        </is>
      </c>
      <c r="V164" s="29" t="inlineStr">
        <is>
          <t>Y</t>
        </is>
      </c>
      <c r="W164" s="34" t="n">
        <v>57.7</v>
      </c>
      <c r="X164" s="31" t="n"/>
      <c r="Y164" s="36" t="n">
        <v>0</v>
      </c>
      <c r="Z164" s="36" t="n">
        <v>25.4</v>
      </c>
      <c r="AA164" s="22" t="n"/>
      <c r="AB164" s="22" t="n"/>
      <c r="AC164" s="22" t="inlineStr">
        <is>
          <t>Southwest Securities (HK) Capital Limited</t>
        </is>
      </c>
      <c r="AD164" s="22" t="inlineStr">
        <is>
          <t>Southwest Securities (HK) Brokerage Limited; Goldlink Securities Limited; Wanchai, Hong Kong Lead Securities (HK) Limited; Wanchai, Hong Kong BOCOM International S ecurities Limited; Shenwan Hongyuan Securi ties (H.K.) Limited; SPDB International Capital Limited; Zhongtai International Securities Limited; Central, Hong Kong Alpha Financial Group Limited; Central, Hong Kong Elstone Securities Limited</t>
        </is>
      </c>
      <c r="AE164" s="22" t="n"/>
      <c r="AK164">
        <f>IF(AND(Screener!$B$7&lt;&gt;"",$E164=Screener!$B$7),1,0)</f>
        <v/>
      </c>
      <c r="AL164">
        <f>IF(AND(Screener!$B$6&lt;&gt;"",$D164=Screener!$B$6),1,0)</f>
        <v/>
      </c>
      <c r="AM164">
        <f>IF(OR($H164="",Screener!$B$8=""),0,MAX(0,1-ABS(LOG10($H164/Screener!$B$8))/W_SIZEHW))</f>
        <v/>
      </c>
      <c r="AN164">
        <f>IF(OR($V164="",Screener!$B$9=""),0,IF($V164=Screener!$B$9,1,0))</f>
        <v/>
      </c>
      <c r="AO164">
        <f>IF(OR($AA164="",Screener!$B$10=""),0,IF($AA164=Screener!$B$10,1,0))</f>
        <v/>
      </c>
      <c r="AP164">
        <f>IF($G164="",0,MAX(0,1-(Screener!$B$12-$G164)/W_RECD))</f>
        <v/>
      </c>
      <c r="AQ164">
        <f>IF($B164=Screener!$B$3,-999999,W_SUB*AK164+W_SEC*AL164*(1-AK164)+W_SIZE*AM164+W_PROF*AN164+W_AH*AO164+W_REC*AP164)+ROW()/1000000</f>
        <v/>
      </c>
      <c r="AR164">
        <f>IF(OR('NEW DEAL'!$B$6="",$E164&lt;&gt;'NEW DEAL'!$B$6),-1,1+IF(OR($H164="",'NEW DEAL'!$B$7=""),0,MAX(0,1-ABS(LOG10($H164/'NEW DEAL'!$B$7))/W_SIZEHW)))+ROW()/1000000</f>
        <v/>
      </c>
    </row>
    <row r="165">
      <c r="A165" s="23" t="inlineStr">
        <is>
          <t>6698</t>
        </is>
      </c>
      <c r="B165" s="22" t="inlineStr">
        <is>
          <t>STAR CM</t>
        </is>
      </c>
      <c r="C165" s="22" t="inlineStr">
        <is>
          <t>星空華文控股有限公司</t>
        </is>
      </c>
      <c r="D165" s="24" t="inlineStr">
        <is>
          <t>TMT-other</t>
        </is>
      </c>
      <c r="E165" s="24" t="inlineStr">
        <is>
          <t>Media / advertising</t>
        </is>
      </c>
      <c r="F165" s="22" t="inlineStr">
        <is>
          <t>Standard</t>
        </is>
      </c>
      <c r="G165" s="25" t="n">
        <v>44924</v>
      </c>
      <c r="H165" s="26" t="n">
        <v>319.6</v>
      </c>
      <c r="I165" s="22" t="inlineStr">
        <is>
          <t>net proceeds</t>
        </is>
      </c>
      <c r="J165" s="27" t="n"/>
      <c r="K165" s="27" t="n">
        <v>32.5</v>
      </c>
      <c r="L165" s="27" t="n">
        <v>26.5</v>
      </c>
      <c r="M165" s="32" t="n"/>
      <c r="N165" s="29" t="inlineStr">
        <is>
          <t>N</t>
        </is>
      </c>
      <c r="O165" s="26" t="n">
        <v>8637.799999999999</v>
      </c>
      <c r="P165" s="30" t="n">
        <v>5.12</v>
      </c>
      <c r="Q165" s="31" t="n"/>
      <c r="R165" s="32" t="n">
        <v>70.56999999999999</v>
      </c>
      <c r="S165" s="33" t="n">
        <v>96.67</v>
      </c>
      <c r="T165" s="32" t="n">
        <v>15</v>
      </c>
      <c r="U165" s="22" t="inlineStr">
        <is>
          <t>not-yet (at allotment)</t>
        </is>
      </c>
      <c r="V165" s="22" t="n"/>
      <c r="W165" s="31" t="n"/>
      <c r="X165" s="31" t="n"/>
      <c r="Y165" s="35" t="n"/>
      <c r="Z165" s="35" t="n"/>
      <c r="AA165" s="22" t="n"/>
      <c r="AB165" s="22" t="n"/>
      <c r="AC165" s="22" t="inlineStr">
        <is>
          <t>China International Capital Corporation Hong Kong Securities Limited; China Securities (International) Corporate Finance Company Limited</t>
        </is>
      </c>
      <c r="AD165" s="22" t="inlineStr">
        <is>
          <t>China International Capital Corporation Hong Kong Securities Limited; China Securities (International) Corporate Finance Company Limited; Guotai Junan Securities (Hong Kong) Limited; Huatai Financial Holdings (Hong Kong) Limited; ABCI Capital Limited; Huarong International Securities Limited; Zheshang International Financial Holdings Co., Limited; China Everbright Securities (HK) Limited; DIRECTORS AND PARTIES INVOLVED IN THE GLOBAL OFFERING – 121 – Valuable Capital Limited; Livermore Holdings Limited; Tiger Brokers (HK) Global Limited</t>
        </is>
      </c>
      <c r="AE165" s="22" t="n"/>
      <c r="AK165">
        <f>IF(AND(Screener!$B$7&lt;&gt;"",$E165=Screener!$B$7),1,0)</f>
        <v/>
      </c>
      <c r="AL165">
        <f>IF(AND(Screener!$B$6&lt;&gt;"",$D165=Screener!$B$6),1,0)</f>
        <v/>
      </c>
      <c r="AM165">
        <f>IF(OR($H165="",Screener!$B$8=""),0,MAX(0,1-ABS(LOG10($H165/Screener!$B$8))/W_SIZEHW))</f>
        <v/>
      </c>
      <c r="AN165">
        <f>IF(OR($V165="",Screener!$B$9=""),0,IF($V165=Screener!$B$9,1,0))</f>
        <v/>
      </c>
      <c r="AO165">
        <f>IF(OR($AA165="",Screener!$B$10=""),0,IF($AA165=Screener!$B$10,1,0))</f>
        <v/>
      </c>
      <c r="AP165">
        <f>IF($G165="",0,MAX(0,1-(Screener!$B$12-$G165)/W_RECD))</f>
        <v/>
      </c>
      <c r="AQ165">
        <f>IF($B165=Screener!$B$3,-999999,W_SUB*AK165+W_SEC*AL165*(1-AK165)+W_SIZE*AM165+W_PROF*AN165+W_AH*AO165+W_REC*AP165)+ROW()/1000000</f>
        <v/>
      </c>
      <c r="AR165">
        <f>IF(OR('NEW DEAL'!$B$6="",$E165&lt;&gt;'NEW DEAL'!$B$6),-1,1+IF(OR($H165="",'NEW DEAL'!$B$7=""),0,MAX(0,1-ABS(LOG10($H165/'NEW DEAL'!$B$7))/W_SIZEHW)))+ROW()/1000000</f>
        <v/>
      </c>
    </row>
    <row r="166">
      <c r="A166" s="23" t="inlineStr">
        <is>
          <t>2425</t>
        </is>
      </c>
      <c r="B166" s="22" t="inlineStr">
        <is>
          <t>AUSTASIA GROUP</t>
        </is>
      </c>
      <c r="C166" s="22" t="n"/>
      <c r="D166" s="24" t="inlineStr">
        <is>
          <t>Consumer</t>
        </is>
      </c>
      <c r="E166" s="24" t="inlineStr">
        <is>
          <t>Beverages / packaged food</t>
        </is>
      </c>
      <c r="F166" s="22" t="inlineStr">
        <is>
          <t>Standard</t>
        </is>
      </c>
      <c r="G166" s="25" t="n">
        <v>44925</v>
      </c>
      <c r="H166" s="26" t="n">
        <v>101.4</v>
      </c>
      <c r="I166" s="22" t="inlineStr">
        <is>
          <t>net proceeds</t>
        </is>
      </c>
      <c r="J166" s="27" t="n"/>
      <c r="K166" s="27" t="n">
        <v>7</v>
      </c>
      <c r="L166" s="27" t="n">
        <v>6.4</v>
      </c>
      <c r="M166" s="32" t="n"/>
      <c r="N166" s="29" t="inlineStr">
        <is>
          <t>N</t>
        </is>
      </c>
      <c r="O166" s="36" t="n">
        <v>4476.5</v>
      </c>
      <c r="P166" s="30" t="n">
        <v>2.08</v>
      </c>
      <c r="Q166" s="37" t="n">
        <v>1.16</v>
      </c>
      <c r="R166" s="32" t="n">
        <v>-0.47</v>
      </c>
      <c r="S166" s="33" t="n">
        <v>44.1</v>
      </c>
      <c r="T166" s="32" t="n">
        <v>15</v>
      </c>
      <c r="U166" s="22" t="inlineStr">
        <is>
          <t>not-yet (at allotment)</t>
        </is>
      </c>
      <c r="V166" s="22" t="n"/>
      <c r="W166" s="31" t="n"/>
      <c r="X166" s="31" t="n"/>
      <c r="Y166" s="35" t="n"/>
      <c r="Z166" s="35" t="n"/>
      <c r="AA166" s="22" t="n"/>
      <c r="AB166" s="22" t="n"/>
      <c r="AC166" s="22" t="inlineStr">
        <is>
          <t>China International Capital Corporation Hong Kong Securities Limited; DBS Asia Capital Limited</t>
        </is>
      </c>
      <c r="AD166" s="22" t="inlineStr">
        <is>
          <t>China International Capital Corporation Hong Kong Securities Limited; DBS Asia Capital Limited; Daiwa Capital Markets Hong Kong Limited; ABCI Capital Limited; BOCOM International Securities Limited; Futu Securities International (Hong Kong) Limited</t>
        </is>
      </c>
      <c r="AE166" s="22" t="n"/>
      <c r="AK166">
        <f>IF(AND(Screener!$B$7&lt;&gt;"",$E166=Screener!$B$7),1,0)</f>
        <v/>
      </c>
      <c r="AL166">
        <f>IF(AND(Screener!$B$6&lt;&gt;"",$D166=Screener!$B$6),1,0)</f>
        <v/>
      </c>
      <c r="AM166">
        <f>IF(OR($H166="",Screener!$B$8=""),0,MAX(0,1-ABS(LOG10($H166/Screener!$B$8))/W_SIZEHW))</f>
        <v/>
      </c>
      <c r="AN166">
        <f>IF(OR($V166="",Screener!$B$9=""),0,IF($V166=Screener!$B$9,1,0))</f>
        <v/>
      </c>
      <c r="AO166">
        <f>IF(OR($AA166="",Screener!$B$10=""),0,IF($AA166=Screener!$B$10,1,0))</f>
        <v/>
      </c>
      <c r="AP166">
        <f>IF($G166="",0,MAX(0,1-(Screener!$B$12-$G166)/W_RECD))</f>
        <v/>
      </c>
      <c r="AQ166">
        <f>IF($B166=Screener!$B$3,-999999,W_SUB*AK166+W_SEC*AL166*(1-AK166)+W_SIZE*AM166+W_PROF*AN166+W_AH*AO166+W_REC*AP166)+ROW()/1000000</f>
        <v/>
      </c>
      <c r="AR166">
        <f>IF(OR('NEW DEAL'!$B$6="",$E166&lt;&gt;'NEW DEAL'!$B$6),-1,1+IF(OR($H166="",'NEW DEAL'!$B$7=""),0,MAX(0,1-ABS(LOG10($H166/'NEW DEAL'!$B$7))/W_SIZEHW)))+ROW()/1000000</f>
        <v/>
      </c>
    </row>
    <row r="167">
      <c r="A167" s="23" t="inlineStr">
        <is>
          <t>6922</t>
        </is>
      </c>
      <c r="B167" s="22" t="inlineStr">
        <is>
          <t>CRYOFOCUS-B</t>
        </is>
      </c>
      <c r="C167" s="22" t="n"/>
      <c r="D167" s="24" t="inlineStr">
        <is>
          <t>Healthcare</t>
        </is>
      </c>
      <c r="E167" s="24" t="inlineStr">
        <is>
          <t>Medical devices</t>
        </is>
      </c>
      <c r="F167" s="38" t="inlineStr">
        <is>
          <t>18A</t>
        </is>
      </c>
      <c r="G167" s="25" t="n">
        <v>44925</v>
      </c>
      <c r="H167" s="26" t="n">
        <v>139.9</v>
      </c>
      <c r="I167" s="22" t="inlineStr">
        <is>
          <t>net proceeds</t>
        </is>
      </c>
      <c r="J167" s="27" t="n"/>
      <c r="K167" s="27" t="n">
        <v>18.9</v>
      </c>
      <c r="L167" s="27" t="n">
        <v>18.9</v>
      </c>
      <c r="M167" s="32" t="n"/>
      <c r="N167" s="29" t="inlineStr">
        <is>
          <t>Y</t>
        </is>
      </c>
      <c r="O167" s="26" t="n">
        <v>3008.6</v>
      </c>
      <c r="P167" s="30" t="n">
        <v>1.95</v>
      </c>
      <c r="Q167" s="31" t="n"/>
      <c r="R167" s="32" t="n">
        <v>-6.56</v>
      </c>
      <c r="S167" s="33" t="n"/>
      <c r="T167" s="32" t="n"/>
      <c r="U167" s="22" t="n"/>
      <c r="V167" s="29" t="inlineStr">
        <is>
          <t>N</t>
        </is>
      </c>
      <c r="W167" s="31" t="n"/>
      <c r="X167" s="34" t="n">
        <v>226.2</v>
      </c>
      <c r="Y167" s="36" t="n">
        <v>13.3</v>
      </c>
      <c r="Z167" s="36" t="n">
        <v>-101.7</v>
      </c>
      <c r="AA167" s="22" t="n"/>
      <c r="AB167" s="22" t="n"/>
      <c r="AC167" s="22" t="inlineStr">
        <is>
          <t>Citigroup Global Markets Asia Limited; Huatai Financial Holdings (Hong Kong) Limited</t>
        </is>
      </c>
      <c r="AD167" s="22" t="inlineStr">
        <is>
          <t>Citigroup Global Markets Asia Limited; Huatai Financial Holdings (Hong Kong) Limited; CMB International Capital Limited; ABCI Capital Limited; Citigroup Global Markets Limited; BOCOM International Securities Limited; Futu Securities International (Hong Kong) Limited; Tiger Brokers (HK) Global Limited</t>
        </is>
      </c>
      <c r="AE167" s="22" t="n"/>
      <c r="AK167">
        <f>IF(AND(Screener!$B$7&lt;&gt;"",$E167=Screener!$B$7),1,0)</f>
        <v/>
      </c>
      <c r="AL167">
        <f>IF(AND(Screener!$B$6&lt;&gt;"",$D167=Screener!$B$6),1,0)</f>
        <v/>
      </c>
      <c r="AM167">
        <f>IF(OR($H167="",Screener!$B$8=""),0,MAX(0,1-ABS(LOG10($H167/Screener!$B$8))/W_SIZEHW))</f>
        <v/>
      </c>
      <c r="AN167">
        <f>IF(OR($V167="",Screener!$B$9=""),0,IF($V167=Screener!$B$9,1,0))</f>
        <v/>
      </c>
      <c r="AO167">
        <f>IF(OR($AA167="",Screener!$B$10=""),0,IF($AA167=Screener!$B$10,1,0))</f>
        <v/>
      </c>
      <c r="AP167">
        <f>IF($G167="",0,MAX(0,1-(Screener!$B$12-$G167)/W_RECD))</f>
        <v/>
      </c>
      <c r="AQ167">
        <f>IF($B167=Screener!$B$3,-999999,W_SUB*AK167+W_SEC*AL167*(1-AK167)+W_SIZE*AM167+W_PROF*AN167+W_AH*AO167+W_REC*AP167)+ROW()/1000000</f>
        <v/>
      </c>
      <c r="AR167">
        <f>IF(OR('NEW DEAL'!$B$6="",$E167&lt;&gt;'NEW DEAL'!$B$6),-1,1+IF(OR($H167="",'NEW DEAL'!$B$7=""),0,MAX(0,1-ABS(LOG10($H167/'NEW DEAL'!$B$7))/W_SIZEHW)))+ROW()/1000000</f>
        <v/>
      </c>
    </row>
    <row r="168">
      <c r="A168" s="23" t="inlineStr">
        <is>
          <t>6955</t>
        </is>
      </c>
      <c r="B168" s="22" t="inlineStr">
        <is>
          <t>BOAN BIOTECH-B</t>
        </is>
      </c>
      <c r="C168" s="22" t="n"/>
      <c r="D168" s="24" t="inlineStr">
        <is>
          <t>Healthcare</t>
        </is>
      </c>
      <c r="E168" s="24" t="inlineStr">
        <is>
          <t>Biotech pre-revenue (18A)</t>
        </is>
      </c>
      <c r="F168" s="38" t="inlineStr">
        <is>
          <t>18A</t>
        </is>
      </c>
      <c r="G168" s="25" t="n">
        <v>44925</v>
      </c>
      <c r="H168" s="26" t="n">
        <v>152.8</v>
      </c>
      <c r="I168" s="22" t="inlineStr">
        <is>
          <t>net proceeds</t>
        </is>
      </c>
      <c r="J168" s="27" t="n"/>
      <c r="K168" s="27" t="n">
        <v>19.8</v>
      </c>
      <c r="L168" s="27" t="n">
        <v>19.8</v>
      </c>
      <c r="M168" s="32" t="n"/>
      <c r="N168" s="29" t="inlineStr">
        <is>
          <t>Y</t>
        </is>
      </c>
      <c r="O168" s="26" t="n">
        <v>6366.7</v>
      </c>
      <c r="P168" s="30" t="n">
        <v>2.12</v>
      </c>
      <c r="Q168" s="31" t="n"/>
      <c r="R168" s="32" t="n">
        <v>0</v>
      </c>
      <c r="S168" s="33" t="n">
        <v>10</v>
      </c>
      <c r="T168" s="32" t="n">
        <v>18.14</v>
      </c>
      <c r="U168" s="22" t="inlineStr">
        <is>
          <t>not-yet (at allotment)</t>
        </is>
      </c>
      <c r="V168" s="22" t="n"/>
      <c r="W168" s="31" t="n"/>
      <c r="X168" s="34" t="n">
        <v>26.2</v>
      </c>
      <c r="Y168" s="36" t="n">
        <v>242.8</v>
      </c>
      <c r="Z168" s="35" t="n"/>
      <c r="AA168" s="22" t="n"/>
      <c r="AB168" s="22" t="n"/>
      <c r="AC168" s="22" t="inlineStr">
        <is>
          <t>UBS Securities Hong Kong Limited; Essence Corporate Finance (Hong Kong) Limited</t>
        </is>
      </c>
      <c r="AD168" s="22" t="inlineStr">
        <is>
          <t>UBS AG Hong Kong Branch; Essence International Securities (Hong Kong) Limited</t>
        </is>
      </c>
      <c r="AE168" s="22" t="n"/>
      <c r="AK168">
        <f>IF(AND(Screener!$B$7&lt;&gt;"",$E168=Screener!$B$7),1,0)</f>
        <v/>
      </c>
      <c r="AL168">
        <f>IF(AND(Screener!$B$6&lt;&gt;"",$D168=Screener!$B$6),1,0)</f>
        <v/>
      </c>
      <c r="AM168">
        <f>IF(OR($H168="",Screener!$B$8=""),0,MAX(0,1-ABS(LOG10($H168/Screener!$B$8))/W_SIZEHW))</f>
        <v/>
      </c>
      <c r="AN168">
        <f>IF(OR($V168="",Screener!$B$9=""),0,IF($V168=Screener!$B$9,1,0))</f>
        <v/>
      </c>
      <c r="AO168">
        <f>IF(OR($AA168="",Screener!$B$10=""),0,IF($AA168=Screener!$B$10,1,0))</f>
        <v/>
      </c>
      <c r="AP168">
        <f>IF($G168="",0,MAX(0,1-(Screener!$B$12-$G168)/W_RECD))</f>
        <v/>
      </c>
      <c r="AQ168">
        <f>IF($B168=Screener!$B$3,-999999,W_SUB*AK168+W_SEC*AL168*(1-AK168)+W_SIZE*AM168+W_PROF*AN168+W_AH*AO168+W_REC*AP168)+ROW()/1000000</f>
        <v/>
      </c>
      <c r="AR168">
        <f>IF(OR('NEW DEAL'!$B$6="",$E168&lt;&gt;'NEW DEAL'!$B$6),-1,1+IF(OR($H168="",'NEW DEAL'!$B$7=""),0,MAX(0,1-ABS(LOG10($H168/'NEW DEAL'!$B$7))/W_SIZEHW)))+ROW()/1000000</f>
        <v/>
      </c>
    </row>
    <row r="169">
      <c r="A169" s="23" t="inlineStr">
        <is>
          <t>2469</t>
        </is>
      </c>
      <c r="B169" s="22" t="inlineStr">
        <is>
          <t>FENBI</t>
        </is>
      </c>
      <c r="C169" s="22" t="n"/>
      <c r="D169" s="24" t="inlineStr">
        <is>
          <t>Consumer</t>
        </is>
      </c>
      <c r="E169" s="24" t="inlineStr">
        <is>
          <t>Consumer services / education</t>
        </is>
      </c>
      <c r="F169" s="22" t="inlineStr">
        <is>
          <t>Standard</t>
        </is>
      </c>
      <c r="G169" s="25" t="n">
        <v>44933</v>
      </c>
      <c r="H169" s="26" t="n">
        <v>178.2</v>
      </c>
      <c r="I169" s="22" t="inlineStr">
        <is>
          <t>gross (price x shares)</t>
        </is>
      </c>
      <c r="J169" s="27" t="n"/>
      <c r="K169" s="27" t="n">
        <v>9.9</v>
      </c>
      <c r="L169" s="27" t="n">
        <v>9.9</v>
      </c>
      <c r="M169" s="32" t="n"/>
      <c r="N169" s="29" t="inlineStr">
        <is>
          <t>Y</t>
        </is>
      </c>
      <c r="O169" s="36" t="n">
        <v>4000</v>
      </c>
      <c r="P169" s="30" t="n">
        <v>33.88</v>
      </c>
      <c r="Q169" s="31" t="n"/>
      <c r="R169" s="32" t="n">
        <v>12.12</v>
      </c>
      <c r="S169" s="33" t="n">
        <v>0</v>
      </c>
      <c r="T169" s="32" t="n">
        <v>10.42</v>
      </c>
      <c r="U169" s="22" t="inlineStr">
        <is>
          <t>not-yet (at allotment)</t>
        </is>
      </c>
      <c r="V169" s="29" t="inlineStr">
        <is>
          <t>N</t>
        </is>
      </c>
      <c r="W169" s="31" t="n"/>
      <c r="X169" s="31" t="n"/>
      <c r="Y169" s="35" t="n"/>
      <c r="Z169" s="36" t="n">
        <v>-2263.7</v>
      </c>
      <c r="AA169" s="22" t="n"/>
      <c r="AB169" s="22" t="n"/>
      <c r="AC169" s="22" t="n"/>
      <c r="AD169" s="22" t="inlineStr">
        <is>
          <t>(in no particular order) Citigroup Global Markets Asia Limited; China International Capital Corporation Hong Kong Securities Limited; Central, Hong Kong Merrill Lynch (Asia Pacific) Limited; Central, Hong Kong Haitong International Securities Company Limited; ICBC International Securities Limited</t>
        </is>
      </c>
      <c r="AE169" s="22" t="n"/>
      <c r="AK169">
        <f>IF(AND(Screener!$B$7&lt;&gt;"",$E169=Screener!$B$7),1,0)</f>
        <v/>
      </c>
      <c r="AL169">
        <f>IF(AND(Screener!$B$6&lt;&gt;"",$D169=Screener!$B$6),1,0)</f>
        <v/>
      </c>
      <c r="AM169">
        <f>IF(OR($H169="",Screener!$B$8=""),0,MAX(0,1-ABS(LOG10($H169/Screener!$B$8))/W_SIZEHW))</f>
        <v/>
      </c>
      <c r="AN169">
        <f>IF(OR($V169="",Screener!$B$9=""),0,IF($V169=Screener!$B$9,1,0))</f>
        <v/>
      </c>
      <c r="AO169">
        <f>IF(OR($AA169="",Screener!$B$10=""),0,IF($AA169=Screener!$B$10,1,0))</f>
        <v/>
      </c>
      <c r="AP169">
        <f>IF($G169="",0,MAX(0,1-(Screener!$B$12-$G169)/W_RECD))</f>
        <v/>
      </c>
      <c r="AQ169">
        <f>IF($B169=Screener!$B$3,-999999,W_SUB*AK169+W_SEC*AL169*(1-AK169)+W_SIZE*AM169+W_PROF*AN169+W_AH*AO169+W_REC*AP169)+ROW()/1000000</f>
        <v/>
      </c>
      <c r="AR169">
        <f>IF(OR('NEW DEAL'!$B$6="",$E169&lt;&gt;'NEW DEAL'!$B$6),-1,1+IF(OR($H169="",'NEW DEAL'!$B$7=""),0,MAX(0,1-ABS(LOG10($H169/'NEW DEAL'!$B$7))/W_SIZEHW)))+ROW()/1000000</f>
        <v/>
      </c>
    </row>
    <row r="170">
      <c r="A170" s="23" t="inlineStr">
        <is>
          <t>2402</t>
        </is>
      </c>
      <c r="B170" s="22" t="inlineStr">
        <is>
          <t>SINOHYTEC</t>
        </is>
      </c>
      <c r="C170" s="22" t="n"/>
      <c r="D170" s="24" t="inlineStr">
        <is>
          <t>Industrials</t>
        </is>
      </c>
      <c r="E170" s="24" t="inlineStr">
        <is>
          <t>Batteries / energy storage</t>
        </is>
      </c>
      <c r="F170" s="22" t="inlineStr">
        <is>
          <t>Standard</t>
        </is>
      </c>
      <c r="G170" s="25" t="n">
        <v>44938</v>
      </c>
      <c r="H170" s="26" t="n">
        <v>982.8</v>
      </c>
      <c r="I170" s="22" t="inlineStr">
        <is>
          <t>net proceeds</t>
        </is>
      </c>
      <c r="J170" s="27" t="n">
        <v>60</v>
      </c>
      <c r="K170" s="27" t="n">
        <v>76</v>
      </c>
      <c r="L170" s="27" t="n">
        <v>60</v>
      </c>
      <c r="M170" s="28" t="n">
        <v>0</v>
      </c>
      <c r="N170" s="29" t="inlineStr">
        <is>
          <t>N</t>
        </is>
      </c>
      <c r="O170" s="26" t="n">
        <v>6552</v>
      </c>
      <c r="P170" s="30" t="n">
        <v>0.29</v>
      </c>
      <c r="Q170" s="31" t="n"/>
      <c r="R170" s="32" t="n">
        <v>40</v>
      </c>
      <c r="S170" s="33" t="n"/>
      <c r="T170" s="32" t="n">
        <v>15.8</v>
      </c>
      <c r="U170" s="22" t="inlineStr">
        <is>
          <t>not-yet (at allotment)</t>
        </is>
      </c>
      <c r="V170" s="29" t="inlineStr">
        <is>
          <t>N</t>
        </is>
      </c>
      <c r="W170" s="31" t="n"/>
      <c r="X170" s="34" t="n">
        <v>9.5</v>
      </c>
      <c r="Y170" s="36" t="n">
        <v>692.3</v>
      </c>
      <c r="Z170" s="36" t="n">
        <v>-203.9</v>
      </c>
      <c r="AA170" s="22" t="inlineStr">
        <is>
          <t>Y</t>
        </is>
      </c>
      <c r="AB170" s="22" t="inlineStr">
        <is>
          <t>688339.SS</t>
        </is>
      </c>
      <c r="AC170" s="22" t="inlineStr">
        <is>
          <t>Guotai Junan Capital Limited; Giraffe Capital Limited</t>
        </is>
      </c>
      <c r="AD170" s="22" t="inlineStr">
        <is>
          <t>Guotai Junan Securities (Hong Kong) Limited; CLSA Limited; Essence International Securities (Hong Kong) Limited; Zhongtai International Securities Limited; China Everbright Securities (HK) Limited; ICBC International Capital Limited; Futu Securities International (Hong Kong) Limited; Valuable Capital Limited</t>
        </is>
      </c>
      <c r="AE170" s="22" t="n"/>
      <c r="AK170">
        <f>IF(AND(Screener!$B$7&lt;&gt;"",$E170=Screener!$B$7),1,0)</f>
        <v/>
      </c>
      <c r="AL170">
        <f>IF(AND(Screener!$B$6&lt;&gt;"",$D170=Screener!$B$6),1,0)</f>
        <v/>
      </c>
      <c r="AM170">
        <f>IF(OR($H170="",Screener!$B$8=""),0,MAX(0,1-ABS(LOG10($H170/Screener!$B$8))/W_SIZEHW))</f>
        <v/>
      </c>
      <c r="AN170">
        <f>IF(OR($V170="",Screener!$B$9=""),0,IF($V170=Screener!$B$9,1,0))</f>
        <v/>
      </c>
      <c r="AO170">
        <f>IF(OR($AA170="",Screener!$B$10=""),0,IF($AA170=Screener!$B$10,1,0))</f>
        <v/>
      </c>
      <c r="AP170">
        <f>IF($G170="",0,MAX(0,1-(Screener!$B$12-$G170)/W_RECD))</f>
        <v/>
      </c>
      <c r="AQ170">
        <f>IF($B170=Screener!$B$3,-999999,W_SUB*AK170+W_SEC*AL170*(1-AK170)+W_SIZE*AM170+W_PROF*AN170+W_AH*AO170+W_REC*AP170)+ROW()/1000000</f>
        <v/>
      </c>
      <c r="AR170">
        <f>IF(OR('NEW DEAL'!$B$6="",$E170&lt;&gt;'NEW DEAL'!$B$6),-1,1+IF(OR($H170="",'NEW DEAL'!$B$7=""),0,MAX(0,1-ABS(LOG10($H170/'NEW DEAL'!$B$7))/W_SIZEHW)))+ROW()/1000000</f>
        <v/>
      </c>
    </row>
    <row r="171">
      <c r="A171" s="23" t="inlineStr">
        <is>
          <t>2147</t>
        </is>
      </c>
      <c r="B171" s="22" t="inlineStr">
        <is>
          <t>ZHENGWEI GROUP</t>
        </is>
      </c>
      <c r="C171" s="22" t="n"/>
      <c r="D171" s="24" t="inlineStr">
        <is>
          <t>Consumer</t>
        </is>
      </c>
      <c r="E171" s="24" t="inlineStr">
        <is>
          <t>Beverages / packaged food</t>
        </is>
      </c>
      <c r="F171" s="22" t="inlineStr">
        <is>
          <t>Standard</t>
        </is>
      </c>
      <c r="G171" s="25" t="n">
        <v>44939</v>
      </c>
      <c r="H171" s="26" t="n">
        <v>97.3</v>
      </c>
      <c r="I171" s="22" t="inlineStr">
        <is>
          <t>net proceeds</t>
        </is>
      </c>
      <c r="J171" s="27" t="n"/>
      <c r="K171" s="27" t="n"/>
      <c r="L171" s="27" t="n">
        <v>0.68</v>
      </c>
      <c r="M171" s="32" t="n"/>
      <c r="N171" s="22" t="n"/>
      <c r="O171" s="26" t="n">
        <v>351.3</v>
      </c>
      <c r="P171" s="30" t="n">
        <v>18.28</v>
      </c>
      <c r="Q171" s="31" t="n"/>
      <c r="R171" s="32" t="n">
        <v>-95.88</v>
      </c>
      <c r="S171" s="33" t="n">
        <v>0</v>
      </c>
      <c r="T171" s="32" t="n">
        <v>15</v>
      </c>
      <c r="U171" s="22" t="inlineStr">
        <is>
          <t>not-yet (at allotment)</t>
        </is>
      </c>
      <c r="V171" s="29" t="inlineStr">
        <is>
          <t>Y</t>
        </is>
      </c>
      <c r="W171" s="34" t="n">
        <v>6.6</v>
      </c>
      <c r="X171" s="34" t="n">
        <v>0.9</v>
      </c>
      <c r="Y171" s="36" t="n">
        <v>376.2</v>
      </c>
      <c r="Z171" s="36" t="n">
        <v>53.1</v>
      </c>
      <c r="AA171" s="22" t="n"/>
      <c r="AB171" s="22" t="n"/>
      <c r="AC171" s="22" t="inlineStr">
        <is>
          <t>Grand Moore Capital Limited</t>
        </is>
      </c>
      <c r="AD171" s="22" t="inlineStr">
        <is>
          <t>Grand Moore Capital Limited; Valuable Capital Limited; Managers Grand Moore Capital Limited; DIRECTORS AND PARTIES INVOLVED IN THE SHARE OFFER –8 2– Valuable Capital Limited; China PA Securities (Hong Kong) Company Limited; Cinda International Capital Limited; Fortune (HK) Securities Limited; Guotai Junan Securities (Hong Kong) Limited; Zhong Y ang Securities Limited</t>
        </is>
      </c>
      <c r="AE171" s="22" t="n"/>
      <c r="AK171">
        <f>IF(AND(Screener!$B$7&lt;&gt;"",$E171=Screener!$B$7),1,0)</f>
        <v/>
      </c>
      <c r="AL171">
        <f>IF(AND(Screener!$B$6&lt;&gt;"",$D171=Screener!$B$6),1,0)</f>
        <v/>
      </c>
      <c r="AM171">
        <f>IF(OR($H171="",Screener!$B$8=""),0,MAX(0,1-ABS(LOG10($H171/Screener!$B$8))/W_SIZEHW))</f>
        <v/>
      </c>
      <c r="AN171">
        <f>IF(OR($V171="",Screener!$B$9=""),0,IF($V171=Screener!$B$9,1,0))</f>
        <v/>
      </c>
      <c r="AO171">
        <f>IF(OR($AA171="",Screener!$B$10=""),0,IF($AA171=Screener!$B$10,1,0))</f>
        <v/>
      </c>
      <c r="AP171">
        <f>IF($G171="",0,MAX(0,1-(Screener!$B$12-$G171)/W_RECD))</f>
        <v/>
      </c>
      <c r="AQ171">
        <f>IF($B171=Screener!$B$3,-999999,W_SUB*AK171+W_SEC*AL171*(1-AK171)+W_SIZE*AM171+W_PROF*AN171+W_AH*AO171+W_REC*AP171)+ROW()/1000000</f>
        <v/>
      </c>
      <c r="AR171">
        <f>IF(OR('NEW DEAL'!$B$6="",$E171&lt;&gt;'NEW DEAL'!$B$6),-1,1+IF(OR($H171="",'NEW DEAL'!$B$7=""),0,MAX(0,1-ABS(LOG10($H171/'NEW DEAL'!$B$7))/W_SIZEHW)))+ROW()/1000000</f>
        <v/>
      </c>
    </row>
    <row r="172">
      <c r="A172" s="23" t="inlineStr">
        <is>
          <t>2411</t>
        </is>
      </c>
      <c r="B172" s="22" t="inlineStr">
        <is>
          <t>PAGODA GP</t>
        </is>
      </c>
      <c r="C172" s="22" t="inlineStr">
        <is>
          <t>深圳百果園實業</t>
        </is>
      </c>
      <c r="D172" s="24" t="inlineStr">
        <is>
          <t>Consumer</t>
        </is>
      </c>
      <c r="E172" s="24" t="inlineStr">
        <is>
          <t>Retail / distribution</t>
        </is>
      </c>
      <c r="F172" s="22" t="inlineStr">
        <is>
          <t>Standard</t>
        </is>
      </c>
      <c r="G172" s="25" t="n">
        <v>44940</v>
      </c>
      <c r="H172" s="26" t="n">
        <v>366.1</v>
      </c>
      <c r="I172" s="22" t="inlineStr">
        <is>
          <t>net proceeds</t>
        </is>
      </c>
      <c r="J172" s="27" t="n">
        <v>5</v>
      </c>
      <c r="K172" s="27" t="n">
        <v>6.2</v>
      </c>
      <c r="L172" s="27" t="n">
        <v>5.6</v>
      </c>
      <c r="M172" s="28" t="n">
        <v>50</v>
      </c>
      <c r="N172" s="22" t="inlineStr">
        <is>
          <t>N</t>
        </is>
      </c>
      <c r="O172" s="26" t="n">
        <v>6422.8</v>
      </c>
      <c r="P172" s="30" t="n">
        <v>15</v>
      </c>
      <c r="Q172" s="37" t="n">
        <v>2.8</v>
      </c>
      <c r="R172" s="32" t="n">
        <v>7.14</v>
      </c>
      <c r="S172" s="33" t="n">
        <v>5.32</v>
      </c>
      <c r="T172" s="32" t="n">
        <v>15</v>
      </c>
      <c r="U172" s="22" t="inlineStr">
        <is>
          <t>not-yet (at allotment)</t>
        </is>
      </c>
      <c r="V172" s="29" t="inlineStr">
        <is>
          <t>Y</t>
        </is>
      </c>
      <c r="W172" s="34" t="n">
        <v>26.4</v>
      </c>
      <c r="X172" s="34" t="n">
        <v>0.6</v>
      </c>
      <c r="Y172" s="36" t="n">
        <v>11318.3</v>
      </c>
      <c r="Z172" s="36" t="n">
        <v>243.5</v>
      </c>
      <c r="AA172" s="22" t="n"/>
      <c r="AB172" s="22" t="n"/>
      <c r="AC172" s="22" t="n"/>
      <c r="AD172" s="22" t="n"/>
      <c r="AE172" s="22" t="n"/>
      <c r="AK172">
        <f>IF(AND(Screener!$B$7&lt;&gt;"",$E172=Screener!$B$7),1,0)</f>
        <v/>
      </c>
      <c r="AL172">
        <f>IF(AND(Screener!$B$6&lt;&gt;"",$D172=Screener!$B$6),1,0)</f>
        <v/>
      </c>
      <c r="AM172">
        <f>IF(OR($H172="",Screener!$B$8=""),0,MAX(0,1-ABS(LOG10($H172/Screener!$B$8))/W_SIZEHW))</f>
        <v/>
      </c>
      <c r="AN172">
        <f>IF(OR($V172="",Screener!$B$9=""),0,IF($V172=Screener!$B$9,1,0))</f>
        <v/>
      </c>
      <c r="AO172">
        <f>IF(OR($AA172="",Screener!$B$10=""),0,IF($AA172=Screener!$B$10,1,0))</f>
        <v/>
      </c>
      <c r="AP172">
        <f>IF($G172="",0,MAX(0,1-(Screener!$B$12-$G172)/W_RECD))</f>
        <v/>
      </c>
      <c r="AQ172">
        <f>IF($B172=Screener!$B$3,-999999,W_SUB*AK172+W_SEC*AL172*(1-AK172)+W_SIZE*AM172+W_PROF*AN172+W_AH*AO172+W_REC*AP172)+ROW()/1000000</f>
        <v/>
      </c>
      <c r="AR172">
        <f>IF(OR('NEW DEAL'!$B$6="",$E172&lt;&gt;'NEW DEAL'!$B$6),-1,1+IF(OR($H172="",'NEW DEAL'!$B$7=""),0,MAX(0,1-ABS(LOG10($H172/'NEW DEAL'!$B$7))/W_SIZEHW)))+ROW()/1000000</f>
        <v/>
      </c>
    </row>
    <row r="173">
      <c r="A173" s="23" t="inlineStr">
        <is>
          <t>2373</t>
        </is>
      </c>
      <c r="B173" s="22" t="inlineStr">
        <is>
          <t>BEAUTYFARM MED</t>
        </is>
      </c>
      <c r="C173" s="22" t="n"/>
      <c r="D173" s="24" t="inlineStr">
        <is>
          <t>Consumer</t>
        </is>
      </c>
      <c r="E173" s="24" t="inlineStr">
        <is>
          <t>Beauty / personal care</t>
        </is>
      </c>
      <c r="F173" s="22" t="inlineStr">
        <is>
          <t>Standard</t>
        </is>
      </c>
      <c r="G173" s="25" t="n">
        <v>44940</v>
      </c>
      <c r="H173" s="26" t="n">
        <v>387.2</v>
      </c>
      <c r="I173" s="22" t="inlineStr">
        <is>
          <t>net proceeds</t>
        </is>
      </c>
      <c r="J173" s="27" t="n"/>
      <c r="K173" s="27" t="n">
        <v>19.32</v>
      </c>
      <c r="L173" s="27" t="n">
        <v>19.32</v>
      </c>
      <c r="M173" s="32" t="n"/>
      <c r="N173" s="29" t="inlineStr">
        <is>
          <t>Y</t>
        </is>
      </c>
      <c r="O173" s="36" t="n">
        <v>4454.8</v>
      </c>
      <c r="P173" s="30" t="n">
        <v>22.12</v>
      </c>
      <c r="Q173" s="37" t="n">
        <v>4.7</v>
      </c>
      <c r="R173" s="32" t="n">
        <v>53.47</v>
      </c>
      <c r="S173" s="33" t="n">
        <v>28.4</v>
      </c>
      <c r="T173" s="32" t="n">
        <v>7</v>
      </c>
      <c r="U173" s="22" t="inlineStr">
        <is>
          <t>not-yet (at allotment)</t>
        </is>
      </c>
      <c r="V173" s="29" t="inlineStr">
        <is>
          <t>Y</t>
        </is>
      </c>
      <c r="W173" s="34" t="n">
        <v>19.4</v>
      </c>
      <c r="X173" s="31" t="n"/>
      <c r="Y173" s="35" t="n"/>
      <c r="Z173" s="36" t="n">
        <v>229.2</v>
      </c>
      <c r="AA173" s="22" t="n"/>
      <c r="AB173" s="22" t="n"/>
      <c r="AC173" s="22" t="inlineStr">
        <is>
          <t>Morgan Stanley Asia Limited; Haitong International Capital Limited; Central, Hong Kong Huatai Financial Holdings (Hong Kong) Limited</t>
        </is>
      </c>
      <c r="AD173" s="22" t="inlineStr">
        <is>
          <t>Morgan Stanley Asia Limited; Haitong International Securities Company Limited; Huatai Financial Holdings (Hong Kong) Limited; CLSA Limited; ICBC International Capital Limited</t>
        </is>
      </c>
      <c r="AE173" s="22" t="n"/>
      <c r="AK173">
        <f>IF(AND(Screener!$B$7&lt;&gt;"",$E173=Screener!$B$7),1,0)</f>
        <v/>
      </c>
      <c r="AL173">
        <f>IF(AND(Screener!$B$6&lt;&gt;"",$D173=Screener!$B$6),1,0)</f>
        <v/>
      </c>
      <c r="AM173">
        <f>IF(OR($H173="",Screener!$B$8=""),0,MAX(0,1-ABS(LOG10($H173/Screener!$B$8))/W_SIZEHW))</f>
        <v/>
      </c>
      <c r="AN173">
        <f>IF(OR($V173="",Screener!$B$9=""),0,IF($V173=Screener!$B$9,1,0))</f>
        <v/>
      </c>
      <c r="AO173">
        <f>IF(OR($AA173="",Screener!$B$10=""),0,IF($AA173=Screener!$B$10,1,0))</f>
        <v/>
      </c>
      <c r="AP173">
        <f>IF($G173="",0,MAX(0,1-(Screener!$B$12-$G173)/W_RECD))</f>
        <v/>
      </c>
      <c r="AQ173">
        <f>IF($B173=Screener!$B$3,-999999,W_SUB*AK173+W_SEC*AL173*(1-AK173)+W_SIZE*AM173+W_PROF*AN173+W_AH*AO173+W_REC*AP173)+ROW()/1000000</f>
        <v/>
      </c>
      <c r="AR173">
        <f>IF(OR('NEW DEAL'!$B$6="",$E173&lt;&gt;'NEW DEAL'!$B$6),-1,1+IF(OR($H173="",'NEW DEAL'!$B$7=""),0,MAX(0,1-ABS(LOG10($H173/'NEW DEAL'!$B$7))/W_SIZEHW)))+ROW()/1000000</f>
        <v/>
      </c>
    </row>
    <row r="174">
      <c r="A174" s="23" t="inlineStr">
        <is>
          <t>2458</t>
        </is>
      </c>
      <c r="B174" s="22" t="inlineStr">
        <is>
          <t>GALA TECH HOLD</t>
        </is>
      </c>
      <c r="C174" s="22" t="n"/>
      <c r="D174" s="24" t="inlineStr">
        <is>
          <t>Tech/AI</t>
        </is>
      </c>
      <c r="E174" s="24" t="inlineStr">
        <is>
          <t>Fintech platform</t>
        </is>
      </c>
      <c r="F174" s="22" t="inlineStr">
        <is>
          <t>Standard</t>
        </is>
      </c>
      <c r="G174" s="25" t="n">
        <v>44940</v>
      </c>
      <c r="H174" s="26" t="n">
        <v>11</v>
      </c>
      <c r="I174" s="22" t="inlineStr">
        <is>
          <t>net proceeds</t>
        </is>
      </c>
      <c r="J174" s="27" t="n"/>
      <c r="K174" s="27" t="n">
        <v>7.16</v>
      </c>
      <c r="L174" s="27" t="n">
        <v>6.5</v>
      </c>
      <c r="M174" s="32" t="n"/>
      <c r="N174" s="29" t="inlineStr">
        <is>
          <t>N</t>
        </is>
      </c>
      <c r="O174" s="26" t="n">
        <v>122.2</v>
      </c>
      <c r="P174" s="30" t="n">
        <v>3.4</v>
      </c>
      <c r="Q174" s="31" t="n"/>
      <c r="R174" s="32" t="n">
        <v>-11.54</v>
      </c>
      <c r="S174" s="33" t="n">
        <v>0</v>
      </c>
      <c r="T174" s="32" t="n"/>
      <c r="U174" s="22" t="n"/>
      <c r="V174" s="29" t="inlineStr">
        <is>
          <t>N</t>
        </is>
      </c>
      <c r="W174" s="31" t="n"/>
      <c r="X174" s="34" t="n">
        <v>0.2</v>
      </c>
      <c r="Y174" s="36" t="n">
        <v>505.8</v>
      </c>
      <c r="Z174" s="36" t="n">
        <v>-1</v>
      </c>
      <c r="AA174" s="22" t="n"/>
      <c r="AB174" s="22" t="n"/>
      <c r="AC174" s="22" t="inlineStr">
        <is>
          <t>UOB Kay Hian (Hong Kong) Limited</t>
        </is>
      </c>
      <c r="AD174" s="22" t="inlineStr">
        <is>
          <t>UOB Kay Hian (Hong Kong) Limited</t>
        </is>
      </c>
      <c r="AE174" s="22" t="n"/>
      <c r="AK174">
        <f>IF(AND(Screener!$B$7&lt;&gt;"",$E174=Screener!$B$7),1,0)</f>
        <v/>
      </c>
      <c r="AL174">
        <f>IF(AND(Screener!$B$6&lt;&gt;"",$D174=Screener!$B$6),1,0)</f>
        <v/>
      </c>
      <c r="AM174">
        <f>IF(OR($H174="",Screener!$B$8=""),0,MAX(0,1-ABS(LOG10($H174/Screener!$B$8))/W_SIZEHW))</f>
        <v/>
      </c>
      <c r="AN174">
        <f>IF(OR($V174="",Screener!$B$9=""),0,IF($V174=Screener!$B$9,1,0))</f>
        <v/>
      </c>
      <c r="AO174">
        <f>IF(OR($AA174="",Screener!$B$10=""),0,IF($AA174=Screener!$B$10,1,0))</f>
        <v/>
      </c>
      <c r="AP174">
        <f>IF($G174="",0,MAX(0,1-(Screener!$B$12-$G174)/W_RECD))</f>
        <v/>
      </c>
      <c r="AQ174">
        <f>IF($B174=Screener!$B$3,-999999,W_SUB*AK174+W_SEC*AL174*(1-AK174)+W_SIZE*AM174+W_PROF*AN174+W_AH*AO174+W_REC*AP174)+ROW()/1000000</f>
        <v/>
      </c>
      <c r="AR174">
        <f>IF(OR('NEW DEAL'!$B$6="",$E174&lt;&gt;'NEW DEAL'!$B$6),-1,1+IF(OR($H174="",'NEW DEAL'!$B$7=""),0,MAX(0,1-ABS(LOG10($H174/'NEW DEAL'!$B$7))/W_SIZEHW)))+ROW()/1000000</f>
        <v/>
      </c>
    </row>
    <row r="175">
      <c r="A175" s="23" t="inlineStr">
        <is>
          <t>2459</t>
        </is>
      </c>
      <c r="B175" s="22" t="inlineStr">
        <is>
          <t>SANERGY GROUP</t>
        </is>
      </c>
      <c r="C175" s="22" t="n"/>
      <c r="D175" s="24" t="inlineStr">
        <is>
          <t>Materials/Energy</t>
        </is>
      </c>
      <c r="E175" s="24" t="inlineStr">
        <is>
          <t>Chemicals</t>
        </is>
      </c>
      <c r="F175" s="22" t="inlineStr">
        <is>
          <t>Standard</t>
        </is>
      </c>
      <c r="G175" s="25" t="n">
        <v>44943</v>
      </c>
      <c r="H175" s="26" t="n">
        <v>186.7</v>
      </c>
      <c r="I175" s="22" t="inlineStr">
        <is>
          <t>net proceeds</t>
        </is>
      </c>
      <c r="J175" s="27" t="n"/>
      <c r="K175" s="27" t="n">
        <v>2.2</v>
      </c>
      <c r="L175" s="27" t="n">
        <v>1.6</v>
      </c>
      <c r="M175" s="32" t="n"/>
      <c r="N175" s="29" t="inlineStr">
        <is>
          <t>N</t>
        </is>
      </c>
      <c r="O175" s="26" t="n">
        <v>1204.5</v>
      </c>
      <c r="P175" s="30" t="n">
        <v>9.880000000000001</v>
      </c>
      <c r="Q175" s="37" t="n">
        <v>1.2</v>
      </c>
      <c r="R175" s="32" t="n">
        <v>-6.94</v>
      </c>
      <c r="S175" s="33" t="n">
        <v>0</v>
      </c>
      <c r="T175" s="32" t="n">
        <v>15</v>
      </c>
      <c r="U175" s="22" t="inlineStr">
        <is>
          <t>not-yet (at allotment)</t>
        </is>
      </c>
      <c r="V175" s="29" t="inlineStr">
        <is>
          <t>Y</t>
        </is>
      </c>
      <c r="W175" s="34" t="n">
        <v>36.8</v>
      </c>
      <c r="X175" s="34" t="n">
        <v>1.4</v>
      </c>
      <c r="Y175" s="36" t="n">
        <v>846.6</v>
      </c>
      <c r="Z175" s="36" t="n">
        <v>32.7</v>
      </c>
      <c r="AA175" s="22" t="n"/>
      <c r="AB175" s="22" t="n"/>
      <c r="AC175" s="22" t="inlineStr">
        <is>
          <t>Southwest Securities (HK) Capital Limited</t>
        </is>
      </c>
      <c r="AD175" s="22" t="inlineStr">
        <is>
          <t>Southwest Securities (HK) Brokerage Limited; Yue Xiu Securities Company Limited; First Capital Securities Limited; Central, Hong Kong Sheng Yuan Securities Limited; BOCI Asia Limited; ABCI Capital Limited; JMC Capital International Limited; Valuable Capital Limited</t>
        </is>
      </c>
      <c r="AE175" s="22" t="n"/>
      <c r="AK175">
        <f>IF(AND(Screener!$B$7&lt;&gt;"",$E175=Screener!$B$7),1,0)</f>
        <v/>
      </c>
      <c r="AL175">
        <f>IF(AND(Screener!$B$6&lt;&gt;"",$D175=Screener!$B$6),1,0)</f>
        <v/>
      </c>
      <c r="AM175">
        <f>IF(OR($H175="",Screener!$B$8=""),0,MAX(0,1-ABS(LOG10($H175/Screener!$B$8))/W_SIZEHW))</f>
        <v/>
      </c>
      <c r="AN175">
        <f>IF(OR($V175="",Screener!$B$9=""),0,IF($V175=Screener!$B$9,1,0))</f>
        <v/>
      </c>
      <c r="AO175">
        <f>IF(OR($AA175="",Screener!$B$10=""),0,IF($AA175=Screener!$B$10,1,0))</f>
        <v/>
      </c>
      <c r="AP175">
        <f>IF($G175="",0,MAX(0,1-(Screener!$B$12-$G175)/W_RECD))</f>
        <v/>
      </c>
      <c r="AQ175">
        <f>IF($B175=Screener!$B$3,-999999,W_SUB*AK175+W_SEC*AL175*(1-AK175)+W_SIZE*AM175+W_PROF*AN175+W_AH*AO175+W_REC*AP175)+ROW()/1000000</f>
        <v/>
      </c>
      <c r="AR175">
        <f>IF(OR('NEW DEAL'!$B$6="",$E175&lt;&gt;'NEW DEAL'!$B$6),-1,1+IF(OR($H175="",'NEW DEAL'!$B$7=""),0,MAX(0,1-ABS(LOG10($H175/'NEW DEAL'!$B$7))/W_SIZEHW)))+ROW()/1000000</f>
        <v/>
      </c>
    </row>
    <row r="176">
      <c r="A176" s="23" t="inlineStr">
        <is>
          <t>2455</t>
        </is>
      </c>
      <c r="B176" s="22" t="inlineStr">
        <is>
          <t>RUNHUA SERVICE</t>
        </is>
      </c>
      <c r="C176" s="22" t="n"/>
      <c r="D176" s="24" t="inlineStr">
        <is>
          <t>Real Estate</t>
        </is>
      </c>
      <c r="E176" s="24" t="inlineStr">
        <is>
          <t>Property management</t>
        </is>
      </c>
      <c r="F176" s="22" t="inlineStr">
        <is>
          <t>Standard</t>
        </is>
      </c>
      <c r="G176" s="25" t="n">
        <v>44943</v>
      </c>
      <c r="H176" s="26" t="n">
        <v>45</v>
      </c>
      <c r="I176" s="22" t="inlineStr">
        <is>
          <t>gross (price x shares)</t>
        </is>
      </c>
      <c r="J176" s="27" t="n">
        <v>1.7</v>
      </c>
      <c r="K176" s="27" t="n">
        <v>2</v>
      </c>
      <c r="L176" s="27" t="n">
        <v>1.7</v>
      </c>
      <c r="M176" s="28" t="n">
        <v>0</v>
      </c>
      <c r="N176" s="29" t="inlineStr">
        <is>
          <t>N</t>
        </is>
      </c>
      <c r="O176" s="26" t="n">
        <v>180</v>
      </c>
      <c r="P176" s="30" t="n">
        <v>8.74</v>
      </c>
      <c r="Q176" s="31" t="n"/>
      <c r="R176" s="32" t="n">
        <v>-25.88</v>
      </c>
      <c r="S176" s="33" t="n">
        <v>10</v>
      </c>
      <c r="T176" s="32" t="n">
        <v>8.699999999999999</v>
      </c>
      <c r="U176" s="22" t="inlineStr">
        <is>
          <t>not-yet (at allotment)</t>
        </is>
      </c>
      <c r="V176" s="22" t="n"/>
      <c r="W176" s="31" t="n"/>
      <c r="X176" s="34" t="n">
        <v>0.3</v>
      </c>
      <c r="Y176" s="36" t="n">
        <v>661.4</v>
      </c>
      <c r="Z176" s="35" t="n"/>
      <c r="AA176" s="22" t="n"/>
      <c r="AB176" s="22" t="n"/>
      <c r="AC176" s="22" t="inlineStr">
        <is>
          <t>Zhongtai International Capital Limited; –OC Zhongtai International Securities Limited</t>
        </is>
      </c>
      <c r="AD176" s="22" t="inlineStr">
        <is>
          <t>Zhongtai International Securities Limited; ICBC International Capital Limited; BOCOM International Securities Limited; SPDB International Capital Limited; CCB International Capital Limited; China Everbright Securities (HK) Limited; Guotai Junan Securities (Hong Kong) Limited; Fosun Hani Securities Limited; China Tonghai Securities Limited; ZMF Asset Management Limited</t>
        </is>
      </c>
      <c r="AE176" s="22" t="n"/>
      <c r="AK176">
        <f>IF(AND(Screener!$B$7&lt;&gt;"",$E176=Screener!$B$7),1,0)</f>
        <v/>
      </c>
      <c r="AL176">
        <f>IF(AND(Screener!$B$6&lt;&gt;"",$D176=Screener!$B$6),1,0)</f>
        <v/>
      </c>
      <c r="AM176">
        <f>IF(OR($H176="",Screener!$B$8=""),0,MAX(0,1-ABS(LOG10($H176/Screener!$B$8))/W_SIZEHW))</f>
        <v/>
      </c>
      <c r="AN176">
        <f>IF(OR($V176="",Screener!$B$9=""),0,IF($V176=Screener!$B$9,1,0))</f>
        <v/>
      </c>
      <c r="AO176">
        <f>IF(OR($AA176="",Screener!$B$10=""),0,IF($AA176=Screener!$B$10,1,0))</f>
        <v/>
      </c>
      <c r="AP176">
        <f>IF($G176="",0,MAX(0,1-(Screener!$B$12-$G176)/W_RECD))</f>
        <v/>
      </c>
      <c r="AQ176">
        <f>IF($B176=Screener!$B$3,-999999,W_SUB*AK176+W_SEC*AL176*(1-AK176)+W_SIZE*AM176+W_PROF*AN176+W_AH*AO176+W_REC*AP176)+ROW()/1000000</f>
        <v/>
      </c>
      <c r="AR176">
        <f>IF(OR('NEW DEAL'!$B$6="",$E176&lt;&gt;'NEW DEAL'!$B$6),-1,1+IF(OR($H176="",'NEW DEAL'!$B$7=""),0,MAX(0,1-ABS(LOG10($H176/'NEW DEAL'!$B$7))/W_SIZEHW)))+ROW()/1000000</f>
        <v/>
      </c>
    </row>
    <row r="177">
      <c r="A177" s="23" t="inlineStr">
        <is>
          <t>2306</t>
        </is>
      </c>
      <c r="B177" s="22" t="inlineStr">
        <is>
          <t>YH ENT</t>
        </is>
      </c>
      <c r="C177" s="22" t="inlineStr">
        <is>
          <t>乐华娱乐集团</t>
        </is>
      </c>
      <c r="D177" s="24" t="inlineStr">
        <is>
          <t>TMT-other</t>
        </is>
      </c>
      <c r="E177" s="24" t="inlineStr">
        <is>
          <t>Media / advertising</t>
        </is>
      </c>
      <c r="F177" s="22" t="inlineStr">
        <is>
          <t>Standard</t>
        </is>
      </c>
      <c r="G177" s="25" t="n">
        <v>44945</v>
      </c>
      <c r="H177" s="26" t="n">
        <v>440.9</v>
      </c>
      <c r="I177" s="22" t="inlineStr">
        <is>
          <t>gross (price x shares)</t>
        </is>
      </c>
      <c r="J177" s="27" t="n"/>
      <c r="K177" s="27" t="n"/>
      <c r="L177" s="27" t="n">
        <v>4.08</v>
      </c>
      <c r="M177" s="32" t="n"/>
      <c r="N177" s="22" t="n"/>
      <c r="O177" s="35" t="n"/>
      <c r="P177" s="30" t="n">
        <v>28.68</v>
      </c>
      <c r="Q177" s="37" t="n">
        <v>1.29</v>
      </c>
      <c r="R177" s="32" t="n">
        <v>47.79</v>
      </c>
      <c r="S177" s="33" t="n">
        <v>17.9</v>
      </c>
      <c r="T177" s="32" t="n">
        <v>12.28</v>
      </c>
      <c r="U177" s="22" t="inlineStr">
        <is>
          <t>not-yet (at allotment)</t>
        </is>
      </c>
      <c r="V177" s="29" t="inlineStr">
        <is>
          <t>Y</t>
        </is>
      </c>
      <c r="W177" s="31" t="n"/>
      <c r="X177" s="31" t="n"/>
      <c r="Y177" s="36" t="n">
        <v>1419.5</v>
      </c>
      <c r="Z177" s="36" t="n">
        <v>368.9</v>
      </c>
      <c r="AA177" s="22" t="n"/>
      <c r="AB177" s="22" t="n"/>
      <c r="AC177" s="22" t="n"/>
      <c r="AD177" s="22" t="n"/>
      <c r="AE177" s="22" t="n"/>
      <c r="AK177">
        <f>IF(AND(Screener!$B$7&lt;&gt;"",$E177=Screener!$B$7),1,0)</f>
        <v/>
      </c>
      <c r="AL177">
        <f>IF(AND(Screener!$B$6&lt;&gt;"",$D177=Screener!$B$6),1,0)</f>
        <v/>
      </c>
      <c r="AM177">
        <f>IF(OR($H177="",Screener!$B$8=""),0,MAX(0,1-ABS(LOG10($H177/Screener!$B$8))/W_SIZEHW))</f>
        <v/>
      </c>
      <c r="AN177">
        <f>IF(OR($V177="",Screener!$B$9=""),0,IF($V177=Screener!$B$9,1,0))</f>
        <v/>
      </c>
      <c r="AO177">
        <f>IF(OR($AA177="",Screener!$B$10=""),0,IF($AA177=Screener!$B$10,1,0))</f>
        <v/>
      </c>
      <c r="AP177">
        <f>IF($G177="",0,MAX(0,1-(Screener!$B$12-$G177)/W_RECD))</f>
        <v/>
      </c>
      <c r="AQ177">
        <f>IF($B177=Screener!$B$3,-999999,W_SUB*AK177+W_SEC*AL177*(1-AK177)+W_SIZE*AM177+W_PROF*AN177+W_AH*AO177+W_REC*AP177)+ROW()/1000000</f>
        <v/>
      </c>
      <c r="AR177">
        <f>IF(OR('NEW DEAL'!$B$6="",$E177&lt;&gt;'NEW DEAL'!$B$6),-1,1+IF(OR($H177="",'NEW DEAL'!$B$7=""),0,MAX(0,1-ABS(LOG10($H177/'NEW DEAL'!$B$7))/W_SIZEHW)))+ROW()/1000000</f>
        <v/>
      </c>
    </row>
    <row r="178">
      <c r="A178" s="23" t="inlineStr">
        <is>
          <t>2450</t>
        </is>
      </c>
      <c r="B178" s="22" t="inlineStr">
        <is>
          <t>HUAIBEI GD CO</t>
        </is>
      </c>
      <c r="C178" s="22" t="inlineStr">
        <is>
          <t>淮北綠金產業投資股份有限公司</t>
        </is>
      </c>
      <c r="D178" s="24" t="inlineStr">
        <is>
          <t>Other</t>
        </is>
      </c>
      <c r="E178" s="24" t="inlineStr">
        <is>
          <t>Other / unclassified</t>
        </is>
      </c>
      <c r="F178" s="22" t="inlineStr">
        <is>
          <t>Standard</t>
        </is>
      </c>
      <c r="G178" s="39" t="n">
        <v>44946</v>
      </c>
      <c r="H178" s="26" t="n">
        <v>83</v>
      </c>
      <c r="I178" s="22" t="inlineStr">
        <is>
          <t>net proceeds</t>
        </is>
      </c>
      <c r="J178" s="27" t="n"/>
      <c r="K178" s="27" t="n">
        <v>2.31</v>
      </c>
      <c r="L178" s="27" t="n">
        <v>1.91</v>
      </c>
      <c r="M178" s="32" t="n"/>
      <c r="N178" s="29" t="inlineStr">
        <is>
          <t>N</t>
        </is>
      </c>
      <c r="O178" s="36" t="n">
        <v>504.3</v>
      </c>
      <c r="P178" s="30" t="n">
        <v>12.26</v>
      </c>
      <c r="Q178" s="31" t="n"/>
      <c r="R178" s="32" t="n">
        <v>-44.5</v>
      </c>
      <c r="S178" s="33" t="n">
        <v>0</v>
      </c>
      <c r="T178" s="32" t="n">
        <v>20</v>
      </c>
      <c r="U178" s="22" t="inlineStr">
        <is>
          <t>not-yet (at allotment)</t>
        </is>
      </c>
      <c r="V178" s="29" t="inlineStr">
        <is>
          <t>Y</t>
        </is>
      </c>
      <c r="W178" s="34" t="n">
        <v>4.6</v>
      </c>
      <c r="X178" s="34" t="n">
        <v>1.2</v>
      </c>
      <c r="Y178" s="36" t="n">
        <v>407.4</v>
      </c>
      <c r="Z178" s="36" t="n">
        <v>108.8</v>
      </c>
      <c r="AA178" s="22" t="n"/>
      <c r="AB178" s="22" t="n"/>
      <c r="AC178" s="22" t="inlineStr">
        <is>
          <t>China Everbright Capital Limited</t>
        </is>
      </c>
      <c r="AD178" s="22" t="inlineStr">
        <is>
          <t>China Everbright Securities (HK) Limited; ABCI Capital Limited; BOCI Asia Limited; BOCOM International Securities Limited; China PA Securities (Hong Kong) Company Limited; Citrus Securities Limited; CMBC Securities Company Limited; Huaan Securities (Hong Kong) Brokerage Limited; ICBC International Securities Limited; SPDB International Capital Limited; Zhongtai International Securities Limited</t>
        </is>
      </c>
      <c r="AE178" s="22" t="n"/>
      <c r="AK178">
        <f>IF(AND(Screener!$B$7&lt;&gt;"",$E178=Screener!$B$7),1,0)</f>
        <v/>
      </c>
      <c r="AL178">
        <f>IF(AND(Screener!$B$6&lt;&gt;"",$D178=Screener!$B$6),1,0)</f>
        <v/>
      </c>
      <c r="AM178">
        <f>IF(OR($H178="",Screener!$B$8=""),0,MAX(0,1-ABS(LOG10($H178/Screener!$B$8))/W_SIZEHW))</f>
        <v/>
      </c>
      <c r="AN178">
        <f>IF(OR($V178="",Screener!$B$9=""),0,IF($V178=Screener!$B$9,1,0))</f>
        <v/>
      </c>
      <c r="AO178">
        <f>IF(OR($AA178="",Screener!$B$10=""),0,IF($AA178=Screener!$B$10,1,0))</f>
        <v/>
      </c>
      <c r="AP178">
        <f>IF($G178="",0,MAX(0,1-(Screener!$B$12-$G178)/W_RECD))</f>
        <v/>
      </c>
      <c r="AQ178">
        <f>IF($B178=Screener!$B$3,-999999,W_SUB*AK178+W_SEC*AL178*(1-AK178)+W_SIZE*AM178+W_PROF*AN178+W_AH*AO178+W_REC*AP178)+ROW()/1000000</f>
        <v/>
      </c>
      <c r="AR178">
        <f>IF(OR('NEW DEAL'!$B$6="",$E178&lt;&gt;'NEW DEAL'!$B$6),-1,1+IF(OR($H178="",'NEW DEAL'!$B$7=""),0,MAX(0,1-ABS(LOG10($H178/'NEW DEAL'!$B$7))/W_SIZEHW)))+ROW()/1000000</f>
        <v/>
      </c>
    </row>
    <row r="179">
      <c r="A179" s="23" t="inlineStr">
        <is>
          <t>2482</t>
        </is>
      </c>
      <c r="B179" s="22" t="inlineStr">
        <is>
          <t>LOGORY</t>
        </is>
      </c>
      <c r="C179" s="22" t="inlineStr">
        <is>
          <t>合肥维天运通信息科技股份有限公司</t>
        </is>
      </c>
      <c r="D179" s="24" t="inlineStr">
        <is>
          <t>Industrials</t>
        </is>
      </c>
      <c r="E179" s="24" t="inlineStr">
        <is>
          <t>Logistics</t>
        </is>
      </c>
      <c r="F179" s="22" t="inlineStr">
        <is>
          <t>Standard</t>
        </is>
      </c>
      <c r="G179" s="25" t="n">
        <v>44994</v>
      </c>
      <c r="H179" s="26" t="n">
        <v>63.1</v>
      </c>
      <c r="I179" s="22" t="inlineStr">
        <is>
          <t>net proceeds</t>
        </is>
      </c>
      <c r="J179" s="27" t="n">
        <v>2.9</v>
      </c>
      <c r="K179" s="27" t="n">
        <v>3.5</v>
      </c>
      <c r="L179" s="27" t="n">
        <v>2.9</v>
      </c>
      <c r="M179" s="28" t="n">
        <v>0</v>
      </c>
      <c r="N179" s="29" t="inlineStr">
        <is>
          <t>N</t>
        </is>
      </c>
      <c r="O179" s="26" t="n">
        <v>181.6</v>
      </c>
      <c r="P179" s="30" t="n">
        <v>23.09</v>
      </c>
      <c r="Q179" s="31" t="n"/>
      <c r="R179" s="32" t="n">
        <v>-2.07</v>
      </c>
      <c r="S179" s="33" t="n">
        <v>65.2</v>
      </c>
      <c r="T179" s="32" t="n">
        <v>19.62</v>
      </c>
      <c r="U179" s="22" t="inlineStr">
        <is>
          <t>not-yet (at allotment)</t>
        </is>
      </c>
      <c r="V179" s="22" t="n"/>
      <c r="W179" s="31" t="n"/>
      <c r="X179" s="31" t="n"/>
      <c r="Y179" s="35" t="n"/>
      <c r="Z179" s="35" t="n"/>
      <c r="AA179" s="22" t="n"/>
      <c r="AB179" s="22" t="n"/>
      <c r="AC179" s="22" t="inlineStr">
        <is>
          <t>Haitong International Capital Limited; -Overall Coordinator Haitong International Securities Company Limited</t>
        </is>
      </c>
      <c r="AD179" s="22" t="inlineStr">
        <is>
          <t>Haitong International Securities Company Limited; CLSA Limited</t>
        </is>
      </c>
      <c r="AE179" s="22" t="n"/>
      <c r="AK179">
        <f>IF(AND(Screener!$B$7&lt;&gt;"",$E179=Screener!$B$7),1,0)</f>
        <v/>
      </c>
      <c r="AL179">
        <f>IF(AND(Screener!$B$6&lt;&gt;"",$D179=Screener!$B$6),1,0)</f>
        <v/>
      </c>
      <c r="AM179">
        <f>IF(OR($H179="",Screener!$B$8=""),0,MAX(0,1-ABS(LOG10($H179/Screener!$B$8))/W_SIZEHW))</f>
        <v/>
      </c>
      <c r="AN179">
        <f>IF(OR($V179="",Screener!$B$9=""),0,IF($V179=Screener!$B$9,1,0))</f>
        <v/>
      </c>
      <c r="AO179">
        <f>IF(OR($AA179="",Screener!$B$10=""),0,IF($AA179=Screener!$B$10,1,0))</f>
        <v/>
      </c>
      <c r="AP179">
        <f>IF($G179="",0,MAX(0,1-(Screener!$B$12-$G179)/W_RECD))</f>
        <v/>
      </c>
      <c r="AQ179">
        <f>IF($B179=Screener!$B$3,-999999,W_SUB*AK179+W_SEC*AL179*(1-AK179)+W_SIZE*AM179+W_PROF*AN179+W_AH*AO179+W_REC*AP179)+ROW()/1000000</f>
        <v/>
      </c>
      <c r="AR179">
        <f>IF(OR('NEW DEAL'!$B$6="",$E179&lt;&gt;'NEW DEAL'!$B$6),-1,1+IF(OR($H179="",'NEW DEAL'!$B$7=""),0,MAX(0,1-ABS(LOG10($H179/'NEW DEAL'!$B$7))/W_SIZEHW)))+ROW()/1000000</f>
        <v/>
      </c>
    </row>
    <row r="180">
      <c r="A180" s="23" t="inlineStr">
        <is>
          <t>9636</t>
        </is>
      </c>
      <c r="B180" s="22" t="inlineStr">
        <is>
          <t>JF WEALTH</t>
        </is>
      </c>
      <c r="C180" s="22" t="n"/>
      <c r="D180" s="24" t="inlineStr">
        <is>
          <t>Financials</t>
        </is>
      </c>
      <c r="E180" s="24" t="inlineStr">
        <is>
          <t>Brokers / asset management</t>
        </is>
      </c>
      <c r="F180" s="22" t="inlineStr">
        <is>
          <t>Standard</t>
        </is>
      </c>
      <c r="G180" s="25" t="n">
        <v>44995</v>
      </c>
      <c r="H180" s="26" t="n">
        <v>906.04</v>
      </c>
      <c r="I180" s="22" t="inlineStr">
        <is>
          <t>net proceeds</t>
        </is>
      </c>
      <c r="J180" s="27" t="n">
        <v>16.98</v>
      </c>
      <c r="K180" s="27" t="n">
        <v>18.78</v>
      </c>
      <c r="L180" s="27" t="n">
        <v>17</v>
      </c>
      <c r="M180" s="28" t="n">
        <v>1.1</v>
      </c>
      <c r="N180" s="29" t="inlineStr">
        <is>
          <t>N</t>
        </is>
      </c>
      <c r="O180" s="36" t="n">
        <v>7908.8</v>
      </c>
      <c r="P180" s="30" t="n">
        <v>2.59</v>
      </c>
      <c r="Q180" s="37" t="n">
        <v>1.85</v>
      </c>
      <c r="R180" s="32" t="n">
        <v>0.82</v>
      </c>
      <c r="S180" s="33" t="n">
        <v>90</v>
      </c>
      <c r="T180" s="32" t="n">
        <v>10</v>
      </c>
      <c r="U180" s="22" t="inlineStr">
        <is>
          <t>not-yet (at allotment)</t>
        </is>
      </c>
      <c r="V180" s="29" t="inlineStr">
        <is>
          <t>Y</t>
        </is>
      </c>
      <c r="W180" s="34" t="n">
        <v>30.9</v>
      </c>
      <c r="X180" s="34" t="n">
        <v>5</v>
      </c>
      <c r="Y180" s="36" t="n">
        <v>1597.1</v>
      </c>
      <c r="Z180" s="36" t="n">
        <v>255.6</v>
      </c>
      <c r="AA180" s="22" t="n"/>
      <c r="AB180" s="22" t="n"/>
      <c r="AC180" s="22" t="n"/>
      <c r="AD180" s="22" t="inlineStr">
        <is>
          <t>China International Capital Corporation Hong Kong Securities Limited; BNP Paribas Securities (Asia) Limited; SPDB International Capital Limited; Huatai Financial Holdings (Hong Kong) Limited; Forthright Securities Company Limited; CCB International Capital Limited</t>
        </is>
      </c>
      <c r="AE180" s="22" t="n"/>
      <c r="AK180">
        <f>IF(AND(Screener!$B$7&lt;&gt;"",$E180=Screener!$B$7),1,0)</f>
        <v/>
      </c>
      <c r="AL180">
        <f>IF(AND(Screener!$B$6&lt;&gt;"",$D180=Screener!$B$6),1,0)</f>
        <v/>
      </c>
      <c r="AM180">
        <f>IF(OR($H180="",Screener!$B$8=""),0,MAX(0,1-ABS(LOG10($H180/Screener!$B$8))/W_SIZEHW))</f>
        <v/>
      </c>
      <c r="AN180">
        <f>IF(OR($V180="",Screener!$B$9=""),0,IF($V180=Screener!$B$9,1,0))</f>
        <v/>
      </c>
      <c r="AO180">
        <f>IF(OR($AA180="",Screener!$B$10=""),0,IF($AA180=Screener!$B$10,1,0))</f>
        <v/>
      </c>
      <c r="AP180">
        <f>IF($G180="",0,MAX(0,1-(Screener!$B$12-$G180)/W_RECD))</f>
        <v/>
      </c>
      <c r="AQ180">
        <f>IF($B180=Screener!$B$3,-999999,W_SUB*AK180+W_SEC*AL180*(1-AK180)+W_SIZE*AM180+W_PROF*AN180+W_AH*AO180+W_REC*AP180)+ROW()/1000000</f>
        <v/>
      </c>
      <c r="AR180">
        <f>IF(OR('NEW DEAL'!$B$6="",$E180&lt;&gt;'NEW DEAL'!$B$6),-1,1+IF(OR($H180="",'NEW DEAL'!$B$7=""),0,MAX(0,1-ABS(LOG10($H180/'NEW DEAL'!$B$7))/W_SIZEHW)))+ROW()/1000000</f>
        <v/>
      </c>
    </row>
    <row r="181">
      <c r="A181" s="23" t="inlineStr">
        <is>
          <t>1405</t>
        </is>
      </c>
      <c r="B181" s="22" t="inlineStr">
        <is>
          <t>DPC DASH</t>
        </is>
      </c>
      <c r="C181" s="22" t="inlineStr">
        <is>
          <t>达势股份有限公司</t>
        </is>
      </c>
      <c r="D181" s="24" t="inlineStr">
        <is>
          <t>Consumer</t>
        </is>
      </c>
      <c r="E181" s="24" t="inlineStr">
        <is>
          <t>F&amp;B chains / restaurants</t>
        </is>
      </c>
      <c r="F181" s="22" t="inlineStr">
        <is>
          <t>Standard</t>
        </is>
      </c>
      <c r="G181" s="25" t="n">
        <v>45013</v>
      </c>
      <c r="H181" s="26" t="n">
        <v>459.9</v>
      </c>
      <c r="I181" s="22" t="inlineStr">
        <is>
          <t>net proceeds</t>
        </is>
      </c>
      <c r="J181" s="27" t="n"/>
      <c r="K181" s="27" t="n"/>
      <c r="L181" s="27" t="n">
        <v>46</v>
      </c>
      <c r="M181" s="32" t="n"/>
      <c r="N181" s="22" t="n"/>
      <c r="O181" s="36" t="n">
        <v>5327</v>
      </c>
      <c r="P181" s="30" t="n">
        <v>0.45</v>
      </c>
      <c r="Q181" s="37" t="n">
        <v>1.9</v>
      </c>
      <c r="R181" s="32" t="n">
        <v>-0.11</v>
      </c>
      <c r="S181" s="33" t="n">
        <v>0</v>
      </c>
      <c r="T181" s="32" t="n">
        <v>9.949999999999999</v>
      </c>
      <c r="U181" s="22" t="inlineStr">
        <is>
          <t>not-yet (at allotment)</t>
        </is>
      </c>
      <c r="V181" s="29" t="inlineStr">
        <is>
          <t>N</t>
        </is>
      </c>
      <c r="W181" s="31" t="n"/>
      <c r="X181" s="31" t="n"/>
      <c r="Y181" s="35" t="n"/>
      <c r="Z181" s="36" t="n">
        <v>-244.9</v>
      </c>
      <c r="AA181" s="22" t="n"/>
      <c r="AB181" s="22" t="n"/>
      <c r="AC181" s="22" t="n"/>
      <c r="AD181" s="22" t="n"/>
      <c r="AE181" s="22" t="n"/>
      <c r="AK181">
        <f>IF(AND(Screener!$B$7&lt;&gt;"",$E181=Screener!$B$7),1,0)</f>
        <v/>
      </c>
      <c r="AL181">
        <f>IF(AND(Screener!$B$6&lt;&gt;"",$D181=Screener!$B$6),1,0)</f>
        <v/>
      </c>
      <c r="AM181">
        <f>IF(OR($H181="",Screener!$B$8=""),0,MAX(0,1-ABS(LOG10($H181/Screener!$B$8))/W_SIZEHW))</f>
        <v/>
      </c>
      <c r="AN181">
        <f>IF(OR($V181="",Screener!$B$9=""),0,IF($V181=Screener!$B$9,1,0))</f>
        <v/>
      </c>
      <c r="AO181">
        <f>IF(OR($AA181="",Screener!$B$10=""),0,IF($AA181=Screener!$B$10,1,0))</f>
        <v/>
      </c>
      <c r="AP181">
        <f>IF($G181="",0,MAX(0,1-(Screener!$B$12-$G181)/W_RECD))</f>
        <v/>
      </c>
      <c r="AQ181">
        <f>IF($B181=Screener!$B$3,-999999,W_SUB*AK181+W_SEC*AL181*(1-AK181)+W_SIZE*AM181+W_PROF*AN181+W_AH*AO181+W_REC*AP181)+ROW()/1000000</f>
        <v/>
      </c>
      <c r="AR181">
        <f>IF(OR('NEW DEAL'!$B$6="",$E181&lt;&gt;'NEW DEAL'!$B$6),-1,1+IF(OR($H181="",'NEW DEAL'!$B$7=""),0,MAX(0,1-ABS(LOG10($H181/'NEW DEAL'!$B$7))/W_SIZEHW)))+ROW()/1000000</f>
        <v/>
      </c>
    </row>
    <row r="182">
      <c r="A182" s="23" t="inlineStr">
        <is>
          <t>2409</t>
        </is>
      </c>
      <c r="B182" s="22" t="inlineStr">
        <is>
          <t>SEACON</t>
        </is>
      </c>
      <c r="C182" s="22" t="inlineStr">
        <is>
          <t>中泰國際ZTSC</t>
        </is>
      </c>
      <c r="D182" s="24" t="inlineStr">
        <is>
          <t>Industrials</t>
        </is>
      </c>
      <c r="E182" s="24" t="inlineStr">
        <is>
          <t>Logistics</t>
        </is>
      </c>
      <c r="F182" s="22" t="inlineStr">
        <is>
          <t>Standard</t>
        </is>
      </c>
      <c r="G182" s="25" t="n">
        <v>45014</v>
      </c>
      <c r="H182" s="26" t="n">
        <v>348</v>
      </c>
      <c r="I182" s="22" t="inlineStr">
        <is>
          <t>net proceeds</t>
        </is>
      </c>
      <c r="J182" s="27" t="n"/>
      <c r="K182" s="27" t="n"/>
      <c r="L182" s="27" t="n">
        <v>3.27</v>
      </c>
      <c r="M182" s="32" t="n"/>
      <c r="N182" s="22" t="n"/>
      <c r="O182" s="26" t="n">
        <v>1392</v>
      </c>
      <c r="P182" s="30" t="n">
        <v>1.14</v>
      </c>
      <c r="Q182" s="31" t="n"/>
      <c r="R182" s="32" t="n">
        <v>-21.1</v>
      </c>
      <c r="S182" s="33" t="n">
        <v>90</v>
      </c>
      <c r="T182" s="32" t="n">
        <v>15</v>
      </c>
      <c r="U182" s="22" t="inlineStr">
        <is>
          <t>not-yet (at allotment)</t>
        </is>
      </c>
      <c r="V182" s="29" t="inlineStr">
        <is>
          <t>Y</t>
        </is>
      </c>
      <c r="W182" s="34" t="n">
        <v>4.5</v>
      </c>
      <c r="X182" s="34" t="n">
        <v>0.5</v>
      </c>
      <c r="Y182" s="36" t="n">
        <v>2907.4</v>
      </c>
      <c r="Z182" s="36" t="n">
        <v>312</v>
      </c>
      <c r="AA182" s="22" t="n"/>
      <c r="AB182" s="22" t="n"/>
      <c r="AC182" s="22" t="inlineStr">
        <is>
          <t>Zhongtai International Capital Limited</t>
        </is>
      </c>
      <c r="AD182" s="22" t="inlineStr">
        <is>
          <t>Zhongtai International Securities Limited; Shenwan Hongyuan Securities (H.K.) Limited; Citrus Securities Limited; BOCOM International Securities Limited</t>
        </is>
      </c>
      <c r="AE182" s="22" t="n"/>
      <c r="AK182">
        <f>IF(AND(Screener!$B$7&lt;&gt;"",$E182=Screener!$B$7),1,0)</f>
        <v/>
      </c>
      <c r="AL182">
        <f>IF(AND(Screener!$B$6&lt;&gt;"",$D182=Screener!$B$6),1,0)</f>
        <v/>
      </c>
      <c r="AM182">
        <f>IF(OR($H182="",Screener!$B$8=""),0,MAX(0,1-ABS(LOG10($H182/Screener!$B$8))/W_SIZEHW))</f>
        <v/>
      </c>
      <c r="AN182">
        <f>IF(OR($V182="",Screener!$B$9=""),0,IF($V182=Screener!$B$9,1,0))</f>
        <v/>
      </c>
      <c r="AO182">
        <f>IF(OR($AA182="",Screener!$B$10=""),0,IF($AA182=Screener!$B$10,1,0))</f>
        <v/>
      </c>
      <c r="AP182">
        <f>IF($G182="",0,MAX(0,1-(Screener!$B$12-$G182)/W_RECD))</f>
        <v/>
      </c>
      <c r="AQ182">
        <f>IF($B182=Screener!$B$3,-999999,W_SUB*AK182+W_SEC*AL182*(1-AK182)+W_SIZE*AM182+W_PROF*AN182+W_AH*AO182+W_REC*AP182)+ROW()/1000000</f>
        <v/>
      </c>
      <c r="AR182">
        <f>IF(OR('NEW DEAL'!$B$6="",$E182&lt;&gt;'NEW DEAL'!$B$6),-1,1+IF(OR($H182="",'NEW DEAL'!$B$7=""),0,MAX(0,1-ABS(LOG10($H182/'NEW DEAL'!$B$7))/W_SIZEHW)))+ROW()/1000000</f>
        <v/>
      </c>
    </row>
    <row r="183">
      <c r="A183" s="23" t="inlineStr">
        <is>
          <t>2433</t>
        </is>
      </c>
      <c r="B183" s="22" t="inlineStr">
        <is>
          <t>ZT HN GROUP</t>
        </is>
      </c>
      <c r="C183" s="22" t="n"/>
      <c r="D183" s="24" t="inlineStr">
        <is>
          <t>Industrials</t>
        </is>
      </c>
      <c r="E183" s="24" t="inlineStr">
        <is>
          <t>Construction / engineering</t>
        </is>
      </c>
      <c r="F183" s="22" t="inlineStr">
        <is>
          <t>Standard</t>
        </is>
      </c>
      <c r="G183" s="25" t="n">
        <v>45015</v>
      </c>
      <c r="H183" s="26" t="n">
        <v>84.09999999999999</v>
      </c>
      <c r="I183" s="22" t="inlineStr">
        <is>
          <t>net proceeds</t>
        </is>
      </c>
      <c r="J183" s="27" t="n"/>
      <c r="K183" s="27" t="n"/>
      <c r="L183" s="27" t="n">
        <v>1.18</v>
      </c>
      <c r="M183" s="32" t="n"/>
      <c r="N183" s="22" t="n"/>
      <c r="O183" s="26" t="n">
        <v>303.6</v>
      </c>
      <c r="P183" s="30" t="n">
        <v>10.62</v>
      </c>
      <c r="Q183" s="37" t="n">
        <v>1.01</v>
      </c>
      <c r="R183" s="32" t="n">
        <v>126.27</v>
      </c>
      <c r="S183" s="33" t="n">
        <v>0</v>
      </c>
      <c r="T183" s="32" t="n">
        <v>20</v>
      </c>
      <c r="U183" s="22" t="inlineStr">
        <is>
          <t>not-yet (at allotment)</t>
        </is>
      </c>
      <c r="V183" s="29" t="inlineStr">
        <is>
          <t>N</t>
        </is>
      </c>
      <c r="W183" s="31" t="n"/>
      <c r="X183" s="34" t="n">
        <v>0.2</v>
      </c>
      <c r="Y183" s="36" t="n">
        <v>2005.7</v>
      </c>
      <c r="Z183" s="36" t="n">
        <v>-0.8</v>
      </c>
      <c r="AA183" s="22" t="n"/>
      <c r="AB183" s="22" t="n"/>
      <c r="AC183" s="22" t="inlineStr">
        <is>
          <t>Grande Capital Limited</t>
        </is>
      </c>
      <c r="AD183" s="22" t="inlineStr">
        <is>
          <t>Managers SPDB International Capital Limited; BOCOM International Securities Limited; I Win Securities Limited; China Everbright Securities (HK) Limited; Soochow Securities International Brokerage Limited; Alliance Capital Partners Limited</t>
        </is>
      </c>
      <c r="AE183" s="22" t="n"/>
      <c r="AK183">
        <f>IF(AND(Screener!$B$7&lt;&gt;"",$E183=Screener!$B$7),1,0)</f>
        <v/>
      </c>
      <c r="AL183">
        <f>IF(AND(Screener!$B$6&lt;&gt;"",$D183=Screener!$B$6),1,0)</f>
        <v/>
      </c>
      <c r="AM183">
        <f>IF(OR($H183="",Screener!$B$8=""),0,MAX(0,1-ABS(LOG10($H183/Screener!$B$8))/W_SIZEHW))</f>
        <v/>
      </c>
      <c r="AN183">
        <f>IF(OR($V183="",Screener!$B$9=""),0,IF($V183=Screener!$B$9,1,0))</f>
        <v/>
      </c>
      <c r="AO183">
        <f>IF(OR($AA183="",Screener!$B$10=""),0,IF($AA183=Screener!$B$10,1,0))</f>
        <v/>
      </c>
      <c r="AP183">
        <f>IF($G183="",0,MAX(0,1-(Screener!$B$12-$G183)/W_RECD))</f>
        <v/>
      </c>
      <c r="AQ183">
        <f>IF($B183=Screener!$B$3,-999999,W_SUB*AK183+W_SEC*AL183*(1-AK183)+W_SIZE*AM183+W_PROF*AN183+W_AH*AO183+W_REC*AP183)+ROW()/1000000</f>
        <v/>
      </c>
      <c r="AR183">
        <f>IF(OR('NEW DEAL'!$B$6="",$E183&lt;&gt;'NEW DEAL'!$B$6),-1,1+IF(OR($H183="",'NEW DEAL'!$B$7=""),0,MAX(0,1-ABS(LOG10($H183/'NEW DEAL'!$B$7))/W_SIZEHW)))+ROW()/1000000</f>
        <v/>
      </c>
    </row>
    <row r="184">
      <c r="A184" s="23" t="inlineStr">
        <is>
          <t>2405</t>
        </is>
      </c>
      <c r="B184" s="22" t="inlineStr">
        <is>
          <t>POWERWIN TECH</t>
        </is>
      </c>
      <c r="C184" s="22" t="inlineStr">
        <is>
          <t>力盟科技集團有限公司</t>
        </is>
      </c>
      <c r="D184" s="24" t="inlineStr">
        <is>
          <t>TMT-other</t>
        </is>
      </c>
      <c r="E184" s="24" t="inlineStr">
        <is>
          <t>Media / advertising</t>
        </is>
      </c>
      <c r="F184" s="22" t="inlineStr">
        <is>
          <t>Standard</t>
        </is>
      </c>
      <c r="G184" s="25" t="n">
        <v>45016</v>
      </c>
      <c r="H184" s="26" t="n">
        <v>96.8</v>
      </c>
      <c r="I184" s="22" t="inlineStr">
        <is>
          <t>net proceeds</t>
        </is>
      </c>
      <c r="J184" s="27" t="n"/>
      <c r="K184" s="27" t="n">
        <v>0.75</v>
      </c>
      <c r="L184" s="27" t="n">
        <v>0.7</v>
      </c>
      <c r="M184" s="32" t="n"/>
      <c r="N184" s="29" t="inlineStr">
        <is>
          <t>N</t>
        </is>
      </c>
      <c r="O184" s="36" t="n">
        <v>520</v>
      </c>
      <c r="P184" s="30" t="n">
        <v>13.47</v>
      </c>
      <c r="Q184" s="31" t="n"/>
      <c r="R184" s="32" t="n">
        <v>20</v>
      </c>
      <c r="S184" s="33" t="n"/>
      <c r="T184" s="32" t="n">
        <v>20</v>
      </c>
      <c r="U184" s="22" t="inlineStr">
        <is>
          <t>not-yet (at allotment)</t>
        </is>
      </c>
      <c r="V184" s="29" t="inlineStr">
        <is>
          <t>Y</t>
        </is>
      </c>
      <c r="W184" s="34" t="n">
        <v>11.6</v>
      </c>
      <c r="X184" s="34" t="n">
        <v>4.6</v>
      </c>
      <c r="Y184" s="36" t="n">
        <v>111.9</v>
      </c>
      <c r="Z184" s="36" t="n">
        <v>45</v>
      </c>
      <c r="AA184" s="22" t="n"/>
      <c r="AB184" s="22" t="n"/>
      <c r="AC184" s="22" t="inlineStr">
        <is>
          <t>GF Capital (Hong Kong) Limited</t>
        </is>
      </c>
      <c r="AD184" s="22" t="inlineStr">
        <is>
          <t>GF Securities (Hong Kong) Brokerage Limited; First Capital Securities Limited; Maxa Capital Limited; China Everbright Securities (HK) Limited; DIRECTORS AND PARTIES INVOLVED IN THE GLOBAL OFFERING – 101 – Maxa Capital Limited</t>
        </is>
      </c>
      <c r="AE184" s="22" t="n"/>
      <c r="AK184">
        <f>IF(AND(Screener!$B$7&lt;&gt;"",$E184=Screener!$B$7),1,0)</f>
        <v/>
      </c>
      <c r="AL184">
        <f>IF(AND(Screener!$B$6&lt;&gt;"",$D184=Screener!$B$6),1,0)</f>
        <v/>
      </c>
      <c r="AM184">
        <f>IF(OR($H184="",Screener!$B$8=""),0,MAX(0,1-ABS(LOG10($H184/Screener!$B$8))/W_SIZEHW))</f>
        <v/>
      </c>
      <c r="AN184">
        <f>IF(OR($V184="",Screener!$B$9=""),0,IF($V184=Screener!$B$9,1,0))</f>
        <v/>
      </c>
      <c r="AO184">
        <f>IF(OR($AA184="",Screener!$B$10=""),0,IF($AA184=Screener!$B$10,1,0))</f>
        <v/>
      </c>
      <c r="AP184">
        <f>IF($G184="",0,MAX(0,1-(Screener!$B$12-$G184)/W_RECD))</f>
        <v/>
      </c>
      <c r="AQ184">
        <f>IF($B184=Screener!$B$3,-999999,W_SUB*AK184+W_SEC*AL184*(1-AK184)+W_SIZE*AM184+W_PROF*AN184+W_AH*AO184+W_REC*AP184)+ROW()/1000000</f>
        <v/>
      </c>
      <c r="AR184">
        <f>IF(OR('NEW DEAL'!$B$6="",$E184&lt;&gt;'NEW DEAL'!$B$6),-1,1+IF(OR($H184="",'NEW DEAL'!$B$7=""),0,MAX(0,1-ABS(LOG10($H184/'NEW DEAL'!$B$7))/W_SIZEHW)))+ROW()/1000000</f>
        <v/>
      </c>
    </row>
    <row r="185">
      <c r="A185" s="23" t="inlineStr">
        <is>
          <t>2439</t>
        </is>
      </c>
      <c r="B185" s="22" t="inlineStr">
        <is>
          <t>CH TREASURES NM</t>
        </is>
      </c>
      <c r="C185" s="22" t="n"/>
      <c r="D185" s="24" t="inlineStr">
        <is>
          <t>Materials/Energy</t>
        </is>
      </c>
      <c r="E185" s="24" t="inlineStr">
        <is>
          <t>Chemicals</t>
        </is>
      </c>
      <c r="F185" s="22" t="inlineStr">
        <is>
          <t>Standard</t>
        </is>
      </c>
      <c r="G185" s="25" t="n">
        <v>45016</v>
      </c>
      <c r="H185" s="26" t="n">
        <v>154</v>
      </c>
      <c r="I185" s="22" t="inlineStr">
        <is>
          <t>net proceeds</t>
        </is>
      </c>
      <c r="J185" s="27" t="n"/>
      <c r="K185" s="27" t="n">
        <v>1.35</v>
      </c>
      <c r="L185" s="27" t="n">
        <v>1.05</v>
      </c>
      <c r="M185" s="32" t="n"/>
      <c r="N185" s="22" t="inlineStr">
        <is>
          <t>N</t>
        </is>
      </c>
      <c r="O185" s="26" t="n">
        <v>4265.9</v>
      </c>
      <c r="P185" s="30" t="n">
        <v>6.33</v>
      </c>
      <c r="Q185" s="31" t="n"/>
      <c r="R185" s="32" t="n">
        <v>-35.24</v>
      </c>
      <c r="S185" s="33" t="n">
        <v>48.7</v>
      </c>
      <c r="T185" s="32" t="n">
        <v>7.8097</v>
      </c>
      <c r="U185" s="22" t="inlineStr">
        <is>
          <t>not-yet (at allotment)</t>
        </is>
      </c>
      <c r="V185" s="29" t="inlineStr">
        <is>
          <t>N</t>
        </is>
      </c>
      <c r="W185" s="31" t="n"/>
      <c r="X185" s="34" t="n">
        <v>15.1</v>
      </c>
      <c r="Y185" s="36" t="n">
        <v>282.4</v>
      </c>
      <c r="Z185" s="36" t="n">
        <v>-57.2</v>
      </c>
      <c r="AA185" s="22" t="n"/>
      <c r="AB185" s="22" t="n"/>
      <c r="AC185" s="22" t="inlineStr">
        <is>
          <t>Soochow Securities International Capital Limited</t>
        </is>
      </c>
      <c r="AD185" s="22" t="inlineStr">
        <is>
          <t>Fosun International Securities Limited; VBG Capital Limited; Wealth Link Securities Limited; Managers China Galaxy International Securities (Hong Kong) Co., Limited; Zhongtai International Securities Limited</t>
        </is>
      </c>
      <c r="AE185" s="22" t="n"/>
      <c r="AK185">
        <f>IF(AND(Screener!$B$7&lt;&gt;"",$E185=Screener!$B$7),1,0)</f>
        <v/>
      </c>
      <c r="AL185">
        <f>IF(AND(Screener!$B$6&lt;&gt;"",$D185=Screener!$B$6),1,0)</f>
        <v/>
      </c>
      <c r="AM185">
        <f>IF(OR($H185="",Screener!$B$8=""),0,MAX(0,1-ABS(LOG10($H185/Screener!$B$8))/W_SIZEHW))</f>
        <v/>
      </c>
      <c r="AN185">
        <f>IF(OR($V185="",Screener!$B$9=""),0,IF($V185=Screener!$B$9,1,0))</f>
        <v/>
      </c>
      <c r="AO185">
        <f>IF(OR($AA185="",Screener!$B$10=""),0,IF($AA185=Screener!$B$10,1,0))</f>
        <v/>
      </c>
      <c r="AP185">
        <f>IF($G185="",0,MAX(0,1-(Screener!$B$12-$G185)/W_RECD))</f>
        <v/>
      </c>
      <c r="AQ185">
        <f>IF($B185=Screener!$B$3,-999999,W_SUB*AK185+W_SEC*AL185*(1-AK185)+W_SIZE*AM185+W_PROF*AN185+W_AH*AO185+W_REC*AP185)+ROW()/1000000</f>
        <v/>
      </c>
      <c r="AR185">
        <f>IF(OR('NEW DEAL'!$B$6="",$E185&lt;&gt;'NEW DEAL'!$B$6),-1,1+IF(OR($H185="",'NEW DEAL'!$B$7=""),0,MAX(0,1-ABS(LOG10($H185/'NEW DEAL'!$B$7))/W_SIZEHW)))+ROW()/1000000</f>
        <v/>
      </c>
    </row>
    <row r="186">
      <c r="A186" s="23" t="inlineStr">
        <is>
          <t>9669</t>
        </is>
      </c>
      <c r="B186" s="22" t="inlineStr">
        <is>
          <t>BEISEN HOLDING</t>
        </is>
      </c>
      <c r="C186" s="22" t="n"/>
      <c r="D186" s="24" t="inlineStr">
        <is>
          <t>Tech/AI</t>
        </is>
      </c>
      <c r="E186" s="24" t="inlineStr">
        <is>
          <t>SaaS / enterprise software</t>
        </is>
      </c>
      <c r="F186" s="22" t="inlineStr">
        <is>
          <t>Standard</t>
        </is>
      </c>
      <c r="G186" s="25" t="n">
        <v>45029</v>
      </c>
      <c r="H186" s="26" t="n">
        <v>215</v>
      </c>
      <c r="I186" s="22" t="inlineStr">
        <is>
          <t>gross (price x shares)</t>
        </is>
      </c>
      <c r="J186" s="27" t="n"/>
      <c r="K186" s="27" t="n">
        <v>29.7</v>
      </c>
      <c r="L186" s="27" t="n">
        <v>29.7</v>
      </c>
      <c r="M186" s="32" t="n"/>
      <c r="N186" s="29" t="inlineStr">
        <is>
          <t>Y</t>
        </is>
      </c>
      <c r="O186" s="26" t="n">
        <v>4479.2</v>
      </c>
      <c r="P186" s="30" t="n">
        <v>16.57</v>
      </c>
      <c r="Q186" s="31" t="n"/>
      <c r="R186" s="32" t="n">
        <v>-12.12</v>
      </c>
      <c r="S186" s="33" t="n">
        <v>0</v>
      </c>
      <c r="T186" s="32" t="n">
        <v>20</v>
      </c>
      <c r="U186" s="22" t="inlineStr">
        <is>
          <t>not-yet (at allotment)</t>
        </is>
      </c>
      <c r="V186" s="29" t="inlineStr">
        <is>
          <t>N</t>
        </is>
      </c>
      <c r="W186" s="31" t="n"/>
      <c r="X186" s="34" t="n">
        <v>7.3</v>
      </c>
      <c r="Y186" s="36" t="n">
        <v>612</v>
      </c>
      <c r="Z186" s="36" t="n">
        <v>-1034.2</v>
      </c>
      <c r="AA186" s="22" t="n"/>
      <c r="AB186" s="22" t="n"/>
      <c r="AC186" s="22" t="inlineStr">
        <is>
          <t>Sponsor-overall Coordinators and Overall Coordinators Morgan Stanley Asia Limited; China International Capital Corporation Hong Kong Securities Limited</t>
        </is>
      </c>
      <c r="AD186" s="22" t="inlineStr">
        <is>
          <t>Morgan Stanley Asia Limited; China International Capital Corporation Hong Kong Securities Limited; Futu Securities International (Hong Kong) Limited; Tiger Brokers (HK) Global Limited; Co-manager Silverbricks Securities Company Limited; Silverbricks Securities Company Limited</t>
        </is>
      </c>
      <c r="AE186" s="22" t="n"/>
      <c r="AK186">
        <f>IF(AND(Screener!$B$7&lt;&gt;"",$E186=Screener!$B$7),1,0)</f>
        <v/>
      </c>
      <c r="AL186">
        <f>IF(AND(Screener!$B$6&lt;&gt;"",$D186=Screener!$B$6),1,0)</f>
        <v/>
      </c>
      <c r="AM186">
        <f>IF(OR($H186="",Screener!$B$8=""),0,MAX(0,1-ABS(LOG10($H186/Screener!$B$8))/W_SIZEHW))</f>
        <v/>
      </c>
      <c r="AN186">
        <f>IF(OR($V186="",Screener!$B$9=""),0,IF($V186=Screener!$B$9,1,0))</f>
        <v/>
      </c>
      <c r="AO186">
        <f>IF(OR($AA186="",Screener!$B$10=""),0,IF($AA186=Screener!$B$10,1,0))</f>
        <v/>
      </c>
      <c r="AP186">
        <f>IF($G186="",0,MAX(0,1-(Screener!$B$12-$G186)/W_RECD))</f>
        <v/>
      </c>
      <c r="AQ186">
        <f>IF($B186=Screener!$B$3,-999999,W_SUB*AK186+W_SEC*AL186*(1-AK186)+W_SIZE*AM186+W_PROF*AN186+W_AH*AO186+W_REC*AP186)+ROW()/1000000</f>
        <v/>
      </c>
      <c r="AR186">
        <f>IF(OR('NEW DEAL'!$B$6="",$E186&lt;&gt;'NEW DEAL'!$B$6),-1,1+IF(OR($H186="",'NEW DEAL'!$B$7=""),0,MAX(0,1-ABS(LOG10($H186/'NEW DEAL'!$B$7))/W_SIZEHW)))+ROW()/1000000</f>
        <v/>
      </c>
    </row>
    <row r="187">
      <c r="A187" s="23" t="inlineStr">
        <is>
          <t>6979</t>
        </is>
      </c>
      <c r="B187" s="22" t="inlineStr">
        <is>
          <t>ZJLD</t>
        </is>
      </c>
      <c r="C187" s="22" t="n"/>
      <c r="D187" s="24" t="inlineStr">
        <is>
          <t>Consumer</t>
        </is>
      </c>
      <c r="E187" s="24" t="inlineStr">
        <is>
          <t>Beverages / packaged food</t>
        </is>
      </c>
      <c r="F187" s="22" t="inlineStr">
        <is>
          <t>Standard</t>
        </is>
      </c>
      <c r="G187" s="25" t="n">
        <v>45043</v>
      </c>
      <c r="H187" s="26" t="n">
        <v>795</v>
      </c>
      <c r="I187" s="22" t="inlineStr">
        <is>
          <t>gross (stated)</t>
        </is>
      </c>
      <c r="J187" s="27" t="n"/>
      <c r="K187" s="27" t="n"/>
      <c r="L187" s="27" t="n">
        <v>10.82</v>
      </c>
      <c r="M187" s="32" t="n"/>
      <c r="N187" s="22" t="n"/>
      <c r="O187" s="36" t="n">
        <v>10000</v>
      </c>
      <c r="P187" s="30" t="n">
        <v>1.94</v>
      </c>
      <c r="Q187" s="31" t="n"/>
      <c r="R187" s="32" t="n">
        <v>-17.93</v>
      </c>
      <c r="S187" s="33" t="n">
        <v>0</v>
      </c>
      <c r="T187" s="32" t="n">
        <v>5.3</v>
      </c>
      <c r="U187" s="22" t="inlineStr">
        <is>
          <t>not-yet (at allotment)</t>
        </is>
      </c>
      <c r="V187" s="29" t="inlineStr">
        <is>
          <t>Y</t>
        </is>
      </c>
      <c r="W187" s="34" t="n">
        <v>17.5</v>
      </c>
      <c r="X187" s="31" t="n"/>
      <c r="Y187" s="35" t="n"/>
      <c r="Z187" s="36" t="n">
        <v>572.1</v>
      </c>
      <c r="AA187" s="22" t="n"/>
      <c r="AB187" s="22" t="n"/>
      <c r="AC187" s="22" t="inlineStr">
        <is>
          <t>Goldman Sachs (Asia) L.L.C; China Securities (International) Corporate Finance Company Limited</t>
        </is>
      </c>
      <c r="AD187" s="22" t="inlineStr">
        <is>
          <t>Managers Goldman Sachs (Asia) L.L.C; China Securities (International) Corporate Finance Company Limited; Central, Hong Kong China International Capital Corporation Hong Kong Securities Limited; Central, Hong Kong KKR Capital Markets Asia Limited; Goldman Sachs (Asia) L.L.C</t>
        </is>
      </c>
      <c r="AE187" s="22" t="n"/>
      <c r="AK187">
        <f>IF(AND(Screener!$B$7&lt;&gt;"",$E187=Screener!$B$7),1,0)</f>
        <v/>
      </c>
      <c r="AL187">
        <f>IF(AND(Screener!$B$6&lt;&gt;"",$D187=Screener!$B$6),1,0)</f>
        <v/>
      </c>
      <c r="AM187">
        <f>IF(OR($H187="",Screener!$B$8=""),0,MAX(0,1-ABS(LOG10($H187/Screener!$B$8))/W_SIZEHW))</f>
        <v/>
      </c>
      <c r="AN187">
        <f>IF(OR($V187="",Screener!$B$9=""),0,IF($V187=Screener!$B$9,1,0))</f>
        <v/>
      </c>
      <c r="AO187">
        <f>IF(OR($AA187="",Screener!$B$10=""),0,IF($AA187=Screener!$B$10,1,0))</f>
        <v/>
      </c>
      <c r="AP187">
        <f>IF($G187="",0,MAX(0,1-(Screener!$B$12-$G187)/W_RECD))</f>
        <v/>
      </c>
      <c r="AQ187">
        <f>IF($B187=Screener!$B$3,-999999,W_SUB*AK187+W_SEC*AL187*(1-AK187)+W_SIZE*AM187+W_PROF*AN187+W_AH*AO187+W_REC*AP187)+ROW()/1000000</f>
        <v/>
      </c>
      <c r="AR187">
        <f>IF(OR('NEW DEAL'!$B$6="",$E187&lt;&gt;'NEW DEAL'!$B$6),-1,1+IF(OR($H187="",'NEW DEAL'!$B$7=""),0,MAX(0,1-ABS(LOG10($H187/'NEW DEAL'!$B$7))/W_SIZEHW)))+ROW()/1000000</f>
        <v/>
      </c>
    </row>
    <row r="188">
      <c r="A188" s="23" t="inlineStr">
        <is>
          <t>2415</t>
        </is>
      </c>
      <c r="B188" s="22" t="inlineStr">
        <is>
          <t>MEDSCI</t>
        </is>
      </c>
      <c r="C188" s="22" t="n"/>
      <c r="D188" s="24" t="inlineStr">
        <is>
          <t>Healthcare</t>
        </is>
      </c>
      <c r="E188" s="24" t="inlineStr">
        <is>
          <t>CXO / pharma services</t>
        </is>
      </c>
      <c r="F188" s="22" t="inlineStr">
        <is>
          <t>Standard</t>
        </is>
      </c>
      <c r="G188" s="25" t="n">
        <v>45043</v>
      </c>
      <c r="H188" s="26" t="n">
        <v>18.2</v>
      </c>
      <c r="I188" s="22" t="inlineStr">
        <is>
          <t>gross (stated)</t>
        </is>
      </c>
      <c r="J188" s="27" t="n"/>
      <c r="K188" s="27" t="n">
        <v>10.16</v>
      </c>
      <c r="L188" s="27" t="n">
        <v>9.1</v>
      </c>
      <c r="M188" s="32" t="n"/>
      <c r="N188" s="29" t="inlineStr">
        <is>
          <t>N</t>
        </is>
      </c>
      <c r="O188" s="35" t="n"/>
      <c r="P188" s="30" t="n">
        <v>5</v>
      </c>
      <c r="Q188" s="31" t="n"/>
      <c r="R188" s="32" t="n">
        <v>1.1</v>
      </c>
      <c r="S188" s="33" t="n">
        <v>20.1</v>
      </c>
      <c r="T188" s="32" t="n">
        <v>10.82</v>
      </c>
      <c r="U188" s="22" t="inlineStr">
        <is>
          <t>not-yet (at allotment)</t>
        </is>
      </c>
      <c r="V188" s="22" t="n"/>
      <c r="W188" s="31" t="n"/>
      <c r="X188" s="31" t="n"/>
      <c r="Y188" s="36" t="n">
        <v>383.8</v>
      </c>
      <c r="Z188" s="35" t="n"/>
      <c r="AA188" s="22" t="n"/>
      <c r="AB188" s="22" t="n"/>
      <c r="AC188" s="22" t="inlineStr">
        <is>
          <t>China International Capital Corporation Hong Kong Securities Limited; Macquarie Capital Limited</t>
        </is>
      </c>
      <c r="AD188" s="22" t="inlineStr">
        <is>
          <t>China International Capital Corporation Hong Kong Securities Limited; Macquarie Capital Limited; CCB International Capital Limited; Essence International Securities (Hong Kong) Limited; Dragonstone Capital Management Limited; China Everbright Securities (HK) Limited; First Shanghai Securities Limited; First Capital Securities Limited; Zhongtai International Securities Limited; Futu Securities International (Hong Kong) Limited</t>
        </is>
      </c>
      <c r="AE188" s="22" t="n"/>
      <c r="AK188">
        <f>IF(AND(Screener!$B$7&lt;&gt;"",$E188=Screener!$B$7),1,0)</f>
        <v/>
      </c>
      <c r="AL188">
        <f>IF(AND(Screener!$B$6&lt;&gt;"",$D188=Screener!$B$6),1,0)</f>
        <v/>
      </c>
      <c r="AM188">
        <f>IF(OR($H188="",Screener!$B$8=""),0,MAX(0,1-ABS(LOG10($H188/Screener!$B$8))/W_SIZEHW))</f>
        <v/>
      </c>
      <c r="AN188">
        <f>IF(OR($V188="",Screener!$B$9=""),0,IF($V188=Screener!$B$9,1,0))</f>
        <v/>
      </c>
      <c r="AO188">
        <f>IF(OR($AA188="",Screener!$B$10=""),0,IF($AA188=Screener!$B$10,1,0))</f>
        <v/>
      </c>
      <c r="AP188">
        <f>IF($G188="",0,MAX(0,1-(Screener!$B$12-$G188)/W_RECD))</f>
        <v/>
      </c>
      <c r="AQ188">
        <f>IF($B188=Screener!$B$3,-999999,W_SUB*AK188+W_SEC*AL188*(1-AK188)+W_SIZE*AM188+W_PROF*AN188+W_AH*AO188+W_REC*AP188)+ROW()/1000000</f>
        <v/>
      </c>
      <c r="AR188">
        <f>IF(OR('NEW DEAL'!$B$6="",$E188&lt;&gt;'NEW DEAL'!$B$6),-1,1+IF(OR($H188="",'NEW DEAL'!$B$7=""),0,MAX(0,1-ABS(LOG10($H188/'NEW DEAL'!$B$7))/W_SIZEHW)))+ROW()/1000000</f>
        <v/>
      </c>
    </row>
    <row r="189">
      <c r="A189" s="23" t="inlineStr">
        <is>
          <t>2480</t>
        </is>
      </c>
      <c r="B189" s="22" t="inlineStr">
        <is>
          <t>LUZHU BIOTECH-B</t>
        </is>
      </c>
      <c r="C189" s="22" t="inlineStr">
        <is>
          <t>笃畾欰暟</t>
        </is>
      </c>
      <c r="D189" s="24" t="inlineStr">
        <is>
          <t>Healthcare</t>
        </is>
      </c>
      <c r="E189" s="24" t="inlineStr">
        <is>
          <t>Biotech pre-revenue (18A)</t>
        </is>
      </c>
      <c r="F189" s="38" t="inlineStr">
        <is>
          <t>18A</t>
        </is>
      </c>
      <c r="G189" s="25" t="n">
        <v>45052</v>
      </c>
      <c r="H189" s="26" t="n">
        <v>39.5</v>
      </c>
      <c r="I189" s="22" t="inlineStr">
        <is>
          <t>gross (stated)</t>
        </is>
      </c>
      <c r="J189" s="27" t="n">
        <v>32.8</v>
      </c>
      <c r="K189" s="27" t="n">
        <v>41.65</v>
      </c>
      <c r="L189" s="27" t="n">
        <v>32.8</v>
      </c>
      <c r="M189" s="28" t="n">
        <v>0</v>
      </c>
      <c r="N189" s="29" t="inlineStr">
        <is>
          <t>N</t>
        </is>
      </c>
      <c r="O189" s="26" t="n">
        <v>675.2</v>
      </c>
      <c r="P189" s="30" t="n">
        <v>3.25</v>
      </c>
      <c r="Q189" s="31" t="n"/>
      <c r="R189" s="32" t="n">
        <v>-32.93</v>
      </c>
      <c r="S189" s="33" t="n">
        <v>10</v>
      </c>
      <c r="T189" s="32" t="n">
        <v>11.2</v>
      </c>
      <c r="U189" s="22" t="inlineStr">
        <is>
          <t>not-yet (at allotment)</t>
        </is>
      </c>
      <c r="V189" s="29" t="inlineStr">
        <is>
          <t>N</t>
        </is>
      </c>
      <c r="W189" s="31" t="n"/>
      <c r="X189" s="31" t="n"/>
      <c r="Y189" s="35" t="n"/>
      <c r="Z189" s="36" t="n">
        <v>-797.7</v>
      </c>
      <c r="AA189" s="22" t="n"/>
      <c r="AB189" s="22" t="n"/>
      <c r="AC189" s="22" t="inlineStr">
        <is>
          <t>China International Capital Corporation Hong Kong Securities Limited</t>
        </is>
      </c>
      <c r="AD189" s="22" t="inlineStr">
        <is>
          <t>Securities Limited; Guotai Junan Securities (Hong Kong) Limited; CCB International Capital Limited; Managers Guosen Securities (HK) Capital Company Limited; Fosun International Securities Limited; Patrons Securities Limited; Eddid Securities and Futures Limited; ABCI Capital Limited; Valuable Capital Limited; Futu Securities International (Hong Kong) Limited; CNCB (Hong Kong) Capital Limited; Central China International Capital Limited</t>
        </is>
      </c>
      <c r="AE189" s="22" t="n"/>
      <c r="AK189">
        <f>IF(AND(Screener!$B$7&lt;&gt;"",$E189=Screener!$B$7),1,0)</f>
        <v/>
      </c>
      <c r="AL189">
        <f>IF(AND(Screener!$B$6&lt;&gt;"",$D189=Screener!$B$6),1,0)</f>
        <v/>
      </c>
      <c r="AM189">
        <f>IF(OR($H189="",Screener!$B$8=""),0,MAX(0,1-ABS(LOG10($H189/Screener!$B$8))/W_SIZEHW))</f>
        <v/>
      </c>
      <c r="AN189">
        <f>IF(OR($V189="",Screener!$B$9=""),0,IF($V189=Screener!$B$9,1,0))</f>
        <v/>
      </c>
      <c r="AO189">
        <f>IF(OR($AA189="",Screener!$B$10=""),0,IF($AA189=Screener!$B$10,1,0))</f>
        <v/>
      </c>
      <c r="AP189">
        <f>IF($G189="",0,MAX(0,1-(Screener!$B$12-$G189)/W_RECD))</f>
        <v/>
      </c>
      <c r="AQ189">
        <f>IF($B189=Screener!$B$3,-999999,W_SUB*AK189+W_SEC*AL189*(1-AK189)+W_SIZE*AM189+W_PROF*AN189+W_AH*AO189+W_REC*AP189)+ROW()/1000000</f>
        <v/>
      </c>
      <c r="AR189">
        <f>IF(OR('NEW DEAL'!$B$6="",$E189&lt;&gt;'NEW DEAL'!$B$6),-1,1+IF(OR($H189="",'NEW DEAL'!$B$7=""),0,MAX(0,1-ABS(LOG10($H189/'NEW DEAL'!$B$7))/W_SIZEHW)))+ROW()/1000000</f>
        <v/>
      </c>
    </row>
    <row r="190">
      <c r="A190" s="23" t="inlineStr">
        <is>
          <t>2442</t>
        </is>
      </c>
      <c r="B190" s="22" t="inlineStr">
        <is>
          <t>EASY SMART GP</t>
        </is>
      </c>
      <c r="C190" s="22" t="n"/>
      <c r="D190" s="24" t="inlineStr">
        <is>
          <t>Industrials</t>
        </is>
      </c>
      <c r="E190" s="24" t="inlineStr">
        <is>
          <t>Construction / engineering</t>
        </is>
      </c>
      <c r="F190" s="22" t="inlineStr">
        <is>
          <t>Standard</t>
        </is>
      </c>
      <c r="G190" s="25" t="n">
        <v>45055</v>
      </c>
      <c r="H190" s="26" t="n">
        <v>130.6</v>
      </c>
      <c r="I190" s="22" t="inlineStr">
        <is>
          <t>gross (price x shares)</t>
        </is>
      </c>
      <c r="J190" s="27" t="n"/>
      <c r="K190" s="27" t="n">
        <v>1.38</v>
      </c>
      <c r="L190" s="27" t="n">
        <v>1.28</v>
      </c>
      <c r="M190" s="32" t="n"/>
      <c r="N190" s="29" t="inlineStr">
        <is>
          <t>N</t>
        </is>
      </c>
      <c r="O190" s="26" t="n">
        <v>3627.8</v>
      </c>
      <c r="P190" s="30" t="n">
        <v>17.27</v>
      </c>
      <c r="Q190" s="37" t="n">
        <v>1.05</v>
      </c>
      <c r="R190" s="32" t="n">
        <v>-23.44</v>
      </c>
      <c r="S190" s="33" t="n">
        <v>0</v>
      </c>
      <c r="T190" s="32" t="n">
        <v>15</v>
      </c>
      <c r="U190" s="22" t="inlineStr">
        <is>
          <t>not-yet (at allotment)</t>
        </is>
      </c>
      <c r="V190" s="29" t="inlineStr">
        <is>
          <t>Y</t>
        </is>
      </c>
      <c r="W190" s="34" t="n">
        <v>126</v>
      </c>
      <c r="X190" s="34" t="n">
        <v>15.1</v>
      </c>
      <c r="Y190" s="36" t="n">
        <v>240.5</v>
      </c>
      <c r="Z190" s="36" t="n">
        <v>28.8</v>
      </c>
      <c r="AA190" s="22" t="n"/>
      <c r="AB190" s="22" t="n"/>
      <c r="AC190" s="22" t="n"/>
      <c r="AD190" s="22" t="n"/>
      <c r="AE190" s="22" t="n"/>
      <c r="AK190">
        <f>IF(AND(Screener!$B$7&lt;&gt;"",$E190=Screener!$B$7),1,0)</f>
        <v/>
      </c>
      <c r="AL190">
        <f>IF(AND(Screener!$B$6&lt;&gt;"",$D190=Screener!$B$6),1,0)</f>
        <v/>
      </c>
      <c r="AM190">
        <f>IF(OR($H190="",Screener!$B$8=""),0,MAX(0,1-ABS(LOG10($H190/Screener!$B$8))/W_SIZEHW))</f>
        <v/>
      </c>
      <c r="AN190">
        <f>IF(OR($V190="",Screener!$B$9=""),0,IF($V190=Screener!$B$9,1,0))</f>
        <v/>
      </c>
      <c r="AO190">
        <f>IF(OR($AA190="",Screener!$B$10=""),0,IF($AA190=Screener!$B$10,1,0))</f>
        <v/>
      </c>
      <c r="AP190">
        <f>IF($G190="",0,MAX(0,1-(Screener!$B$12-$G190)/W_RECD))</f>
        <v/>
      </c>
      <c r="AQ190">
        <f>IF($B190=Screener!$B$3,-999999,W_SUB*AK190+W_SEC*AL190*(1-AK190)+W_SIZE*AM190+W_PROF*AN190+W_AH*AO190+W_REC*AP190)+ROW()/1000000</f>
        <v/>
      </c>
      <c r="AR190">
        <f>IF(OR('NEW DEAL'!$B$6="",$E190&lt;&gt;'NEW DEAL'!$B$6),-1,1+IF(OR($H190="",'NEW DEAL'!$B$7=""),0,MAX(0,1-ABS(LOG10($H190/'NEW DEAL'!$B$7))/W_SIZEHW)))+ROW()/1000000</f>
        <v/>
      </c>
    </row>
    <row r="191">
      <c r="A191" s="23" t="inlineStr">
        <is>
          <t>2486</t>
        </is>
      </c>
      <c r="B191" s="22" t="inlineStr">
        <is>
          <t>PLUS GP HOLDING</t>
        </is>
      </c>
      <c r="C191" s="22" t="inlineStr">
        <is>
          <t>普樂師集團控股有限公司</t>
        </is>
      </c>
      <c r="D191" s="24" t="inlineStr">
        <is>
          <t>TMT-other</t>
        </is>
      </c>
      <c r="E191" s="24" t="inlineStr">
        <is>
          <t>Media / advertising</t>
        </is>
      </c>
      <c r="F191" s="22" t="inlineStr">
        <is>
          <t>Standard</t>
        </is>
      </c>
      <c r="G191" s="25" t="n">
        <v>45057</v>
      </c>
      <c r="H191" s="26" t="n">
        <v>238.5</v>
      </c>
      <c r="I191" s="22" t="inlineStr">
        <is>
          <t>gross (price x shares)</t>
        </is>
      </c>
      <c r="J191" s="27" t="n"/>
      <c r="K191" s="27" t="n">
        <v>11.8</v>
      </c>
      <c r="L191" s="27" t="n">
        <v>10.6</v>
      </c>
      <c r="M191" s="32" t="n"/>
      <c r="N191" s="29" t="inlineStr">
        <is>
          <t>N</t>
        </is>
      </c>
      <c r="O191" s="36" t="n">
        <v>1327.1</v>
      </c>
      <c r="P191" s="30" t="n">
        <v>1.2</v>
      </c>
      <c r="Q191" s="31" t="n"/>
      <c r="R191" s="32" t="n">
        <v>-24.62</v>
      </c>
      <c r="S191" s="33" t="n">
        <v>0</v>
      </c>
      <c r="T191" s="32" t="n">
        <v>11.98</v>
      </c>
      <c r="U191" s="22" t="inlineStr">
        <is>
          <t>not-yet (at allotment)</t>
        </is>
      </c>
      <c r="V191" s="29" t="inlineStr">
        <is>
          <t>Y</t>
        </is>
      </c>
      <c r="W191" s="34" t="n">
        <v>22.9</v>
      </c>
      <c r="X191" s="34" t="n">
        <v>2</v>
      </c>
      <c r="Y191" s="36" t="n">
        <v>679.9</v>
      </c>
      <c r="Z191" s="36" t="n">
        <v>58</v>
      </c>
      <c r="AA191" s="22" t="n"/>
      <c r="AB191" s="22" t="n"/>
      <c r="AC191" s="22" t="inlineStr">
        <is>
          <t>Jefferies Hong Kong Limited; Guotai Junan Capital Limited</t>
        </is>
      </c>
      <c r="AD191" s="22" t="inlineStr">
        <is>
          <t>Joint Lead Managers Jefferies Hong Kong Limited; Guotai Junan Securities (Hong Kong) Limited; CCB International Capital Limited; CMB Int ernational Capital Limited; ABCI Capital Limited; SPDB International Capital Limited</t>
        </is>
      </c>
      <c r="AE191" s="22" t="n"/>
      <c r="AK191">
        <f>IF(AND(Screener!$B$7&lt;&gt;"",$E191=Screener!$B$7),1,0)</f>
        <v/>
      </c>
      <c r="AL191">
        <f>IF(AND(Screener!$B$6&lt;&gt;"",$D191=Screener!$B$6),1,0)</f>
        <v/>
      </c>
      <c r="AM191">
        <f>IF(OR($H191="",Screener!$B$8=""),0,MAX(0,1-ABS(LOG10($H191/Screener!$B$8))/W_SIZEHW))</f>
        <v/>
      </c>
      <c r="AN191">
        <f>IF(OR($V191="",Screener!$B$9=""),0,IF($V191=Screener!$B$9,1,0))</f>
        <v/>
      </c>
      <c r="AO191">
        <f>IF(OR($AA191="",Screener!$B$10=""),0,IF($AA191=Screener!$B$10,1,0))</f>
        <v/>
      </c>
      <c r="AP191">
        <f>IF($G191="",0,MAX(0,1-(Screener!$B$12-$G191)/W_RECD))</f>
        <v/>
      </c>
      <c r="AQ191">
        <f>IF($B191=Screener!$B$3,-999999,W_SUB*AK191+W_SEC*AL191*(1-AK191)+W_SIZE*AM191+W_PROF*AN191+W_AH*AO191+W_REC*AP191)+ROW()/1000000</f>
        <v/>
      </c>
      <c r="AR191">
        <f>IF(OR('NEW DEAL'!$B$6="",$E191&lt;&gt;'NEW DEAL'!$B$6),-1,1+IF(OR($H191="",'NEW DEAL'!$B$7=""),0,MAX(0,1-ABS(LOG10($H191/'NEW DEAL'!$B$7))/W_SIZEHW)))+ROW()/1000000</f>
        <v/>
      </c>
    </row>
    <row r="192">
      <c r="A192" s="23" t="inlineStr">
        <is>
          <t>9930</t>
        </is>
      </c>
      <c r="B192" s="22" t="inlineStr">
        <is>
          <t>HORIZON CD</t>
        </is>
      </c>
      <c r="C192" s="22" t="inlineStr">
        <is>
          <t>宏信建設發展有限公司</t>
        </is>
      </c>
      <c r="D192" s="24" t="inlineStr">
        <is>
          <t>Industrials</t>
        </is>
      </c>
      <c r="E192" s="24" t="inlineStr">
        <is>
          <t>Capital goods / machinery</t>
        </is>
      </c>
      <c r="F192" s="22" t="inlineStr">
        <is>
          <t>Standard</t>
        </is>
      </c>
      <c r="G192" s="25" t="n">
        <v>45071</v>
      </c>
      <c r="H192" s="26" t="n">
        <v>1517.6</v>
      </c>
      <c r="I192" s="22" t="inlineStr">
        <is>
          <t>net proceeds</t>
        </is>
      </c>
      <c r="J192" s="27" t="n"/>
      <c r="K192" s="27" t="n">
        <v>4.8</v>
      </c>
      <c r="L192" s="27" t="n">
        <v>4.52</v>
      </c>
      <c r="M192" s="32" t="n"/>
      <c r="N192" s="29" t="inlineStr">
        <is>
          <t>N</t>
        </is>
      </c>
      <c r="O192" s="26" t="n">
        <v>11764.3</v>
      </c>
      <c r="P192" s="30" t="n">
        <v>0.12</v>
      </c>
      <c r="Q192" s="37" t="n">
        <v>1.47</v>
      </c>
      <c r="R192" s="32" t="n">
        <v>-28.98</v>
      </c>
      <c r="S192" s="33" t="n">
        <v>23.7</v>
      </c>
      <c r="T192" s="32" t="n">
        <v>5.52</v>
      </c>
      <c r="U192" s="22" t="inlineStr">
        <is>
          <t>not-yet (at allotment)</t>
        </is>
      </c>
      <c r="V192" s="29" t="inlineStr">
        <is>
          <t>Y</t>
        </is>
      </c>
      <c r="W192" s="34" t="n">
        <v>16</v>
      </c>
      <c r="X192" s="34" t="n">
        <v>1.4</v>
      </c>
      <c r="Y192" s="36" t="n">
        <v>8665.4</v>
      </c>
      <c r="Z192" s="36" t="n">
        <v>733.2</v>
      </c>
      <c r="AA192" s="22" t="n"/>
      <c r="AB192" s="22" t="n"/>
      <c r="AC192" s="22" t="inlineStr">
        <is>
          <t>and Sponsor-OCs Huatai Financial Holdings (Hong Kong) Limited; Citigroup Global Markets Asia Limited; CMB International Capital Limited; DBS Asia Capital Limited</t>
        </is>
      </c>
      <c r="AD192" s="22" t="inlineStr">
        <is>
          <t>Huatai Financial Holdings (Hong Kong) Limited; Citigroup Global Markets Asia Limited; CMB International Capital Limited; DBS Asia Capital Limited; – 102 – CMB International Capital Limited; BOCI Asia Limited; Shenwan Hongyuan Securities (H.K.) Limited; Guotai Junan Securities (Hong Kong) Limited; BOCOM International Securities Limited; CCB International Capital Limited; DIRECTORS AND PARTIES INVOLVED IN THE GLOBAL OFFERING – 103 – ABCI Capital Limited; Zhongtai International Securities Limited</t>
        </is>
      </c>
      <c r="AE192" s="22" t="n"/>
      <c r="AK192">
        <f>IF(AND(Screener!$B$7&lt;&gt;"",$E192=Screener!$B$7),1,0)</f>
        <v/>
      </c>
      <c r="AL192">
        <f>IF(AND(Screener!$B$6&lt;&gt;"",$D192=Screener!$B$6),1,0)</f>
        <v/>
      </c>
      <c r="AM192">
        <f>IF(OR($H192="",Screener!$B$8=""),0,MAX(0,1-ABS(LOG10($H192/Screener!$B$8))/W_SIZEHW))</f>
        <v/>
      </c>
      <c r="AN192">
        <f>IF(OR($V192="",Screener!$B$9=""),0,IF($V192=Screener!$B$9,1,0))</f>
        <v/>
      </c>
      <c r="AO192">
        <f>IF(OR($AA192="",Screener!$B$10=""),0,IF($AA192=Screener!$B$10,1,0))</f>
        <v/>
      </c>
      <c r="AP192">
        <f>IF($G192="",0,MAX(0,1-(Screener!$B$12-$G192)/W_RECD))</f>
        <v/>
      </c>
      <c r="AQ192">
        <f>IF($B192=Screener!$B$3,-999999,W_SUB*AK192+W_SEC*AL192*(1-AK192)+W_SIZE*AM192+W_PROF*AN192+W_AH*AO192+W_REC*AP192)+ROW()/1000000</f>
        <v/>
      </c>
      <c r="AR192">
        <f>IF(OR('NEW DEAL'!$B$6="",$E192&lt;&gt;'NEW DEAL'!$B$6),-1,1+IF(OR($H192="",'NEW DEAL'!$B$7=""),0,MAX(0,1-ABS(LOG10($H192/'NEW DEAL'!$B$7))/W_SIZEHW)))+ROW()/1000000</f>
        <v/>
      </c>
    </row>
    <row r="193">
      <c r="A193" s="23" t="inlineStr">
        <is>
          <t>2416</t>
        </is>
      </c>
      <c r="B193" s="22" t="inlineStr">
        <is>
          <t>EDIANYUN</t>
        </is>
      </c>
      <c r="C193" s="22" t="n"/>
      <c r="D193" s="24" t="inlineStr">
        <is>
          <t>Tech/AI</t>
        </is>
      </c>
      <c r="E193" s="24" t="inlineStr">
        <is>
          <t>SaaS / enterprise software</t>
        </is>
      </c>
      <c r="F193" s="22" t="inlineStr">
        <is>
          <t>Standard</t>
        </is>
      </c>
      <c r="G193" s="25" t="n">
        <v>45071</v>
      </c>
      <c r="H193" s="26" t="n">
        <v>97</v>
      </c>
      <c r="I193" s="22" t="inlineStr">
        <is>
          <t>net proceeds</t>
        </is>
      </c>
      <c r="J193" s="27" t="n">
        <v>10</v>
      </c>
      <c r="K193" s="27" t="n">
        <v>12</v>
      </c>
      <c r="L193" s="27" t="n">
        <v>10.19</v>
      </c>
      <c r="M193" s="28" t="n">
        <v>9.5</v>
      </c>
      <c r="N193" s="29" t="inlineStr">
        <is>
          <t>N</t>
        </is>
      </c>
      <c r="O193" s="36" t="n">
        <v>5742.6</v>
      </c>
      <c r="P193" s="30" t="n">
        <v>0.35</v>
      </c>
      <c r="Q193" s="37" t="n">
        <v>1.2</v>
      </c>
      <c r="R193" s="32" t="n">
        <v>-3.04</v>
      </c>
      <c r="S193" s="33" t="n">
        <v>3.51</v>
      </c>
      <c r="T193" s="32" t="n">
        <v>5.34</v>
      </c>
      <c r="U193" s="22" t="inlineStr">
        <is>
          <t>not-yet (at allotment)</t>
        </is>
      </c>
      <c r="V193" s="22" t="n"/>
      <c r="W193" s="31" t="n"/>
      <c r="X193" s="34" t="n">
        <v>3.8</v>
      </c>
      <c r="Y193" s="36" t="n">
        <v>1509.1</v>
      </c>
      <c r="Z193" s="35" t="n"/>
      <c r="AA193" s="22" t="n"/>
      <c r="AB193" s="22" t="n"/>
      <c r="AC193" s="22" t="n"/>
      <c r="AD193" s="22" t="inlineStr">
        <is>
          <t>China International Capital Corporation Hong Kong Securities Limited; Credit Suisse (Hong Kong) Limited; CLSA Limited</t>
        </is>
      </c>
      <c r="AE193" s="22" t="n"/>
      <c r="AK193">
        <f>IF(AND(Screener!$B$7&lt;&gt;"",$E193=Screener!$B$7),1,0)</f>
        <v/>
      </c>
      <c r="AL193">
        <f>IF(AND(Screener!$B$6&lt;&gt;"",$D193=Screener!$B$6),1,0)</f>
        <v/>
      </c>
      <c r="AM193">
        <f>IF(OR($H193="",Screener!$B$8=""),0,MAX(0,1-ABS(LOG10($H193/Screener!$B$8))/W_SIZEHW))</f>
        <v/>
      </c>
      <c r="AN193">
        <f>IF(OR($V193="",Screener!$B$9=""),0,IF($V193=Screener!$B$9,1,0))</f>
        <v/>
      </c>
      <c r="AO193">
        <f>IF(OR($AA193="",Screener!$B$10=""),0,IF($AA193=Screener!$B$10,1,0))</f>
        <v/>
      </c>
      <c r="AP193">
        <f>IF($G193="",0,MAX(0,1-(Screener!$B$12-$G193)/W_RECD))</f>
        <v/>
      </c>
      <c r="AQ193">
        <f>IF($B193=Screener!$B$3,-999999,W_SUB*AK193+W_SEC*AL193*(1-AK193)+W_SIZE*AM193+W_PROF*AN193+W_AH*AO193+W_REC*AP193)+ROW()/1000000</f>
        <v/>
      </c>
      <c r="AR193">
        <f>IF(OR('NEW DEAL'!$B$6="",$E193&lt;&gt;'NEW DEAL'!$B$6),-1,1+IF(OR($H193="",'NEW DEAL'!$B$7=""),0,MAX(0,1-ABS(LOG10($H193/'NEW DEAL'!$B$7))/W_SIZEHW)))+ROW()/1000000</f>
        <v/>
      </c>
    </row>
    <row r="194">
      <c r="A194" s="23" t="inlineStr">
        <is>
          <t>2487</t>
        </is>
      </c>
      <c r="B194" s="22" t="inlineStr">
        <is>
          <t>CUTIA-B</t>
        </is>
      </c>
      <c r="C194" s="22" t="inlineStr">
        <is>
          <t>科笛集团</t>
        </is>
      </c>
      <c r="D194" s="24" t="inlineStr">
        <is>
          <t>Healthcare</t>
        </is>
      </c>
      <c r="E194" s="24" t="inlineStr">
        <is>
          <t>Biotech pre-revenue (18A)</t>
        </is>
      </c>
      <c r="F194" s="38" t="inlineStr">
        <is>
          <t>18A</t>
        </is>
      </c>
      <c r="G194" s="25" t="n">
        <v>45087</v>
      </c>
      <c r="H194" s="26" t="n">
        <v>23.9</v>
      </c>
      <c r="I194" s="22" t="inlineStr">
        <is>
          <t>gross (stated)</t>
        </is>
      </c>
      <c r="J194" s="27" t="n">
        <v>20.65</v>
      </c>
      <c r="K194" s="27" t="n">
        <v>24.75</v>
      </c>
      <c r="L194" s="27" t="n">
        <v>21.85</v>
      </c>
      <c r="M194" s="28" t="n">
        <v>29.3</v>
      </c>
      <c r="N194" s="22" t="inlineStr">
        <is>
          <t>N</t>
        </is>
      </c>
      <c r="O194" s="36" t="n">
        <v>6278</v>
      </c>
      <c r="P194" s="30" t="n">
        <v>1.41</v>
      </c>
      <c r="Q194" s="31" t="n"/>
      <c r="R194" s="32" t="n">
        <v>0.46</v>
      </c>
      <c r="S194" s="33" t="n">
        <v>10</v>
      </c>
      <c r="T194" s="32" t="n">
        <v>18.67</v>
      </c>
      <c r="U194" s="22" t="inlineStr">
        <is>
          <t>not-yet (at allotment)</t>
        </is>
      </c>
      <c r="V194" s="22" t="n"/>
      <c r="W194" s="31" t="n"/>
      <c r="X194" s="34" t="n">
        <v>502.2</v>
      </c>
      <c r="Y194" s="36" t="n">
        <v>12.5</v>
      </c>
      <c r="Z194" s="35" t="n"/>
      <c r="AA194" s="22" t="n"/>
      <c r="AB194" s="22" t="n"/>
      <c r="AC194" s="22" t="inlineStr">
        <is>
          <t>China International Capital Corporation Hong Kong Securities Limited</t>
        </is>
      </c>
      <c r="AD194" s="22" t="inlineStr">
        <is>
          <t>Manager China International Capital Corporation Hong Kong Securities Limited; Managers UOB Kay Hian (Hong Kong) Limited; Futu Securities International (Hong Kong) Limited; Valuable Capital Limited</t>
        </is>
      </c>
      <c r="AE194" s="22" t="n"/>
      <c r="AK194">
        <f>IF(AND(Screener!$B$7&lt;&gt;"",$E194=Screener!$B$7),1,0)</f>
        <v/>
      </c>
      <c r="AL194">
        <f>IF(AND(Screener!$B$6&lt;&gt;"",$D194=Screener!$B$6),1,0)</f>
        <v/>
      </c>
      <c r="AM194">
        <f>IF(OR($H194="",Screener!$B$8=""),0,MAX(0,1-ABS(LOG10($H194/Screener!$B$8))/W_SIZEHW))</f>
        <v/>
      </c>
      <c r="AN194">
        <f>IF(OR($V194="",Screener!$B$9=""),0,IF($V194=Screener!$B$9,1,0))</f>
        <v/>
      </c>
      <c r="AO194">
        <f>IF(OR($AA194="",Screener!$B$10=""),0,IF($AA194=Screener!$B$10,1,0))</f>
        <v/>
      </c>
      <c r="AP194">
        <f>IF($G194="",0,MAX(0,1-(Screener!$B$12-$G194)/W_RECD))</f>
        <v/>
      </c>
      <c r="AQ194">
        <f>IF($B194=Screener!$B$3,-999999,W_SUB*AK194+W_SEC*AL194*(1-AK194)+W_SIZE*AM194+W_PROF*AN194+W_AH*AO194+W_REC*AP194)+ROW()/1000000</f>
        <v/>
      </c>
      <c r="AR194">
        <f>IF(OR('NEW DEAL'!$B$6="",$E194&lt;&gt;'NEW DEAL'!$B$6),-1,1+IF(OR($H194="",'NEW DEAL'!$B$7=""),0,MAX(0,1-ABS(LOG10($H194/'NEW DEAL'!$B$7))/W_SIZEHW)))+ROW()/1000000</f>
        <v/>
      </c>
    </row>
    <row r="195">
      <c r="A195" s="23" t="inlineStr">
        <is>
          <t>9885</t>
        </is>
      </c>
      <c r="B195" s="22" t="inlineStr">
        <is>
          <t>YSB</t>
        </is>
      </c>
      <c r="C195" s="22" t="inlineStr">
        <is>
          <t>藥師幫股份有限公司</t>
        </is>
      </c>
      <c r="D195" s="24" t="inlineStr">
        <is>
          <t>Healthcare</t>
        </is>
      </c>
      <c r="E195" s="24" t="inlineStr">
        <is>
          <t>Digital health</t>
        </is>
      </c>
      <c r="F195" s="22" t="inlineStr">
        <is>
          <t>Standard</t>
        </is>
      </c>
      <c r="G195" s="25" t="n">
        <v>45105</v>
      </c>
      <c r="H195" s="26" t="n">
        <v>215</v>
      </c>
      <c r="I195" s="22" t="inlineStr">
        <is>
          <t>net proceeds</t>
        </is>
      </c>
      <c r="J195" s="27" t="n"/>
      <c r="K195" s="27" t="n"/>
      <c r="L195" s="27" t="n">
        <v>20</v>
      </c>
      <c r="M195" s="32" t="n"/>
      <c r="N195" s="22" t="n"/>
      <c r="O195" s="36" t="n">
        <v>4000</v>
      </c>
      <c r="P195" s="30" t="n">
        <v>5.6</v>
      </c>
      <c r="Q195" s="37" t="n">
        <v>2.08</v>
      </c>
      <c r="R195" s="32" t="n">
        <v>5.5</v>
      </c>
      <c r="S195" s="33" t="n">
        <v>42.4</v>
      </c>
      <c r="T195" s="32" t="n"/>
      <c r="U195" s="22" t="inlineStr">
        <is>
          <t>not-yet (at allotment)</t>
        </is>
      </c>
      <c r="V195" s="29" t="inlineStr">
        <is>
          <t>N</t>
        </is>
      </c>
      <c r="W195" s="31" t="n"/>
      <c r="X195" s="34" t="n">
        <v>0.3</v>
      </c>
      <c r="Y195" s="36" t="n">
        <v>15702.3</v>
      </c>
      <c r="Z195" s="36" t="n">
        <v>-1650</v>
      </c>
      <c r="AA195" s="22" t="n"/>
      <c r="AB195" s="22" t="n"/>
      <c r="AC195" s="22" t="n"/>
      <c r="AD195" s="22" t="inlineStr">
        <is>
          <t>China International Capital Corporation Hong Kong Securities Limited; Central, Hong Kong CMB International Capital Limited; Central, Hong Kong ICBC International Securities Limited; ABCI Capital Limited; Fosun International Securities Limited</t>
        </is>
      </c>
      <c r="AE195" s="22" t="n"/>
      <c r="AK195">
        <f>IF(AND(Screener!$B$7&lt;&gt;"",$E195=Screener!$B$7),1,0)</f>
        <v/>
      </c>
      <c r="AL195">
        <f>IF(AND(Screener!$B$6&lt;&gt;"",$D195=Screener!$B$6),1,0)</f>
        <v/>
      </c>
      <c r="AM195">
        <f>IF(OR($H195="",Screener!$B$8=""),0,MAX(0,1-ABS(LOG10($H195/Screener!$B$8))/W_SIZEHW))</f>
        <v/>
      </c>
      <c r="AN195">
        <f>IF(OR($V195="",Screener!$B$9=""),0,IF($V195=Screener!$B$9,1,0))</f>
        <v/>
      </c>
      <c r="AO195">
        <f>IF(OR($AA195="",Screener!$B$10=""),0,IF($AA195=Screener!$B$10,1,0))</f>
        <v/>
      </c>
      <c r="AP195">
        <f>IF($G195="",0,MAX(0,1-(Screener!$B$12-$G195)/W_RECD))</f>
        <v/>
      </c>
      <c r="AQ195">
        <f>IF($B195=Screener!$B$3,-999999,W_SUB*AK195+W_SEC*AL195*(1-AK195)+W_SIZE*AM195+W_PROF*AN195+W_AH*AO195+W_REC*AP195)+ROW()/1000000</f>
        <v/>
      </c>
      <c r="AR195">
        <f>IF(OR('NEW DEAL'!$B$6="",$E195&lt;&gt;'NEW DEAL'!$B$6),-1,1+IF(OR($H195="",'NEW DEAL'!$B$7=""),0,MAX(0,1-ABS(LOG10($H195/'NEW DEAL'!$B$7))/W_SIZEHW)))+ROW()/1000000</f>
        <v/>
      </c>
    </row>
    <row r="196">
      <c r="A196" s="23" t="inlineStr">
        <is>
          <t>2105</t>
        </is>
      </c>
      <c r="B196" s="22" t="inlineStr">
        <is>
          <t>LAEKNA-B</t>
        </is>
      </c>
      <c r="C196" s="22" t="inlineStr">
        <is>
          <t>來凱醫藥有限公司</t>
        </is>
      </c>
      <c r="D196" s="24" t="inlineStr">
        <is>
          <t>Healthcare</t>
        </is>
      </c>
      <c r="E196" s="24" t="inlineStr">
        <is>
          <t>Biotech pre-revenue (18A)</t>
        </is>
      </c>
      <c r="F196" s="38" t="inlineStr">
        <is>
          <t>18A</t>
        </is>
      </c>
      <c r="G196" s="25" t="n">
        <v>45106</v>
      </c>
      <c r="H196" s="26" t="n">
        <v>680.1</v>
      </c>
      <c r="I196" s="22" t="inlineStr">
        <is>
          <t>gross (price x shares)</t>
        </is>
      </c>
      <c r="J196" s="27" t="n"/>
      <c r="K196" s="27" t="n">
        <v>12.41</v>
      </c>
      <c r="L196" s="27" t="n">
        <v>12.41</v>
      </c>
      <c r="M196" s="32" t="n"/>
      <c r="N196" s="29" t="inlineStr">
        <is>
          <t>Y</t>
        </is>
      </c>
      <c r="O196" s="36" t="n">
        <v>4841.1</v>
      </c>
      <c r="P196" s="30" t="n">
        <v>5.81</v>
      </c>
      <c r="Q196" s="31" t="n"/>
      <c r="R196" s="32" t="n">
        <v>20.87</v>
      </c>
      <c r="S196" s="33" t="n">
        <v>86</v>
      </c>
      <c r="T196" s="32" t="n"/>
      <c r="U196" s="22" t="n"/>
      <c r="V196" s="29" t="inlineStr">
        <is>
          <t>N</t>
        </is>
      </c>
      <c r="W196" s="31" t="n"/>
      <c r="X196" s="31" t="n"/>
      <c r="Y196" s="35" t="n"/>
      <c r="Z196" s="36" t="n">
        <v>-859.8</v>
      </c>
      <c r="AA196" s="22" t="n"/>
      <c r="AB196" s="22" t="n"/>
      <c r="AC196" s="22" t="inlineStr">
        <is>
          <t>China International Capital Corporation Hong Kong Securities Limited</t>
        </is>
      </c>
      <c r="AD196" s="22" t="inlineStr">
        <is>
          <t>China International Capital Corporation Hong Kong Securities Limited; Haitong International Securities Company Limited; ICBC International Securities Limited; ABCI Capital Limited</t>
        </is>
      </c>
      <c r="AE196" s="22" t="n"/>
      <c r="AK196">
        <f>IF(AND(Screener!$B$7&lt;&gt;"",$E196=Screener!$B$7),1,0)</f>
        <v/>
      </c>
      <c r="AL196">
        <f>IF(AND(Screener!$B$6&lt;&gt;"",$D196=Screener!$B$6),1,0)</f>
        <v/>
      </c>
      <c r="AM196">
        <f>IF(OR($H196="",Screener!$B$8=""),0,MAX(0,1-ABS(LOG10($H196/Screener!$B$8))/W_SIZEHW))</f>
        <v/>
      </c>
      <c r="AN196">
        <f>IF(OR($V196="",Screener!$B$9=""),0,IF($V196=Screener!$B$9,1,0))</f>
        <v/>
      </c>
      <c r="AO196">
        <f>IF(OR($AA196="",Screener!$B$10=""),0,IF($AA196=Screener!$B$10,1,0))</f>
        <v/>
      </c>
      <c r="AP196">
        <f>IF($G196="",0,MAX(0,1-(Screener!$B$12-$G196)/W_RECD))</f>
        <v/>
      </c>
      <c r="AQ196">
        <f>IF($B196=Screener!$B$3,-999999,W_SUB*AK196+W_SEC*AL196*(1-AK196)+W_SIZE*AM196+W_PROF*AN196+W_AH*AO196+W_REC*AP196)+ROW()/1000000</f>
        <v/>
      </c>
      <c r="AR196">
        <f>IF(OR('NEW DEAL'!$B$6="",$E196&lt;&gt;'NEW DEAL'!$B$6),-1,1+IF(OR($H196="",'NEW DEAL'!$B$7=""),0,MAX(0,1-ABS(LOG10($H196/'NEW DEAL'!$B$7))/W_SIZEHW)))+ROW()/1000000</f>
        <v/>
      </c>
    </row>
    <row r="197">
      <c r="A197" s="23" t="inlineStr">
        <is>
          <t>9860</t>
        </is>
      </c>
      <c r="B197" s="22" t="inlineStr">
        <is>
          <t>ADICON HOLDINGS</t>
        </is>
      </c>
      <c r="C197" s="22" t="inlineStr">
        <is>
          <t>艾迪康控股有限公司</t>
        </is>
      </c>
      <c r="D197" s="24" t="inlineStr">
        <is>
          <t>Healthcare</t>
        </is>
      </c>
      <c r="E197" s="24" t="inlineStr">
        <is>
          <t>CXO / pharma services</t>
        </is>
      </c>
      <c r="F197" s="22" t="inlineStr">
        <is>
          <t>Standard</t>
        </is>
      </c>
      <c r="G197" s="25" t="n">
        <v>45107</v>
      </c>
      <c r="H197" s="26" t="n">
        <v>83.90000000000001</v>
      </c>
      <c r="I197" s="22" t="inlineStr">
        <is>
          <t>net proceeds</t>
        </is>
      </c>
      <c r="J197" s="27" t="n"/>
      <c r="K197" s="27" t="n">
        <v>12.32</v>
      </c>
      <c r="L197" s="27" t="n">
        <v>12.32</v>
      </c>
      <c r="M197" s="32" t="n"/>
      <c r="N197" s="29" t="inlineStr">
        <is>
          <t>Y</t>
        </is>
      </c>
      <c r="O197" s="35" t="n"/>
      <c r="P197" s="30" t="n">
        <v>1.06</v>
      </c>
      <c r="Q197" s="31" t="n"/>
      <c r="R197" s="32" t="n">
        <v>12.01</v>
      </c>
      <c r="S197" s="33" t="n">
        <v>31.9</v>
      </c>
      <c r="T197" s="32" t="n">
        <v>12.45</v>
      </c>
      <c r="U197" s="22" t="inlineStr">
        <is>
          <t>not-yet (at allotment)</t>
        </is>
      </c>
      <c r="V197" s="29" t="inlineStr">
        <is>
          <t>Y</t>
        </is>
      </c>
      <c r="W197" s="31" t="n"/>
      <c r="X197" s="31" t="n"/>
      <c r="Y197" s="36" t="n">
        <v>5346.7</v>
      </c>
      <c r="Z197" s="36" t="n">
        <v>753.4</v>
      </c>
      <c r="AA197" s="22" t="n"/>
      <c r="AB197" s="22" t="n"/>
      <c r="AC197" s="22" t="inlineStr">
        <is>
          <t>and Sponsor-OCs Morgan Stanley Asia Limited; Jefferies Hong Kong Limited</t>
        </is>
      </c>
      <c r="AD197" s="22" t="inlineStr">
        <is>
          <t>Morgan Stanley Asia Limited; Jefferies Hong Kong Limited; CLSA Limited; Deutsche Bank AG, Hong Kong Branch; Haitong International Securities Company Limited; The Hongkong and Shanghai Banking Corporation Limited; CCB International Capital Limited; Futu Securities International (Hong Kong) Limited; ICBC International Securities Limited; Tiger Brokers (HK) Global Limited; Valuable Capital Limited; Managers Morgan Stanley Asia Limited</t>
        </is>
      </c>
      <c r="AE197" s="22" t="n"/>
      <c r="AK197">
        <f>IF(AND(Screener!$B$7&lt;&gt;"",$E197=Screener!$B$7),1,0)</f>
        <v/>
      </c>
      <c r="AL197">
        <f>IF(AND(Screener!$B$6&lt;&gt;"",$D197=Screener!$B$6),1,0)</f>
        <v/>
      </c>
      <c r="AM197">
        <f>IF(OR($H197="",Screener!$B$8=""),0,MAX(0,1-ABS(LOG10($H197/Screener!$B$8))/W_SIZEHW))</f>
        <v/>
      </c>
      <c r="AN197">
        <f>IF(OR($V197="",Screener!$B$9=""),0,IF($V197=Screener!$B$9,1,0))</f>
        <v/>
      </c>
      <c r="AO197">
        <f>IF(OR($AA197="",Screener!$B$10=""),0,IF($AA197=Screener!$B$10,1,0))</f>
        <v/>
      </c>
      <c r="AP197">
        <f>IF($G197="",0,MAX(0,1-(Screener!$B$12-$G197)/W_RECD))</f>
        <v/>
      </c>
      <c r="AQ197">
        <f>IF($B197=Screener!$B$3,-999999,W_SUB*AK197+W_SEC*AL197*(1-AK197)+W_SIZE*AM197+W_PROF*AN197+W_AH*AO197+W_REC*AP197)+ROW()/1000000</f>
        <v/>
      </c>
      <c r="AR197">
        <f>IF(OR('NEW DEAL'!$B$6="",$E197&lt;&gt;'NEW DEAL'!$B$6),-1,1+IF(OR($H197="",'NEW DEAL'!$B$7=""),0,MAX(0,1-ABS(LOG10($H197/'NEW DEAL'!$B$7))/W_SIZEHW)))+ROW()/1000000</f>
        <v/>
      </c>
    </row>
    <row r="198">
      <c r="A198" s="23" t="inlineStr">
        <is>
          <t>2481</t>
        </is>
      </c>
      <c r="B198" s="22" t="inlineStr">
        <is>
          <t>WISE LIVING TEC</t>
        </is>
      </c>
      <c r="C198" s="22" t="inlineStr">
        <is>
          <t>慧居科技股份有限公司</t>
        </is>
      </c>
      <c r="D198" s="24" t="inlineStr">
        <is>
          <t>Materials/Energy</t>
        </is>
      </c>
      <c r="E198" s="24" t="inlineStr">
        <is>
          <t>Oil &amp; gas / utilities</t>
        </is>
      </c>
      <c r="F198" s="22" t="inlineStr">
        <is>
          <t>Standard</t>
        </is>
      </c>
      <c r="G198" s="25" t="n">
        <v>45115</v>
      </c>
      <c r="H198" s="26" t="n">
        <v>187.5</v>
      </c>
      <c r="I198" s="22" t="inlineStr">
        <is>
          <t>net proceeds</t>
        </is>
      </c>
      <c r="J198" s="27" t="n">
        <v>3</v>
      </c>
      <c r="K198" s="27" t="n">
        <v>4.2</v>
      </c>
      <c r="L198" s="27" t="n">
        <v>3.6</v>
      </c>
      <c r="M198" s="28" t="n">
        <v>50</v>
      </c>
      <c r="N198" s="29" t="inlineStr">
        <is>
          <t>N</t>
        </is>
      </c>
      <c r="O198" s="26" t="n">
        <v>674.5</v>
      </c>
      <c r="P198" s="30" t="n">
        <v>1.54</v>
      </c>
      <c r="Q198" s="31" t="n"/>
      <c r="R198" s="32" t="n">
        <v>0</v>
      </c>
      <c r="S198" s="33" t="n">
        <v>50.9</v>
      </c>
      <c r="T198" s="32" t="n">
        <v>15</v>
      </c>
      <c r="U198" s="22" t="inlineStr">
        <is>
          <t>not-yet (at allotment)</t>
        </is>
      </c>
      <c r="V198" s="29" t="inlineStr">
        <is>
          <t>Y</t>
        </is>
      </c>
      <c r="W198" s="34" t="n">
        <v>4.4</v>
      </c>
      <c r="X198" s="34" t="n">
        <v>0.4</v>
      </c>
      <c r="Y198" s="36" t="n">
        <v>1588.1</v>
      </c>
      <c r="Z198" s="36" t="n">
        <v>154.4</v>
      </c>
      <c r="AA198" s="22" t="n"/>
      <c r="AB198" s="22" t="n"/>
      <c r="AC198" s="22" t="inlineStr">
        <is>
          <t>Guotai Junan Capital Limited</t>
        </is>
      </c>
      <c r="AD198" s="22" t="inlineStr">
        <is>
          <t>Guotai Junan Securities (Hong Kong) Limited; Orient Securities (Hong Kong) Limited; ABCI Capital Limited; China Galaxy International Securities (Hong Kong) Co., Limited</t>
        </is>
      </c>
      <c r="AE198" s="22" t="n"/>
      <c r="AK198">
        <f>IF(AND(Screener!$B$7&lt;&gt;"",$E198=Screener!$B$7),1,0)</f>
        <v/>
      </c>
      <c r="AL198">
        <f>IF(AND(Screener!$B$6&lt;&gt;"",$D198=Screener!$B$6),1,0)</f>
        <v/>
      </c>
      <c r="AM198">
        <f>IF(OR($H198="",Screener!$B$8=""),0,MAX(0,1-ABS(LOG10($H198/Screener!$B$8))/W_SIZEHW))</f>
        <v/>
      </c>
      <c r="AN198">
        <f>IF(OR($V198="",Screener!$B$9=""),0,IF($V198=Screener!$B$9,1,0))</f>
        <v/>
      </c>
      <c r="AO198">
        <f>IF(OR($AA198="",Screener!$B$10=""),0,IF($AA198=Screener!$B$10,1,0))</f>
        <v/>
      </c>
      <c r="AP198">
        <f>IF($G198="",0,MAX(0,1-(Screener!$B$12-$G198)/W_RECD))</f>
        <v/>
      </c>
      <c r="AQ198">
        <f>IF($B198=Screener!$B$3,-999999,W_SUB*AK198+W_SEC*AL198*(1-AK198)+W_SIZE*AM198+W_PROF*AN198+W_AH*AO198+W_REC*AP198)+ROW()/1000000</f>
        <v/>
      </c>
      <c r="AR198">
        <f>IF(OR('NEW DEAL'!$B$6="",$E198&lt;&gt;'NEW DEAL'!$B$6),-1,1+IF(OR($H198="",'NEW DEAL'!$B$7=""),0,MAX(0,1-ABS(LOG10($H198/'NEW DEAL'!$B$7))/W_SIZEHW)))+ROW()/1000000</f>
        <v/>
      </c>
    </row>
    <row r="199">
      <c r="A199" s="23" t="inlineStr">
        <is>
          <t>6990</t>
        </is>
      </c>
      <c r="B199" s="22" t="inlineStr">
        <is>
          <t>SKB BIO-B</t>
        </is>
      </c>
      <c r="C199" s="22" t="inlineStr">
        <is>
          <t>四川科倫博泰生物醫藥股份有限公司</t>
        </is>
      </c>
      <c r="D199" s="24" t="inlineStr">
        <is>
          <t>Healthcare</t>
        </is>
      </c>
      <c r="E199" s="24" t="inlineStr">
        <is>
          <t>Biotech pre-revenue (18A)</t>
        </is>
      </c>
      <c r="F199" s="38" t="inlineStr">
        <is>
          <t>18A</t>
        </is>
      </c>
      <c r="G199" s="25" t="n">
        <v>45118</v>
      </c>
      <c r="H199" s="26" t="n">
        <v>54.5</v>
      </c>
      <c r="I199" s="22" t="inlineStr">
        <is>
          <t>gross (stated)</t>
        </is>
      </c>
      <c r="J199" s="27" t="n">
        <v>60.6</v>
      </c>
      <c r="K199" s="27" t="n">
        <v>72.8</v>
      </c>
      <c r="L199" s="27" t="n">
        <v>60.6</v>
      </c>
      <c r="M199" s="28" t="n">
        <v>0</v>
      </c>
      <c r="N199" s="29" t="inlineStr">
        <is>
          <t>N</t>
        </is>
      </c>
      <c r="O199" s="36" t="n">
        <v>13080</v>
      </c>
      <c r="P199" s="30" t="n">
        <v>1.27</v>
      </c>
      <c r="Q199" s="31" t="n"/>
      <c r="R199" s="32" t="n">
        <v>3.14</v>
      </c>
      <c r="S199" s="33" t="n">
        <v>16.9</v>
      </c>
      <c r="T199" s="32" t="n">
        <v>8.9</v>
      </c>
      <c r="U199" s="22" t="inlineStr">
        <is>
          <t>not-yet (at allotment)</t>
        </is>
      </c>
      <c r="V199" s="29" t="inlineStr">
        <is>
          <t>N</t>
        </is>
      </c>
      <c r="W199" s="31" t="n"/>
      <c r="X199" s="34" t="n">
        <v>14.8</v>
      </c>
      <c r="Y199" s="36" t="n">
        <v>884.3</v>
      </c>
      <c r="Z199" s="36" t="n">
        <v>-677.7</v>
      </c>
      <c r="AA199" s="22" t="n"/>
      <c r="AB199" s="22" t="n"/>
      <c r="AC199" s="22" t="inlineStr">
        <is>
          <t>Goldman Sachs (Asia) L.L.C; CITIC Securities (Hong Kong) Limited</t>
        </is>
      </c>
      <c r="AD199" s="22" t="inlineStr">
        <is>
          <t>Goldman Sachs (Asia) L.L.C; CLSA Limited; Citigroup Global Markets Asia Limited; Managers and Capital Market Intermediaries Goldman Sachs (Asia) L.L.C; Citigroup Global Markets Limited; – 144 – ICBC International Securities Limited; BOCOM International Securities Limited</t>
        </is>
      </c>
      <c r="AE199" s="22" t="n"/>
      <c r="AK199">
        <f>IF(AND(Screener!$B$7&lt;&gt;"",$E199=Screener!$B$7),1,0)</f>
        <v/>
      </c>
      <c r="AL199">
        <f>IF(AND(Screener!$B$6&lt;&gt;"",$D199=Screener!$B$6),1,0)</f>
        <v/>
      </c>
      <c r="AM199">
        <f>IF(OR($H199="",Screener!$B$8=""),0,MAX(0,1-ABS(LOG10($H199/Screener!$B$8))/W_SIZEHW))</f>
        <v/>
      </c>
      <c r="AN199">
        <f>IF(OR($V199="",Screener!$B$9=""),0,IF($V199=Screener!$B$9,1,0))</f>
        <v/>
      </c>
      <c r="AO199">
        <f>IF(OR($AA199="",Screener!$B$10=""),0,IF($AA199=Screener!$B$10,1,0))</f>
        <v/>
      </c>
      <c r="AP199">
        <f>IF($G199="",0,MAX(0,1-(Screener!$B$12-$G199)/W_RECD))</f>
        <v/>
      </c>
      <c r="AQ199">
        <f>IF($B199=Screener!$B$3,-999999,W_SUB*AK199+W_SEC*AL199*(1-AK199)+W_SIZE*AM199+W_PROF*AN199+W_AH*AO199+W_REC*AP199)+ROW()/1000000</f>
        <v/>
      </c>
      <c r="AR199">
        <f>IF(OR('NEW DEAL'!$B$6="",$E199&lt;&gt;'NEW DEAL'!$B$6),-1,1+IF(OR($H199="",'NEW DEAL'!$B$7=""),0,MAX(0,1-ABS(LOG10($H199/'NEW DEAL'!$B$7))/W_SIZEHW)))+ROW()/1000000</f>
        <v/>
      </c>
    </row>
    <row r="200">
      <c r="A200" s="23" t="inlineStr">
        <is>
          <t>3650</t>
        </is>
      </c>
      <c r="B200" s="22" t="inlineStr">
        <is>
          <t>KEEP</t>
        </is>
      </c>
      <c r="C200" s="22" t="n"/>
      <c r="D200" s="24" t="inlineStr">
        <is>
          <t>Tech/AI</t>
        </is>
      </c>
      <c r="E200" s="24" t="inlineStr">
        <is>
          <t>Internet platform / e-commerce</t>
        </is>
      </c>
      <c r="F200" s="22" t="inlineStr">
        <is>
          <t>Standard</t>
        </is>
      </c>
      <c r="G200" s="25" t="n">
        <v>45119</v>
      </c>
      <c r="H200" s="26" t="n">
        <v>192</v>
      </c>
      <c r="I200" s="22" t="inlineStr">
        <is>
          <t>net proceeds</t>
        </is>
      </c>
      <c r="J200" s="27" t="n"/>
      <c r="K200" s="27" t="n"/>
      <c r="L200" s="27" t="n">
        <v>28.92</v>
      </c>
      <c r="M200" s="32" t="n"/>
      <c r="N200" s="22" t="n"/>
      <c r="O200" s="36" t="n">
        <v>4000</v>
      </c>
      <c r="P200" s="30" t="n">
        <v>3.08</v>
      </c>
      <c r="Q200" s="31" t="n"/>
      <c r="R200" s="32" t="n">
        <v>0.28</v>
      </c>
      <c r="S200" s="33" t="n">
        <v>13.8</v>
      </c>
      <c r="T200" s="32" t="n"/>
      <c r="U200" s="22" t="inlineStr">
        <is>
          <t>not-yet (at allotment)</t>
        </is>
      </c>
      <c r="V200" s="22" t="n"/>
      <c r="W200" s="31" t="n"/>
      <c r="X200" s="34" t="n">
        <v>4.2</v>
      </c>
      <c r="Y200" s="36" t="n">
        <v>959.7</v>
      </c>
      <c r="Z200" s="35" t="n"/>
      <c r="AA200" s="22" t="n"/>
      <c r="AB200" s="22" t="n"/>
      <c r="AC200" s="22" t="inlineStr">
        <is>
          <t>Securities Limited</t>
        </is>
      </c>
      <c r="AD200" s="22" t="inlineStr">
        <is>
          <t>Managers China International Capital Corporation Hong Kong Securities Limited; GF Securities (Hong Kong) Brokerage Limited; Central, Hong Kong CCB International Capital Limited; CMB International Capital Limited; Futu Securities International (Hong Kong) Limited; Tiger Brokers (HK) Global Limited</t>
        </is>
      </c>
      <c r="AE200" s="22" t="n"/>
      <c r="AK200">
        <f>IF(AND(Screener!$B$7&lt;&gt;"",$E200=Screener!$B$7),1,0)</f>
        <v/>
      </c>
      <c r="AL200">
        <f>IF(AND(Screener!$B$6&lt;&gt;"",$D200=Screener!$B$6),1,0)</f>
        <v/>
      </c>
      <c r="AM200">
        <f>IF(OR($H200="",Screener!$B$8=""),0,MAX(0,1-ABS(LOG10($H200/Screener!$B$8))/W_SIZEHW))</f>
        <v/>
      </c>
      <c r="AN200">
        <f>IF(OR($V200="",Screener!$B$9=""),0,IF($V200=Screener!$B$9,1,0))</f>
        <v/>
      </c>
      <c r="AO200">
        <f>IF(OR($AA200="",Screener!$B$10=""),0,IF($AA200=Screener!$B$10,1,0))</f>
        <v/>
      </c>
      <c r="AP200">
        <f>IF($G200="",0,MAX(0,1-(Screener!$B$12-$G200)/W_RECD))</f>
        <v/>
      </c>
      <c r="AQ200">
        <f>IF($B200=Screener!$B$3,-999999,W_SUB*AK200+W_SEC*AL200*(1-AK200)+W_SIZE*AM200+W_PROF*AN200+W_AH*AO200+W_REC*AP200)+ROW()/1000000</f>
        <v/>
      </c>
      <c r="AR200">
        <f>IF(OR('NEW DEAL'!$B$6="",$E200&lt;&gt;'NEW DEAL'!$B$6),-1,1+IF(OR($H200="",'NEW DEAL'!$B$7=""),0,MAX(0,1-ABS(LOG10($H200/'NEW DEAL'!$B$7))/W_SIZEHW)))+ROW()/1000000</f>
        <v/>
      </c>
    </row>
    <row r="201">
      <c r="A201" s="23" t="inlineStr">
        <is>
          <t>6683</t>
        </is>
      </c>
      <c r="B201" s="22" t="inlineStr">
        <is>
          <t>STARPLUS LEGEND</t>
        </is>
      </c>
      <c r="C201" s="22" t="n"/>
      <c r="D201" s="24" t="inlineStr">
        <is>
          <t>TMT-other</t>
        </is>
      </c>
      <c r="E201" s="24" t="inlineStr">
        <is>
          <t>Media / advertising</t>
        </is>
      </c>
      <c r="F201" s="22" t="inlineStr">
        <is>
          <t>Standard</t>
        </is>
      </c>
      <c r="G201" s="25" t="n">
        <v>45120</v>
      </c>
      <c r="H201" s="26" t="n">
        <v>245.2</v>
      </c>
      <c r="I201" s="22" t="inlineStr">
        <is>
          <t>net proceeds</t>
        </is>
      </c>
      <c r="J201" s="27" t="n"/>
      <c r="K201" s="27" t="n">
        <v>4.25</v>
      </c>
      <c r="L201" s="27" t="n">
        <v>4.25</v>
      </c>
      <c r="M201" s="32" t="n"/>
      <c r="N201" s="29" t="inlineStr">
        <is>
          <t>Y</t>
        </is>
      </c>
      <c r="O201" s="26" t="n">
        <v>10660.9</v>
      </c>
      <c r="P201" s="30" t="n">
        <v>12.99</v>
      </c>
      <c r="Q201" s="31" t="n"/>
      <c r="R201" s="32" t="n">
        <v>23.76</v>
      </c>
      <c r="S201" s="33" t="n">
        <v>3.3</v>
      </c>
      <c r="T201" s="32" t="n">
        <v>17.9</v>
      </c>
      <c r="U201" s="22" t="inlineStr">
        <is>
          <t>not-yet (at allotment)</t>
        </is>
      </c>
      <c r="V201" s="29" t="inlineStr">
        <is>
          <t>Y</t>
        </is>
      </c>
      <c r="W201" s="34" t="n">
        <v>225.9</v>
      </c>
      <c r="X201" s="34" t="n">
        <v>26.5</v>
      </c>
      <c r="Y201" s="36" t="n">
        <v>401.9</v>
      </c>
      <c r="Z201" s="36" t="n">
        <v>47.2</v>
      </c>
      <c r="AA201" s="22" t="n"/>
      <c r="AB201" s="22" t="n"/>
      <c r="AC201" s="22" t="inlineStr">
        <is>
          <t>CMBC International Capital Limited</t>
        </is>
      </c>
      <c r="AD201" s="22" t="inlineStr">
        <is>
          <t>ABCI Capital Limited</t>
        </is>
      </c>
      <c r="AE201" s="22" t="n"/>
      <c r="AK201">
        <f>IF(AND(Screener!$B$7&lt;&gt;"",$E201=Screener!$B$7),1,0)</f>
        <v/>
      </c>
      <c r="AL201">
        <f>IF(AND(Screener!$B$6&lt;&gt;"",$D201=Screener!$B$6),1,0)</f>
        <v/>
      </c>
      <c r="AM201">
        <f>IF(OR($H201="",Screener!$B$8=""),0,MAX(0,1-ABS(LOG10($H201/Screener!$B$8))/W_SIZEHW))</f>
        <v/>
      </c>
      <c r="AN201">
        <f>IF(OR($V201="",Screener!$B$9=""),0,IF($V201=Screener!$B$9,1,0))</f>
        <v/>
      </c>
      <c r="AO201">
        <f>IF(OR($AA201="",Screener!$B$10=""),0,IF($AA201=Screener!$B$10,1,0))</f>
        <v/>
      </c>
      <c r="AP201">
        <f>IF($G201="",0,MAX(0,1-(Screener!$B$12-$G201)/W_RECD))</f>
        <v/>
      </c>
      <c r="AQ201">
        <f>IF($B201=Screener!$B$3,-999999,W_SUB*AK201+W_SEC*AL201*(1-AK201)+W_SIZE*AM201+W_PROF*AN201+W_AH*AO201+W_REC*AP201)+ROW()/1000000</f>
        <v/>
      </c>
      <c r="AR201">
        <f>IF(OR('NEW DEAL'!$B$6="",$E201&lt;&gt;'NEW DEAL'!$B$6),-1,1+IF(OR($H201="",'NEW DEAL'!$B$7=""),0,MAX(0,1-ABS(LOG10($H201/'NEW DEAL'!$B$7))/W_SIZEHW)))+ROW()/1000000</f>
        <v/>
      </c>
    </row>
    <row r="202">
      <c r="A202" s="23" t="inlineStr">
        <is>
          <t>1284</t>
        </is>
      </c>
      <c r="B202" s="22" t="inlineStr">
        <is>
          <t>NEW MEDIA LAB</t>
        </is>
      </c>
      <c r="C202" s="22" t="n"/>
      <c r="D202" s="24" t="inlineStr">
        <is>
          <t>TMT-other</t>
        </is>
      </c>
      <c r="E202" s="24" t="inlineStr">
        <is>
          <t>Media / advertising</t>
        </is>
      </c>
      <c r="F202" s="22" t="inlineStr">
        <is>
          <t>Standard</t>
        </is>
      </c>
      <c r="G202" s="25" t="n">
        <v>45122</v>
      </c>
      <c r="H202" s="26" t="n">
        <v>138</v>
      </c>
      <c r="I202" s="22" t="inlineStr">
        <is>
          <t>gross (price x shares)</t>
        </is>
      </c>
      <c r="J202" s="27" t="n">
        <v>0.84</v>
      </c>
      <c r="K202" s="27" t="n">
        <v>0.92</v>
      </c>
      <c r="L202" s="27" t="n">
        <v>0.92</v>
      </c>
      <c r="M202" s="28" t="n">
        <v>100</v>
      </c>
      <c r="N202" s="29" t="inlineStr">
        <is>
          <t>Y</t>
        </is>
      </c>
      <c r="O202" s="26" t="n">
        <v>552</v>
      </c>
      <c r="P202" s="30" t="n">
        <v>44.2</v>
      </c>
      <c r="Q202" s="37" t="n">
        <v>1.5</v>
      </c>
      <c r="R202" s="32" t="n">
        <v>1.09</v>
      </c>
      <c r="S202" s="33" t="n">
        <v>0</v>
      </c>
      <c r="T202" s="32" t="n"/>
      <c r="U202" s="22" t="n"/>
      <c r="V202" s="29" t="inlineStr">
        <is>
          <t>Y</t>
        </is>
      </c>
      <c r="W202" s="34" t="n">
        <v>14</v>
      </c>
      <c r="X202" s="34" t="n">
        <v>2.3</v>
      </c>
      <c r="Y202" s="36" t="n">
        <v>240.7</v>
      </c>
      <c r="Z202" s="36" t="n">
        <v>39.4</v>
      </c>
      <c r="AA202" s="22" t="n"/>
      <c r="AB202" s="22" t="n"/>
      <c r="AC202" s="22" t="inlineStr">
        <is>
          <t>“Media Publishing” Media Publishing Limited; wholly-owned by our Company “NMG Digital” New Media Group Digital Services Limited; อෂదᅰᇁ ʮ̡ (formerly known as Lightwell Limited; “NMG Investment” New Media Group Investment Limited; “NMG Publishing” New Media Group Publishing Limited</t>
        </is>
      </c>
      <c r="AD202" s="22" t="n"/>
      <c r="AE202" s="22" t="n"/>
      <c r="AK202">
        <f>IF(AND(Screener!$B$7&lt;&gt;"",$E202=Screener!$B$7),1,0)</f>
        <v/>
      </c>
      <c r="AL202">
        <f>IF(AND(Screener!$B$6&lt;&gt;"",$D202=Screener!$B$6),1,0)</f>
        <v/>
      </c>
      <c r="AM202">
        <f>IF(OR($H202="",Screener!$B$8=""),0,MAX(0,1-ABS(LOG10($H202/Screener!$B$8))/W_SIZEHW))</f>
        <v/>
      </c>
      <c r="AN202">
        <f>IF(OR($V202="",Screener!$B$9=""),0,IF($V202=Screener!$B$9,1,0))</f>
        <v/>
      </c>
      <c r="AO202">
        <f>IF(OR($AA202="",Screener!$B$10=""),0,IF($AA202=Screener!$B$10,1,0))</f>
        <v/>
      </c>
      <c r="AP202">
        <f>IF($G202="",0,MAX(0,1-(Screener!$B$12-$G202)/W_RECD))</f>
        <v/>
      </c>
      <c r="AQ202">
        <f>IF($B202=Screener!$B$3,-999999,W_SUB*AK202+W_SEC*AL202*(1-AK202)+W_SIZE*AM202+W_PROF*AN202+W_AH*AO202+W_REC*AP202)+ROW()/1000000</f>
        <v/>
      </c>
      <c r="AR202">
        <f>IF(OR('NEW DEAL'!$B$6="",$E202&lt;&gt;'NEW DEAL'!$B$6),-1,1+IF(OR($H202="",'NEW DEAL'!$B$7=""),0,MAX(0,1-ABS(LOG10($H202/'NEW DEAL'!$B$7))/W_SIZEHW)))+ROW()/1000000</f>
        <v/>
      </c>
    </row>
    <row r="203">
      <c r="A203" s="23" t="inlineStr">
        <is>
          <t>2271</t>
        </is>
      </c>
      <c r="B203" s="22" t="inlineStr">
        <is>
          <t>ZHONGAN SERVICE</t>
        </is>
      </c>
      <c r="C203" s="22" t="inlineStr">
        <is>
          <t>众安智慧生活服务有限公司</t>
        </is>
      </c>
      <c r="D203" s="24" t="inlineStr">
        <is>
          <t>Real Estate</t>
        </is>
      </c>
      <c r="E203" s="24" t="inlineStr">
        <is>
          <t>Property management</t>
        </is>
      </c>
      <c r="F203" s="22" t="inlineStr">
        <is>
          <t>Standard</t>
        </is>
      </c>
      <c r="G203" s="25" t="n">
        <v>45125</v>
      </c>
      <c r="H203" s="26" t="n">
        <v>27.5</v>
      </c>
      <c r="I203" s="22" t="inlineStr">
        <is>
          <t>gross (price x shares)</t>
        </is>
      </c>
      <c r="J203" s="27" t="n">
        <v>1.18</v>
      </c>
      <c r="K203" s="27" t="n">
        <v>1.48</v>
      </c>
      <c r="L203" s="27" t="n">
        <v>1.18</v>
      </c>
      <c r="M203" s="28" t="n">
        <v>0</v>
      </c>
      <c r="N203" s="22" t="inlineStr">
        <is>
          <t>N</t>
        </is>
      </c>
      <c r="O203" s="26" t="n">
        <v>110</v>
      </c>
      <c r="P203" s="30" t="n">
        <v>1.84</v>
      </c>
      <c r="Q203" s="31" t="n"/>
      <c r="R203" s="32" t="n">
        <v>2.54</v>
      </c>
      <c r="S203" s="33" t="n">
        <v>13.8</v>
      </c>
      <c r="T203" s="32" t="n">
        <v>10</v>
      </c>
      <c r="U203" s="22" t="inlineStr">
        <is>
          <t>not-yet (at allotment)</t>
        </is>
      </c>
      <c r="V203" s="29" t="inlineStr">
        <is>
          <t>Y</t>
        </is>
      </c>
      <c r="W203" s="34" t="n">
        <v>2</v>
      </c>
      <c r="X203" s="34" t="n">
        <v>0.3</v>
      </c>
      <c r="Y203" s="36" t="n">
        <v>351.7</v>
      </c>
      <c r="Z203" s="36" t="n">
        <v>56</v>
      </c>
      <c r="AA203" s="22" t="n"/>
      <c r="AB203" s="22" t="n"/>
      <c r="AC203" s="22" t="n"/>
      <c r="AD203" s="22" t="n"/>
      <c r="AE203" s="22" t="n"/>
      <c r="AK203">
        <f>IF(AND(Screener!$B$7&lt;&gt;"",$E203=Screener!$B$7),1,0)</f>
        <v/>
      </c>
      <c r="AL203">
        <f>IF(AND(Screener!$B$6&lt;&gt;"",$D203=Screener!$B$6),1,0)</f>
        <v/>
      </c>
      <c r="AM203">
        <f>IF(OR($H203="",Screener!$B$8=""),0,MAX(0,1-ABS(LOG10($H203/Screener!$B$8))/W_SIZEHW))</f>
        <v/>
      </c>
      <c r="AN203">
        <f>IF(OR($V203="",Screener!$B$9=""),0,IF($V203=Screener!$B$9,1,0))</f>
        <v/>
      </c>
      <c r="AO203">
        <f>IF(OR($AA203="",Screener!$B$10=""),0,IF($AA203=Screener!$B$10,1,0))</f>
        <v/>
      </c>
      <c r="AP203">
        <f>IF($G203="",0,MAX(0,1-(Screener!$B$12-$G203)/W_RECD))</f>
        <v/>
      </c>
      <c r="AQ203">
        <f>IF($B203=Screener!$B$3,-999999,W_SUB*AK203+W_SEC*AL203*(1-AK203)+W_SIZE*AM203+W_PROF*AN203+W_AH*AO203+W_REC*AP203)+ROW()/1000000</f>
        <v/>
      </c>
      <c r="AR203">
        <f>IF(OR('NEW DEAL'!$B$6="",$E203&lt;&gt;'NEW DEAL'!$B$6),-1,1+IF(OR($H203="",'NEW DEAL'!$B$7=""),0,MAX(0,1-ABS(LOG10($H203/'NEW DEAL'!$B$7))/W_SIZEHW)))+ROW()/1000000</f>
        <v/>
      </c>
    </row>
    <row r="204">
      <c r="A204" s="23" t="inlineStr">
        <is>
          <t>1541</t>
        </is>
      </c>
      <c r="B204" s="22" t="inlineStr">
        <is>
          <t>IMMUNEONCO-B</t>
        </is>
      </c>
      <c r="C204" s="22" t="n"/>
      <c r="D204" s="24" t="inlineStr">
        <is>
          <t>Healthcare</t>
        </is>
      </c>
      <c r="E204" s="24" t="inlineStr">
        <is>
          <t>Biotech pre-revenue (18A)</t>
        </is>
      </c>
      <c r="F204" s="38" t="inlineStr">
        <is>
          <t>18A</t>
        </is>
      </c>
      <c r="G204" s="25" t="n">
        <v>45174</v>
      </c>
      <c r="H204" s="26" t="n">
        <v>234.5</v>
      </c>
      <c r="I204" s="22" t="inlineStr">
        <is>
          <t>net proceeds</t>
        </is>
      </c>
      <c r="J204" s="27" t="n"/>
      <c r="K204" s="27" t="n">
        <v>18.6</v>
      </c>
      <c r="L204" s="27" t="n">
        <v>18.6</v>
      </c>
      <c r="M204" s="32" t="n"/>
      <c r="N204" s="29" t="inlineStr">
        <is>
          <t>Y</t>
        </is>
      </c>
      <c r="O204" s="26" t="n">
        <v>4509.6</v>
      </c>
      <c r="P204" s="40" t="n"/>
      <c r="Q204" s="31" t="n"/>
      <c r="R204" s="32" t="n">
        <v>4.95</v>
      </c>
      <c r="S204" s="33" t="n">
        <v>72.81</v>
      </c>
      <c r="T204" s="32" t="n">
        <v>5.2</v>
      </c>
      <c r="U204" s="22" t="inlineStr">
        <is>
          <t>not-yet (at allotment)</t>
        </is>
      </c>
      <c r="V204" s="29" t="inlineStr">
        <is>
          <t>N</t>
        </is>
      </c>
      <c r="W204" s="31" t="n"/>
      <c r="X204" s="34" t="n">
        <v>15032</v>
      </c>
      <c r="Y204" s="36" t="n">
        <v>0.3</v>
      </c>
      <c r="Z204" s="36" t="n">
        <v>-164</v>
      </c>
      <c r="AA204" s="22" t="n"/>
      <c r="AB204" s="22" t="n"/>
      <c r="AC204" s="22" t="inlineStr">
        <is>
          <t>Morgan Stanley Asia Limited; China International Capital Corporation Hong Kong Securities Limited</t>
        </is>
      </c>
      <c r="AD204" s="22" t="inlineStr">
        <is>
          <t>Managers and Capital Market Intermediaries Morgan Stanley Asia Limited; China International Capital Corporation Hong Kong Securities Limited; Fosun International Securities Limited; CMB International Capital Limited; BOCI Asia Limited; ICBC International Securities Limited; Soochow Securities International Brokerage Limited; Futu Securities International (Hong Kong) Limited</t>
        </is>
      </c>
      <c r="AE204" s="22" t="n"/>
      <c r="AK204">
        <f>IF(AND(Screener!$B$7&lt;&gt;"",$E204=Screener!$B$7),1,0)</f>
        <v/>
      </c>
      <c r="AL204">
        <f>IF(AND(Screener!$B$6&lt;&gt;"",$D204=Screener!$B$6),1,0)</f>
        <v/>
      </c>
      <c r="AM204">
        <f>IF(OR($H204="",Screener!$B$8=""),0,MAX(0,1-ABS(LOG10($H204/Screener!$B$8))/W_SIZEHW))</f>
        <v/>
      </c>
      <c r="AN204">
        <f>IF(OR($V204="",Screener!$B$9=""),0,IF($V204=Screener!$B$9,1,0))</f>
        <v/>
      </c>
      <c r="AO204">
        <f>IF(OR($AA204="",Screener!$B$10=""),0,IF($AA204=Screener!$B$10,1,0))</f>
        <v/>
      </c>
      <c r="AP204">
        <f>IF($G204="",0,MAX(0,1-(Screener!$B$12-$G204)/W_RECD))</f>
        <v/>
      </c>
      <c r="AQ204">
        <f>IF($B204=Screener!$B$3,-999999,W_SUB*AK204+W_SEC*AL204*(1-AK204)+W_SIZE*AM204+W_PROF*AN204+W_AH*AO204+W_REC*AP204)+ROW()/1000000</f>
        <v/>
      </c>
      <c r="AR204">
        <f>IF(OR('NEW DEAL'!$B$6="",$E204&lt;&gt;'NEW DEAL'!$B$6),-1,1+IF(OR($H204="",'NEW DEAL'!$B$7=""),0,MAX(0,1-ABS(LOG10($H204/'NEW DEAL'!$B$7))/W_SIZEHW)))+ROW()/1000000</f>
        <v/>
      </c>
    </row>
    <row r="205">
      <c r="A205" s="23" t="inlineStr">
        <is>
          <t>2496</t>
        </is>
      </c>
      <c r="B205" s="22" t="inlineStr">
        <is>
          <t>YZYBIO-B</t>
        </is>
      </c>
      <c r="C205" s="22" t="n"/>
      <c r="D205" s="24" t="inlineStr">
        <is>
          <t>Healthcare</t>
        </is>
      </c>
      <c r="E205" s="24" t="inlineStr">
        <is>
          <t>Biotech pre-revenue (18A)</t>
        </is>
      </c>
      <c r="F205" s="38" t="inlineStr">
        <is>
          <t>18A</t>
        </is>
      </c>
      <c r="G205" s="25" t="n">
        <v>45192</v>
      </c>
      <c r="H205" s="26" t="n">
        <v>121.4</v>
      </c>
      <c r="I205" s="22" t="inlineStr">
        <is>
          <t>net proceeds</t>
        </is>
      </c>
      <c r="J205" s="27" t="n">
        <v>16</v>
      </c>
      <c r="K205" s="27" t="n">
        <v>20</v>
      </c>
      <c r="L205" s="27" t="n">
        <v>16</v>
      </c>
      <c r="M205" s="28" t="n">
        <v>0</v>
      </c>
      <c r="N205" s="29" t="inlineStr">
        <is>
          <t>N</t>
        </is>
      </c>
      <c r="O205" s="26" t="n">
        <v>2129.8</v>
      </c>
      <c r="P205" s="30" t="n">
        <v>13.81</v>
      </c>
      <c r="Q205" s="31" t="n"/>
      <c r="R205" s="32" t="n">
        <v>21.5</v>
      </c>
      <c r="S205" s="33" t="n">
        <v>37.3</v>
      </c>
      <c r="T205" s="32" t="n">
        <v>6.5</v>
      </c>
      <c r="U205" s="22" t="inlineStr">
        <is>
          <t>not-yet (at allotment)</t>
        </is>
      </c>
      <c r="V205" s="22" t="n"/>
      <c r="W205" s="31" t="n"/>
      <c r="X205" s="31" t="n"/>
      <c r="Y205" s="35" t="n"/>
      <c r="Z205" s="35" t="n"/>
      <c r="AA205" s="22" t="n"/>
      <c r="AB205" s="22" t="n"/>
      <c r="AC205" s="22" t="n"/>
      <c r="AD205" s="22" t="inlineStr">
        <is>
          <t>China Securities (International) Corporate Finance Company Limited; Guotai Junan Securities (Hong Kong) Limited; CCB International Capital Limited; BOCI Asia Limited; TFI Securities and Futures Limited; China Galaxy International Securities (Hong Kong) Co., Limited</t>
        </is>
      </c>
      <c r="AE205" s="22" t="n"/>
      <c r="AK205">
        <f>IF(AND(Screener!$B$7&lt;&gt;"",$E205=Screener!$B$7),1,0)</f>
        <v/>
      </c>
      <c r="AL205">
        <f>IF(AND(Screener!$B$6&lt;&gt;"",$D205=Screener!$B$6),1,0)</f>
        <v/>
      </c>
      <c r="AM205">
        <f>IF(OR($H205="",Screener!$B$8=""),0,MAX(0,1-ABS(LOG10($H205/Screener!$B$8))/W_SIZEHW))</f>
        <v/>
      </c>
      <c r="AN205">
        <f>IF(OR($V205="",Screener!$B$9=""),0,IF($V205=Screener!$B$9,1,0))</f>
        <v/>
      </c>
      <c r="AO205">
        <f>IF(OR($AA205="",Screener!$B$10=""),0,IF($AA205=Screener!$B$10,1,0))</f>
        <v/>
      </c>
      <c r="AP205">
        <f>IF($G205="",0,MAX(0,1-(Screener!$B$12-$G205)/W_RECD))</f>
        <v/>
      </c>
      <c r="AQ205">
        <f>IF($B205=Screener!$B$3,-999999,W_SUB*AK205+W_SEC*AL205*(1-AK205)+W_SIZE*AM205+W_PROF*AN205+W_AH*AO205+W_REC*AP205)+ROW()/1000000</f>
        <v/>
      </c>
      <c r="AR205">
        <f>IF(OR('NEW DEAL'!$B$6="",$E205&lt;&gt;'NEW DEAL'!$B$6),-1,1+IF(OR($H205="",'NEW DEAL'!$B$7=""),0,MAX(0,1-ABS(LOG10($H205/'NEW DEAL'!$B$7))/W_SIZEHW)))+ROW()/1000000</f>
        <v/>
      </c>
    </row>
    <row r="206">
      <c r="A206" s="23" t="inlineStr">
        <is>
          <t>2490</t>
        </is>
      </c>
      <c r="B206" s="22" t="inlineStr">
        <is>
          <t>LC LOGISTICS</t>
        </is>
      </c>
      <c r="C206" s="22" t="n"/>
      <c r="D206" s="24" t="inlineStr">
        <is>
          <t>Industrials</t>
        </is>
      </c>
      <c r="E206" s="24" t="inlineStr">
        <is>
          <t>Logistics</t>
        </is>
      </c>
      <c r="F206" s="22" t="inlineStr">
        <is>
          <t>Standard</t>
        </is>
      </c>
      <c r="G206" s="25" t="n">
        <v>45192</v>
      </c>
      <c r="H206" s="26" t="n">
        <v>5.9</v>
      </c>
      <c r="I206" s="22" t="inlineStr">
        <is>
          <t>gross (stated)</t>
        </is>
      </c>
      <c r="J206" s="27" t="n"/>
      <c r="K206" s="27" t="n">
        <v>5.55</v>
      </c>
      <c r="L206" s="27" t="n">
        <v>5.13</v>
      </c>
      <c r="M206" s="32" t="n"/>
      <c r="N206" s="29" t="inlineStr">
        <is>
          <t>N</t>
        </is>
      </c>
      <c r="O206" s="26" t="n">
        <v>590</v>
      </c>
      <c r="P206" s="30" t="n">
        <v>4.77</v>
      </c>
      <c r="Q206" s="31" t="n"/>
      <c r="R206" s="32" t="n">
        <v>-3.7</v>
      </c>
      <c r="S206" s="33" t="n">
        <v>0</v>
      </c>
      <c r="T206" s="32" t="n">
        <v>10.66</v>
      </c>
      <c r="U206" s="22" t="inlineStr">
        <is>
          <t>not-yet (at allotment)</t>
        </is>
      </c>
      <c r="V206" s="29" t="inlineStr">
        <is>
          <t>Y</t>
        </is>
      </c>
      <c r="W206" s="34" t="n">
        <v>1.4</v>
      </c>
      <c r="X206" s="34" t="n">
        <v>0.1</v>
      </c>
      <c r="Y206" s="36" t="n">
        <v>5068.7</v>
      </c>
      <c r="Z206" s="36" t="n">
        <v>424.9</v>
      </c>
      <c r="AA206" s="22" t="n"/>
      <c r="AB206" s="22" t="n"/>
      <c r="AC206" s="22" t="inlineStr">
        <is>
          <t>CITIC Securities (Hong Kong) Limited; ABCI Capital Limited</t>
        </is>
      </c>
      <c r="AD206" s="22" t="inlineStr">
        <is>
          <t>CLSA Limited; ABCI Capital Limited; Shenwan Hongyuan Securities (H.K.) Limited; CMB International Capital Limited; Guotai Junan Securities (Hong Kong) Limited; BOCOM International Securities Limited; CMBC Securities Company Limited; Livermore Holdings Limited; Valuable Capital Limited</t>
        </is>
      </c>
      <c r="AE206" s="22" t="n"/>
      <c r="AK206">
        <f>IF(AND(Screener!$B$7&lt;&gt;"",$E206=Screener!$B$7),1,0)</f>
        <v/>
      </c>
      <c r="AL206">
        <f>IF(AND(Screener!$B$6&lt;&gt;"",$D206=Screener!$B$6),1,0)</f>
        <v/>
      </c>
      <c r="AM206">
        <f>IF(OR($H206="",Screener!$B$8=""),0,MAX(0,1-ABS(LOG10($H206/Screener!$B$8))/W_SIZEHW))</f>
        <v/>
      </c>
      <c r="AN206">
        <f>IF(OR($V206="",Screener!$B$9=""),0,IF($V206=Screener!$B$9,1,0))</f>
        <v/>
      </c>
      <c r="AO206">
        <f>IF(OR($AA206="",Screener!$B$10=""),0,IF($AA206=Screener!$B$10,1,0))</f>
        <v/>
      </c>
      <c r="AP206">
        <f>IF($G206="",0,MAX(0,1-(Screener!$B$12-$G206)/W_RECD))</f>
        <v/>
      </c>
      <c r="AQ206">
        <f>IF($B206=Screener!$B$3,-999999,W_SUB*AK206+W_SEC*AL206*(1-AK206)+W_SIZE*AM206+W_PROF*AN206+W_AH*AO206+W_REC*AP206)+ROW()/1000000</f>
        <v/>
      </c>
      <c r="AR206">
        <f>IF(OR('NEW DEAL'!$B$6="",$E206&lt;&gt;'NEW DEAL'!$B$6),-1,1+IF(OR($H206="",'NEW DEAL'!$B$7=""),0,MAX(0,1-ABS(LOG10($H206/'NEW DEAL'!$B$7))/W_SIZEHW)))+ROW()/1000000</f>
        <v/>
      </c>
    </row>
    <row r="207">
      <c r="A207" s="23" t="inlineStr">
        <is>
          <t>9690</t>
        </is>
      </c>
      <c r="B207" s="22" t="inlineStr">
        <is>
          <t>TUHU-W</t>
        </is>
      </c>
      <c r="C207" s="22" t="n"/>
      <c r="D207" s="24" t="inlineStr">
        <is>
          <t>Tech/AI</t>
        </is>
      </c>
      <c r="E207" s="24" t="inlineStr">
        <is>
          <t>Internet platform / e-commerce</t>
        </is>
      </c>
      <c r="F207" s="38" t="inlineStr">
        <is>
          <t>WVR</t>
        </is>
      </c>
      <c r="G207" s="25" t="n">
        <v>45195</v>
      </c>
      <c r="H207" s="26" t="n">
        <v>173</v>
      </c>
      <c r="I207" s="22" t="inlineStr">
        <is>
          <t>net proceeds</t>
        </is>
      </c>
      <c r="J207" s="27" t="n">
        <v>28</v>
      </c>
      <c r="K207" s="27" t="n">
        <v>31</v>
      </c>
      <c r="L207" s="27" t="n">
        <v>28</v>
      </c>
      <c r="M207" s="28" t="n">
        <v>0</v>
      </c>
      <c r="N207" s="22" t="inlineStr">
        <is>
          <t>N</t>
        </is>
      </c>
      <c r="O207" s="36" t="n">
        <v>10000</v>
      </c>
      <c r="P207" s="30" t="n">
        <v>2.67</v>
      </c>
      <c r="Q207" s="31" t="n"/>
      <c r="R207" s="32" t="n">
        <v>5.36</v>
      </c>
      <c r="S207" s="33" t="n">
        <v>90</v>
      </c>
      <c r="T207" s="32" t="n">
        <v>5.7</v>
      </c>
      <c r="U207" s="22" t="inlineStr">
        <is>
          <t>not-yet (at allotment)</t>
        </is>
      </c>
      <c r="V207" s="29" t="inlineStr">
        <is>
          <t>N</t>
        </is>
      </c>
      <c r="W207" s="31" t="n"/>
      <c r="X207" s="34" t="n">
        <v>0.8</v>
      </c>
      <c r="Y207" s="36" t="n">
        <v>12896.7</v>
      </c>
      <c r="Z207" s="36" t="n">
        <v>-6429.3</v>
      </c>
      <c r="AA207" s="22" t="n"/>
      <c r="AB207" s="22" t="n"/>
      <c r="AC207" s="22" t="inlineStr">
        <is>
          <t>Goldman Sachs (Asia) L.L.C; China International Capital Corporation Hong Kong Securities Limited; Merrill Lynch (Asia Pacific) Limited</t>
        </is>
      </c>
      <c r="AD207" s="22" t="inlineStr">
        <is>
          <t>Goldman Sachs (Asia) L.L.C; China International Capital Corporation Hong Kong Securities Limited; UBS AG Hong Kong Branch; Merrill Lynch (Asia Pacific) Limited; CMB International Capital Limited; BOCOM International Securities Limited; ICBC International Securities Limited; ABCI Capital Limited; Futu Securities International (Hong Kong) Limited</t>
        </is>
      </c>
      <c r="AE207" s="22" t="n"/>
      <c r="AK207">
        <f>IF(AND(Screener!$B$7&lt;&gt;"",$E207=Screener!$B$7),1,0)</f>
        <v/>
      </c>
      <c r="AL207">
        <f>IF(AND(Screener!$B$6&lt;&gt;"",$D207=Screener!$B$6),1,0)</f>
        <v/>
      </c>
      <c r="AM207">
        <f>IF(OR($H207="",Screener!$B$8=""),0,MAX(0,1-ABS(LOG10($H207/Screener!$B$8))/W_SIZEHW))</f>
        <v/>
      </c>
      <c r="AN207">
        <f>IF(OR($V207="",Screener!$B$9=""),0,IF($V207=Screener!$B$9,1,0))</f>
        <v/>
      </c>
      <c r="AO207">
        <f>IF(OR($AA207="",Screener!$B$10=""),0,IF($AA207=Screener!$B$10,1,0))</f>
        <v/>
      </c>
      <c r="AP207">
        <f>IF($G207="",0,MAX(0,1-(Screener!$B$12-$G207)/W_RECD))</f>
        <v/>
      </c>
      <c r="AQ207">
        <f>IF($B207=Screener!$B$3,-999999,W_SUB*AK207+W_SEC*AL207*(1-AK207)+W_SIZE*AM207+W_PROF*AN207+W_AH*AO207+W_REC*AP207)+ROW()/1000000</f>
        <v/>
      </c>
      <c r="AR207">
        <f>IF(OR('NEW DEAL'!$B$6="",$E207&lt;&gt;'NEW DEAL'!$B$6),-1,1+IF(OR($H207="",'NEW DEAL'!$B$7=""),0,MAX(0,1-ABS(LOG10($H207/'NEW DEAL'!$B$7))/W_SIZEHW)))+ROW()/1000000</f>
        <v/>
      </c>
    </row>
    <row r="208">
      <c r="A208" s="23" t="inlineStr">
        <is>
          <t>9686</t>
        </is>
      </c>
      <c r="B208" s="22" t="inlineStr">
        <is>
          <t>NEUSOFT XIKANG</t>
        </is>
      </c>
      <c r="C208" s="22" t="inlineStr">
        <is>
          <t>康控股有限公司</t>
        </is>
      </c>
      <c r="D208" s="24" t="inlineStr">
        <is>
          <t>Healthcare</t>
        </is>
      </c>
      <c r="E208" s="24" t="inlineStr">
        <is>
          <t>Digital health</t>
        </is>
      </c>
      <c r="F208" s="22" t="inlineStr">
        <is>
          <t>Standard</t>
        </is>
      </c>
      <c r="G208" s="25" t="n">
        <v>45197</v>
      </c>
      <c r="H208" s="26" t="n">
        <v>21.6</v>
      </c>
      <c r="I208" s="22" t="inlineStr">
        <is>
          <t>gross (stated)</t>
        </is>
      </c>
      <c r="J208" s="27" t="n">
        <v>4.76</v>
      </c>
      <c r="K208" s="27" t="n">
        <v>5.91</v>
      </c>
      <c r="L208" s="27" t="n">
        <v>4.76</v>
      </c>
      <c r="M208" s="28" t="n">
        <v>0</v>
      </c>
      <c r="N208" s="29" t="inlineStr">
        <is>
          <t>N</t>
        </is>
      </c>
      <c r="O208" s="26" t="n">
        <v>121</v>
      </c>
      <c r="P208" s="30" t="n">
        <v>0.9</v>
      </c>
      <c r="Q208" s="31" t="n"/>
      <c r="R208" s="32" t="n">
        <v>-42.86</v>
      </c>
      <c r="S208" s="33" t="n">
        <v>8.960000000000001</v>
      </c>
      <c r="T208" s="32" t="n">
        <v>17.85</v>
      </c>
      <c r="U208" s="22" t="inlineStr">
        <is>
          <t>not-yet (at allotment)</t>
        </is>
      </c>
      <c r="V208" s="29" t="inlineStr">
        <is>
          <t>N</t>
        </is>
      </c>
      <c r="W208" s="31" t="n"/>
      <c r="X208" s="34" t="n">
        <v>0.2</v>
      </c>
      <c r="Y208" s="36" t="n">
        <v>756.2</v>
      </c>
      <c r="Z208" s="36" t="n">
        <v>-267.6</v>
      </c>
      <c r="AA208" s="22" t="n"/>
      <c r="AB208" s="22" t="n"/>
      <c r="AC208" s="22" t="n"/>
      <c r="AD208" s="22" t="inlineStr">
        <is>
          <t>Manager China International Capital Corporation Hong Kong Securities Limited; Managers Daiwa Capital Markets Hong Kong Limited; BOCI Asia Limited; Futu Securities International (Hong Kong) Limited; China Galaxy International Securities (Hong Kong) Co., Limited; GF Securities (Hong Kong) Brokerage Limited</t>
        </is>
      </c>
      <c r="AE208" s="22" t="n"/>
      <c r="AK208">
        <f>IF(AND(Screener!$B$7&lt;&gt;"",$E208=Screener!$B$7),1,0)</f>
        <v/>
      </c>
      <c r="AL208">
        <f>IF(AND(Screener!$B$6&lt;&gt;"",$D208=Screener!$B$6),1,0)</f>
        <v/>
      </c>
      <c r="AM208">
        <f>IF(OR($H208="",Screener!$B$8=""),0,MAX(0,1-ABS(LOG10($H208/Screener!$B$8))/W_SIZEHW))</f>
        <v/>
      </c>
      <c r="AN208">
        <f>IF(OR($V208="",Screener!$B$9=""),0,IF($V208=Screener!$B$9,1,0))</f>
        <v/>
      </c>
      <c r="AO208">
        <f>IF(OR($AA208="",Screener!$B$10=""),0,IF($AA208=Screener!$B$10,1,0))</f>
        <v/>
      </c>
      <c r="AP208">
        <f>IF($G208="",0,MAX(0,1-(Screener!$B$12-$G208)/W_RECD))</f>
        <v/>
      </c>
      <c r="AQ208">
        <f>IF($B208=Screener!$B$3,-999999,W_SUB*AK208+W_SEC*AL208*(1-AK208)+W_SIZE*AM208+W_PROF*AN208+W_AH*AO208+W_REC*AP208)+ROW()/1000000</f>
        <v/>
      </c>
      <c r="AR208">
        <f>IF(OR('NEW DEAL'!$B$6="",$E208&lt;&gt;'NEW DEAL'!$B$6),-1,1+IF(OR($H208="",'NEW DEAL'!$B$7=""),0,MAX(0,1-ABS(LOG10($H208/'NEW DEAL'!$B$7))/W_SIZEHW)))+ROW()/1000000</f>
        <v/>
      </c>
    </row>
    <row r="209">
      <c r="A209" s="23" t="inlineStr">
        <is>
          <t>9890</t>
        </is>
      </c>
      <c r="B209" s="22" t="inlineStr">
        <is>
          <t>ZX INC</t>
        </is>
      </c>
      <c r="C209" s="22" t="n"/>
      <c r="D209" s="24" t="inlineStr">
        <is>
          <t>TMT-other</t>
        </is>
      </c>
      <c r="E209" s="24" t="inlineStr">
        <is>
          <t>Media / advertising</t>
        </is>
      </c>
      <c r="F209" s="22" t="inlineStr">
        <is>
          <t>Standard</t>
        </is>
      </c>
      <c r="G209" s="25" t="n">
        <v>45197</v>
      </c>
      <c r="H209" s="26" t="n">
        <v>29.5</v>
      </c>
      <c r="I209" s="22" t="inlineStr">
        <is>
          <t>gross (stated)</t>
        </is>
      </c>
      <c r="J209" s="27" t="n">
        <v>11</v>
      </c>
      <c r="K209" s="27" t="n">
        <v>14</v>
      </c>
      <c r="L209" s="27" t="n">
        <v>14</v>
      </c>
      <c r="M209" s="28" t="n">
        <v>100</v>
      </c>
      <c r="N209" s="29" t="inlineStr">
        <is>
          <t>Y</t>
        </is>
      </c>
      <c r="O209" s="36" t="n">
        <v>4000</v>
      </c>
      <c r="P209" s="30" t="n">
        <v>104</v>
      </c>
      <c r="Q209" s="31" t="n"/>
      <c r="R209" s="32" t="n">
        <v>0</v>
      </c>
      <c r="S209" s="33" t="n">
        <v>24.1</v>
      </c>
      <c r="T209" s="32" t="n">
        <v>20</v>
      </c>
      <c r="U209" s="22" t="inlineStr">
        <is>
          <t>not-yet (at allotment)</t>
        </is>
      </c>
      <c r="V209" s="29" t="inlineStr">
        <is>
          <t>Y</t>
        </is>
      </c>
      <c r="W209" s="34" t="n">
        <v>6</v>
      </c>
      <c r="X209" s="31" t="n"/>
      <c r="Y209" s="35" t="n"/>
      <c r="Z209" s="36" t="n">
        <v>661.7</v>
      </c>
      <c r="AA209" s="22" t="n"/>
      <c r="AB209" s="22" t="n"/>
      <c r="AC209" s="22" t="n"/>
      <c r="AD209" s="22" t="inlineStr">
        <is>
          <t>China International Capital Corporation Hong Kong Securities Limited; China Securities (International) Corporate Finance Company Limited; China Merchants Securities (HK) Co., Limited; CLSA Limited; CMB International Capital Limited; ICBC International Securities Limited</t>
        </is>
      </c>
      <c r="AE209" s="22" t="n"/>
      <c r="AK209">
        <f>IF(AND(Screener!$B$7&lt;&gt;"",$E209=Screener!$B$7),1,0)</f>
        <v/>
      </c>
      <c r="AL209">
        <f>IF(AND(Screener!$B$6&lt;&gt;"",$D209=Screener!$B$6),1,0)</f>
        <v/>
      </c>
      <c r="AM209">
        <f>IF(OR($H209="",Screener!$B$8=""),0,MAX(0,1-ABS(LOG10($H209/Screener!$B$8))/W_SIZEHW))</f>
        <v/>
      </c>
      <c r="AN209">
        <f>IF(OR($V209="",Screener!$B$9=""),0,IF($V209=Screener!$B$9,1,0))</f>
        <v/>
      </c>
      <c r="AO209">
        <f>IF(OR($AA209="",Screener!$B$10=""),0,IF($AA209=Screener!$B$10,1,0))</f>
        <v/>
      </c>
      <c r="AP209">
        <f>IF($G209="",0,MAX(0,1-(Screener!$B$12-$G209)/W_RECD))</f>
        <v/>
      </c>
      <c r="AQ209">
        <f>IF($B209=Screener!$B$3,-999999,W_SUB*AK209+W_SEC*AL209*(1-AK209)+W_SIZE*AM209+W_PROF*AN209+W_AH*AO209+W_REC*AP209)+ROW()/1000000</f>
        <v/>
      </c>
      <c r="AR209">
        <f>IF(OR('NEW DEAL'!$B$6="",$E209&lt;&gt;'NEW DEAL'!$B$6),-1,1+IF(OR($H209="",'NEW DEAL'!$B$7=""),0,MAX(0,1-ABS(LOG10($H209/'NEW DEAL'!$B$7))/W_SIZEHW)))+ROW()/1000000</f>
        <v/>
      </c>
    </row>
    <row r="210">
      <c r="A210" s="23" t="inlineStr">
        <is>
          <t>6682</t>
        </is>
      </c>
      <c r="B210" s="22" t="inlineStr">
        <is>
          <t>FOURTH PARADIGM</t>
        </is>
      </c>
      <c r="C210" s="22" t="inlineStr">
        <is>
          <t>北京第四範式智能技術股份有限公司</t>
        </is>
      </c>
      <c r="D210" s="24" t="inlineStr">
        <is>
          <t>Tech/AI</t>
        </is>
      </c>
      <c r="E210" s="24" t="inlineStr">
        <is>
          <t>AI application / agent software</t>
        </is>
      </c>
      <c r="F210" s="22" t="inlineStr">
        <is>
          <t>Standard</t>
        </is>
      </c>
      <c r="G210" s="25" t="n">
        <v>45197</v>
      </c>
      <c r="H210" s="26" t="n">
        <v>835.5</v>
      </c>
      <c r="I210" s="22" t="inlineStr">
        <is>
          <t>net proceeds</t>
        </is>
      </c>
      <c r="J210" s="27" t="n">
        <v>55.6</v>
      </c>
      <c r="K210" s="27" t="n">
        <v>61.16</v>
      </c>
      <c r="L210" s="27" t="n">
        <v>55.6</v>
      </c>
      <c r="M210" s="28" t="n">
        <v>0</v>
      </c>
      <c r="N210" s="29" t="inlineStr">
        <is>
          <t>N</t>
        </is>
      </c>
      <c r="O210" s="26" t="n">
        <v>18443.7</v>
      </c>
      <c r="P210" s="30" t="n">
        <v>11.4</v>
      </c>
      <c r="Q210" s="31" t="n"/>
      <c r="R210" s="32" t="n">
        <v>5.22</v>
      </c>
      <c r="S210" s="33" t="n">
        <v>39.6</v>
      </c>
      <c r="T210" s="32" t="n">
        <v>17.6</v>
      </c>
      <c r="U210" s="22" t="inlineStr">
        <is>
          <t>not-yet (at allotment)</t>
        </is>
      </c>
      <c r="V210" s="29" t="inlineStr">
        <is>
          <t>N</t>
        </is>
      </c>
      <c r="W210" s="31" t="n"/>
      <c r="X210" s="31" t="n"/>
      <c r="Y210" s="36" t="n">
        <v>0</v>
      </c>
      <c r="Z210" s="36" t="n">
        <v>-1818.8</v>
      </c>
      <c r="AA210" s="22" t="n"/>
      <c r="AB210" s="22" t="n"/>
      <c r="AC210" s="22" t="inlineStr">
        <is>
          <t>China International Capital Corporation Hong Kong Securities Limited</t>
        </is>
      </c>
      <c r="AD210" s="22" t="inlineStr">
        <is>
          <t>Huatai Financial Holdings (Hong Kong) Limited; ICBC International Securities Limited; BOCI Asia Limited; BOCOM International Securities Limited; CEB International Capital Corporation Limited; China Everbright Securities (HK) Limited; Central China International Capital Limited; North Beta International Securities Limited; China Sunrise Securities (International) Limited; Futu Securities International (Hong Kong) Limited; CNCB (Hong Kong) Capital Limited</t>
        </is>
      </c>
      <c r="AE210" s="22" t="n"/>
      <c r="AK210">
        <f>IF(AND(Screener!$B$7&lt;&gt;"",$E210=Screener!$B$7),1,0)</f>
        <v/>
      </c>
      <c r="AL210">
        <f>IF(AND(Screener!$B$6&lt;&gt;"",$D210=Screener!$B$6),1,0)</f>
        <v/>
      </c>
      <c r="AM210">
        <f>IF(OR($H210="",Screener!$B$8=""),0,MAX(0,1-ABS(LOG10($H210/Screener!$B$8))/W_SIZEHW))</f>
        <v/>
      </c>
      <c r="AN210">
        <f>IF(OR($V210="",Screener!$B$9=""),0,IF($V210=Screener!$B$9,1,0))</f>
        <v/>
      </c>
      <c r="AO210">
        <f>IF(OR($AA210="",Screener!$B$10=""),0,IF($AA210=Screener!$B$10,1,0))</f>
        <v/>
      </c>
      <c r="AP210">
        <f>IF($G210="",0,MAX(0,1-(Screener!$B$12-$G210)/W_RECD))</f>
        <v/>
      </c>
      <c r="AQ210">
        <f>IF($B210=Screener!$B$3,-999999,W_SUB*AK210+W_SEC*AL210*(1-AK210)+W_SIZE*AM210+W_PROF*AN210+W_AH*AO210+W_REC*AP210)+ROW()/1000000</f>
        <v/>
      </c>
      <c r="AR210">
        <f>IF(OR('NEW DEAL'!$B$6="",$E210&lt;&gt;'NEW DEAL'!$B$6),-1,1+IF(OR($H210="",'NEW DEAL'!$B$7=""),0,MAX(0,1-ABS(LOG10($H210/'NEW DEAL'!$B$7))/W_SIZEHW)))+ROW()/1000000</f>
        <v/>
      </c>
    </row>
    <row r="211">
      <c r="A211" s="23" t="inlineStr">
        <is>
          <t>1973</t>
        </is>
      </c>
      <c r="B211" s="22" t="inlineStr">
        <is>
          <t>TIAN TU CAPITAL</t>
        </is>
      </c>
      <c r="C211" s="22" t="inlineStr">
        <is>
          <t>深圳市天圖投資管理股份有限公司</t>
        </is>
      </c>
      <c r="D211" s="24" t="inlineStr">
        <is>
          <t>Financials</t>
        </is>
      </c>
      <c r="E211" s="24" t="inlineStr">
        <is>
          <t>Brokers / asset management</t>
        </is>
      </c>
      <c r="F211" s="22" t="inlineStr">
        <is>
          <t>Standard</t>
        </is>
      </c>
      <c r="G211" s="25" t="n">
        <v>45205</v>
      </c>
      <c r="H211" s="26" t="n">
        <v>1008.5</v>
      </c>
      <c r="I211" s="22" t="inlineStr">
        <is>
          <t>net proceeds</t>
        </is>
      </c>
      <c r="J211" s="27" t="n">
        <v>5.8</v>
      </c>
      <c r="K211" s="27" t="n">
        <v>11.4</v>
      </c>
      <c r="L211" s="27" t="n">
        <v>6.5</v>
      </c>
      <c r="M211" s="28" t="n">
        <v>12.5</v>
      </c>
      <c r="N211" s="29" t="inlineStr">
        <is>
          <t>N</t>
        </is>
      </c>
      <c r="O211" s="36" t="n">
        <v>4019.6</v>
      </c>
      <c r="P211" s="30" t="n">
        <v>0.26</v>
      </c>
      <c r="Q211" s="31" t="n"/>
      <c r="R211" s="32" t="n">
        <v>-24.92</v>
      </c>
      <c r="S211" s="33" t="n">
        <v>44.2</v>
      </c>
      <c r="T211" s="32" t="n">
        <v>15.21</v>
      </c>
      <c r="U211" s="22" t="inlineStr">
        <is>
          <t>not-yet (at allotment)</t>
        </is>
      </c>
      <c r="V211" s="29" t="inlineStr">
        <is>
          <t>Y</t>
        </is>
      </c>
      <c r="W211" s="34" t="n">
        <v>22.9</v>
      </c>
      <c r="X211" s="34" t="n">
        <v>79.40000000000001</v>
      </c>
      <c r="Y211" s="36" t="n">
        <v>50.6</v>
      </c>
      <c r="Z211" s="36" t="n">
        <v>175.4</v>
      </c>
      <c r="AA211" s="22" t="n"/>
      <c r="AB211" s="22" t="n"/>
      <c r="AC211" s="22" t="inlineStr">
        <is>
          <t>Huatai Financial Holdings (Hong Kong) Limited; BOCI Asia Limited</t>
        </is>
      </c>
      <c r="AD211" s="22" t="inlineStr">
        <is>
          <t>Huatai Financial Holdings (Hong Kong) Limited; BOCI Asia Limited; Zhongtai International Securities Limited; China Galaxy International Securities (Hong Kong) Co., Limited; CMB International Capital Limited; China Industrial Securities International Capital Limited; Essence International Securities (Hong Kong) Limited; CCB International Capital Limited; BOCOM International Securities Limited; ABCI Capital Limited; Guodu Securities (Hong Kong) Limited; Tiger Brokers (HK) Global Limited</t>
        </is>
      </c>
      <c r="AE211" s="22" t="n"/>
      <c r="AK211">
        <f>IF(AND(Screener!$B$7&lt;&gt;"",$E211=Screener!$B$7),1,0)</f>
        <v/>
      </c>
      <c r="AL211">
        <f>IF(AND(Screener!$B$6&lt;&gt;"",$D211=Screener!$B$6),1,0)</f>
        <v/>
      </c>
      <c r="AM211">
        <f>IF(OR($H211="",Screener!$B$8=""),0,MAX(0,1-ABS(LOG10($H211/Screener!$B$8))/W_SIZEHW))</f>
        <v/>
      </c>
      <c r="AN211">
        <f>IF(OR($V211="",Screener!$B$9=""),0,IF($V211=Screener!$B$9,1,0))</f>
        <v/>
      </c>
      <c r="AO211">
        <f>IF(OR($AA211="",Screener!$B$10=""),0,IF($AA211=Screener!$B$10,1,0))</f>
        <v/>
      </c>
      <c r="AP211">
        <f>IF($G211="",0,MAX(0,1-(Screener!$B$12-$G211)/W_RECD))</f>
        <v/>
      </c>
      <c r="AQ211">
        <f>IF($B211=Screener!$B$3,-999999,W_SUB*AK211+W_SEC*AL211*(1-AK211)+W_SIZE*AM211+W_PROF*AN211+W_AH*AO211+W_REC*AP211)+ROW()/1000000</f>
        <v/>
      </c>
      <c r="AR211">
        <f>IF(OR('NEW DEAL'!$B$6="",$E211&lt;&gt;'NEW DEAL'!$B$6),-1,1+IF(OR($H211="",'NEW DEAL'!$B$7=""),0,MAX(0,1-ABS(LOG10($H211/'NEW DEAL'!$B$7))/W_SIZEHW)))+ROW()/1000000</f>
        <v/>
      </c>
    </row>
    <row r="212">
      <c r="A212" s="23" t="inlineStr">
        <is>
          <t>2501</t>
        </is>
      </c>
      <c r="B212" s="22" t="inlineStr">
        <is>
          <t>MAIYUE TECH</t>
        </is>
      </c>
      <c r="C212" s="22" t="n"/>
      <c r="D212" s="24" t="inlineStr">
        <is>
          <t>Other</t>
        </is>
      </c>
      <c r="E212" s="24" t="inlineStr">
        <is>
          <t>Other / unclassified</t>
        </is>
      </c>
      <c r="F212" s="22" t="inlineStr">
        <is>
          <t>Standard</t>
        </is>
      </c>
      <c r="G212" s="25" t="n">
        <v>45210</v>
      </c>
      <c r="H212" s="26" t="n">
        <v>90.90000000000001</v>
      </c>
      <c r="I212" s="22" t="inlineStr">
        <is>
          <t>net proceeds</t>
        </is>
      </c>
      <c r="J212" s="27" t="n"/>
      <c r="K212" s="27" t="n"/>
      <c r="L212" s="27" t="n">
        <v>1.18</v>
      </c>
      <c r="M212" s="32" t="n"/>
      <c r="N212" s="22" t="n"/>
      <c r="O212" s="35" t="n"/>
      <c r="P212" s="30" t="n">
        <v>2.46</v>
      </c>
      <c r="Q212" s="31" t="n"/>
      <c r="R212" s="32" t="n">
        <v>38.14</v>
      </c>
      <c r="S212" s="33" t="n">
        <v>0</v>
      </c>
      <c r="T212" s="32" t="n">
        <v>15</v>
      </c>
      <c r="U212" s="22" t="inlineStr">
        <is>
          <t>not-yet (at allotment)</t>
        </is>
      </c>
      <c r="V212" s="29" t="inlineStr">
        <is>
          <t>Y</t>
        </is>
      </c>
      <c r="W212" s="31" t="n"/>
      <c r="X212" s="31" t="n"/>
      <c r="Y212" s="36" t="n">
        <v>267.6</v>
      </c>
      <c r="Z212" s="36" t="n">
        <v>54</v>
      </c>
      <c r="AA212" s="22" t="n"/>
      <c r="AB212" s="22" t="n"/>
      <c r="AC212" s="22" t="inlineStr">
        <is>
          <t>Quam Capital Limited</t>
        </is>
      </c>
      <c r="AD212" s="22" t="inlineStr">
        <is>
          <t>Quam Securities Limited; ABCI Capital Limited; BOCOM International Securities Limited; China Galaxy International Securities (Hong Kong) Co., Limited; CMB International Capital Limited; Guotai Junan Securities (Hong Kong) Limited; Zhongtai International Securities Limited; DIRECTORS AND PARTIES INVOLVED IN THE GLOBAL OFFERING –7 5– ABCI Capital Limited; CMBC Securities Company Limited; Eddid Securities and Futures Limited; Innovax Securities Limited; DIRECTORS AND PARTIES INVOLVED IN THE GLOBAL OFFERING –7 6– Valuable Capital Limited</t>
        </is>
      </c>
      <c r="AE212" s="22" t="n"/>
      <c r="AK212">
        <f>IF(AND(Screener!$B$7&lt;&gt;"",$E212=Screener!$B$7),1,0)</f>
        <v/>
      </c>
      <c r="AL212">
        <f>IF(AND(Screener!$B$6&lt;&gt;"",$D212=Screener!$B$6),1,0)</f>
        <v/>
      </c>
      <c r="AM212">
        <f>IF(OR($H212="",Screener!$B$8=""),0,MAX(0,1-ABS(LOG10($H212/Screener!$B$8))/W_SIZEHW))</f>
        <v/>
      </c>
      <c r="AN212">
        <f>IF(OR($V212="",Screener!$B$9=""),0,IF($V212=Screener!$B$9,1,0))</f>
        <v/>
      </c>
      <c r="AO212">
        <f>IF(OR($AA212="",Screener!$B$10=""),0,IF($AA212=Screener!$B$10,1,0))</f>
        <v/>
      </c>
      <c r="AP212">
        <f>IF($G212="",0,MAX(0,1-(Screener!$B$12-$G212)/W_RECD))</f>
        <v/>
      </c>
      <c r="AQ212">
        <f>IF($B212=Screener!$B$3,-999999,W_SUB*AK212+W_SEC*AL212*(1-AK212)+W_SIZE*AM212+W_PROF*AN212+W_AH*AO212+W_REC*AP212)+ROW()/1000000</f>
        <v/>
      </c>
      <c r="AR212">
        <f>IF(OR('NEW DEAL'!$B$6="",$E212&lt;&gt;'NEW DEAL'!$B$6),-1,1+IF(OR($H212="",'NEW DEAL'!$B$7=""),0,MAX(0,1-ABS(LOG10($H212/'NEW DEAL'!$B$7))/W_SIZEHW)))+ROW()/1000000</f>
        <v/>
      </c>
    </row>
    <row r="213">
      <c r="A213" s="23" t="inlineStr">
        <is>
          <t>9676</t>
        </is>
      </c>
      <c r="B213" s="22" t="inlineStr">
        <is>
          <t>SHIYUE DAOTIAN</t>
        </is>
      </c>
      <c r="C213" s="22" t="inlineStr">
        <is>
          <t>十月稻田集團股份有限公司</t>
        </is>
      </c>
      <c r="D213" s="24" t="inlineStr">
        <is>
          <t>Consumer</t>
        </is>
      </c>
      <c r="E213" s="24" t="inlineStr">
        <is>
          <t>Beverages / packaged food</t>
        </is>
      </c>
      <c r="F213" s="22" t="inlineStr">
        <is>
          <t>Standard</t>
        </is>
      </c>
      <c r="G213" s="25" t="n">
        <v>45211</v>
      </c>
      <c r="H213" s="26" t="n">
        <v>716.4</v>
      </c>
      <c r="I213" s="22" t="inlineStr">
        <is>
          <t>net proceeds</t>
        </is>
      </c>
      <c r="J213" s="27" t="n">
        <v>13</v>
      </c>
      <c r="K213" s="27" t="n">
        <v>15.8</v>
      </c>
      <c r="L213" s="27" t="n">
        <v>15.36</v>
      </c>
      <c r="M213" s="28" t="n">
        <v>84.3</v>
      </c>
      <c r="N213" s="29" t="inlineStr">
        <is>
          <t>N</t>
        </is>
      </c>
      <c r="O213" s="26" t="n">
        <v>14328</v>
      </c>
      <c r="P213" s="30" t="n">
        <v>1.31</v>
      </c>
      <c r="Q213" s="31" t="n"/>
      <c r="R213" s="32" t="n">
        <v>22.66</v>
      </c>
      <c r="S213" s="33" t="n">
        <v>25.4</v>
      </c>
      <c r="T213" s="32" t="n"/>
      <c r="U213" s="22" t="n"/>
      <c r="V213" s="29" t="inlineStr">
        <is>
          <t>N</t>
        </is>
      </c>
      <c r="W213" s="31" t="n"/>
      <c r="X213" s="34" t="n">
        <v>2.9</v>
      </c>
      <c r="Y213" s="36" t="n">
        <v>4986.2</v>
      </c>
      <c r="Z213" s="36" t="n">
        <v>-413.4</v>
      </c>
      <c r="AA213" s="22" t="n"/>
      <c r="AB213" s="22" t="n"/>
      <c r="AC213" s="22" t="n"/>
      <c r="AD213" s="22" t="n"/>
      <c r="AE213" s="22" t="n"/>
      <c r="AK213">
        <f>IF(AND(Screener!$B$7&lt;&gt;"",$E213=Screener!$B$7),1,0)</f>
        <v/>
      </c>
      <c r="AL213">
        <f>IF(AND(Screener!$B$6&lt;&gt;"",$D213=Screener!$B$6),1,0)</f>
        <v/>
      </c>
      <c r="AM213">
        <f>IF(OR($H213="",Screener!$B$8=""),0,MAX(0,1-ABS(LOG10($H213/Screener!$B$8))/W_SIZEHW))</f>
        <v/>
      </c>
      <c r="AN213">
        <f>IF(OR($V213="",Screener!$B$9=""),0,IF($V213=Screener!$B$9,1,0))</f>
        <v/>
      </c>
      <c r="AO213">
        <f>IF(OR($AA213="",Screener!$B$10=""),0,IF($AA213=Screener!$B$10,1,0))</f>
        <v/>
      </c>
      <c r="AP213">
        <f>IF($G213="",0,MAX(0,1-(Screener!$B$12-$G213)/W_RECD))</f>
        <v/>
      </c>
      <c r="AQ213">
        <f>IF($B213=Screener!$B$3,-999999,W_SUB*AK213+W_SEC*AL213*(1-AK213)+W_SIZE*AM213+W_PROF*AN213+W_AH*AO213+W_REC*AP213)+ROW()/1000000</f>
        <v/>
      </c>
      <c r="AR213">
        <f>IF(OR('NEW DEAL'!$B$6="",$E213&lt;&gt;'NEW DEAL'!$B$6),-1,1+IF(OR($H213="",'NEW DEAL'!$B$7=""),0,MAX(0,1-ABS(LOG10($H213/'NEW DEAL'!$B$7))/W_SIZEHW)))+ROW()/1000000</f>
        <v/>
      </c>
    </row>
    <row r="214">
      <c r="A214" s="23" t="inlineStr">
        <is>
          <t>2451</t>
        </is>
      </c>
      <c r="B214" s="22" t="inlineStr">
        <is>
          <t>LUYUAN GP HLDG</t>
        </is>
      </c>
      <c r="C214" s="22" t="n"/>
      <c r="D214" s="24" t="inlineStr">
        <is>
          <t>Consumer</t>
        </is>
      </c>
      <c r="E214" s="24" t="inlineStr">
        <is>
          <t>Autos (NEV OEM)</t>
        </is>
      </c>
      <c r="F214" s="22" t="inlineStr">
        <is>
          <t>Standard</t>
        </is>
      </c>
      <c r="G214" s="25" t="n">
        <v>45211</v>
      </c>
      <c r="H214" s="26" t="n">
        <v>31.5</v>
      </c>
      <c r="I214" s="22" t="inlineStr">
        <is>
          <t>gross (stated)</t>
        </is>
      </c>
      <c r="J214" s="27" t="n">
        <v>6</v>
      </c>
      <c r="K214" s="27" t="n">
        <v>8</v>
      </c>
      <c r="L214" s="27" t="n">
        <v>7.37</v>
      </c>
      <c r="M214" s="28" t="n">
        <v>68.5</v>
      </c>
      <c r="N214" s="29" t="inlineStr">
        <is>
          <t>N</t>
        </is>
      </c>
      <c r="O214" s="36" t="n">
        <v>2560</v>
      </c>
      <c r="P214" s="30" t="n">
        <v>7.66</v>
      </c>
      <c r="Q214" s="31" t="n"/>
      <c r="R214" s="32" t="n">
        <v>0.95</v>
      </c>
      <c r="S214" s="33" t="n">
        <v>31.1</v>
      </c>
      <c r="T214" s="32" t="n"/>
      <c r="U214" s="22" t="n"/>
      <c r="V214" s="29" t="inlineStr">
        <is>
          <t>Y</t>
        </is>
      </c>
      <c r="W214" s="34" t="n">
        <v>19.7</v>
      </c>
      <c r="X214" s="34" t="n">
        <v>0.5</v>
      </c>
      <c r="Y214" s="36" t="n">
        <v>5261.3</v>
      </c>
      <c r="Z214" s="36" t="n">
        <v>129.8</v>
      </c>
      <c r="AA214" s="22" t="n"/>
      <c r="AB214" s="22" t="n"/>
      <c r="AC214" s="22" t="n"/>
      <c r="AD214" s="22" t="inlineStr">
        <is>
          <t>China Securities (International) Corporate Finance Company Limited; TFI Securities and Futures Limited; ABCI Capital Limited; Guotai Junan Securities (Hong Kong) Limited; CMB International Capital Limited; ICBC International Securities Limited; Daiwa Capital Markets Hong Kong Limited; Valuable Capital Limited; Livermore Holdings Limited; Futu Securities International (Hong Kong) Limited; SBI China Capital Financial Services Limited; China Galaxy International Securities (Hong Kong) Co., Limited</t>
        </is>
      </c>
      <c r="AE214" s="22" t="n"/>
      <c r="AK214">
        <f>IF(AND(Screener!$B$7&lt;&gt;"",$E214=Screener!$B$7),1,0)</f>
        <v/>
      </c>
      <c r="AL214">
        <f>IF(AND(Screener!$B$6&lt;&gt;"",$D214=Screener!$B$6),1,0)</f>
        <v/>
      </c>
      <c r="AM214">
        <f>IF(OR($H214="",Screener!$B$8=""),0,MAX(0,1-ABS(LOG10($H214/Screener!$B$8))/W_SIZEHW))</f>
        <v/>
      </c>
      <c r="AN214">
        <f>IF(OR($V214="",Screener!$B$9=""),0,IF($V214=Screener!$B$9,1,0))</f>
        <v/>
      </c>
      <c r="AO214">
        <f>IF(OR($AA214="",Screener!$B$10=""),0,IF($AA214=Screener!$B$10,1,0))</f>
        <v/>
      </c>
      <c r="AP214">
        <f>IF($G214="",0,MAX(0,1-(Screener!$B$12-$G214)/W_RECD))</f>
        <v/>
      </c>
      <c r="AQ214">
        <f>IF($B214=Screener!$B$3,-999999,W_SUB*AK214+W_SEC*AL214*(1-AK214)+W_SIZE*AM214+W_PROF*AN214+W_AH*AO214+W_REC*AP214)+ROW()/1000000</f>
        <v/>
      </c>
      <c r="AR214">
        <f>IF(OR('NEW DEAL'!$B$6="",$E214&lt;&gt;'NEW DEAL'!$B$6),-1,1+IF(OR($H214="",'NEW DEAL'!$B$7=""),0,MAX(0,1-ABS(LOG10($H214/'NEW DEAL'!$B$7))/W_SIZEHW)))+ROW()/1000000</f>
        <v/>
      </c>
    </row>
    <row r="215">
      <c r="A215" s="23" t="inlineStr">
        <is>
          <t>1519</t>
        </is>
      </c>
      <c r="B215" s="22" t="inlineStr">
        <is>
          <t>J&amp;T EXPRESS-W</t>
        </is>
      </c>
      <c r="C215" s="22" t="inlineStr">
        <is>
          <t>極兔速遞環球有限公司</t>
        </is>
      </c>
      <c r="D215" s="24" t="inlineStr">
        <is>
          <t>Industrials</t>
        </is>
      </c>
      <c r="E215" s="24" t="inlineStr">
        <is>
          <t>Logistics</t>
        </is>
      </c>
      <c r="F215" s="38" t="inlineStr">
        <is>
          <t>WVR</t>
        </is>
      </c>
      <c r="G215" s="25" t="n">
        <v>45226</v>
      </c>
      <c r="H215" s="26" t="n">
        <v>3527.9</v>
      </c>
      <c r="I215" s="22" t="inlineStr">
        <is>
          <t>net proceeds</t>
        </is>
      </c>
      <c r="J215" s="27" t="n"/>
      <c r="K215" s="27" t="n">
        <v>12</v>
      </c>
      <c r="L215" s="27" t="n">
        <v>12</v>
      </c>
      <c r="M215" s="32" t="n"/>
      <c r="N215" s="29" t="inlineStr">
        <is>
          <t>Y</t>
        </is>
      </c>
      <c r="O215" s="36" t="n">
        <v>105750</v>
      </c>
      <c r="P215" s="30" t="n">
        <v>1.36</v>
      </c>
      <c r="Q215" s="31" t="n"/>
      <c r="R215" s="32" t="n">
        <v>0</v>
      </c>
      <c r="S215" s="33" t="n">
        <v>39.88</v>
      </c>
      <c r="T215" s="32" t="n">
        <v>16.4</v>
      </c>
      <c r="U215" s="22" t="inlineStr">
        <is>
          <t>not-yet (at allotment)</t>
        </is>
      </c>
      <c r="V215" s="22" t="n"/>
      <c r="W215" s="31" t="n"/>
      <c r="X215" s="31" t="n"/>
      <c r="Y215" s="35" t="n"/>
      <c r="Z215" s="35" t="n"/>
      <c r="AA215" s="22" t="n"/>
      <c r="AB215" s="22" t="n"/>
      <c r="AC215" s="22" t="inlineStr">
        <is>
          <t>Morgan Stanley Asia Limited; Merrill Lynch (Asia Pacific) Limited; Central, Hong Kong China International Capital Corporation Hong Kong Securities Limited</t>
        </is>
      </c>
      <c r="AD215" s="22" t="inlineStr">
        <is>
          <t>Managers and Capital Market Intermediaries Morgan Stanley Asia Limited; Merrill Lynch (Asia Pacific) Limited; Central, Hong Kong China International Capital Corporation Hong Kong Securities Limited; Central, Hong Kong UBS AG Hong Kong Branch; CCB International Capital Limited; Central, Hong Kong CMB International Capital Limited; Managers and Capital Market Intermediaries Huatai Financial Holdings (Hong Kong) Limited; BOCI Asia Limited; ABCI Capital Limited; ABCI Securities Company Limited</t>
        </is>
      </c>
      <c r="AE215" s="22" t="n"/>
      <c r="AK215">
        <f>IF(AND(Screener!$B$7&lt;&gt;"",$E215=Screener!$B$7),1,0)</f>
        <v/>
      </c>
      <c r="AL215">
        <f>IF(AND(Screener!$B$6&lt;&gt;"",$D215=Screener!$B$6),1,0)</f>
        <v/>
      </c>
      <c r="AM215">
        <f>IF(OR($H215="",Screener!$B$8=""),0,MAX(0,1-ABS(LOG10($H215/Screener!$B$8))/W_SIZEHW))</f>
        <v/>
      </c>
      <c r="AN215">
        <f>IF(OR($V215="",Screener!$B$9=""),0,IF($V215=Screener!$B$9,1,0))</f>
        <v/>
      </c>
      <c r="AO215">
        <f>IF(OR($AA215="",Screener!$B$10=""),0,IF($AA215=Screener!$B$10,1,0))</f>
        <v/>
      </c>
      <c r="AP215">
        <f>IF($G215="",0,MAX(0,1-(Screener!$B$12-$G215)/W_RECD))</f>
        <v/>
      </c>
      <c r="AQ215">
        <f>IF($B215=Screener!$B$3,-999999,W_SUB*AK215+W_SEC*AL215*(1-AK215)+W_SIZE*AM215+W_PROF*AN215+W_AH*AO215+W_REC*AP215)+ROW()/1000000</f>
        <v/>
      </c>
      <c r="AR215">
        <f>IF(OR('NEW DEAL'!$B$6="",$E215&lt;&gt;'NEW DEAL'!$B$6),-1,1+IF(OR($H215="",'NEW DEAL'!$B$7=""),0,MAX(0,1-ABS(LOG10($H215/'NEW DEAL'!$B$7))/W_SIZEHW)))+ROW()/1000000</f>
        <v/>
      </c>
    </row>
    <row r="216">
      <c r="A216" s="23" t="inlineStr">
        <is>
          <t>2517</t>
        </is>
      </c>
      <c r="B216" s="22" t="inlineStr">
        <is>
          <t>GUOQUAN</t>
        </is>
      </c>
      <c r="C216" s="22" t="inlineStr">
        <is>
          <t>鍋圈食品</t>
        </is>
      </c>
      <c r="D216" s="24" t="inlineStr">
        <is>
          <t>Consumer</t>
        </is>
      </c>
      <c r="E216" s="24" t="inlineStr">
        <is>
          <t>Retail / distribution</t>
        </is>
      </c>
      <c r="F216" s="22" t="inlineStr">
        <is>
          <t>Standard</t>
        </is>
      </c>
      <c r="G216" s="25" t="n">
        <v>45232</v>
      </c>
      <c r="H216" s="26" t="n">
        <v>16.5</v>
      </c>
      <c r="I216" s="22" t="inlineStr">
        <is>
          <t>gross (stated)</t>
        </is>
      </c>
      <c r="J216" s="27" t="n"/>
      <c r="K216" s="27" t="n">
        <v>5.98</v>
      </c>
      <c r="L216" s="27" t="n">
        <v>5.98</v>
      </c>
      <c r="M216" s="32" t="n"/>
      <c r="N216" s="29" t="inlineStr">
        <is>
          <t>Y</t>
        </is>
      </c>
      <c r="O216" s="26" t="n">
        <v>569</v>
      </c>
      <c r="P216" s="30" t="n">
        <v>4.34</v>
      </c>
      <c r="Q216" s="31" t="n"/>
      <c r="R216" s="32" t="n">
        <v>0</v>
      </c>
      <c r="S216" s="33" t="n">
        <v>98.84</v>
      </c>
      <c r="T216" s="32" t="n">
        <v>15</v>
      </c>
      <c r="U216" s="22" t="inlineStr">
        <is>
          <t>not-yet (at allotment)</t>
        </is>
      </c>
      <c r="V216" s="29" t="inlineStr">
        <is>
          <t>Y</t>
        </is>
      </c>
      <c r="W216" s="34" t="n">
        <v>1.6</v>
      </c>
      <c r="X216" s="34" t="n">
        <v>0.1</v>
      </c>
      <c r="Y216" s="36" t="n">
        <v>7890.8</v>
      </c>
      <c r="Z216" s="36" t="n">
        <v>365.2</v>
      </c>
      <c r="AA216" s="22" t="n"/>
      <c r="AB216" s="22" t="n"/>
      <c r="AC216" s="22" t="inlineStr">
        <is>
          <t>and Sponsor–Overall Coordinators Huatai Financial Holdings (Hong Kong) Limited; China International Capital Corporation Hong Kong Securities Limited</t>
        </is>
      </c>
      <c r="AD216" s="22" t="inlineStr">
        <is>
          <t>Huatai Financial Holdings (Hong Kong) Limited; China International Capital Corporation Hong Kong Securities Limited; CMB International Capital Limited; Central China International Capital Limited</t>
        </is>
      </c>
      <c r="AE216" s="22" t="n"/>
      <c r="AK216">
        <f>IF(AND(Screener!$B$7&lt;&gt;"",$E216=Screener!$B$7),1,0)</f>
        <v/>
      </c>
      <c r="AL216">
        <f>IF(AND(Screener!$B$6&lt;&gt;"",$D216=Screener!$B$6),1,0)</f>
        <v/>
      </c>
      <c r="AM216">
        <f>IF(OR($H216="",Screener!$B$8=""),0,MAX(0,1-ABS(LOG10($H216/Screener!$B$8))/W_SIZEHW))</f>
        <v/>
      </c>
      <c r="AN216">
        <f>IF(OR($V216="",Screener!$B$9=""),0,IF($V216=Screener!$B$9,1,0))</f>
        <v/>
      </c>
      <c r="AO216">
        <f>IF(OR($AA216="",Screener!$B$10=""),0,IF($AA216=Screener!$B$10,1,0))</f>
        <v/>
      </c>
      <c r="AP216">
        <f>IF($G216="",0,MAX(0,1-(Screener!$B$12-$G216)/W_RECD))</f>
        <v/>
      </c>
      <c r="AQ216">
        <f>IF($B216=Screener!$B$3,-999999,W_SUB*AK216+W_SEC*AL216*(1-AK216)+W_SIZE*AM216+W_PROF*AN216+W_AH*AO216+W_REC*AP216)+ROW()/1000000</f>
        <v/>
      </c>
      <c r="AR216">
        <f>IF(OR('NEW DEAL'!$B$6="",$E216&lt;&gt;'NEW DEAL'!$B$6),-1,1+IF(OR($H216="",'NEW DEAL'!$B$7=""),0,MAX(0,1-ABS(LOG10($H216/'NEW DEAL'!$B$7))/W_SIZEHW)))+ROW()/1000000</f>
        <v/>
      </c>
    </row>
    <row r="217">
      <c r="A217" s="23" t="inlineStr">
        <is>
          <t>2429</t>
        </is>
      </c>
      <c r="B217" s="22" t="inlineStr">
        <is>
          <t>UBOX ONLINE</t>
        </is>
      </c>
      <c r="C217" s="22" t="inlineStr">
        <is>
          <t>北京友寶在線科技股份有限公司</t>
        </is>
      </c>
      <c r="D217" s="24" t="inlineStr">
        <is>
          <t>Consumer</t>
        </is>
      </c>
      <c r="E217" s="24" t="inlineStr">
        <is>
          <t>Retail / distribution</t>
        </is>
      </c>
      <c r="F217" s="22" t="inlineStr">
        <is>
          <t>Standard</t>
        </is>
      </c>
      <c r="G217" s="25" t="n">
        <v>45233</v>
      </c>
      <c r="H217" s="26" t="n">
        <v>154.9</v>
      </c>
      <c r="I217" s="22" t="inlineStr">
        <is>
          <t>net proceeds</t>
        </is>
      </c>
      <c r="J217" s="27" t="n">
        <v>9.4</v>
      </c>
      <c r="K217" s="27" t="n">
        <v>11.4</v>
      </c>
      <c r="L217" s="27" t="n">
        <v>10.35</v>
      </c>
      <c r="M217" s="28" t="n">
        <v>47.5</v>
      </c>
      <c r="N217" s="29" t="inlineStr">
        <is>
          <t>N</t>
        </is>
      </c>
      <c r="O217" s="36" t="n">
        <v>7330.5</v>
      </c>
      <c r="P217" s="30" t="n">
        <v>11.29</v>
      </c>
      <c r="Q217" s="31" t="n"/>
      <c r="R217" s="32" t="n">
        <v>40.87</v>
      </c>
      <c r="S217" s="33" t="n">
        <v>29.4</v>
      </c>
      <c r="T217" s="32" t="n"/>
      <c r="U217" s="22" t="n"/>
      <c r="V217" s="29" t="inlineStr">
        <is>
          <t>N</t>
        </is>
      </c>
      <c r="W217" s="31" t="n"/>
      <c r="X217" s="34" t="n">
        <v>2.5</v>
      </c>
      <c r="Y217" s="36" t="n">
        <v>2943.9</v>
      </c>
      <c r="Z217" s="36" t="n">
        <v>-203.1</v>
      </c>
      <c r="AA217" s="22" t="n"/>
      <c r="AB217" s="22" t="n"/>
      <c r="AC217" s="22" t="inlineStr">
        <is>
          <t>China Securities (International) Corporate Finance Company Limited; Huatai Financial Holdings (Hong Kong) Limited</t>
        </is>
      </c>
      <c r="AD217" s="22" t="inlineStr">
        <is>
          <t>Managers Huatai Financial Holdings (Hong Kong) Limited; China Securities (International) Corporate Finance Company Limited</t>
        </is>
      </c>
      <c r="AE217" s="22" t="n"/>
      <c r="AK217">
        <f>IF(AND(Screener!$B$7&lt;&gt;"",$E217=Screener!$B$7),1,0)</f>
        <v/>
      </c>
      <c r="AL217">
        <f>IF(AND(Screener!$B$6&lt;&gt;"",$D217=Screener!$B$6),1,0)</f>
        <v/>
      </c>
      <c r="AM217">
        <f>IF(OR($H217="",Screener!$B$8=""),0,MAX(0,1-ABS(LOG10($H217/Screener!$B$8))/W_SIZEHW))</f>
        <v/>
      </c>
      <c r="AN217">
        <f>IF(OR($V217="",Screener!$B$9=""),0,IF($V217=Screener!$B$9,1,0))</f>
        <v/>
      </c>
      <c r="AO217">
        <f>IF(OR($AA217="",Screener!$B$10=""),0,IF($AA217=Screener!$B$10,1,0))</f>
        <v/>
      </c>
      <c r="AP217">
        <f>IF($G217="",0,MAX(0,1-(Screener!$B$12-$G217)/W_RECD))</f>
        <v/>
      </c>
      <c r="AQ217">
        <f>IF($B217=Screener!$B$3,-999999,W_SUB*AK217+W_SEC*AL217*(1-AK217)+W_SIZE*AM217+W_PROF*AN217+W_AH*AO217+W_REC*AP217)+ROW()/1000000</f>
        <v/>
      </c>
      <c r="AR217">
        <f>IF(OR('NEW DEAL'!$B$6="",$E217&lt;&gt;'NEW DEAL'!$B$6),-1,1+IF(OR($H217="",'NEW DEAL'!$B$7=""),0,MAX(0,1-ABS(LOG10($H217/'NEW DEAL'!$B$7))/W_SIZEHW)))+ROW()/1000000</f>
        <v/>
      </c>
    </row>
    <row r="218">
      <c r="A218" s="23" t="inlineStr">
        <is>
          <t>2473</t>
        </is>
      </c>
      <c r="B218" s="22" t="inlineStr">
        <is>
          <t>XXF</t>
        </is>
      </c>
      <c r="C218" s="22" t="inlineStr">
        <is>
          <t>喜相逢集團控股有限公司</t>
        </is>
      </c>
      <c r="D218" s="24" t="inlineStr">
        <is>
          <t>Consumer</t>
        </is>
      </c>
      <c r="E218" s="24" t="inlineStr">
        <is>
          <t>Retail / distribution</t>
        </is>
      </c>
      <c r="F218" s="22" t="inlineStr">
        <is>
          <t>Standard</t>
        </is>
      </c>
      <c r="G218" s="25" t="n">
        <v>45239</v>
      </c>
      <c r="H218" s="26" t="n">
        <v>28.8</v>
      </c>
      <c r="I218" s="22" t="inlineStr">
        <is>
          <t>net proceeds</t>
        </is>
      </c>
      <c r="J218" s="27" t="n"/>
      <c r="K218" s="27" t="n">
        <v>1.36</v>
      </c>
      <c r="L218" s="27" t="n">
        <v>1.1</v>
      </c>
      <c r="M218" s="32" t="n"/>
      <c r="N218" s="29" t="inlineStr">
        <is>
          <t>N</t>
        </is>
      </c>
      <c r="O218" s="26" t="n">
        <v>129</v>
      </c>
      <c r="P218" s="30" t="n">
        <v>14.71</v>
      </c>
      <c r="Q218" s="31" t="n"/>
      <c r="R218" s="32" t="n">
        <v>49.09</v>
      </c>
      <c r="S218" s="33" t="n">
        <v>0</v>
      </c>
      <c r="T218" s="32" t="n">
        <v>10</v>
      </c>
      <c r="U218" s="22" t="inlineStr">
        <is>
          <t>not-yet (at allotment)</t>
        </is>
      </c>
      <c r="V218" s="29" t="inlineStr">
        <is>
          <t>Y</t>
        </is>
      </c>
      <c r="W218" s="34" t="n">
        <v>1.5</v>
      </c>
      <c r="X218" s="34" t="n">
        <v>0.1</v>
      </c>
      <c r="Y218" s="36" t="n">
        <v>1255.7</v>
      </c>
      <c r="Z218" s="36" t="n">
        <v>84.8</v>
      </c>
      <c r="AA218" s="22" t="n"/>
      <c r="AB218" s="22" t="n"/>
      <c r="AC218" s="22" t="inlineStr">
        <is>
          <t>Quam Capital Limited</t>
        </is>
      </c>
      <c r="AD218" s="22" t="inlineStr">
        <is>
          <t>Quam Securities Limited; Managers and Capital Market Intermediaries Quam Securities Limited; CCB International Capital Limited; China Galaxy International Securities (Hong Kong) Co., Limited; CMB International Capital Limited; Eddid Securities and Futures Limited; Innovax Securities Limited; Livermore Holdings Limited; Shenwan Hongyuan Securities (H.K.) Limited; SPDB International Capital Limited; ZMF Asset Management Limited</t>
        </is>
      </c>
      <c r="AE218" s="22" t="n"/>
      <c r="AK218">
        <f>IF(AND(Screener!$B$7&lt;&gt;"",$E218=Screener!$B$7),1,0)</f>
        <v/>
      </c>
      <c r="AL218">
        <f>IF(AND(Screener!$B$6&lt;&gt;"",$D218=Screener!$B$6),1,0)</f>
        <v/>
      </c>
      <c r="AM218">
        <f>IF(OR($H218="",Screener!$B$8=""),0,MAX(0,1-ABS(LOG10($H218/Screener!$B$8))/W_SIZEHW))</f>
        <v/>
      </c>
      <c r="AN218">
        <f>IF(OR($V218="",Screener!$B$9=""),0,IF($V218=Screener!$B$9,1,0))</f>
        <v/>
      </c>
      <c r="AO218">
        <f>IF(OR($AA218="",Screener!$B$10=""),0,IF($AA218=Screener!$B$10,1,0))</f>
        <v/>
      </c>
      <c r="AP218">
        <f>IF($G218="",0,MAX(0,1-(Screener!$B$12-$G218)/W_RECD))</f>
        <v/>
      </c>
      <c r="AQ218">
        <f>IF($B218=Screener!$B$3,-999999,W_SUB*AK218+W_SEC*AL218*(1-AK218)+W_SIZE*AM218+W_PROF*AN218+W_AH*AO218+W_REC*AP218)+ROW()/1000000</f>
        <v/>
      </c>
      <c r="AR218">
        <f>IF(OR('NEW DEAL'!$B$6="",$E218&lt;&gt;'NEW DEAL'!$B$6),-1,1+IF(OR($H218="",'NEW DEAL'!$B$7=""),0,MAX(0,1-ABS(LOG10($H218/'NEW DEAL'!$B$7))/W_SIZEHW)))+ROW()/1000000</f>
        <v/>
      </c>
    </row>
    <row r="219">
      <c r="A219" s="23" t="inlineStr">
        <is>
          <t>1111</t>
        </is>
      </c>
      <c r="B219" s="22" t="inlineStr">
        <is>
          <t>HUASHI GROUP</t>
        </is>
      </c>
      <c r="C219" s="22" t="n"/>
      <c r="D219" s="24" t="inlineStr">
        <is>
          <t>Industrials</t>
        </is>
      </c>
      <c r="E219" s="24" t="inlineStr">
        <is>
          <t>Construction / engineering</t>
        </is>
      </c>
      <c r="F219" s="22" t="inlineStr">
        <is>
          <t>Standard</t>
        </is>
      </c>
      <c r="G219" s="25" t="n">
        <v>45240</v>
      </c>
      <c r="H219" s="26" t="n">
        <v>7.8</v>
      </c>
      <c r="I219" s="22" t="inlineStr">
        <is>
          <t>gross (stated)</t>
        </is>
      </c>
      <c r="J219" s="27" t="n"/>
      <c r="K219" s="27" t="n"/>
      <c r="L219" s="27" t="n">
        <v>1.04</v>
      </c>
      <c r="M219" s="32" t="n"/>
      <c r="N219" s="22" t="n"/>
      <c r="O219" s="35" t="n"/>
      <c r="P219" s="30" t="n">
        <v>12.62</v>
      </c>
      <c r="Q219" s="31" t="n"/>
      <c r="R219" s="32" t="n">
        <v>55.77</v>
      </c>
      <c r="S219" s="33" t="n"/>
      <c r="T219" s="32" t="n"/>
      <c r="U219" s="22" t="n"/>
      <c r="V219" s="22" t="n"/>
      <c r="W219" s="31" t="n"/>
      <c r="X219" s="31" t="n"/>
      <c r="Y219" s="35" t="n"/>
      <c r="Z219" s="35" t="n"/>
      <c r="AA219" s="22" t="n"/>
      <c r="AB219" s="22" t="n"/>
      <c r="AC219" s="22" t="n"/>
      <c r="AD219" s="22" t="n"/>
      <c r="AE219" s="22" t="n"/>
      <c r="AK219">
        <f>IF(AND(Screener!$B$7&lt;&gt;"",$E219=Screener!$B$7),1,0)</f>
        <v/>
      </c>
      <c r="AL219">
        <f>IF(AND(Screener!$B$6&lt;&gt;"",$D219=Screener!$B$6),1,0)</f>
        <v/>
      </c>
      <c r="AM219">
        <f>IF(OR($H219="",Screener!$B$8=""),0,MAX(0,1-ABS(LOG10($H219/Screener!$B$8))/W_SIZEHW))</f>
        <v/>
      </c>
      <c r="AN219">
        <f>IF(OR($V219="",Screener!$B$9=""),0,IF($V219=Screener!$B$9,1,0))</f>
        <v/>
      </c>
      <c r="AO219">
        <f>IF(OR($AA219="",Screener!$B$10=""),0,IF($AA219=Screener!$B$10,1,0))</f>
        <v/>
      </c>
      <c r="AP219">
        <f>IF($G219="",0,MAX(0,1-(Screener!$B$12-$G219)/W_RECD))</f>
        <v/>
      </c>
      <c r="AQ219">
        <f>IF($B219=Screener!$B$3,-999999,W_SUB*AK219+W_SEC*AL219*(1-AK219)+W_SIZE*AM219+W_PROF*AN219+W_AH*AO219+W_REC*AP219)+ROW()/1000000</f>
        <v/>
      </c>
      <c r="AR219">
        <f>IF(OR('NEW DEAL'!$B$6="",$E219&lt;&gt;'NEW DEAL'!$B$6),-1,1+IF(OR($H219="",'NEW DEAL'!$B$7=""),0,MAX(0,1-ABS(LOG10($H219/'NEW DEAL'!$B$7))/W_SIZEHW)))+ROW()/1000000</f>
        <v/>
      </c>
    </row>
    <row r="220">
      <c r="A220" s="23" t="inlineStr">
        <is>
          <t>2499</t>
        </is>
      </c>
      <c r="B220" s="22" t="inlineStr">
        <is>
          <t>FOLANGSI</t>
        </is>
      </c>
      <c r="C220" s="22" t="inlineStr">
        <is>
          <t>廣州佛朗斯股份有限公司</t>
        </is>
      </c>
      <c r="D220" s="24" t="inlineStr">
        <is>
          <t>Industrials</t>
        </is>
      </c>
      <c r="E220" s="24" t="inlineStr">
        <is>
          <t>Capital goods / machinery</t>
        </is>
      </c>
      <c r="F220" s="22" t="inlineStr">
        <is>
          <t>Standard</t>
        </is>
      </c>
      <c r="G220" s="25" t="n">
        <v>45240</v>
      </c>
      <c r="H220" s="26" t="n">
        <v>116.3</v>
      </c>
      <c r="I220" s="22" t="inlineStr">
        <is>
          <t>net proceeds</t>
        </is>
      </c>
      <c r="J220" s="27" t="n">
        <v>14.18</v>
      </c>
      <c r="K220" s="27" t="n">
        <v>16.18</v>
      </c>
      <c r="L220" s="27" t="n">
        <v>14.28</v>
      </c>
      <c r="M220" s="28" t="n">
        <v>5</v>
      </c>
      <c r="N220" s="29" t="inlineStr">
        <is>
          <t>N</t>
        </is>
      </c>
      <c r="O220" s="36" t="n">
        <v>4935</v>
      </c>
      <c r="P220" s="30" t="n">
        <v>15</v>
      </c>
      <c r="Q220" s="31" t="n"/>
      <c r="R220" s="32" t="n">
        <v>3.36</v>
      </c>
      <c r="S220" s="33" t="n">
        <v>69.90000000000001</v>
      </c>
      <c r="T220" s="32" t="n">
        <v>15</v>
      </c>
      <c r="U220" s="22" t="inlineStr">
        <is>
          <t>not-yet (at allotment)</t>
        </is>
      </c>
      <c r="V220" s="29" t="inlineStr">
        <is>
          <t>Y</t>
        </is>
      </c>
      <c r="W220" s="34" t="n">
        <v>126.5</v>
      </c>
      <c r="X220" s="31" t="n"/>
      <c r="Y220" s="35" t="n"/>
      <c r="Z220" s="36" t="n">
        <v>39</v>
      </c>
      <c r="AA220" s="22" t="n"/>
      <c r="AB220" s="22" t="n"/>
      <c r="AC220" s="22" t="inlineStr">
        <is>
          <t>Haitong International Capital Limited; -Overall Coordinator Haitong International Securities Company Limited</t>
        </is>
      </c>
      <c r="AD220" s="22" t="inlineStr">
        <is>
          <t>Haitong International Securities Company Limited; GF Securities (Hong Kong) Brokerage Limited; Huatai Financial Holdings (Hong Kong) Limited</t>
        </is>
      </c>
      <c r="AE220" s="22" t="n"/>
      <c r="AK220">
        <f>IF(AND(Screener!$B$7&lt;&gt;"",$E220=Screener!$B$7),1,0)</f>
        <v/>
      </c>
      <c r="AL220">
        <f>IF(AND(Screener!$B$6&lt;&gt;"",$D220=Screener!$B$6),1,0)</f>
        <v/>
      </c>
      <c r="AM220">
        <f>IF(OR($H220="",Screener!$B$8=""),0,MAX(0,1-ABS(LOG10($H220/Screener!$B$8))/W_SIZEHW))</f>
        <v/>
      </c>
      <c r="AN220">
        <f>IF(OR($V220="",Screener!$B$9=""),0,IF($V220=Screener!$B$9,1,0))</f>
        <v/>
      </c>
      <c r="AO220">
        <f>IF(OR($AA220="",Screener!$B$10=""),0,IF($AA220=Screener!$B$10,1,0))</f>
        <v/>
      </c>
      <c r="AP220">
        <f>IF($G220="",0,MAX(0,1-(Screener!$B$12-$G220)/W_RECD))</f>
        <v/>
      </c>
      <c r="AQ220">
        <f>IF($B220=Screener!$B$3,-999999,W_SUB*AK220+W_SEC*AL220*(1-AK220)+W_SIZE*AM220+W_PROF*AN220+W_AH*AO220+W_REC*AP220)+ROW()/1000000</f>
        <v/>
      </c>
      <c r="AR220">
        <f>IF(OR('NEW DEAL'!$B$6="",$E220&lt;&gt;'NEW DEAL'!$B$6),-1,1+IF(OR($H220="",'NEW DEAL'!$B$7=""),0,MAX(0,1-ABS(LOG10($H220/'NEW DEAL'!$B$7))/W_SIZEHW)))+ROW()/1000000</f>
        <v/>
      </c>
    </row>
    <row r="221">
      <c r="A221" s="23" t="inlineStr">
        <is>
          <t>2268</t>
        </is>
      </c>
      <c r="B221" s="22" t="inlineStr">
        <is>
          <t>WUXI XDC</t>
        </is>
      </c>
      <c r="C221" s="22" t="n"/>
      <c r="D221" s="24" t="inlineStr">
        <is>
          <t>Healthcare</t>
        </is>
      </c>
      <c r="E221" s="24" t="inlineStr">
        <is>
          <t>CXO / pharma services</t>
        </is>
      </c>
      <c r="F221" s="22" t="inlineStr">
        <is>
          <t>Standard</t>
        </is>
      </c>
      <c r="G221" s="25" t="n">
        <v>45247</v>
      </c>
      <c r="H221" s="26" t="n">
        <v>3483.3</v>
      </c>
      <c r="I221" s="22" t="inlineStr">
        <is>
          <t>net proceeds</t>
        </is>
      </c>
      <c r="J221" s="27" t="n"/>
      <c r="K221" s="27" t="n"/>
      <c r="L221" s="27" t="n">
        <v>20.6</v>
      </c>
      <c r="M221" s="32" t="n"/>
      <c r="N221" s="22" t="n"/>
      <c r="O221" s="35" t="n"/>
      <c r="P221" s="30" t="n">
        <v>49.96</v>
      </c>
      <c r="Q221" s="37" t="n">
        <v>19.6</v>
      </c>
      <c r="R221" s="32" t="n">
        <v>35.92</v>
      </c>
      <c r="S221" s="33" t="n">
        <v>70</v>
      </c>
      <c r="T221" s="32" t="n"/>
      <c r="U221" s="22" t="inlineStr">
        <is>
          <t>not-yet (at allotment)</t>
        </is>
      </c>
      <c r="V221" s="22" t="n"/>
      <c r="W221" s="31" t="n"/>
      <c r="X221" s="31" t="n"/>
      <c r="Y221" s="35" t="n"/>
      <c r="Z221" s="35" t="n"/>
      <c r="AA221" s="22" t="n"/>
      <c r="AB221" s="22" t="n"/>
      <c r="AC221" s="22" t="n"/>
      <c r="AD221" s="22" t="n"/>
      <c r="AE221" s="22" t="n"/>
      <c r="AK221">
        <f>IF(AND(Screener!$B$7&lt;&gt;"",$E221=Screener!$B$7),1,0)</f>
        <v/>
      </c>
      <c r="AL221">
        <f>IF(AND(Screener!$B$6&lt;&gt;"",$D221=Screener!$B$6),1,0)</f>
        <v/>
      </c>
      <c r="AM221">
        <f>IF(OR($H221="",Screener!$B$8=""),0,MAX(0,1-ABS(LOG10($H221/Screener!$B$8))/W_SIZEHW))</f>
        <v/>
      </c>
      <c r="AN221">
        <f>IF(OR($V221="",Screener!$B$9=""),0,IF($V221=Screener!$B$9,1,0))</f>
        <v/>
      </c>
      <c r="AO221">
        <f>IF(OR($AA221="",Screener!$B$10=""),0,IF($AA221=Screener!$B$10,1,0))</f>
        <v/>
      </c>
      <c r="AP221">
        <f>IF($G221="",0,MAX(0,1-(Screener!$B$12-$G221)/W_RECD))</f>
        <v/>
      </c>
      <c r="AQ221">
        <f>IF($B221=Screener!$B$3,-999999,W_SUB*AK221+W_SEC*AL221*(1-AK221)+W_SIZE*AM221+W_PROF*AN221+W_AH*AO221+W_REC*AP221)+ROW()/1000000</f>
        <v/>
      </c>
      <c r="AR221">
        <f>IF(OR('NEW DEAL'!$B$6="",$E221&lt;&gt;'NEW DEAL'!$B$6),-1,1+IF(OR($H221="",'NEW DEAL'!$B$7=""),0,MAX(0,1-ABS(LOG10($H221/'NEW DEAL'!$B$7))/W_SIZEHW)))+ROW()/1000000</f>
        <v/>
      </c>
    </row>
    <row r="222">
      <c r="A222" s="23" t="inlineStr">
        <is>
          <t>2520</t>
        </is>
      </c>
      <c r="B222" s="22" t="inlineStr">
        <is>
          <t>SHANXI INSTALL</t>
        </is>
      </c>
      <c r="C222" s="22" t="n"/>
      <c r="D222" s="24" t="inlineStr">
        <is>
          <t>Industrials</t>
        </is>
      </c>
      <c r="E222" s="24" t="inlineStr">
        <is>
          <t>Construction / engineering</t>
        </is>
      </c>
      <c r="F222" s="22" t="inlineStr">
        <is>
          <t>Standard</t>
        </is>
      </c>
      <c r="G222" s="25" t="n">
        <v>45252</v>
      </c>
      <c r="H222" s="26" t="n">
        <v>654</v>
      </c>
      <c r="I222" s="22" t="inlineStr">
        <is>
          <t>net proceeds</t>
        </is>
      </c>
      <c r="J222" s="27" t="n">
        <v>2.1</v>
      </c>
      <c r="K222" s="27" t="n">
        <v>2.36</v>
      </c>
      <c r="L222" s="27" t="n">
        <v>2.18</v>
      </c>
      <c r="M222" s="28" t="n">
        <v>30.8</v>
      </c>
      <c r="N222" s="22" t="inlineStr">
        <is>
          <t>N</t>
        </is>
      </c>
      <c r="O222" s="36" t="n">
        <v>2520</v>
      </c>
      <c r="P222" s="30" t="n">
        <v>0.6</v>
      </c>
      <c r="Q222" s="31" t="n"/>
      <c r="R222" s="32" t="n">
        <v>0</v>
      </c>
      <c r="S222" s="33" t="n">
        <v>23</v>
      </c>
      <c r="T222" s="32" t="n">
        <v>19.5</v>
      </c>
      <c r="U222" s="22" t="inlineStr">
        <is>
          <t>not-yet (at allotment)</t>
        </is>
      </c>
      <c r="V222" s="29" t="inlineStr">
        <is>
          <t>Y</t>
        </is>
      </c>
      <c r="W222" s="34" t="n">
        <v>11.4</v>
      </c>
      <c r="X222" s="34" t="n">
        <v>0.2</v>
      </c>
      <c r="Y222" s="36" t="n">
        <v>14129.3</v>
      </c>
      <c r="Z222" s="36" t="n">
        <v>220.5</v>
      </c>
      <c r="AA222" s="22" t="n"/>
      <c r="AB222" s="22" t="n"/>
      <c r="AC222" s="22" t="inlineStr">
        <is>
          <t>Huatai Financial Holdings (Hong Kong) Limited; Shanxi Securities International Capital Limited</t>
        </is>
      </c>
      <c r="AD222" s="22" t="inlineStr">
        <is>
          <t>Managers BOCOM International Securities Limited; China Everbright Securities (HK) Limited; CMB International Capital Limited; ICBC International Capital Limited; Zhongtai International Securities Limited</t>
        </is>
      </c>
      <c r="AE222" s="22" t="n"/>
      <c r="AK222">
        <f>IF(AND(Screener!$B$7&lt;&gt;"",$E222=Screener!$B$7),1,0)</f>
        <v/>
      </c>
      <c r="AL222">
        <f>IF(AND(Screener!$B$6&lt;&gt;"",$D222=Screener!$B$6),1,0)</f>
        <v/>
      </c>
      <c r="AM222">
        <f>IF(OR($H222="",Screener!$B$8=""),0,MAX(0,1-ABS(LOG10($H222/Screener!$B$8))/W_SIZEHW))</f>
        <v/>
      </c>
      <c r="AN222">
        <f>IF(OR($V222="",Screener!$B$9=""),0,IF($V222=Screener!$B$9,1,0))</f>
        <v/>
      </c>
      <c r="AO222">
        <f>IF(OR($AA222="",Screener!$B$10=""),0,IF($AA222=Screener!$B$10,1,0))</f>
        <v/>
      </c>
      <c r="AP222">
        <f>IF($G222="",0,MAX(0,1-(Screener!$B$12-$G222)/W_RECD))</f>
        <v/>
      </c>
      <c r="AQ222">
        <f>IF($B222=Screener!$B$3,-999999,W_SUB*AK222+W_SEC*AL222*(1-AK222)+W_SIZE*AM222+W_PROF*AN222+W_AH*AO222+W_REC*AP222)+ROW()/1000000</f>
        <v/>
      </c>
      <c r="AR222">
        <f>IF(OR('NEW DEAL'!$B$6="",$E222&lt;&gt;'NEW DEAL'!$B$6),-1,1+IF(OR($H222="",'NEW DEAL'!$B$7=""),0,MAX(0,1-ABS(LOG10($H222/'NEW DEAL'!$B$7))/W_SIZEHW)))+ROW()/1000000</f>
        <v/>
      </c>
    </row>
    <row r="223">
      <c r="A223" s="23" t="inlineStr">
        <is>
          <t>2521</t>
        </is>
      </c>
      <c r="B223" s="22" t="inlineStr">
        <is>
          <t>SHENGHUI CLEAN</t>
        </is>
      </c>
      <c r="C223" s="22" t="inlineStr">
        <is>
          <t>升輝清潔集團控股有限公司</t>
        </is>
      </c>
      <c r="D223" s="24" t="inlineStr">
        <is>
          <t>Real Estate</t>
        </is>
      </c>
      <c r="E223" s="24" t="inlineStr">
        <is>
          <t>Property management</t>
        </is>
      </c>
      <c r="F223" s="22" t="inlineStr">
        <is>
          <t>Standard</t>
        </is>
      </c>
      <c r="G223" s="25" t="n">
        <v>45265</v>
      </c>
      <c r="H223" s="26" t="n">
        <v>119.6</v>
      </c>
      <c r="I223" s="22" t="inlineStr">
        <is>
          <t>gross (stated)</t>
        </is>
      </c>
      <c r="J223" s="27" t="n">
        <v>0.32</v>
      </c>
      <c r="K223" s="27" t="n">
        <v>0.4</v>
      </c>
      <c r="L223" s="27" t="n">
        <v>0.32</v>
      </c>
      <c r="M223" s="28" t="n">
        <v>0</v>
      </c>
      <c r="N223" s="29" t="inlineStr">
        <is>
          <t>N</t>
        </is>
      </c>
      <c r="O223" s="26" t="n">
        <v>520</v>
      </c>
      <c r="P223" s="40" t="n">
        <v>33.35</v>
      </c>
      <c r="Q223" s="31" t="n">
        <v>1.33</v>
      </c>
      <c r="R223" s="32" t="n">
        <v>3.12</v>
      </c>
      <c r="S223" s="33" t="n"/>
      <c r="T223" s="32" t="n"/>
      <c r="U223" s="22" t="n"/>
      <c r="V223" s="29" t="inlineStr">
        <is>
          <t>Y</t>
        </is>
      </c>
      <c r="W223" s="34" t="n">
        <v>13.8</v>
      </c>
      <c r="X223" s="34" t="n">
        <v>0.8</v>
      </c>
      <c r="Y223" s="36" t="n">
        <v>653.6</v>
      </c>
      <c r="Z223" s="36" t="n">
        <v>37.8</v>
      </c>
      <c r="AA223" s="22" t="n"/>
      <c r="AB223" s="22" t="n"/>
      <c r="AC223" s="22" t="n"/>
      <c r="AD223" s="22" t="inlineStr">
        <is>
          <t>Cinda International Capital Limited; ICBC International Securities Limited; CCB International Capital Limited; Central, Hong Kong Yuen Meta (International) Securities Limited</t>
        </is>
      </c>
      <c r="AE223" s="22" t="n"/>
      <c r="AK223">
        <f>IF(AND(Screener!$B$7&lt;&gt;"",$E223=Screener!$B$7),1,0)</f>
        <v/>
      </c>
      <c r="AL223">
        <f>IF(AND(Screener!$B$6&lt;&gt;"",$D223=Screener!$B$6),1,0)</f>
        <v/>
      </c>
      <c r="AM223">
        <f>IF(OR($H223="",Screener!$B$8=""),0,MAX(0,1-ABS(LOG10($H223/Screener!$B$8))/W_SIZEHW))</f>
        <v/>
      </c>
      <c r="AN223">
        <f>IF(OR($V223="",Screener!$B$9=""),0,IF($V223=Screener!$B$9,1,0))</f>
        <v/>
      </c>
      <c r="AO223">
        <f>IF(OR($AA223="",Screener!$B$10=""),0,IF($AA223=Screener!$B$10,1,0))</f>
        <v/>
      </c>
      <c r="AP223">
        <f>IF($G223="",0,MAX(0,1-(Screener!$B$12-$G223)/W_RECD))</f>
        <v/>
      </c>
      <c r="AQ223">
        <f>IF($B223=Screener!$B$3,-999999,W_SUB*AK223+W_SEC*AL223*(1-AK223)+W_SIZE*AM223+W_PROF*AN223+W_AH*AO223+W_REC*AP223)+ROW()/1000000</f>
        <v/>
      </c>
      <c r="AR223">
        <f>IF(OR('NEW DEAL'!$B$6="",$E223&lt;&gt;'NEW DEAL'!$B$6),-1,1+IF(OR($H223="",'NEW DEAL'!$B$7=""),0,MAX(0,1-ABS(LOG10($H223/'NEW DEAL'!$B$7))/W_SIZEHW)))+ROW()/1000000</f>
        <v/>
      </c>
    </row>
    <row r="224">
      <c r="A224" s="23" t="inlineStr">
        <is>
          <t>9663</t>
        </is>
      </c>
      <c r="B224" s="22" t="inlineStr">
        <is>
          <t>SINOSYNERGY</t>
        </is>
      </c>
      <c r="C224" s="22" t="inlineStr">
        <is>
          <t>國鴻氫能科技(嘉興)股份有限公司</t>
        </is>
      </c>
      <c r="D224" s="24" t="inlineStr">
        <is>
          <t>Industrials</t>
        </is>
      </c>
      <c r="E224" s="24" t="inlineStr">
        <is>
          <t>Batteries / energy storage</t>
        </is>
      </c>
      <c r="F224" s="22" t="inlineStr">
        <is>
          <t>Standard</t>
        </is>
      </c>
      <c r="G224" s="25" t="n">
        <v>45265</v>
      </c>
      <c r="H224" s="26" t="n">
        <v>1563.4</v>
      </c>
      <c r="I224" s="22" t="inlineStr">
        <is>
          <t>gross (price x shares)</t>
        </is>
      </c>
      <c r="J224" s="27" t="n"/>
      <c r="K224" s="27" t="n">
        <v>21.35</v>
      </c>
      <c r="L224" s="27" t="n">
        <v>19.66</v>
      </c>
      <c r="M224" s="32" t="n"/>
      <c r="N224" s="29" t="inlineStr">
        <is>
          <t>N</t>
        </is>
      </c>
      <c r="O224" s="26" t="n">
        <v>10184.7</v>
      </c>
      <c r="P224" s="40" t="n">
        <v>1.18</v>
      </c>
      <c r="Q224" s="31" t="n">
        <v>1.13</v>
      </c>
      <c r="R224" s="32" t="n">
        <v>0.71</v>
      </c>
      <c r="S224" s="33" t="n">
        <v>0</v>
      </c>
      <c r="T224" s="32" t="n"/>
      <c r="U224" s="22" t="n"/>
      <c r="V224" s="29" t="inlineStr">
        <is>
          <t>N</t>
        </is>
      </c>
      <c r="W224" s="31" t="n"/>
      <c r="X224" s="34" t="n">
        <v>12.4</v>
      </c>
      <c r="Y224" s="36" t="n">
        <v>823.3</v>
      </c>
      <c r="Z224" s="36" t="n">
        <v>-308.2</v>
      </c>
      <c r="AA224" s="22" t="n"/>
      <c r="AB224" s="22" t="n"/>
      <c r="AC224" s="22" t="inlineStr">
        <is>
          <t>and Sponsor-Overall Coordinator Huatai Financial Holdings (Hong Kong) Limited</t>
        </is>
      </c>
      <c r="AD224" s="22" t="inlineStr">
        <is>
          <t>Huatai Financial Holdings (Hong Kong) Limited; Managers Huatai Financial Holdings (Hong Kong) Limited; CMB International Capital Limited; GF Securities (Hong Kong) Brokerage Limited; Haitong International Securities Company Limited; Livermore Holdings Limited</t>
        </is>
      </c>
      <c r="AE224" s="22" t="n"/>
      <c r="AK224">
        <f>IF(AND(Screener!$B$7&lt;&gt;"",$E224=Screener!$B$7),1,0)</f>
        <v/>
      </c>
      <c r="AL224">
        <f>IF(AND(Screener!$B$6&lt;&gt;"",$D224=Screener!$B$6),1,0)</f>
        <v/>
      </c>
      <c r="AM224">
        <f>IF(OR($H224="",Screener!$B$8=""),0,MAX(0,1-ABS(LOG10($H224/Screener!$B$8))/W_SIZEHW))</f>
        <v/>
      </c>
      <c r="AN224">
        <f>IF(OR($V224="",Screener!$B$9=""),0,IF($V224=Screener!$B$9,1,0))</f>
        <v/>
      </c>
      <c r="AO224">
        <f>IF(OR($AA224="",Screener!$B$10=""),0,IF($AA224=Screener!$B$10,1,0))</f>
        <v/>
      </c>
      <c r="AP224">
        <f>IF($G224="",0,MAX(0,1-(Screener!$B$12-$G224)/W_RECD))</f>
        <v/>
      </c>
      <c r="AQ224">
        <f>IF($B224=Screener!$B$3,-999999,W_SUB*AK224+W_SEC*AL224*(1-AK224)+W_SIZE*AM224+W_PROF*AN224+W_AH*AO224+W_REC*AP224)+ROW()/1000000</f>
        <v/>
      </c>
      <c r="AR224">
        <f>IF(OR('NEW DEAL'!$B$6="",$E224&lt;&gt;'NEW DEAL'!$B$6),-1,1+IF(OR($H224="",'NEW DEAL'!$B$7=""),0,MAX(0,1-ABS(LOG10($H224/'NEW DEAL'!$B$7))/W_SIZEHW)))+ROW()/1000000</f>
        <v/>
      </c>
    </row>
    <row r="225">
      <c r="A225" s="23" t="inlineStr">
        <is>
          <t>2483</t>
        </is>
      </c>
      <c r="B225" s="22" t="inlineStr">
        <is>
          <t>K CASH</t>
        </is>
      </c>
      <c r="C225" s="22" t="n"/>
      <c r="D225" s="24" t="inlineStr">
        <is>
          <t>Financials</t>
        </is>
      </c>
      <c r="E225" s="24" t="inlineStr">
        <is>
          <t>Payments / lending (non-platform)</t>
        </is>
      </c>
      <c r="F225" s="22" t="inlineStr">
        <is>
          <t>Standard</t>
        </is>
      </c>
      <c r="G225" s="25" t="n">
        <v>45265</v>
      </c>
      <c r="H225" s="26" t="n">
        <v>225</v>
      </c>
      <c r="I225" s="22" t="inlineStr">
        <is>
          <t>gross (price x shares)</t>
        </is>
      </c>
      <c r="J225" s="27" t="n"/>
      <c r="K225" s="41" t="n">
        <v>1.96</v>
      </c>
      <c r="L225" s="27" t="n">
        <v>1.8</v>
      </c>
      <c r="M225" s="32" t="n"/>
      <c r="N225" s="29" t="inlineStr">
        <is>
          <t>N</t>
        </is>
      </c>
      <c r="O225" s="26" t="n">
        <v>900</v>
      </c>
      <c r="P225" s="40" t="n">
        <v>18.93</v>
      </c>
      <c r="Q225" s="31" t="n">
        <v>1.24</v>
      </c>
      <c r="R225" s="32" t="n">
        <v>-0.5600000000000001</v>
      </c>
      <c r="S225" s="33" t="n">
        <v>24.7</v>
      </c>
      <c r="T225" s="28" t="n">
        <v>5</v>
      </c>
      <c r="U225" s="22" t="n"/>
      <c r="V225" s="29" t="inlineStr">
        <is>
          <t>Y</t>
        </is>
      </c>
      <c r="W225" s="34" t="n">
        <v>9000</v>
      </c>
      <c r="X225" s="31" t="n"/>
      <c r="Y225" s="35" t="n"/>
      <c r="Z225" s="36" t="n">
        <v>0.1</v>
      </c>
      <c r="AA225" s="22" t="n"/>
      <c r="AB225" s="22" t="n"/>
      <c r="AC225" s="22" t="inlineStr">
        <is>
          <t>DBS Asia Capital Limited; Ping An of China Capital (Hong Kong) Company Limited</t>
        </is>
      </c>
      <c r="AD225" s="22" t="inlineStr">
        <is>
          <t>Managers and CMIs CCB International Capital Limited; Elstone Securities Limited; Valuable Capital Limited</t>
        </is>
      </c>
      <c r="AE225" s="22" t="n"/>
      <c r="AK225">
        <f>IF(AND(Screener!$B$7&lt;&gt;"",$E225=Screener!$B$7),1,0)</f>
        <v/>
      </c>
      <c r="AL225">
        <f>IF(AND(Screener!$B$6&lt;&gt;"",$D225=Screener!$B$6),1,0)</f>
        <v/>
      </c>
      <c r="AM225">
        <f>IF(OR($H225="",Screener!$B$8=""),0,MAX(0,1-ABS(LOG10($H225/Screener!$B$8))/W_SIZEHW))</f>
        <v/>
      </c>
      <c r="AN225">
        <f>IF(OR($V225="",Screener!$B$9=""),0,IF($V225=Screener!$B$9,1,0))</f>
        <v/>
      </c>
      <c r="AO225">
        <f>IF(OR($AA225="",Screener!$B$10=""),0,IF($AA225=Screener!$B$10,1,0))</f>
        <v/>
      </c>
      <c r="AP225">
        <f>IF($G225="",0,MAX(0,1-(Screener!$B$12-$G225)/W_RECD))</f>
        <v/>
      </c>
      <c r="AQ225">
        <f>IF($B225=Screener!$B$3,-999999,W_SUB*AK225+W_SEC*AL225*(1-AK225)+W_SIZE*AM225+W_PROF*AN225+W_AH*AO225+W_REC*AP225)+ROW()/1000000</f>
        <v/>
      </c>
      <c r="AR225">
        <f>IF(OR('NEW DEAL'!$B$6="",$E225&lt;&gt;'NEW DEAL'!$B$6),-1,1+IF(OR($H225="",'NEW DEAL'!$B$7=""),0,MAX(0,1-ABS(LOG10($H225/'NEW DEAL'!$B$7))/W_SIZEHW)))+ROW()/1000000</f>
        <v/>
      </c>
    </row>
    <row r="226">
      <c r="A226" s="23" t="inlineStr">
        <is>
          <t>2419</t>
        </is>
      </c>
      <c r="B226" s="22" t="inlineStr">
        <is>
          <t>DEKON AGR</t>
        </is>
      </c>
      <c r="C226" s="22" t="inlineStr">
        <is>
          <t>四川德康農牧食品集團股份有限公司</t>
        </is>
      </c>
      <c r="D226" s="24" t="inlineStr">
        <is>
          <t>Consumer</t>
        </is>
      </c>
      <c r="E226" s="24" t="inlineStr">
        <is>
          <t>Beverages / packaged food</t>
        </is>
      </c>
      <c r="F226" s="22" t="inlineStr">
        <is>
          <t>Standard</t>
        </is>
      </c>
      <c r="G226" s="25" t="n">
        <v>45266</v>
      </c>
      <c r="H226" s="26" t="n">
        <v>994.4</v>
      </c>
      <c r="I226" s="22" t="inlineStr">
        <is>
          <t>gross (price x shares)</t>
        </is>
      </c>
      <c r="J226" s="27" t="n">
        <v>30.35</v>
      </c>
      <c r="K226" s="27" t="n">
        <v>36.95</v>
      </c>
      <c r="L226" s="27" t="n">
        <v>36.95</v>
      </c>
      <c r="M226" s="28" t="n">
        <v>100</v>
      </c>
      <c r="N226" s="29" t="inlineStr">
        <is>
          <t>Y</t>
        </is>
      </c>
      <c r="O226" s="26" t="n">
        <v>14369</v>
      </c>
      <c r="P226" s="40" t="n">
        <v>1.88</v>
      </c>
      <c r="Q226" s="31" t="n">
        <v>1.13</v>
      </c>
      <c r="R226" s="32" t="n">
        <v>1.49</v>
      </c>
      <c r="S226" s="33" t="n">
        <v>3.88</v>
      </c>
      <c r="T226" s="32" t="n"/>
      <c r="U226" s="22" t="n"/>
      <c r="V226" s="22" t="n"/>
      <c r="W226" s="31" t="n"/>
      <c r="X226" s="31" t="n"/>
      <c r="Y226" s="35" t="n"/>
      <c r="Z226" s="35" t="n"/>
      <c r="AA226" s="22" t="n"/>
      <c r="AB226" s="22" t="n"/>
      <c r="AC226" s="22" t="inlineStr">
        <is>
          <t>China International Capital Corporation Hong Kong Securities Limited; Citigroup Global Markets Asia Limited</t>
        </is>
      </c>
      <c r="AD226" s="22" t="inlineStr">
        <is>
          <t>China International Capital Corporation Hong Kong Securities Limited; Citigroup Global Markets Asia Limited; Central Hong Kong Citigroup Global Markets Limited; Canary Wharf London E14 5LB United Kingdom China Everbright Securities (HK) Limited; BOCI Asia Limited; Central, Hong Kong ABCI Capital Limited; China Galaxy International Securities (Hong Kong) Co., Limited; ICBC International Securities Limited; CMB International Capital Limited; Citrus Securities Limited; Valuable Capital Limited</t>
        </is>
      </c>
      <c r="AE226" s="22" t="n"/>
      <c r="AK226">
        <f>IF(AND(Screener!$B$7&lt;&gt;"",$E226=Screener!$B$7),1,0)</f>
        <v/>
      </c>
      <c r="AL226">
        <f>IF(AND(Screener!$B$6&lt;&gt;"",$D226=Screener!$B$6),1,0)</f>
        <v/>
      </c>
      <c r="AM226">
        <f>IF(OR($H226="",Screener!$B$8=""),0,MAX(0,1-ABS(LOG10($H226/Screener!$B$8))/W_SIZEHW))</f>
        <v/>
      </c>
      <c r="AN226">
        <f>IF(OR($V226="",Screener!$B$9=""),0,IF($V226=Screener!$B$9,1,0))</f>
        <v/>
      </c>
      <c r="AO226">
        <f>IF(OR($AA226="",Screener!$B$10=""),0,IF($AA226=Screener!$B$10,1,0))</f>
        <v/>
      </c>
      <c r="AP226">
        <f>IF($G226="",0,MAX(0,1-(Screener!$B$12-$G226)/W_RECD))</f>
        <v/>
      </c>
      <c r="AQ226">
        <f>IF($B226=Screener!$B$3,-999999,W_SUB*AK226+W_SEC*AL226*(1-AK226)+W_SIZE*AM226+W_PROF*AN226+W_AH*AO226+W_REC*AP226)+ROW()/1000000</f>
        <v/>
      </c>
      <c r="AR226">
        <f>IF(OR('NEW DEAL'!$B$6="",$E226&lt;&gt;'NEW DEAL'!$B$6),-1,1+IF(OR($H226="",'NEW DEAL'!$B$7=""),0,MAX(0,1-ABS(LOG10($H226/'NEW DEAL'!$B$7))/W_SIZEHW)))+ROW()/1000000</f>
        <v/>
      </c>
    </row>
    <row r="227">
      <c r="A227" s="23" t="inlineStr">
        <is>
          <t>1497</t>
        </is>
      </c>
      <c r="B227" s="22" t="inlineStr">
        <is>
          <t>YAN PALACE</t>
        </is>
      </c>
      <c r="C227" s="22" t="inlineStr">
        <is>
          <t>廈門燕之屋燕窩產業股份有限公司</t>
        </is>
      </c>
      <c r="D227" s="24" t="inlineStr">
        <is>
          <t>Consumer</t>
        </is>
      </c>
      <c r="E227" s="24" t="inlineStr">
        <is>
          <t>Beverages / packaged food</t>
        </is>
      </c>
      <c r="F227" s="22" t="inlineStr">
        <is>
          <t>Standard</t>
        </is>
      </c>
      <c r="G227" s="25" t="n">
        <v>45272</v>
      </c>
      <c r="H227" s="26" t="n">
        <v>310.4</v>
      </c>
      <c r="I227" s="22" t="inlineStr">
        <is>
          <t>gross (price x shares)</t>
        </is>
      </c>
      <c r="J227" s="27" t="n">
        <v>8.800000000000001</v>
      </c>
      <c r="K227" s="27" t="n">
        <v>11</v>
      </c>
      <c r="L227" s="27" t="n">
        <v>9.699999999999999</v>
      </c>
      <c r="M227" s="28" t="n">
        <v>40.9</v>
      </c>
      <c r="N227" s="29" t="inlineStr">
        <is>
          <t>N</t>
        </is>
      </c>
      <c r="O227" s="26" t="n">
        <v>4515.4</v>
      </c>
      <c r="P227" s="40" t="n">
        <v>83.63</v>
      </c>
      <c r="Q227" s="31" t="n">
        <v>1.27</v>
      </c>
      <c r="R227" s="32" t="n">
        <v>0</v>
      </c>
      <c r="S227" s="33" t="n">
        <v>40.16</v>
      </c>
      <c r="T227" s="28" t="n">
        <v>15</v>
      </c>
      <c r="U227" s="22" t="n"/>
      <c r="V227" s="29" t="inlineStr">
        <is>
          <t>Y</t>
        </is>
      </c>
      <c r="W227" s="34" t="n">
        <v>19.9</v>
      </c>
      <c r="X227" s="34" t="n">
        <v>2.4</v>
      </c>
      <c r="Y227" s="36" t="n">
        <v>1902.9</v>
      </c>
      <c r="Z227" s="36" t="n">
        <v>226.5</v>
      </c>
      <c r="AA227" s="22" t="n"/>
      <c r="AB227" s="22" t="n"/>
      <c r="AC227" s="22" t="inlineStr">
        <is>
          <t>China International Capital Corporation Hong Kong Securities Limited; GF Capital (Hong Kong) Limited</t>
        </is>
      </c>
      <c r="AD227" s="22" t="inlineStr">
        <is>
          <t>China International Capital Corporation Hong Kong Securities Limited; GF Securities (Hong Kong) Brokerage Limited; Citigroup Global Markets Asia Limited; Citigroup Global Markets Limited; London E14 5LB United Kingdom Valuable Capital Limited</t>
        </is>
      </c>
      <c r="AE227" s="22" t="n"/>
      <c r="AK227">
        <f>IF(AND(Screener!$B$7&lt;&gt;"",$E227=Screener!$B$7),1,0)</f>
        <v/>
      </c>
      <c r="AL227">
        <f>IF(AND(Screener!$B$6&lt;&gt;"",$D227=Screener!$B$6),1,0)</f>
        <v/>
      </c>
      <c r="AM227">
        <f>IF(OR($H227="",Screener!$B$8=""),0,MAX(0,1-ABS(LOG10($H227/Screener!$B$8))/W_SIZEHW))</f>
        <v/>
      </c>
      <c r="AN227">
        <f>IF(OR($V227="",Screener!$B$9=""),0,IF($V227=Screener!$B$9,1,0))</f>
        <v/>
      </c>
      <c r="AO227">
        <f>IF(OR($AA227="",Screener!$B$10=""),0,IF($AA227=Screener!$B$10,1,0))</f>
        <v/>
      </c>
      <c r="AP227">
        <f>IF($G227="",0,MAX(0,1-(Screener!$B$12-$G227)/W_RECD))</f>
        <v/>
      </c>
      <c r="AQ227">
        <f>IF($B227=Screener!$B$3,-999999,W_SUB*AK227+W_SEC*AL227*(1-AK227)+W_SIZE*AM227+W_PROF*AN227+W_AH*AO227+W_REC*AP227)+ROW()/1000000</f>
        <v/>
      </c>
      <c r="AR227">
        <f>IF(OR('NEW DEAL'!$B$6="",$E227&lt;&gt;'NEW DEAL'!$B$6),-1,1+IF(OR($H227="",'NEW DEAL'!$B$7=""),0,MAX(0,1-ABS(LOG10($H227/'NEW DEAL'!$B$7))/W_SIZEHW)))+ROW()/1000000</f>
        <v/>
      </c>
    </row>
    <row r="228">
      <c r="A228" s="23" t="inlineStr">
        <is>
          <t>0666</t>
        </is>
      </c>
      <c r="B228" s="22" t="inlineStr">
        <is>
          <t>REPT BATTERO</t>
        </is>
      </c>
      <c r="C228" s="22" t="n"/>
      <c r="D228" s="24" t="inlineStr">
        <is>
          <t>Industrials</t>
        </is>
      </c>
      <c r="E228" s="24" t="inlineStr">
        <is>
          <t>Batteries / energy storage</t>
        </is>
      </c>
      <c r="F228" s="22" t="inlineStr">
        <is>
          <t>Standard</t>
        </is>
      </c>
      <c r="G228" s="39" t="n">
        <v>45278</v>
      </c>
      <c r="H228" s="26" t="n">
        <v>2124.1</v>
      </c>
      <c r="I228" s="22" t="inlineStr">
        <is>
          <t>gross (price x shares)</t>
        </is>
      </c>
      <c r="J228" s="27" t="n"/>
      <c r="K228" s="27" t="n"/>
      <c r="L228" s="27" t="n">
        <v>18.3</v>
      </c>
      <c r="M228" s="32" t="n"/>
      <c r="N228" s="22" t="n"/>
      <c r="O228" s="26" t="n">
        <v>41666.8</v>
      </c>
      <c r="P228" s="40" t="n">
        <v>1.27</v>
      </c>
      <c r="Q228" s="31" t="n">
        <v>1.21</v>
      </c>
      <c r="R228" s="32" t="n">
        <v>2.62</v>
      </c>
      <c r="S228" s="33" t="n"/>
      <c r="T228" s="32" t="n"/>
      <c r="U228" s="22" t="n"/>
      <c r="V228" s="22" t="n"/>
      <c r="W228" s="31" t="n"/>
      <c r="X228" s="31" t="n"/>
      <c r="Y228" s="35" t="n"/>
      <c r="Z228" s="35" t="n"/>
      <c r="AA228" s="22" t="n"/>
      <c r="AB228" s="22" t="n"/>
      <c r="AC228" s="22" t="n"/>
      <c r="AD228" s="22" t="n"/>
      <c r="AE228" s="22" t="n"/>
      <c r="AK228">
        <f>IF(AND(Screener!$B$7&lt;&gt;"",$E228=Screener!$B$7),1,0)</f>
        <v/>
      </c>
      <c r="AL228">
        <f>IF(AND(Screener!$B$6&lt;&gt;"",$D228=Screener!$B$6),1,0)</f>
        <v/>
      </c>
      <c r="AM228">
        <f>IF(OR($H228="",Screener!$B$8=""),0,MAX(0,1-ABS(LOG10($H228/Screener!$B$8))/W_SIZEHW))</f>
        <v/>
      </c>
      <c r="AN228">
        <f>IF(OR($V228="",Screener!$B$9=""),0,IF($V228=Screener!$B$9,1,0))</f>
        <v/>
      </c>
      <c r="AO228">
        <f>IF(OR($AA228="",Screener!$B$10=""),0,IF($AA228=Screener!$B$10,1,0))</f>
        <v/>
      </c>
      <c r="AP228">
        <f>IF($G228="",0,MAX(0,1-(Screener!$B$12-$G228)/W_RECD))</f>
        <v/>
      </c>
      <c r="AQ228">
        <f>IF($B228=Screener!$B$3,-999999,W_SUB*AK228+W_SEC*AL228*(1-AK228)+W_SIZE*AM228+W_PROF*AN228+W_AH*AO228+W_REC*AP228)+ROW()/1000000</f>
        <v/>
      </c>
      <c r="AR228">
        <f>IF(OR('NEW DEAL'!$B$6="",$E228&lt;&gt;'NEW DEAL'!$B$6),-1,1+IF(OR($H228="",'NEW DEAL'!$B$7=""),0,MAX(0,1-ABS(LOG10($H228/'NEW DEAL'!$B$7))/W_SIZEHW)))+ROW()/1000000</f>
        <v/>
      </c>
    </row>
    <row r="229">
      <c r="A229" s="23" t="inlineStr">
        <is>
          <t>2502</t>
        </is>
      </c>
      <c r="B229" s="22" t="inlineStr">
        <is>
          <t>JINYUAN HCHEM</t>
        </is>
      </c>
      <c r="C229" s="22" t="inlineStr">
        <is>
          <t>河南金源氫化化工股份有限公司</t>
        </is>
      </c>
      <c r="D229" s="24" t="inlineStr">
        <is>
          <t>Materials/Energy</t>
        </is>
      </c>
      <c r="E229" s="24" t="inlineStr">
        <is>
          <t>Chemicals</t>
        </is>
      </c>
      <c r="F229" s="22" t="inlineStr">
        <is>
          <t>Standard</t>
        </is>
      </c>
      <c r="G229" s="25" t="n">
        <v>45280</v>
      </c>
      <c r="H229" s="26" t="n">
        <v>286.69</v>
      </c>
      <c r="I229" s="22" t="inlineStr">
        <is>
          <t>gross (stated)</t>
        </is>
      </c>
      <c r="J229" s="27" t="n">
        <v>1.1</v>
      </c>
      <c r="K229" s="27" t="n">
        <v>1.5</v>
      </c>
      <c r="L229" s="27" t="n">
        <v>1.2</v>
      </c>
      <c r="M229" s="28" t="n">
        <v>25</v>
      </c>
      <c r="N229" s="29" t="inlineStr">
        <is>
          <t>N</t>
        </is>
      </c>
      <c r="O229" s="26" t="n">
        <v>1146.8</v>
      </c>
      <c r="P229" s="40" t="n">
        <v>42.82</v>
      </c>
      <c r="Q229" s="31" t="n">
        <v>1.07</v>
      </c>
      <c r="R229" s="32" t="n">
        <v>-27.5</v>
      </c>
      <c r="S229" s="33" t="n">
        <v>54.7</v>
      </c>
      <c r="T229" s="28" t="n">
        <v>5</v>
      </c>
      <c r="U229" s="22" t="n"/>
      <c r="V229" s="29" t="inlineStr">
        <is>
          <t>Y</t>
        </is>
      </c>
      <c r="W229" s="34" t="n">
        <v>5.4</v>
      </c>
      <c r="X229" s="34" t="n">
        <v>0.5</v>
      </c>
      <c r="Y229" s="36" t="n">
        <v>2480</v>
      </c>
      <c r="Z229" s="36" t="n">
        <v>213.5</v>
      </c>
      <c r="AA229" s="22" t="n"/>
      <c r="AB229" s="22" t="n"/>
      <c r="AC229" s="22" t="inlineStr">
        <is>
          <t>Haitong International Capital Limited</t>
        </is>
      </c>
      <c r="AD229" s="22" t="inlineStr">
        <is>
          <t>Managers ABCI Capital Limited; ABCI Securities Company Limited</t>
        </is>
      </c>
      <c r="AE229" s="22" t="n"/>
      <c r="AK229">
        <f>IF(AND(Screener!$B$7&lt;&gt;"",$E229=Screener!$B$7),1,0)</f>
        <v/>
      </c>
      <c r="AL229">
        <f>IF(AND(Screener!$B$6&lt;&gt;"",$D229=Screener!$B$6),1,0)</f>
        <v/>
      </c>
      <c r="AM229">
        <f>IF(OR($H229="",Screener!$B$8=""),0,MAX(0,1-ABS(LOG10($H229/Screener!$B$8))/W_SIZEHW))</f>
        <v/>
      </c>
      <c r="AN229">
        <f>IF(OR($V229="",Screener!$B$9=""),0,IF($V229=Screener!$B$9,1,0))</f>
        <v/>
      </c>
      <c r="AO229">
        <f>IF(OR($AA229="",Screener!$B$10=""),0,IF($AA229=Screener!$B$10,1,0))</f>
        <v/>
      </c>
      <c r="AP229">
        <f>IF($G229="",0,MAX(0,1-(Screener!$B$12-$G229)/W_RECD))</f>
        <v/>
      </c>
      <c r="AQ229">
        <f>IF($B229=Screener!$B$3,-999999,W_SUB*AK229+W_SEC*AL229*(1-AK229)+W_SIZE*AM229+W_PROF*AN229+W_AH*AO229+W_REC*AP229)+ROW()/1000000</f>
        <v/>
      </c>
      <c r="AR229">
        <f>IF(OR('NEW DEAL'!$B$6="",$E229&lt;&gt;'NEW DEAL'!$B$6),-1,1+IF(OR($H229="",'NEW DEAL'!$B$7=""),0,MAX(0,1-ABS(LOG10($H229/'NEW DEAL'!$B$7))/W_SIZEHW)))+ROW()/1000000</f>
        <v/>
      </c>
    </row>
    <row r="230">
      <c r="A230" s="23" t="inlineStr">
        <is>
          <t>1274</t>
        </is>
      </c>
      <c r="B230" s="22" t="inlineStr">
        <is>
          <t>IMOTIONAUTOTECH</t>
        </is>
      </c>
      <c r="C230" s="22" t="inlineStr">
        <is>
          <t>技(蘇州)股</t>
        </is>
      </c>
      <c r="D230" s="24" t="inlineStr">
        <is>
          <t>Tech/AI</t>
        </is>
      </c>
      <c r="E230" s="24" t="inlineStr">
        <is>
          <t>Robotics &amp; autonomous driving</t>
        </is>
      </c>
      <c r="F230" s="22" t="inlineStr">
        <is>
          <t>Standard</t>
        </is>
      </c>
      <c r="G230" s="25" t="n">
        <v>45280</v>
      </c>
      <c r="H230" s="26" t="n">
        <v>655.7</v>
      </c>
      <c r="I230" s="22" t="inlineStr">
        <is>
          <t>gross (price x shares)</t>
        </is>
      </c>
      <c r="J230" s="27" t="n"/>
      <c r="K230" s="27" t="n">
        <v>29.65</v>
      </c>
      <c r="L230" s="27" t="n">
        <v>29.65</v>
      </c>
      <c r="M230" s="32" t="n"/>
      <c r="N230" s="29" t="inlineStr">
        <is>
          <t>Y</t>
        </is>
      </c>
      <c r="O230" s="26" t="n">
        <v>6710.7</v>
      </c>
      <c r="P230" s="40" t="n">
        <v>6.46</v>
      </c>
      <c r="Q230" s="31" t="n">
        <v>1.07</v>
      </c>
      <c r="R230" s="32" t="n">
        <v>-12.82</v>
      </c>
      <c r="S230" s="42" t="n">
        <v>79.09999999999999</v>
      </c>
      <c r="T230" s="32" t="n"/>
      <c r="U230" s="22" t="n"/>
      <c r="V230" s="22" t="n"/>
      <c r="W230" s="31" t="n"/>
      <c r="X230" s="34" t="n">
        <v>4.6</v>
      </c>
      <c r="Y230" s="36" t="n">
        <v>1458.5</v>
      </c>
      <c r="Z230" s="35" t="n"/>
      <c r="AA230" s="22" t="n"/>
      <c r="AB230" s="22" t="n"/>
      <c r="AC230" s="22" t="inlineStr">
        <is>
          <t>and Sponsor-Overall Coordinators Citigroup Global Markets Asia Limited; Huatai Financial Holdings (Hong Kong) Limited; CCB International Capital Limited</t>
        </is>
      </c>
      <c r="AD230" s="22" t="inlineStr">
        <is>
          <t>Citigroup Global Markets Asia Limited; Huatai Financial Holdings (Hong Kong) Limited; CCB International Capital Limited; DBS Asia Capital Limited; Citigroup Global Markets Limited; London E14 5LB United Kingdom Huatai Financial Holdings (Hong Kong) Limited; CMB International Capital Limited; Goldlink Securities Limited; Soochow Securities International Brokerage Limited; Mouette Securities Company Limited</t>
        </is>
      </c>
      <c r="AE230" s="22" t="n"/>
      <c r="AK230">
        <f>IF(AND(Screener!$B$7&lt;&gt;"",$E230=Screener!$B$7),1,0)</f>
        <v/>
      </c>
      <c r="AL230">
        <f>IF(AND(Screener!$B$6&lt;&gt;"",$D230=Screener!$B$6),1,0)</f>
        <v/>
      </c>
      <c r="AM230">
        <f>IF(OR($H230="",Screener!$B$8=""),0,MAX(0,1-ABS(LOG10($H230/Screener!$B$8))/W_SIZEHW))</f>
        <v/>
      </c>
      <c r="AN230">
        <f>IF(OR($V230="",Screener!$B$9=""),0,IF($V230=Screener!$B$9,1,0))</f>
        <v/>
      </c>
      <c r="AO230">
        <f>IF(OR($AA230="",Screener!$B$10=""),0,IF($AA230=Screener!$B$10,1,0))</f>
        <v/>
      </c>
      <c r="AP230">
        <f>IF($G230="",0,MAX(0,1-(Screener!$B$12-$G230)/W_RECD))</f>
        <v/>
      </c>
      <c r="AQ230">
        <f>IF($B230=Screener!$B$3,-999999,W_SUB*AK230+W_SEC*AL230*(1-AK230)+W_SIZE*AM230+W_PROF*AN230+W_AH*AO230+W_REC*AP230)+ROW()/1000000</f>
        <v/>
      </c>
      <c r="AR230">
        <f>IF(OR('NEW DEAL'!$B$6="",$E230&lt;&gt;'NEW DEAL'!$B$6),-1,1+IF(OR($H230="",'NEW DEAL'!$B$7=""),0,MAX(0,1-ABS(LOG10($H230/'NEW DEAL'!$B$7))/W_SIZEHW)))+ROW()/1000000</f>
        <v/>
      </c>
    </row>
    <row r="231">
      <c r="A231" s="23" t="inlineStr">
        <is>
          <t>2516</t>
        </is>
      </c>
      <c r="B231" s="22" t="inlineStr">
        <is>
          <t>FAR INTL</t>
        </is>
      </c>
      <c r="C231" s="22" t="inlineStr">
        <is>
          <t>泛遠國際控股集團有限公司</t>
        </is>
      </c>
      <c r="D231" s="24" t="inlineStr">
        <is>
          <t>Industrials</t>
        </is>
      </c>
      <c r="E231" s="24" t="inlineStr">
        <is>
          <t>Logistics</t>
        </is>
      </c>
      <c r="F231" s="22" t="inlineStr">
        <is>
          <t>Standard</t>
        </is>
      </c>
      <c r="G231" s="25" t="n">
        <v>45282</v>
      </c>
      <c r="H231" s="26" t="n">
        <v>126</v>
      </c>
      <c r="I231" s="22" t="inlineStr">
        <is>
          <t>gross (price x shares)</t>
        </is>
      </c>
      <c r="J231" s="27" t="n"/>
      <c r="K231" s="27" t="n"/>
      <c r="L231" s="27" t="n">
        <v>0.9</v>
      </c>
      <c r="M231" s="32" t="n"/>
      <c r="N231" s="22" t="n"/>
      <c r="O231" s="26" t="n">
        <v>702</v>
      </c>
      <c r="P231" s="40" t="n">
        <v>14.49</v>
      </c>
      <c r="Q231" s="31" t="n"/>
      <c r="R231" s="32" t="n">
        <v>11.11</v>
      </c>
      <c r="S231" s="33" t="n">
        <v>39.68</v>
      </c>
      <c r="T231" s="32" t="n">
        <v>7.12</v>
      </c>
      <c r="U231" s="22" t="inlineStr">
        <is>
          <t>not-yet (at allotment)</t>
        </is>
      </c>
      <c r="V231" s="29" t="inlineStr">
        <is>
          <t>Y</t>
        </is>
      </c>
      <c r="W231" s="34" t="n">
        <v>24.7</v>
      </c>
      <c r="X231" s="34" t="n">
        <v>0.5</v>
      </c>
      <c r="Y231" s="36" t="n">
        <v>1377.2</v>
      </c>
      <c r="Z231" s="36" t="n">
        <v>28.4</v>
      </c>
      <c r="AA231" s="22" t="n"/>
      <c r="AB231" s="22" t="n"/>
      <c r="AC231" s="22" t="n"/>
      <c r="AD231" s="22" t="n"/>
      <c r="AE231" s="22" t="n"/>
      <c r="AK231">
        <f>IF(AND(Screener!$B$7&lt;&gt;"",$E231=Screener!$B$7),1,0)</f>
        <v/>
      </c>
      <c r="AL231">
        <f>IF(AND(Screener!$B$6&lt;&gt;"",$D231=Screener!$B$6),1,0)</f>
        <v/>
      </c>
      <c r="AM231">
        <f>IF(OR($H231="",Screener!$B$8=""),0,MAX(0,1-ABS(LOG10($H231/Screener!$B$8))/W_SIZEHW))</f>
        <v/>
      </c>
      <c r="AN231">
        <f>IF(OR($V231="",Screener!$B$9=""),0,IF($V231=Screener!$B$9,1,0))</f>
        <v/>
      </c>
      <c r="AO231">
        <f>IF(OR($AA231="",Screener!$B$10=""),0,IF($AA231=Screener!$B$10,1,0))</f>
        <v/>
      </c>
      <c r="AP231">
        <f>IF($G231="",0,MAX(0,1-(Screener!$B$12-$G231)/W_RECD))</f>
        <v/>
      </c>
      <c r="AQ231">
        <f>IF($B231=Screener!$B$3,-999999,W_SUB*AK231+W_SEC*AL231*(1-AK231)+W_SIZE*AM231+W_PROF*AN231+W_AH*AO231+W_REC*AP231)+ROW()/1000000</f>
        <v/>
      </c>
      <c r="AR231">
        <f>IF(OR('NEW DEAL'!$B$6="",$E231&lt;&gt;'NEW DEAL'!$B$6),-1,1+IF(OR($H231="",'NEW DEAL'!$B$7=""),0,MAX(0,1-ABS(LOG10($H231/'NEW DEAL'!$B$7))/W_SIZEHW)))+ROW()/1000000</f>
        <v/>
      </c>
    </row>
    <row r="232">
      <c r="A232" s="23" t="inlineStr">
        <is>
          <t>2489</t>
        </is>
      </c>
      <c r="B232" s="22" t="inlineStr">
        <is>
          <t>PERSISTENCE RES</t>
        </is>
      </c>
      <c r="C232" s="22" t="n"/>
      <c r="D232" s="24" t="inlineStr">
        <is>
          <t>Materials/Energy</t>
        </is>
      </c>
      <c r="E232" s="24" t="inlineStr">
        <is>
          <t>Mining / metals</t>
        </is>
      </c>
      <c r="F232" s="22" t="inlineStr">
        <is>
          <t>Standard</t>
        </is>
      </c>
      <c r="G232" s="25" t="n">
        <v>45282</v>
      </c>
      <c r="H232" s="26" t="n">
        <v>275</v>
      </c>
      <c r="I232" s="22" t="inlineStr">
        <is>
          <t>gross (price x shares)</t>
        </is>
      </c>
      <c r="J232" s="27" t="n">
        <v>0.55</v>
      </c>
      <c r="K232" s="27" t="n">
        <v>0.75</v>
      </c>
      <c r="L232" s="27" t="n">
        <v>0.55</v>
      </c>
      <c r="M232" s="28" t="n">
        <v>0</v>
      </c>
      <c r="N232" s="29" t="inlineStr">
        <is>
          <t>N</t>
        </is>
      </c>
      <c r="O232" s="26" t="n">
        <v>1100</v>
      </c>
      <c r="P232" s="40" t="n">
        <v>8.76</v>
      </c>
      <c r="Q232" s="31" t="n">
        <v>1.03</v>
      </c>
      <c r="R232" s="32" t="n">
        <v>1.82</v>
      </c>
      <c r="S232" s="33" t="n">
        <v>39.6</v>
      </c>
      <c r="T232" s="32" t="n">
        <v>15</v>
      </c>
      <c r="U232" s="22" t="n"/>
      <c r="V232" s="29" t="inlineStr">
        <is>
          <t>Y</t>
        </is>
      </c>
      <c r="W232" s="34" t="n">
        <v>8.300000000000001</v>
      </c>
      <c r="X232" s="34" t="n">
        <v>2.4</v>
      </c>
      <c r="Y232" s="36" t="n">
        <v>460.3</v>
      </c>
      <c r="Z232" s="36" t="n">
        <v>133.1</v>
      </c>
      <c r="AA232" s="22" t="n"/>
      <c r="AB232" s="22" t="n"/>
      <c r="AC232" s="22" t="n"/>
      <c r="AD232" s="22" t="inlineStr">
        <is>
          <t>and CMI ABCI Capital Limited</t>
        </is>
      </c>
      <c r="AE232" s="22" t="n"/>
      <c r="AK232">
        <f>IF(AND(Screener!$B$7&lt;&gt;"",$E232=Screener!$B$7),1,0)</f>
        <v/>
      </c>
      <c r="AL232">
        <f>IF(AND(Screener!$B$6&lt;&gt;"",$D232=Screener!$B$6),1,0)</f>
        <v/>
      </c>
      <c r="AM232">
        <f>IF(OR($H232="",Screener!$B$8=""),0,MAX(0,1-ABS(LOG10($H232/Screener!$B$8))/W_SIZEHW))</f>
        <v/>
      </c>
      <c r="AN232">
        <f>IF(OR($V232="",Screener!$B$9=""),0,IF($V232=Screener!$B$9,1,0))</f>
        <v/>
      </c>
      <c r="AO232">
        <f>IF(OR($AA232="",Screener!$B$10=""),0,IF($AA232=Screener!$B$10,1,0))</f>
        <v/>
      </c>
      <c r="AP232">
        <f>IF($G232="",0,MAX(0,1-(Screener!$B$12-$G232)/W_RECD))</f>
        <v/>
      </c>
      <c r="AQ232">
        <f>IF($B232=Screener!$B$3,-999999,W_SUB*AK232+W_SEC*AL232*(1-AK232)+W_SIZE*AM232+W_PROF*AN232+W_AH*AO232+W_REC*AP232)+ROW()/1000000</f>
        <v/>
      </c>
      <c r="AR232">
        <f>IF(OR('NEW DEAL'!$B$6="",$E232&lt;&gt;'NEW DEAL'!$B$6),-1,1+IF(OR($H232="",'NEW DEAL'!$B$7=""),0,MAX(0,1-ABS(LOG10($H232/'NEW DEAL'!$B$7))/W_SIZEHW)))+ROW()/1000000</f>
        <v/>
      </c>
    </row>
    <row r="233">
      <c r="A233" s="23" t="inlineStr">
        <is>
          <t>2511</t>
        </is>
      </c>
      <c r="B233" s="22" t="inlineStr">
        <is>
          <t>HIGHTIDE-B</t>
        </is>
      </c>
      <c r="C233" s="22" t="n"/>
      <c r="D233" s="24" t="inlineStr">
        <is>
          <t>Healthcare</t>
        </is>
      </c>
      <c r="E233" s="24" t="inlineStr">
        <is>
          <t>Biotech pre-revenue (18A)</t>
        </is>
      </c>
      <c r="F233" s="38" t="inlineStr">
        <is>
          <t>18A</t>
        </is>
      </c>
      <c r="G233" s="25" t="n">
        <v>45282</v>
      </c>
      <c r="H233" s="26" t="n">
        <v>278.2</v>
      </c>
      <c r="I233" s="22" t="inlineStr">
        <is>
          <t>gross (price x shares)</t>
        </is>
      </c>
      <c r="J233" s="27" t="n"/>
      <c r="K233" s="27" t="n">
        <v>11.5</v>
      </c>
      <c r="L233" s="27" t="n">
        <v>11.5</v>
      </c>
      <c r="M233" s="32" t="n"/>
      <c r="N233" s="29" t="inlineStr">
        <is>
          <t>Y</t>
        </is>
      </c>
      <c r="O233" s="26" t="n">
        <v>5919.9</v>
      </c>
      <c r="P233" s="40" t="n">
        <v>32.22</v>
      </c>
      <c r="Q233" s="31" t="n">
        <v>1.25</v>
      </c>
      <c r="R233" s="32" t="n">
        <v>7.65</v>
      </c>
      <c r="S233" s="33" t="n">
        <v>39.21</v>
      </c>
      <c r="T233" s="32" t="n"/>
      <c r="U233" s="22" t="n"/>
      <c r="V233" s="29" t="inlineStr">
        <is>
          <t>N</t>
        </is>
      </c>
      <c r="W233" s="31" t="n"/>
      <c r="X233" s="31" t="n"/>
      <c r="Y233" s="35" t="n"/>
      <c r="Z233" s="36" t="n">
        <v>-243.3</v>
      </c>
      <c r="AA233" s="22" t="n"/>
      <c r="AB233" s="22" t="n"/>
      <c r="AC233" s="22" t="n"/>
      <c r="AD233" s="22" t="inlineStr">
        <is>
          <t>sa nd Joint Lead Managers UBS AG Hon g Kong Branch; CapitalM arket Interme diarie s UBS AG Hon g Kong Branch</t>
        </is>
      </c>
      <c r="AE233" s="22" t="n"/>
      <c r="AK233">
        <f>IF(AND(Screener!$B$7&lt;&gt;"",$E233=Screener!$B$7),1,0)</f>
        <v/>
      </c>
      <c r="AL233">
        <f>IF(AND(Screener!$B$6&lt;&gt;"",$D233=Screener!$B$6),1,0)</f>
        <v/>
      </c>
      <c r="AM233">
        <f>IF(OR($H233="",Screener!$B$8=""),0,MAX(0,1-ABS(LOG10($H233/Screener!$B$8))/W_SIZEHW))</f>
        <v/>
      </c>
      <c r="AN233">
        <f>IF(OR($V233="",Screener!$B$9=""),0,IF($V233=Screener!$B$9,1,0))</f>
        <v/>
      </c>
      <c r="AO233">
        <f>IF(OR($AA233="",Screener!$B$10=""),0,IF($AA233=Screener!$B$10,1,0))</f>
        <v/>
      </c>
      <c r="AP233">
        <f>IF($G233="",0,MAX(0,1-(Screener!$B$12-$G233)/W_RECD))</f>
        <v/>
      </c>
      <c r="AQ233">
        <f>IF($B233=Screener!$B$3,-999999,W_SUB*AK233+W_SEC*AL233*(1-AK233)+W_SIZE*AM233+W_PROF*AN233+W_AH*AO233+W_REC*AP233)+ROW()/1000000</f>
        <v/>
      </c>
      <c r="AR233">
        <f>IF(OR('NEW DEAL'!$B$6="",$E233&lt;&gt;'NEW DEAL'!$B$6),-1,1+IF(OR($H233="",'NEW DEAL'!$B$7=""),0,MAX(0,1-ABS(LOG10($H233/'NEW DEAL'!$B$7))/W_SIZEHW)))+ROW()/1000000</f>
        <v/>
      </c>
    </row>
    <row r="234">
      <c r="A234" s="23" t="inlineStr">
        <is>
          <t>6911</t>
        </is>
      </c>
      <c r="B234" s="22" t="inlineStr">
        <is>
          <t>LANCANG TEA</t>
        </is>
      </c>
      <c r="C234" s="22" t="n"/>
      <c r="D234" s="24" t="inlineStr">
        <is>
          <t>Consumer</t>
        </is>
      </c>
      <c r="E234" s="24" t="inlineStr">
        <is>
          <t>Beverages / packaged food</t>
        </is>
      </c>
      <c r="F234" s="22" t="inlineStr">
        <is>
          <t>Standard</t>
        </is>
      </c>
      <c r="G234" s="25" t="n">
        <v>45282</v>
      </c>
      <c r="H234" s="26" t="n">
        <v>224.7</v>
      </c>
      <c r="I234" s="22" t="inlineStr">
        <is>
          <t>gross (price x shares)</t>
        </is>
      </c>
      <c r="J234" s="27" t="n">
        <v>10.4</v>
      </c>
      <c r="K234" s="27" t="n">
        <v>14.16</v>
      </c>
      <c r="L234" s="27" t="n">
        <v>10.7</v>
      </c>
      <c r="M234" s="28" t="n">
        <v>8</v>
      </c>
      <c r="N234" s="29" t="inlineStr">
        <is>
          <t>N</t>
        </is>
      </c>
      <c r="O234" s="26" t="n">
        <v>898.8</v>
      </c>
      <c r="P234" s="40" t="n">
        <v>13.23</v>
      </c>
      <c r="Q234" s="31" t="n">
        <v>1.32</v>
      </c>
      <c r="R234" s="32" t="n">
        <v>21.96</v>
      </c>
      <c r="S234" s="33" t="n">
        <v>50.31</v>
      </c>
      <c r="T234" s="28" t="n">
        <v>2.6</v>
      </c>
      <c r="U234" s="22" t="n"/>
      <c r="V234" s="29" t="inlineStr">
        <is>
          <t>Y</t>
        </is>
      </c>
      <c r="W234" s="34" t="n">
        <v>11.6</v>
      </c>
      <c r="X234" s="34" t="n">
        <v>1.8</v>
      </c>
      <c r="Y234" s="36" t="n">
        <v>509.2</v>
      </c>
      <c r="Z234" s="36" t="n">
        <v>77.5</v>
      </c>
      <c r="AA234" s="22" t="n"/>
      <c r="AB234" s="22" t="n"/>
      <c r="AC234" s="22" t="inlineStr">
        <is>
          <t>China Securities (International) Corporate Finance Company Limited; China Merchants Securities (HK) Co., Limited</t>
        </is>
      </c>
      <c r="AD234" s="22" t="inlineStr">
        <is>
          <t>China Securities (International) Corporate Finance Company Limited; China Merchants Securities (HK) Co., Limited; ABCI Capital Limited; CMB International Capital Limited; Haitong International Securities Company Limited; Zhongtai International Securities Limited; Eddid Securities and Futures Limited; ICBC International Securities Limited; Valuable Capital Limited; Futu Securities International (Hong Kong) Limited; Shenwan Hongyuan Securities (H.K.) Limited</t>
        </is>
      </c>
      <c r="AE234" s="22" t="n"/>
      <c r="AK234">
        <f>IF(AND(Screener!$B$7&lt;&gt;"",$E234=Screener!$B$7),1,0)</f>
        <v/>
      </c>
      <c r="AL234">
        <f>IF(AND(Screener!$B$6&lt;&gt;"",$D234=Screener!$B$6),1,0)</f>
        <v/>
      </c>
      <c r="AM234">
        <f>IF(OR($H234="",Screener!$B$8=""),0,MAX(0,1-ABS(LOG10($H234/Screener!$B$8))/W_SIZEHW))</f>
        <v/>
      </c>
      <c r="AN234">
        <f>IF(OR($V234="",Screener!$B$9=""),0,IF($V234=Screener!$B$9,1,0))</f>
        <v/>
      </c>
      <c r="AO234">
        <f>IF(OR($AA234="",Screener!$B$10=""),0,IF($AA234=Screener!$B$10,1,0))</f>
        <v/>
      </c>
      <c r="AP234">
        <f>IF($G234="",0,MAX(0,1-(Screener!$B$12-$G234)/W_RECD))</f>
        <v/>
      </c>
      <c r="AQ234">
        <f>IF($B234=Screener!$B$3,-999999,W_SUB*AK234+W_SEC*AL234*(1-AK234)+W_SIZE*AM234+W_PROF*AN234+W_AH*AO234+W_REC*AP234)+ROW()/1000000</f>
        <v/>
      </c>
      <c r="AR234">
        <f>IF(OR('NEW DEAL'!$B$6="",$E234&lt;&gt;'NEW DEAL'!$B$6),-1,1+IF(OR($H234="",'NEW DEAL'!$B$7=""),0,MAX(0,1-ABS(LOG10($H234/'NEW DEAL'!$B$7))/W_SIZEHW)))+ROW()/1000000</f>
        <v/>
      </c>
    </row>
    <row r="235">
      <c r="A235" s="23" t="inlineStr">
        <is>
          <t>2149</t>
        </is>
      </c>
      <c r="B235" s="22" t="inlineStr">
        <is>
          <t>BATELAB</t>
        </is>
      </c>
      <c r="C235" s="22" t="inlineStr">
        <is>
          <t>蘇州貝克微電子股份有限公司</t>
        </is>
      </c>
      <c r="D235" s="24" t="inlineStr">
        <is>
          <t>Tech/AI</t>
        </is>
      </c>
      <c r="E235" s="24" t="inlineStr">
        <is>
          <t>AI chips &amp; semis</t>
        </is>
      </c>
      <c r="F235" s="22" t="inlineStr">
        <is>
          <t>Standard</t>
        </is>
      </c>
      <c r="G235" s="25" t="n">
        <v>45288</v>
      </c>
      <c r="H235" s="26" t="n">
        <v>412.1</v>
      </c>
      <c r="I235" s="22" t="inlineStr">
        <is>
          <t>gross (price x shares)</t>
        </is>
      </c>
      <c r="J235" s="27" t="n"/>
      <c r="K235" s="27" t="n">
        <v>38.45</v>
      </c>
      <c r="L235" s="27" t="n">
        <v>27.47</v>
      </c>
      <c r="M235" s="32" t="n"/>
      <c r="N235" s="29" t="inlineStr">
        <is>
          <t>N</t>
        </is>
      </c>
      <c r="O235" s="26" t="n">
        <v>1648.2</v>
      </c>
      <c r="P235" s="40" t="n">
        <v>1.34</v>
      </c>
      <c r="Q235" s="31" t="n">
        <v>1.36</v>
      </c>
      <c r="R235" s="32" t="n">
        <v>-17.36</v>
      </c>
      <c r="S235" s="33" t="n">
        <v>0</v>
      </c>
      <c r="T235" s="32" t="n">
        <v>13.2</v>
      </c>
      <c r="U235" s="22" t="n"/>
      <c r="V235" s="29" t="inlineStr">
        <is>
          <t>Y</t>
        </is>
      </c>
      <c r="W235" s="34" t="n">
        <v>15.7</v>
      </c>
      <c r="X235" s="31" t="n"/>
      <c r="Y235" s="35" t="n"/>
      <c r="Z235" s="36" t="n">
        <v>104.8</v>
      </c>
      <c r="AA235" s="22" t="n"/>
      <c r="AB235" s="22" t="n"/>
      <c r="AC235" s="22" t="n"/>
      <c r="AD235" s="22" t="inlineStr">
        <is>
          <t>China International Capital Corporation Hong Kong Securities Limited; Central, Hong Kong China Galaxy International Securities (Hong Kong) Co., Limited; CMB International Capital Limited; Central, Hong Kong GF Securities (Hong Kong) Brokerage Limited; Guotai Junan Securities (Hong Kong) Limited; (Hong Kong) Co., Limited; ABCI Capital Limited; ICBC International Securities Limited; Soochow Securities International Brokerage Limited</t>
        </is>
      </c>
      <c r="AE235" s="22" t="n"/>
      <c r="AK235">
        <f>IF(AND(Screener!$B$7&lt;&gt;"",$E235=Screener!$B$7),1,0)</f>
        <v/>
      </c>
      <c r="AL235">
        <f>IF(AND(Screener!$B$6&lt;&gt;"",$D235=Screener!$B$6),1,0)</f>
        <v/>
      </c>
      <c r="AM235">
        <f>IF(OR($H235="",Screener!$B$8=""),0,MAX(0,1-ABS(LOG10($H235/Screener!$B$8))/W_SIZEHW))</f>
        <v/>
      </c>
      <c r="AN235">
        <f>IF(OR($V235="",Screener!$B$9=""),0,IF($V235=Screener!$B$9,1,0))</f>
        <v/>
      </c>
      <c r="AO235">
        <f>IF(OR($AA235="",Screener!$B$10=""),0,IF($AA235=Screener!$B$10,1,0))</f>
        <v/>
      </c>
      <c r="AP235">
        <f>IF($G235="",0,MAX(0,1-(Screener!$B$12-$G235)/W_RECD))</f>
        <v/>
      </c>
      <c r="AQ235">
        <f>IF($B235=Screener!$B$3,-999999,W_SUB*AK235+W_SEC*AL235*(1-AK235)+W_SIZE*AM235+W_PROF*AN235+W_AH*AO235+W_REC*AP235)+ROW()/1000000</f>
        <v/>
      </c>
      <c r="AR235">
        <f>IF(OR('NEW DEAL'!$B$6="",$E235&lt;&gt;'NEW DEAL'!$B$6),-1,1+IF(OR($H235="",'NEW DEAL'!$B$7=""),0,MAX(0,1-ABS(LOG10($H235/'NEW DEAL'!$B$7))/W_SIZEHW)))+ROW()/1000000</f>
        <v/>
      </c>
    </row>
    <row r="236">
      <c r="A236" s="23" t="inlineStr">
        <is>
          <t>9880</t>
        </is>
      </c>
      <c r="B236" s="22" t="inlineStr">
        <is>
          <t>UBTECH ROBOTICS</t>
        </is>
      </c>
      <c r="C236" s="22" t="n"/>
      <c r="D236" s="24" t="inlineStr">
        <is>
          <t>Tech/AI</t>
        </is>
      </c>
      <c r="E236" s="24" t="inlineStr">
        <is>
          <t>Robotics &amp; autonomous driving</t>
        </is>
      </c>
      <c r="F236" s="22" t="inlineStr">
        <is>
          <t>Standard</t>
        </is>
      </c>
      <c r="G236" s="39" t="n">
        <v>45289</v>
      </c>
      <c r="H236" s="26" t="n">
        <v>1015.38</v>
      </c>
      <c r="I236" s="22" t="inlineStr">
        <is>
          <t>gross (stated)</t>
        </is>
      </c>
      <c r="J236" s="27" t="n"/>
      <c r="K236" s="27" t="n">
        <v>116</v>
      </c>
      <c r="L236" s="27" t="n">
        <v>90</v>
      </c>
      <c r="M236" s="32" t="n"/>
      <c r="N236" s="29" t="inlineStr">
        <is>
          <t>N</t>
        </is>
      </c>
      <c r="O236" s="26" t="n">
        <v>37606.6</v>
      </c>
      <c r="P236" s="40" t="n">
        <v>5.16</v>
      </c>
      <c r="Q236" s="31" t="n"/>
      <c r="R236" s="32" t="n">
        <v>0.9399999999999999</v>
      </c>
      <c r="S236" s="33" t="n">
        <v>10</v>
      </c>
      <c r="T236" s="28" t="n">
        <v>15</v>
      </c>
      <c r="U236" s="22" t="n"/>
      <c r="V236" s="29" t="inlineStr">
        <is>
          <t>N</t>
        </is>
      </c>
      <c r="W236" s="31" t="n"/>
      <c r="X236" s="34" t="n">
        <v>33.9</v>
      </c>
      <c r="Y236" s="36" t="n">
        <v>1109.1</v>
      </c>
      <c r="Z236" s="36" t="n">
        <v>-1086.1</v>
      </c>
      <c r="AA236" s="22" t="n"/>
      <c r="AB236" s="22" t="n"/>
      <c r="AC236" s="22" t="inlineStr">
        <is>
          <t>Guotai Junan Capital Limited</t>
        </is>
      </c>
      <c r="AD236" s="22" t="inlineStr">
        <is>
          <t>ABCI Securities Company Limited</t>
        </is>
      </c>
      <c r="AE236" s="22" t="n"/>
      <c r="AK236">
        <f>IF(AND(Screener!$B$7&lt;&gt;"",$E236=Screener!$B$7),1,0)</f>
        <v/>
      </c>
      <c r="AL236">
        <f>IF(AND(Screener!$B$6&lt;&gt;"",$D236=Screener!$B$6),1,0)</f>
        <v/>
      </c>
      <c r="AM236">
        <f>IF(OR($H236="",Screener!$B$8=""),0,MAX(0,1-ABS(LOG10($H236/Screener!$B$8))/W_SIZEHW))</f>
        <v/>
      </c>
      <c r="AN236">
        <f>IF(OR($V236="",Screener!$B$9=""),0,IF($V236=Screener!$B$9,1,0))</f>
        <v/>
      </c>
      <c r="AO236">
        <f>IF(OR($AA236="",Screener!$B$10=""),0,IF($AA236=Screener!$B$10,1,0))</f>
        <v/>
      </c>
      <c r="AP236">
        <f>IF($G236="",0,MAX(0,1-(Screener!$B$12-$G236)/W_RECD))</f>
        <v/>
      </c>
      <c r="AQ236">
        <f>IF($B236=Screener!$B$3,-999999,W_SUB*AK236+W_SEC*AL236*(1-AK236)+W_SIZE*AM236+W_PROF*AN236+W_AH*AO236+W_REC*AP236)+ROW()/1000000</f>
        <v/>
      </c>
      <c r="AR236">
        <f>IF(OR('NEW DEAL'!$B$6="",$E236&lt;&gt;'NEW DEAL'!$B$6),-1,1+IF(OR($H236="",'NEW DEAL'!$B$7=""),0,MAX(0,1-ABS(LOG10($H236/'NEW DEAL'!$B$7))/W_SIZEHW)))+ROW()/1000000</f>
        <v/>
      </c>
    </row>
    <row r="237">
      <c r="A237" s="23" t="inlineStr">
        <is>
          <t>2498</t>
        </is>
      </c>
      <c r="B237" s="22" t="inlineStr">
        <is>
          <t>ROBOSENSE</t>
        </is>
      </c>
      <c r="C237" s="22" t="n"/>
      <c r="D237" s="24" t="inlineStr">
        <is>
          <t>Tech/AI</t>
        </is>
      </c>
      <c r="E237" s="24" t="inlineStr">
        <is>
          <t>Robotics &amp; autonomous driving</t>
        </is>
      </c>
      <c r="F237" s="22" t="inlineStr">
        <is>
          <t>Standard</t>
        </is>
      </c>
      <c r="G237" s="43" t="n">
        <v>45296</v>
      </c>
      <c r="H237" s="26" t="n">
        <v>985.1</v>
      </c>
      <c r="I237" s="22" t="inlineStr">
        <is>
          <t>gross (price x shares)</t>
        </is>
      </c>
      <c r="J237" s="27" t="n"/>
      <c r="K237" s="27" t="n">
        <v>43</v>
      </c>
      <c r="L237" s="44" t="n">
        <v>43</v>
      </c>
      <c r="M237" s="32" t="n"/>
      <c r="N237" s="29" t="inlineStr">
        <is>
          <t>Y</t>
        </is>
      </c>
      <c r="O237" s="35" t="n"/>
      <c r="P237" s="40" t="n">
        <v>0.58</v>
      </c>
      <c r="Q237" s="31" t="n">
        <v>1.28</v>
      </c>
      <c r="R237" s="45" t="n">
        <v>0</v>
      </c>
      <c r="S237" s="33" t="n">
        <v>88.3</v>
      </c>
      <c r="T237" s="28" t="n">
        <v>12.5</v>
      </c>
      <c r="U237" s="22" t="n"/>
      <c r="V237" s="29" t="inlineStr">
        <is>
          <t>N</t>
        </is>
      </c>
      <c r="W237" s="31" t="n"/>
      <c r="X237" s="31" t="n"/>
      <c r="Y237" s="36" t="n">
        <v>583.4</v>
      </c>
      <c r="Z237" s="36" t="n">
        <v>-2294.7</v>
      </c>
      <c r="AA237" s="22" t="n"/>
      <c r="AB237" s="22" t="n"/>
      <c r="AC237" s="22" t="inlineStr">
        <is>
          <t>J.P. Morgan Securities (Far East) Limited; China Renaissance Securities (Hong Kong) Limited</t>
        </is>
      </c>
      <c r="AD237" s="22" t="inlineStr">
        <is>
          <t>J.P. Morgan Securities (Asia Pacific) Limited; J.P. Morgan Securities plc; China International Capital Corporation Hong Kong Securities Limited; Central, Hong Kong CCB International Capital Limited; Central, Hong Kong Essence International Securities (Hong Kong) Limited; Central, Hong Kong Fosun International Securities Limited; Central, Hong Kong CMB International Capital Limited; ABCI Capital Limited</t>
        </is>
      </c>
      <c r="AE237" s="22" t="n"/>
      <c r="AK237">
        <f>IF(AND(Screener!$B$7&lt;&gt;"",$E237=Screener!$B$7),1,0)</f>
        <v/>
      </c>
      <c r="AL237">
        <f>IF(AND(Screener!$B$6&lt;&gt;"",$D237=Screener!$B$6),1,0)</f>
        <v/>
      </c>
      <c r="AM237">
        <f>IF(OR($H237="",Screener!$B$8=""),0,MAX(0,1-ABS(LOG10($H237/Screener!$B$8))/W_SIZEHW))</f>
        <v/>
      </c>
      <c r="AN237">
        <f>IF(OR($V237="",Screener!$B$9=""),0,IF($V237=Screener!$B$9,1,0))</f>
        <v/>
      </c>
      <c r="AO237">
        <f>IF(OR($AA237="",Screener!$B$10=""),0,IF($AA237=Screener!$B$10,1,0))</f>
        <v/>
      </c>
      <c r="AP237">
        <f>IF($G237="",0,MAX(0,1-(Screener!$B$12-$G237)/W_RECD))</f>
        <v/>
      </c>
      <c r="AQ237">
        <f>IF($B237=Screener!$B$3,-999999,W_SUB*AK237+W_SEC*AL237*(1-AK237)+W_SIZE*AM237+W_PROF*AN237+W_AH*AO237+W_REC*AP237)+ROW()/1000000</f>
        <v/>
      </c>
      <c r="AR237">
        <f>IF(OR('NEW DEAL'!$B$6="",$E237&lt;&gt;'NEW DEAL'!$B$6),-1,1+IF(OR($H237="",'NEW DEAL'!$B$7=""),0,MAX(0,1-ABS(LOG10($H237/'NEW DEAL'!$B$7))/W_SIZEHW)))+ROW()/1000000</f>
        <v/>
      </c>
    </row>
    <row r="238">
      <c r="A238" s="23" t="inlineStr">
        <is>
          <t>2453</t>
        </is>
      </c>
      <c r="B238" s="22" t="inlineStr">
        <is>
          <t>CONCORD HC GP</t>
        </is>
      </c>
      <c r="C238" s="22" t="n"/>
      <c r="D238" s="24" t="inlineStr">
        <is>
          <t>Healthcare</t>
        </is>
      </c>
      <c r="E238" s="24" t="inlineStr">
        <is>
          <t>Hospitals / clinics</t>
        </is>
      </c>
      <c r="F238" s="22" t="inlineStr">
        <is>
          <t>Standard</t>
        </is>
      </c>
      <c r="G238" s="39" t="n">
        <v>45300</v>
      </c>
      <c r="H238" s="26" t="n">
        <v>562.9</v>
      </c>
      <c r="I238" s="22" t="inlineStr">
        <is>
          <t>gross (price x shares)</t>
        </is>
      </c>
      <c r="J238" s="27" t="n">
        <v>14.1</v>
      </c>
      <c r="K238" s="27" t="n">
        <v>16.4</v>
      </c>
      <c r="L238" s="44" t="n">
        <v>14.28</v>
      </c>
      <c r="M238" s="28" t="n">
        <v>7.8</v>
      </c>
      <c r="N238" s="29" t="inlineStr">
        <is>
          <t>N</t>
        </is>
      </c>
      <c r="O238" s="26" t="n">
        <v>10229.3</v>
      </c>
      <c r="P238" s="46" t="n">
        <v>1.99</v>
      </c>
      <c r="Q238" s="31" t="n">
        <v>1.02</v>
      </c>
      <c r="R238" s="45" t="n">
        <v>-22.41</v>
      </c>
      <c r="S238" s="33" t="n">
        <v>0</v>
      </c>
      <c r="T238" s="32" t="n"/>
      <c r="U238" s="22" t="n"/>
      <c r="V238" s="29" t="inlineStr">
        <is>
          <t>N</t>
        </is>
      </c>
      <c r="W238" s="31" t="n"/>
      <c r="X238" s="31" t="n"/>
      <c r="Y238" s="35" t="n"/>
      <c r="Z238" s="36" t="n">
        <v>-700.9</v>
      </c>
      <c r="AA238" s="22" t="n"/>
      <c r="AB238" s="22" t="n"/>
      <c r="AC238" s="22" t="inlineStr">
        <is>
          <t>China International Capital Corporation Hong Kong Securities Limited; Haitong International Capital Limited</t>
        </is>
      </c>
      <c r="AD238" s="22" t="inlineStr">
        <is>
          <t>China International Capital Corporation Hong Kong Securities Limited; Haitong International Securities Company Limited; Central, Hong Kong CCB International Capital Limited; Central, Hong Kong China Everbright Securities (HK) Limited; Wan Chai, Hong Kong CMB International Capital Limited; Central, Hong Kong Fosun International Securities Limited; Central, Hong Kong Futu Securities International (Hong Kong) Limited; Livermore Holdings Limited; Mouette Securities Company Limited; Tiger Brokers (HK) Global Limited</t>
        </is>
      </c>
      <c r="AE238" s="22" t="n"/>
      <c r="AK238">
        <f>IF(AND(Screener!$B$7&lt;&gt;"",$E238=Screener!$B$7),1,0)</f>
        <v/>
      </c>
      <c r="AL238">
        <f>IF(AND(Screener!$B$6&lt;&gt;"",$D238=Screener!$B$6),1,0)</f>
        <v/>
      </c>
      <c r="AM238">
        <f>IF(OR($H238="",Screener!$B$8=""),0,MAX(0,1-ABS(LOG10($H238/Screener!$B$8))/W_SIZEHW))</f>
        <v/>
      </c>
      <c r="AN238">
        <f>IF(OR($V238="",Screener!$B$9=""),0,IF($V238=Screener!$B$9,1,0))</f>
        <v/>
      </c>
      <c r="AO238">
        <f>IF(OR($AA238="",Screener!$B$10=""),0,IF($AA238=Screener!$B$10,1,0))</f>
        <v/>
      </c>
      <c r="AP238">
        <f>IF($G238="",0,MAX(0,1-(Screener!$B$12-$G238)/W_RECD))</f>
        <v/>
      </c>
      <c r="AQ238">
        <f>IF($B238=Screener!$B$3,-999999,W_SUB*AK238+W_SEC*AL238*(1-AK238)+W_SIZE*AM238+W_PROF*AN238+W_AH*AO238+W_REC*AP238)+ROW()/1000000</f>
        <v/>
      </c>
      <c r="AR238">
        <f>IF(OR('NEW DEAL'!$B$6="",$E238&lt;&gt;'NEW DEAL'!$B$6),-1,1+IF(OR($H238="",'NEW DEAL'!$B$7=""),0,MAX(0,1-ABS(LOG10($H238/'NEW DEAL'!$B$7))/W_SIZEHW)))+ROW()/1000000</f>
        <v/>
      </c>
    </row>
    <row r="239">
      <c r="A239" s="23" t="inlineStr">
        <is>
          <t>2503</t>
        </is>
      </c>
      <c r="B239" s="22" t="inlineStr">
        <is>
          <t>ZHONGSHENJIANYE</t>
        </is>
      </c>
      <c r="C239" s="22" t="n"/>
      <c r="D239" s="24" t="inlineStr">
        <is>
          <t>Industrials</t>
        </is>
      </c>
      <c r="E239" s="24" t="inlineStr">
        <is>
          <t>Construction / engineering</t>
        </is>
      </c>
      <c r="F239" s="22" t="inlineStr">
        <is>
          <t>Standard</t>
        </is>
      </c>
      <c r="G239" s="39" t="n">
        <v>45300</v>
      </c>
      <c r="H239" s="26" t="n">
        <v>128.7</v>
      </c>
      <c r="I239" s="22" t="inlineStr">
        <is>
          <t>gross (stated)</t>
        </is>
      </c>
      <c r="J239" s="27" t="n"/>
      <c r="K239" s="27" t="n">
        <v>1</v>
      </c>
      <c r="L239" s="44" t="n">
        <v>1</v>
      </c>
      <c r="M239" s="32" t="n"/>
      <c r="N239" s="29" t="inlineStr">
        <is>
          <t>Y</t>
        </is>
      </c>
      <c r="O239" s="26" t="n">
        <v>514.8</v>
      </c>
      <c r="P239" s="46" t="n">
        <v>58.44</v>
      </c>
      <c r="Q239" s="31" t="n">
        <v>1.09</v>
      </c>
      <c r="R239" s="45" t="n">
        <v>-28</v>
      </c>
      <c r="S239" s="33" t="n">
        <v>0</v>
      </c>
      <c r="T239" s="32" t="n"/>
      <c r="U239" s="22" t="n"/>
      <c r="V239" s="29" t="inlineStr">
        <is>
          <t>Y</t>
        </is>
      </c>
      <c r="W239" s="34" t="n">
        <v>12.2</v>
      </c>
      <c r="X239" s="34" t="n">
        <v>0.3</v>
      </c>
      <c r="Y239" s="36" t="n">
        <v>1515.9</v>
      </c>
      <c r="Z239" s="36" t="n">
        <v>42.1</v>
      </c>
      <c r="AA239" s="22" t="n"/>
      <c r="AB239" s="22" t="n"/>
      <c r="AC239" s="22" t="n"/>
      <c r="AD239" s="22" t="n"/>
      <c r="AE239" s="22" t="n"/>
      <c r="AK239">
        <f>IF(AND(Screener!$B$7&lt;&gt;"",$E239=Screener!$B$7),1,0)</f>
        <v/>
      </c>
      <c r="AL239">
        <f>IF(AND(Screener!$B$6&lt;&gt;"",$D239=Screener!$B$6),1,0)</f>
        <v/>
      </c>
      <c r="AM239">
        <f>IF(OR($H239="",Screener!$B$8=""),0,MAX(0,1-ABS(LOG10($H239/Screener!$B$8))/W_SIZEHW))</f>
        <v/>
      </c>
      <c r="AN239">
        <f>IF(OR($V239="",Screener!$B$9=""),0,IF($V239=Screener!$B$9,1,0))</f>
        <v/>
      </c>
      <c r="AO239">
        <f>IF(OR($AA239="",Screener!$B$10=""),0,IF($AA239=Screener!$B$10,1,0))</f>
        <v/>
      </c>
      <c r="AP239">
        <f>IF($G239="",0,MAX(0,1-(Screener!$B$12-$G239)/W_RECD))</f>
        <v/>
      </c>
      <c r="AQ239">
        <f>IF($B239=Screener!$B$3,-999999,W_SUB*AK239+W_SEC*AL239*(1-AK239)+W_SIZE*AM239+W_PROF*AN239+W_AH*AO239+W_REC*AP239)+ROW()/1000000</f>
        <v/>
      </c>
      <c r="AR239">
        <f>IF(OR('NEW DEAL'!$B$6="",$E239&lt;&gt;'NEW DEAL'!$B$6),-1,1+IF(OR($H239="",'NEW DEAL'!$B$7=""),0,MAX(0,1-ABS(LOG10($H239/'NEW DEAL'!$B$7))/W_SIZEHW)))+ROW()/1000000</f>
        <v/>
      </c>
    </row>
    <row r="240">
      <c r="A240" s="23" t="inlineStr">
        <is>
          <t>6959</t>
        </is>
      </c>
      <c r="B240" s="22" t="inlineStr">
        <is>
          <t>CHANGJIU HLDGS</t>
        </is>
      </c>
      <c r="C240" s="22" t="inlineStr">
        <is>
          <t>长久股份有限公司</t>
        </is>
      </c>
      <c r="D240" s="24" t="inlineStr">
        <is>
          <t>Tech/AI</t>
        </is>
      </c>
      <c r="E240" s="24" t="inlineStr">
        <is>
          <t>SaaS / enterprise software</t>
        </is>
      </c>
      <c r="F240" s="22" t="inlineStr">
        <is>
          <t>Standard</t>
        </is>
      </c>
      <c r="G240" s="39" t="n">
        <v>45300</v>
      </c>
      <c r="H240" s="26" t="n">
        <v>300.71</v>
      </c>
      <c r="I240" s="22" t="inlineStr">
        <is>
          <t>gross (stated)</t>
        </is>
      </c>
      <c r="J240" s="27" t="n"/>
      <c r="K240" s="27" t="n">
        <v>7.9</v>
      </c>
      <c r="L240" s="44" t="n">
        <v>5.95</v>
      </c>
      <c r="M240" s="32" t="n"/>
      <c r="N240" s="29" t="inlineStr">
        <is>
          <t>N</t>
        </is>
      </c>
      <c r="O240" s="26" t="n">
        <v>1202.9</v>
      </c>
      <c r="P240" s="46" t="n">
        <v>11.67</v>
      </c>
      <c r="Q240" s="31" t="n">
        <v>1.07</v>
      </c>
      <c r="R240" s="45" t="n">
        <v>16.13</v>
      </c>
      <c r="S240" s="33" t="n">
        <v>0</v>
      </c>
      <c r="T240" s="32" t="n"/>
      <c r="U240" s="22" t="n"/>
      <c r="V240" s="29" t="inlineStr">
        <is>
          <t>Y</t>
        </is>
      </c>
      <c r="W240" s="34" t="n">
        <v>11.4</v>
      </c>
      <c r="X240" s="34" t="n">
        <v>2</v>
      </c>
      <c r="Y240" s="36" t="n">
        <v>602.7</v>
      </c>
      <c r="Z240" s="36" t="n">
        <v>105.5</v>
      </c>
      <c r="AA240" s="22" t="n"/>
      <c r="AB240" s="22" t="n"/>
      <c r="AC240" s="22" t="inlineStr">
        <is>
          <t>CITIC Securities (Hong Kong) Limited; ICBC International Capital Limited</t>
        </is>
      </c>
      <c r="AD240" s="22" t="inlineStr">
        <is>
          <t>CLSA Limited; ICBC International Securities Limited</t>
        </is>
      </c>
      <c r="AE240" s="22" t="n"/>
      <c r="AK240">
        <f>IF(AND(Screener!$B$7&lt;&gt;"",$E240=Screener!$B$7),1,0)</f>
        <v/>
      </c>
      <c r="AL240">
        <f>IF(AND(Screener!$B$6&lt;&gt;"",$D240=Screener!$B$6),1,0)</f>
        <v/>
      </c>
      <c r="AM240">
        <f>IF(OR($H240="",Screener!$B$8=""),0,MAX(0,1-ABS(LOG10($H240/Screener!$B$8))/W_SIZEHW))</f>
        <v/>
      </c>
      <c r="AN240">
        <f>IF(OR($V240="",Screener!$B$9=""),0,IF($V240=Screener!$B$9,1,0))</f>
        <v/>
      </c>
      <c r="AO240">
        <f>IF(OR($AA240="",Screener!$B$10=""),0,IF($AA240=Screener!$B$10,1,0))</f>
        <v/>
      </c>
      <c r="AP240">
        <f>IF($G240="",0,MAX(0,1-(Screener!$B$12-$G240)/W_RECD))</f>
        <v/>
      </c>
      <c r="AQ240">
        <f>IF($B240=Screener!$B$3,-999999,W_SUB*AK240+W_SEC*AL240*(1-AK240)+W_SIZE*AM240+W_PROF*AN240+W_AH*AO240+W_REC*AP240)+ROW()/1000000</f>
        <v/>
      </c>
      <c r="AR240">
        <f>IF(OR('NEW DEAL'!$B$6="",$E240&lt;&gt;'NEW DEAL'!$B$6),-1,1+IF(OR($H240="",'NEW DEAL'!$B$7=""),0,MAX(0,1-ABS(LOG10($H240/'NEW DEAL'!$B$7))/W_SIZEHW)))+ROW()/1000000</f>
        <v/>
      </c>
    </row>
    <row r="241">
      <c r="A241" s="23" t="inlineStr">
        <is>
          <t>2477</t>
        </is>
      </c>
      <c r="B241" s="22" t="inlineStr">
        <is>
          <t>WELLCELL HOLD</t>
        </is>
      </c>
      <c r="C241" s="22" t="n"/>
      <c r="D241" s="24" t="inlineStr">
        <is>
          <t>Healthcare</t>
        </is>
      </c>
      <c r="E241" s="24" t="inlineStr">
        <is>
          <t>Biopharma commercial</t>
        </is>
      </c>
      <c r="F241" s="22" t="inlineStr">
        <is>
          <t>Standard</t>
        </is>
      </c>
      <c r="G241" s="39" t="n">
        <v>45303</v>
      </c>
      <c r="H241" s="26" t="n">
        <v>125</v>
      </c>
      <c r="I241" s="22" t="inlineStr">
        <is>
          <t>gross (price x shares)</t>
        </is>
      </c>
      <c r="J241" s="27" t="n">
        <v>1</v>
      </c>
      <c r="K241" s="27" t="n">
        <v>1.3</v>
      </c>
      <c r="L241" s="44" t="n">
        <v>1</v>
      </c>
      <c r="M241" s="28" t="n">
        <v>0</v>
      </c>
      <c r="N241" s="29" t="inlineStr">
        <is>
          <t>N</t>
        </is>
      </c>
      <c r="O241" s="26" t="n">
        <v>500</v>
      </c>
      <c r="P241" s="46" t="n">
        <v>28.64</v>
      </c>
      <c r="Q241" s="31" t="n">
        <v>0.97</v>
      </c>
      <c r="R241" s="45" t="n">
        <v>164</v>
      </c>
      <c r="S241" s="33" t="n">
        <v>0</v>
      </c>
      <c r="T241" s="32" t="n">
        <v>20</v>
      </c>
      <c r="U241" s="22" t="n"/>
      <c r="V241" s="29" t="inlineStr">
        <is>
          <t>Y</t>
        </is>
      </c>
      <c r="W241" s="34" t="n">
        <v>18.7</v>
      </c>
      <c r="X241" s="34" t="n">
        <v>2</v>
      </c>
      <c r="Y241" s="36" t="n">
        <v>249.2</v>
      </c>
      <c r="Z241" s="36" t="n">
        <v>26.7</v>
      </c>
      <c r="AA241" s="22" t="n"/>
      <c r="AB241" s="22" t="n"/>
      <c r="AC241" s="22" t="inlineStr">
        <is>
          <t>Halcyon Capital Limited; Central, Hong Kong Eddid Capital Limited</t>
        </is>
      </c>
      <c r="AD241" s="22" t="inlineStr">
        <is>
          <t>Eddid Securities and Futures Limited; Central, Hong Kong Halcyon Securities Limited; Wan Chai, Hong Kong Beta International S ecurities Limited; Sheung Wan, Hong Kong CMBC Securities Company Limited; Central, Hong Kong China PA Securities (Hong Kong) Company Limited; Quam Securities Limited; Central, Hong Kong China Everbright Securities (HK) Limited</t>
        </is>
      </c>
      <c r="AE241" s="22" t="n"/>
      <c r="AK241">
        <f>IF(AND(Screener!$B$7&lt;&gt;"",$E241=Screener!$B$7),1,0)</f>
        <v/>
      </c>
      <c r="AL241">
        <f>IF(AND(Screener!$B$6&lt;&gt;"",$D241=Screener!$B$6),1,0)</f>
        <v/>
      </c>
      <c r="AM241">
        <f>IF(OR($H241="",Screener!$B$8=""),0,MAX(0,1-ABS(LOG10($H241/Screener!$B$8))/W_SIZEHW))</f>
        <v/>
      </c>
      <c r="AN241">
        <f>IF(OR($V241="",Screener!$B$9=""),0,IF($V241=Screener!$B$9,1,0))</f>
        <v/>
      </c>
      <c r="AO241">
        <f>IF(OR($AA241="",Screener!$B$10=""),0,IF($AA241=Screener!$B$10,1,0))</f>
        <v/>
      </c>
      <c r="AP241">
        <f>IF($G241="",0,MAX(0,1-(Screener!$B$12-$G241)/W_RECD))</f>
        <v/>
      </c>
      <c r="AQ241">
        <f>IF($B241=Screener!$B$3,-999999,W_SUB*AK241+W_SEC*AL241*(1-AK241)+W_SIZE*AM241+W_PROF*AN241+W_AH*AO241+W_REC*AP241)+ROW()/1000000</f>
        <v/>
      </c>
      <c r="AR241">
        <f>IF(OR('NEW DEAL'!$B$6="",$E241&lt;&gt;'NEW DEAL'!$B$6),-1,1+IF(OR($H241="",'NEW DEAL'!$B$7=""),0,MAX(0,1-ABS(LOG10($H241/'NEW DEAL'!$B$7))/W_SIZEHW)))+ROW()/1000000</f>
        <v/>
      </c>
    </row>
    <row r="242">
      <c r="A242" s="23" t="inlineStr">
        <is>
          <t>2535</t>
        </is>
      </c>
      <c r="B242" s="22" t="inlineStr">
        <is>
          <t>WK GROUP</t>
        </is>
      </c>
      <c r="C242" s="22" t="inlineStr">
        <is>
          <t>泓基集團（控股）</t>
        </is>
      </c>
      <c r="D242" s="24" t="inlineStr">
        <is>
          <t>Industrials</t>
        </is>
      </c>
      <c r="E242" s="24" t="inlineStr">
        <is>
          <t>Construction / engineering</t>
        </is>
      </c>
      <c r="F242" s="22" t="inlineStr">
        <is>
          <t>Standard</t>
        </is>
      </c>
      <c r="G242" s="39" t="n">
        <v>45359</v>
      </c>
      <c r="H242" s="26" t="n">
        <v>125</v>
      </c>
      <c r="I242" s="22" t="inlineStr">
        <is>
          <t>gross (stated)</t>
        </is>
      </c>
      <c r="J242" s="27" t="n"/>
      <c r="K242" s="27" t="n">
        <v>0.27</v>
      </c>
      <c r="L242" s="44" t="n">
        <v>0.25</v>
      </c>
      <c r="M242" s="32" t="n"/>
      <c r="N242" s="29" t="inlineStr">
        <is>
          <t>N</t>
        </is>
      </c>
      <c r="O242" s="26" t="n">
        <v>500</v>
      </c>
      <c r="P242" s="46" t="n">
        <v>70.48</v>
      </c>
      <c r="Q242" s="31" t="n">
        <v>0.98</v>
      </c>
      <c r="R242" s="45" t="n">
        <v>136</v>
      </c>
      <c r="S242" s="33" t="n">
        <v>0</v>
      </c>
      <c r="T242" s="32" t="n">
        <v>15</v>
      </c>
      <c r="U242" s="22" t="inlineStr">
        <is>
          <t>not-yet (at allotment)</t>
        </is>
      </c>
      <c r="V242" s="29" t="inlineStr">
        <is>
          <t>Y</t>
        </is>
      </c>
      <c r="W242" s="34" t="n">
        <v>12.7</v>
      </c>
      <c r="X242" s="34" t="n">
        <v>1.5</v>
      </c>
      <c r="Y242" s="36" t="n">
        <v>336.4</v>
      </c>
      <c r="Z242" s="36" t="n">
        <v>39.3</v>
      </c>
      <c r="AA242" s="22" t="n"/>
      <c r="AB242" s="22" t="n"/>
      <c r="AC242" s="22" t="n"/>
      <c r="AD242" s="22" t="n"/>
      <c r="AE242" s="22" t="n"/>
      <c r="AK242">
        <f>IF(AND(Screener!$B$7&lt;&gt;"",$E242=Screener!$B$7),1,0)</f>
        <v/>
      </c>
      <c r="AL242">
        <f>IF(AND(Screener!$B$6&lt;&gt;"",$D242=Screener!$B$6),1,0)</f>
        <v/>
      </c>
      <c r="AM242">
        <f>IF(OR($H242="",Screener!$B$8=""),0,MAX(0,1-ABS(LOG10($H242/Screener!$B$8))/W_SIZEHW))</f>
        <v/>
      </c>
      <c r="AN242">
        <f>IF(OR($V242="",Screener!$B$9=""),0,IF($V242=Screener!$B$9,1,0))</f>
        <v/>
      </c>
      <c r="AO242">
        <f>IF(OR($AA242="",Screener!$B$10=""),0,IF($AA242=Screener!$B$10,1,0))</f>
        <v/>
      </c>
      <c r="AP242">
        <f>IF($G242="",0,MAX(0,1-(Screener!$B$12-$G242)/W_RECD))</f>
        <v/>
      </c>
      <c r="AQ242">
        <f>IF($B242=Screener!$B$3,-999999,W_SUB*AK242+W_SEC*AL242*(1-AK242)+W_SIZE*AM242+W_PROF*AN242+W_AH*AO242+W_REC*AP242)+ROW()/1000000</f>
        <v/>
      </c>
      <c r="AR242">
        <f>IF(OR('NEW DEAL'!$B$6="",$E242&lt;&gt;'NEW DEAL'!$B$6),-1,1+IF(OR($H242="",'NEW DEAL'!$B$7=""),0,MAX(0,1-ABS(LOG10($H242/'NEW DEAL'!$B$7))/W_SIZEHW)))+ROW()/1000000</f>
        <v/>
      </c>
    </row>
    <row r="243">
      <c r="A243" s="23" t="inlineStr">
        <is>
          <t>2540</t>
        </is>
      </c>
      <c r="B243" s="22" t="inlineStr">
        <is>
          <t>LESI GROUP</t>
        </is>
      </c>
      <c r="C243" s="22" t="n"/>
      <c r="D243" s="24" t="inlineStr">
        <is>
          <t>TMT-other</t>
        </is>
      </c>
      <c r="E243" s="24" t="inlineStr">
        <is>
          <t>Media / advertising</t>
        </is>
      </c>
      <c r="F243" s="22" t="inlineStr">
        <is>
          <t>Standard</t>
        </is>
      </c>
      <c r="G243" s="39" t="n">
        <v>45359</v>
      </c>
      <c r="H243" s="26" t="n">
        <v>137.5</v>
      </c>
      <c r="I243" s="22" t="inlineStr">
        <is>
          <t>gross (price x shares)</t>
        </is>
      </c>
      <c r="J243" s="27" t="n"/>
      <c r="K243" s="27" t="n"/>
      <c r="L243" s="44" t="n">
        <v>1.1</v>
      </c>
      <c r="M243" s="32" t="n"/>
      <c r="N243" s="22" t="n"/>
      <c r="O243" s="26" t="n">
        <v>550</v>
      </c>
      <c r="P243" s="46" t="n">
        <v>22.35</v>
      </c>
      <c r="Q243" s="31" t="n">
        <v>1.46</v>
      </c>
      <c r="R243" s="45" t="n">
        <v>36.36</v>
      </c>
      <c r="S243" s="33" t="n">
        <v>0</v>
      </c>
      <c r="T243" s="32" t="n">
        <v>20</v>
      </c>
      <c r="U243" s="22" t="n"/>
      <c r="V243" s="29" t="inlineStr">
        <is>
          <t>Y</t>
        </is>
      </c>
      <c r="W243" s="34" t="n">
        <v>7.3</v>
      </c>
      <c r="X243" s="34" t="n">
        <v>1</v>
      </c>
      <c r="Y243" s="36" t="n">
        <v>541.8</v>
      </c>
      <c r="Z243" s="36" t="n">
        <v>75.09999999999999</v>
      </c>
      <c r="AA243" s="22" t="n"/>
      <c r="AB243" s="22" t="n"/>
      <c r="AC243" s="22" t="inlineStr">
        <is>
          <t>China Sunrise Capital Limited</t>
        </is>
      </c>
      <c r="AD243" s="22" t="inlineStr">
        <is>
          <t>China Sunrise Securities (International) Limited; China Sunrise S ecurities (International) Limited; ABCI Capital Limited; BOCI Asia Limited; BOCOM International S ecurities Limited; CEB International Capital Corporation Limited</t>
        </is>
      </c>
      <c r="AE243" s="22" t="n"/>
      <c r="AK243">
        <f>IF(AND(Screener!$B$7&lt;&gt;"",$E243=Screener!$B$7),1,0)</f>
        <v/>
      </c>
      <c r="AL243">
        <f>IF(AND(Screener!$B$6&lt;&gt;"",$D243=Screener!$B$6),1,0)</f>
        <v/>
      </c>
      <c r="AM243">
        <f>IF(OR($H243="",Screener!$B$8=""),0,MAX(0,1-ABS(LOG10($H243/Screener!$B$8))/W_SIZEHW))</f>
        <v/>
      </c>
      <c r="AN243">
        <f>IF(OR($V243="",Screener!$B$9=""),0,IF($V243=Screener!$B$9,1,0))</f>
        <v/>
      </c>
      <c r="AO243">
        <f>IF(OR($AA243="",Screener!$B$10=""),0,IF($AA243=Screener!$B$10,1,0))</f>
        <v/>
      </c>
      <c r="AP243">
        <f>IF($G243="",0,MAX(0,1-(Screener!$B$12-$G243)/W_RECD))</f>
        <v/>
      </c>
      <c r="AQ243">
        <f>IF($B243=Screener!$B$3,-999999,W_SUB*AK243+W_SEC*AL243*(1-AK243)+W_SIZE*AM243+W_PROF*AN243+W_AH*AO243+W_REC*AP243)+ROW()/1000000</f>
        <v/>
      </c>
      <c r="AR243">
        <f>IF(OR('NEW DEAL'!$B$6="",$E243&lt;&gt;'NEW DEAL'!$B$6),-1,1+IF(OR($H243="",'NEW DEAL'!$B$7=""),0,MAX(0,1-ABS(LOG10($H243/'NEW DEAL'!$B$7))/W_SIZEHW)))+ROW()/1000000</f>
        <v/>
      </c>
    </row>
    <row r="244">
      <c r="A244" s="23" t="inlineStr">
        <is>
          <t>2509</t>
        </is>
      </c>
      <c r="B244" s="22" t="inlineStr">
        <is>
          <t>QYUNS-B</t>
        </is>
      </c>
      <c r="C244" s="22" t="inlineStr">
        <is>
          <t>江蘇荃信生物醫藥股份有限公司</t>
        </is>
      </c>
      <c r="D244" s="24" t="inlineStr">
        <is>
          <t>Healthcare</t>
        </is>
      </c>
      <c r="E244" s="24" t="inlineStr">
        <is>
          <t>Biotech pre-revenue (18A)</t>
        </is>
      </c>
      <c r="F244" s="38" t="inlineStr">
        <is>
          <t>18A</t>
        </is>
      </c>
      <c r="G244" s="39" t="n">
        <v>45371</v>
      </c>
      <c r="H244" s="26" t="n">
        <v>238.5</v>
      </c>
      <c r="I244" s="22" t="inlineStr">
        <is>
          <t>gross (price x shares)</t>
        </is>
      </c>
      <c r="J244" s="27" t="n">
        <v>19.8</v>
      </c>
      <c r="K244" s="27" t="n">
        <v>20.2</v>
      </c>
      <c r="L244" s="44" t="n">
        <v>19.8</v>
      </c>
      <c r="M244" s="28" t="n">
        <v>0</v>
      </c>
      <c r="N244" s="29" t="inlineStr">
        <is>
          <t>N</t>
        </is>
      </c>
      <c r="O244" s="26" t="n">
        <v>4397</v>
      </c>
      <c r="P244" s="46" t="n">
        <v>163.15</v>
      </c>
      <c r="Q244" s="31" t="n">
        <v>0.9965000000000001</v>
      </c>
      <c r="R244" s="45" t="n">
        <v>23.74</v>
      </c>
      <c r="S244" s="33" t="n">
        <v>17.77</v>
      </c>
      <c r="T244" s="32" t="n"/>
      <c r="U244" s="22" t="n"/>
      <c r="V244" s="29" t="inlineStr">
        <is>
          <t>N</t>
        </is>
      </c>
      <c r="W244" s="31" t="n"/>
      <c r="X244" s="34" t="n">
        <v>54.2</v>
      </c>
      <c r="Y244" s="36" t="n">
        <v>81.2</v>
      </c>
      <c r="Z244" s="36" t="n">
        <v>-226.5</v>
      </c>
      <c r="AA244" s="22" t="n"/>
      <c r="AB244" s="22" t="n"/>
      <c r="AC244" s="22" t="n"/>
      <c r="AD244" s="22" t="inlineStr">
        <is>
          <t>China International Capital Corporation Hong Kong Securities Limited; Essence International Securities (Hong Kong) Limited; Guotai Junan Securities (Hong Kong) Limited; Huatai Financial Holdings (Hong Kong) Limited; China Industrial Securities International Capital Limited; Livermore Holdings Limited; Tiger Brokers (HK) Global Limited</t>
        </is>
      </c>
      <c r="AE244" s="22" t="n"/>
      <c r="AK244">
        <f>IF(AND(Screener!$B$7&lt;&gt;"",$E244=Screener!$B$7),1,0)</f>
        <v/>
      </c>
      <c r="AL244">
        <f>IF(AND(Screener!$B$6&lt;&gt;"",$D244=Screener!$B$6),1,0)</f>
        <v/>
      </c>
      <c r="AM244">
        <f>IF(OR($H244="",Screener!$B$8=""),0,MAX(0,1-ABS(LOG10($H244/Screener!$B$8))/W_SIZEHW))</f>
        <v/>
      </c>
      <c r="AN244">
        <f>IF(OR($V244="",Screener!$B$9=""),0,IF($V244=Screener!$B$9,1,0))</f>
        <v/>
      </c>
      <c r="AO244">
        <f>IF(OR($AA244="",Screener!$B$10=""),0,IF($AA244=Screener!$B$10,1,0))</f>
        <v/>
      </c>
      <c r="AP244">
        <f>IF($G244="",0,MAX(0,1-(Screener!$B$12-$G244)/W_RECD))</f>
        <v/>
      </c>
      <c r="AQ244">
        <f>IF($B244=Screener!$B$3,-999999,W_SUB*AK244+W_SEC*AL244*(1-AK244)+W_SIZE*AM244+W_PROF*AN244+W_AH*AO244+W_REC*AP244)+ROW()/1000000</f>
        <v/>
      </c>
      <c r="AR244">
        <f>IF(OR('NEW DEAL'!$B$6="",$E244&lt;&gt;'NEW DEAL'!$B$6),-1,1+IF(OR($H244="",'NEW DEAL'!$B$7=""),0,MAX(0,1-ABS(LOG10($H244/'NEW DEAL'!$B$7))/W_SIZEHW)))+ROW()/1000000</f>
        <v/>
      </c>
    </row>
    <row r="245">
      <c r="A245" s="23" t="inlineStr">
        <is>
          <t>9879</t>
        </is>
      </c>
      <c r="B245" s="22" t="inlineStr">
        <is>
          <t>MIGAO GROUP</t>
        </is>
      </c>
      <c r="C245" s="22" t="inlineStr">
        <is>
          <t>米高集團控股有限公司</t>
        </is>
      </c>
      <c r="D245" s="24" t="inlineStr">
        <is>
          <t>Materials/Energy</t>
        </is>
      </c>
      <c r="E245" s="24" t="inlineStr">
        <is>
          <t>Chemicals</t>
        </is>
      </c>
      <c r="F245" s="22" t="inlineStr">
        <is>
          <t>Standard</t>
        </is>
      </c>
      <c r="G245" s="39" t="n">
        <v>45372</v>
      </c>
      <c r="H245" s="26" t="n">
        <v>918</v>
      </c>
      <c r="I245" s="22" t="inlineStr">
        <is>
          <t>gross (price x shares)</t>
        </is>
      </c>
      <c r="J245" s="27" t="n"/>
      <c r="K245" s="27" t="n">
        <v>4.3</v>
      </c>
      <c r="L245" s="44" t="n">
        <v>4.08</v>
      </c>
      <c r="M245" s="32" t="n"/>
      <c r="N245" s="29" t="inlineStr">
        <is>
          <t>N</t>
        </is>
      </c>
      <c r="O245" s="26" t="n">
        <v>3672</v>
      </c>
      <c r="P245" s="46" t="n">
        <v>9.789999999999999</v>
      </c>
      <c r="Q245" s="31" t="n">
        <v>1.28</v>
      </c>
      <c r="R245" s="45" t="n">
        <v>0.25</v>
      </c>
      <c r="S245" s="33" t="n">
        <v>45.58</v>
      </c>
      <c r="T245" s="28" t="n">
        <v>10</v>
      </c>
      <c r="U245" s="22" t="n"/>
      <c r="V245" s="22" t="n"/>
      <c r="W245" s="31" t="n"/>
      <c r="X245" s="34" t="n">
        <v>0.7</v>
      </c>
      <c r="Y245" s="36" t="n">
        <v>5195</v>
      </c>
      <c r="Z245" s="35" t="n"/>
      <c r="AA245" s="22" t="n"/>
      <c r="AB245" s="22" t="n"/>
      <c r="AC245" s="22" t="inlineStr">
        <is>
          <t>GF Capital (Hong Kong) Limited</t>
        </is>
      </c>
      <c r="AD245" s="22" t="inlineStr">
        <is>
          <t>GF Securities (Hong Kong) Brokerage Limited; CMB International Capital Limited; Essence International Securities (Hong Kong) Limited; China Merchants Securities (HK) Co., Limited; ABCI Capital Limited; China Everbright Securities (HK) Limited; Shenwan Hongyuan Securities (H.K.) Limited; Orient Securities (Hong Kong) Limited; Livermore Holdings Limited</t>
        </is>
      </c>
      <c r="AE245" s="22" t="n"/>
      <c r="AK245">
        <f>IF(AND(Screener!$B$7&lt;&gt;"",$E245=Screener!$B$7),1,0)</f>
        <v/>
      </c>
      <c r="AL245">
        <f>IF(AND(Screener!$B$6&lt;&gt;"",$D245=Screener!$B$6),1,0)</f>
        <v/>
      </c>
      <c r="AM245">
        <f>IF(OR($H245="",Screener!$B$8=""),0,MAX(0,1-ABS(LOG10($H245/Screener!$B$8))/W_SIZEHW))</f>
        <v/>
      </c>
      <c r="AN245">
        <f>IF(OR($V245="",Screener!$B$9=""),0,IF($V245=Screener!$B$9,1,0))</f>
        <v/>
      </c>
      <c r="AO245">
        <f>IF(OR($AA245="",Screener!$B$10=""),0,IF($AA245=Screener!$B$10,1,0))</f>
        <v/>
      </c>
      <c r="AP245">
        <f>IF($G245="",0,MAX(0,1-(Screener!$B$12-$G245)/W_RECD))</f>
        <v/>
      </c>
      <c r="AQ245">
        <f>IF($B245=Screener!$B$3,-999999,W_SUB*AK245+W_SEC*AL245*(1-AK245)+W_SIZE*AM245+W_PROF*AN245+W_AH*AO245+W_REC*AP245)+ROW()/1000000</f>
        <v/>
      </c>
      <c r="AR245">
        <f>IF(OR('NEW DEAL'!$B$6="",$E245&lt;&gt;'NEW DEAL'!$B$6),-1,1+IF(OR($H245="",'NEW DEAL'!$B$7=""),0,MAX(0,1-ABS(LOG10($H245/'NEW DEAL'!$B$7))/W_SIZEHW)))+ROW()/1000000</f>
        <v/>
      </c>
    </row>
    <row r="246">
      <c r="A246" s="23" t="inlineStr">
        <is>
          <t>2536</t>
        </is>
      </c>
      <c r="B246" s="22" t="inlineStr">
        <is>
          <t>PALASINO</t>
        </is>
      </c>
      <c r="C246" s="22" t="inlineStr">
        <is>
          <t>百樂皇宮控股有限公司</t>
        </is>
      </c>
      <c r="D246" s="24" t="inlineStr">
        <is>
          <t>Consumer</t>
        </is>
      </c>
      <c r="E246" s="24" t="inlineStr">
        <is>
          <t>Consumer services / education</t>
        </is>
      </c>
      <c r="F246" s="22" t="inlineStr">
        <is>
          <t>Standard</t>
        </is>
      </c>
      <c r="G246" s="39" t="n">
        <v>45377</v>
      </c>
      <c r="H246" s="35" t="n"/>
      <c r="I246" s="22" t="n"/>
      <c r="J246" s="27" t="n"/>
      <c r="K246" s="27" t="n">
        <v>2.6</v>
      </c>
      <c r="L246" s="27" t="n">
        <v>2.6</v>
      </c>
      <c r="M246" s="32" t="n"/>
      <c r="N246" s="29" t="inlineStr">
        <is>
          <t>Y</t>
        </is>
      </c>
      <c r="O246" s="36" t="n">
        <v>2080</v>
      </c>
      <c r="P246" s="40" t="n">
        <v>16</v>
      </c>
      <c r="Q246" s="31" t="n">
        <v>0.23</v>
      </c>
      <c r="R246" s="45" t="n">
        <v>15.38</v>
      </c>
      <c r="S246" s="33" t="n">
        <v>18.8</v>
      </c>
      <c r="T246" s="32" t="n">
        <v>8.93</v>
      </c>
      <c r="U246" s="22" t="n"/>
      <c r="V246" s="29" t="inlineStr">
        <is>
          <t>Y</t>
        </is>
      </c>
      <c r="W246" s="34" t="n">
        <v>47.1</v>
      </c>
      <c r="X246" s="31" t="n"/>
      <c r="Y246" s="35" t="n"/>
      <c r="Z246" s="36" t="n">
        <v>44.2</v>
      </c>
      <c r="AA246" s="22" t="n"/>
      <c r="AB246" s="22" t="n"/>
      <c r="AC246" s="22" t="inlineStr">
        <is>
          <t>Guotai Junan Capital Limited</t>
        </is>
      </c>
      <c r="AD246" s="22" t="inlineStr">
        <is>
          <t>Guotai Junan Securities (Hong Kong) Limited; CMB International Capital Limited; Zhongtai International Securities Limited; UOB Kay Hian (Hong Kong) Limited; CCB International Capital Limited; Livermore Holdings Limited; Guosen Securities (HK) Capital Company Limited; Long Bridge HK Limited</t>
        </is>
      </c>
      <c r="AE246" s="22" t="n"/>
      <c r="AK246">
        <f>IF(AND(Screener!$B$7&lt;&gt;"",$E246=Screener!$B$7),1,0)</f>
        <v/>
      </c>
      <c r="AL246">
        <f>IF(AND(Screener!$B$6&lt;&gt;"",$D246=Screener!$B$6),1,0)</f>
        <v/>
      </c>
      <c r="AM246">
        <f>IF(OR($H246="",Screener!$B$8=""),0,MAX(0,1-ABS(LOG10($H246/Screener!$B$8))/W_SIZEHW))</f>
        <v/>
      </c>
      <c r="AN246">
        <f>IF(OR($V246="",Screener!$B$9=""),0,IF($V246=Screener!$B$9,1,0))</f>
        <v/>
      </c>
      <c r="AO246">
        <f>IF(OR($AA246="",Screener!$B$10=""),0,IF($AA246=Screener!$B$10,1,0))</f>
        <v/>
      </c>
      <c r="AP246">
        <f>IF($G246="",0,MAX(0,1-(Screener!$B$12-$G246)/W_RECD))</f>
        <v/>
      </c>
      <c r="AQ246">
        <f>IF($B246=Screener!$B$3,-999999,W_SUB*AK246+W_SEC*AL246*(1-AK246)+W_SIZE*AM246+W_PROF*AN246+W_AH*AO246+W_REC*AP246)+ROW()/1000000</f>
        <v/>
      </c>
      <c r="AR246">
        <f>IF(OR('NEW DEAL'!$B$6="",$E246&lt;&gt;'NEW DEAL'!$B$6),-1,1+IF(OR($H246="",'NEW DEAL'!$B$7=""),0,MAX(0,1-ABS(LOG10($H246/'NEW DEAL'!$B$7))/W_SIZEHW)))+ROW()/1000000</f>
        <v/>
      </c>
    </row>
    <row r="247">
      <c r="A247" s="23" t="inlineStr">
        <is>
          <t>2497</t>
        </is>
      </c>
      <c r="B247" s="22" t="inlineStr">
        <is>
          <t>FUJING HOLDINGS</t>
        </is>
      </c>
      <c r="C247" s="22" t="n"/>
      <c r="D247" s="24" t="inlineStr">
        <is>
          <t>Consumer</t>
        </is>
      </c>
      <c r="E247" s="24" t="inlineStr">
        <is>
          <t>Beverages / packaged food</t>
        </is>
      </c>
      <c r="F247" s="22" t="inlineStr">
        <is>
          <t>Standard</t>
        </is>
      </c>
      <c r="G247" s="39" t="n">
        <v>45379</v>
      </c>
      <c r="H247" s="26" t="n">
        <v>108</v>
      </c>
      <c r="I247" s="22" t="inlineStr">
        <is>
          <t>gross (price x shares)</t>
        </is>
      </c>
      <c r="J247" s="27" t="n"/>
      <c r="K247" s="27" t="n">
        <v>1.28</v>
      </c>
      <c r="L247" s="44" t="n">
        <v>1.08</v>
      </c>
      <c r="M247" s="32" t="n"/>
      <c r="N247" s="29" t="inlineStr">
        <is>
          <t>N</t>
        </is>
      </c>
      <c r="O247" s="26" t="n">
        <v>540</v>
      </c>
      <c r="P247" s="46" t="n">
        <v>294.13</v>
      </c>
      <c r="Q247" s="31" t="n">
        <v>0.96</v>
      </c>
      <c r="R247" s="45" t="n">
        <v>37.04</v>
      </c>
      <c r="S247" s="33" t="n">
        <v>0</v>
      </c>
      <c r="T247" s="32" t="n">
        <v>15</v>
      </c>
      <c r="U247" s="22" t="n"/>
      <c r="V247" s="29" t="inlineStr">
        <is>
          <t>Y</t>
        </is>
      </c>
      <c r="W247" s="34" t="n">
        <v>15.4</v>
      </c>
      <c r="X247" s="34" t="n">
        <v>3.9</v>
      </c>
      <c r="Y247" s="36" t="n">
        <v>139.4</v>
      </c>
      <c r="Z247" s="36" t="n">
        <v>35</v>
      </c>
      <c r="AA247" s="22" t="n"/>
      <c r="AB247" s="22" t="n"/>
      <c r="AC247" s="22" t="inlineStr">
        <is>
          <t>Grande Capital Limited</t>
        </is>
      </c>
      <c r="AD247" s="22" t="inlineStr">
        <is>
          <t>Joint Lead Managers CMBC Securities Company Limited; Grande Capital Limited; Cinda International Capital Limited; CCB International Capital Limited; Central, Hong Kong ICBC International Securities Limited; Central, Hong Kong Haitong International Securities Company Limited; China Galaxy International Securities (Hong Kong) Co., Limited; Central, Hong Kong Eddid Securities and Futures Limited; Central, Hong Kong Alliance Capital Partners Limited; Caitong International Securities Company Limited; Ruibang Securities Limited</t>
        </is>
      </c>
      <c r="AE247" s="22" t="n"/>
      <c r="AK247">
        <f>IF(AND(Screener!$B$7&lt;&gt;"",$E247=Screener!$B$7),1,0)</f>
        <v/>
      </c>
      <c r="AL247">
        <f>IF(AND(Screener!$B$6&lt;&gt;"",$D247=Screener!$B$6),1,0)</f>
        <v/>
      </c>
      <c r="AM247">
        <f>IF(OR($H247="",Screener!$B$8=""),0,MAX(0,1-ABS(LOG10($H247/Screener!$B$8))/W_SIZEHW))</f>
        <v/>
      </c>
      <c r="AN247">
        <f>IF(OR($V247="",Screener!$B$9=""),0,IF($V247=Screener!$B$9,1,0))</f>
        <v/>
      </c>
      <c r="AO247">
        <f>IF(OR($AA247="",Screener!$B$10=""),0,IF($AA247=Screener!$B$10,1,0))</f>
        <v/>
      </c>
      <c r="AP247">
        <f>IF($G247="",0,MAX(0,1-(Screener!$B$12-$G247)/W_RECD))</f>
        <v/>
      </c>
      <c r="AQ247">
        <f>IF($B247=Screener!$B$3,-999999,W_SUB*AK247+W_SEC*AL247*(1-AK247)+W_SIZE*AM247+W_PROF*AN247+W_AH*AO247+W_REC*AP247)+ROW()/1000000</f>
        <v/>
      </c>
      <c r="AR247">
        <f>IF(OR('NEW DEAL'!$B$6="",$E247&lt;&gt;'NEW DEAL'!$B$6),-1,1+IF(OR($H247="",'NEW DEAL'!$B$7=""),0,MAX(0,1-ABS(LOG10($H247/'NEW DEAL'!$B$7))/W_SIZEHW)))+ROW()/1000000</f>
        <v/>
      </c>
    </row>
    <row r="248">
      <c r="A248" s="23" t="inlineStr">
        <is>
          <t>2598</t>
        </is>
      </c>
      <c r="B248" s="22" t="inlineStr">
        <is>
          <t>LIANLIAN</t>
        </is>
      </c>
      <c r="C248" s="22" t="inlineStr">
        <is>
          <t>連連數字科技股份有限公司</t>
        </is>
      </c>
      <c r="D248" s="24" t="inlineStr">
        <is>
          <t>Tech/AI</t>
        </is>
      </c>
      <c r="E248" s="24" t="inlineStr">
        <is>
          <t>Fintech platform</t>
        </is>
      </c>
      <c r="F248" s="22" t="inlineStr">
        <is>
          <t>Standard</t>
        </is>
      </c>
      <c r="G248" s="43" t="n">
        <v>45379</v>
      </c>
      <c r="H248" s="26" t="n">
        <v>657.1</v>
      </c>
      <c r="I248" s="22" t="inlineStr">
        <is>
          <t>gross (price x shares)</t>
        </is>
      </c>
      <c r="J248" s="27" t="n">
        <v>10.21</v>
      </c>
      <c r="K248" s="27" t="n">
        <v>10.95</v>
      </c>
      <c r="L248" s="44" t="n">
        <v>10.22</v>
      </c>
      <c r="M248" s="28" t="n">
        <v>1.4</v>
      </c>
      <c r="N248" s="29" t="inlineStr">
        <is>
          <t>N</t>
        </is>
      </c>
      <c r="O248" s="26" t="n">
        <v>11028</v>
      </c>
      <c r="P248" s="46" t="n">
        <v>16.94</v>
      </c>
      <c r="Q248" s="31" t="n">
        <v>1.89</v>
      </c>
      <c r="R248" s="45" t="n">
        <v>-7.63</v>
      </c>
      <c r="S248" s="33" t="n">
        <v>10</v>
      </c>
      <c r="T248" s="28" t="n">
        <v>15</v>
      </c>
      <c r="U248" s="22" t="n"/>
      <c r="V248" s="29" t="inlineStr">
        <is>
          <t>N</t>
        </is>
      </c>
      <c r="W248" s="31" t="n"/>
      <c r="X248" s="34" t="n">
        <v>13785</v>
      </c>
      <c r="Y248" s="36" t="n">
        <v>0.8</v>
      </c>
      <c r="Z248" s="36" t="n">
        <v>-1008.6</v>
      </c>
      <c r="AA248" s="22" t="n"/>
      <c r="AB248" s="22" t="n"/>
      <c r="AC248" s="22" t="inlineStr">
        <is>
          <t>China International Capital Corporation Hong Kong Securities Limited; J.P. Morgan Securities (Far East) Limited</t>
        </is>
      </c>
      <c r="AD248" s="22" t="inlineStr">
        <is>
          <t>China International Capital Corporation Hong Kong Securities Limited; J.P. Morgan Securities (Asia Pacific) Limited; BNP Paribas Securities (Asia) Limited; Deutsche Bank AG, Hong Kong Branch; ABCI Capital Limited; Caitong International Securities Company Limited; China Galaxy International Securities (Hong Kong) Co., Limited; Futu Securities International (Hong Kong) Limited; Guotai Junan Securities (Hong Kong) Limited; ICBC International Securities Limited; Tiger Brokers (HK) Global Limited; Zhongtai International Securities Limited</t>
        </is>
      </c>
      <c r="AE248" s="22" t="n"/>
      <c r="AK248">
        <f>IF(AND(Screener!$B$7&lt;&gt;"",$E248=Screener!$B$7),1,0)</f>
        <v/>
      </c>
      <c r="AL248">
        <f>IF(AND(Screener!$B$6&lt;&gt;"",$D248=Screener!$B$6),1,0)</f>
        <v/>
      </c>
      <c r="AM248">
        <f>IF(OR($H248="",Screener!$B$8=""),0,MAX(0,1-ABS(LOG10($H248/Screener!$B$8))/W_SIZEHW))</f>
        <v/>
      </c>
      <c r="AN248">
        <f>IF(OR($V248="",Screener!$B$9=""),0,IF($V248=Screener!$B$9,1,0))</f>
        <v/>
      </c>
      <c r="AO248">
        <f>IF(OR($AA248="",Screener!$B$10=""),0,IF($AA248=Screener!$B$10,1,0))</f>
        <v/>
      </c>
      <c r="AP248">
        <f>IF($G248="",0,MAX(0,1-(Screener!$B$12-$G248)/W_RECD))</f>
        <v/>
      </c>
      <c r="AQ248">
        <f>IF($B248=Screener!$B$3,-999999,W_SUB*AK248+W_SEC*AL248*(1-AK248)+W_SIZE*AM248+W_PROF*AN248+W_AH*AO248+W_REC*AP248)+ROW()/1000000</f>
        <v/>
      </c>
      <c r="AR248">
        <f>IF(OR('NEW DEAL'!$B$6="",$E248&lt;&gt;'NEW DEAL'!$B$6),-1,1+IF(OR($H248="",'NEW DEAL'!$B$7=""),0,MAX(0,1-ABS(LOG10($H248/'NEW DEAL'!$B$7))/W_SIZEHW)))+ROW()/1000000</f>
        <v/>
      </c>
    </row>
    <row r="249">
      <c r="A249" s="23" t="inlineStr">
        <is>
          <t>2515</t>
        </is>
      </c>
      <c r="B249" s="22" t="inlineStr">
        <is>
          <t>TJCD</t>
        </is>
      </c>
      <c r="C249" s="22" t="n"/>
      <c r="D249" s="24" t="inlineStr">
        <is>
          <t>Industrials</t>
        </is>
      </c>
      <c r="E249" s="24" t="inlineStr">
        <is>
          <t>Construction / engineering</t>
        </is>
      </c>
      <c r="F249" s="22" t="inlineStr">
        <is>
          <t>Standard</t>
        </is>
      </c>
      <c r="G249" s="43" t="n">
        <v>45405</v>
      </c>
      <c r="H249" s="26" t="n">
        <v>134.88</v>
      </c>
      <c r="I249" s="22" t="inlineStr">
        <is>
          <t>gross (stated)</t>
        </is>
      </c>
      <c r="J249" s="27" t="n"/>
      <c r="K249" s="27" t="n">
        <v>2.9</v>
      </c>
      <c r="L249" s="44" t="n">
        <v>2.5</v>
      </c>
      <c r="M249" s="32" t="n"/>
      <c r="N249" s="29" t="inlineStr">
        <is>
          <t>N</t>
        </is>
      </c>
      <c r="O249" s="26" t="n">
        <v>539.5</v>
      </c>
      <c r="P249" s="46" t="n">
        <v>433.06</v>
      </c>
      <c r="Q249" s="31" t="n">
        <v>1.02</v>
      </c>
      <c r="R249" s="45" t="n">
        <v>-39.2</v>
      </c>
      <c r="S249" s="33" t="n"/>
      <c r="T249" s="32" t="n">
        <v>20</v>
      </c>
      <c r="U249" s="22" t="n"/>
      <c r="V249" s="29" t="inlineStr">
        <is>
          <t>Y</t>
        </is>
      </c>
      <c r="W249" s="34" t="n">
        <v>11.8</v>
      </c>
      <c r="X249" s="34" t="n">
        <v>1.5</v>
      </c>
      <c r="Y249" s="36" t="n">
        <v>351.4</v>
      </c>
      <c r="Z249" s="36" t="n">
        <v>45.6</v>
      </c>
      <c r="AA249" s="22" t="n"/>
      <c r="AB249" s="22" t="n"/>
      <c r="AC249" s="22" t="inlineStr">
        <is>
          <t>China Everbright Capital Limited</t>
        </is>
      </c>
      <c r="AD249" s="22" t="inlineStr">
        <is>
          <t>China Everbright Securities (HK) Limited; ABCI Capital Limited; Beta International Securities Limited; BOCOM International Securities Limited; CEB International Capital Corporation Limited; Citrus Securities Limited; CMBC Securities Company Limited; Fortune Origin Securities Limited; Grand China Securities Limited; Livermore Holdings Limited; Realord Asia Pacific Securities Limited; SPDB International Capital Limited</t>
        </is>
      </c>
      <c r="AE249" s="22" t="n"/>
      <c r="AK249">
        <f>IF(AND(Screener!$B$7&lt;&gt;"",$E249=Screener!$B$7),1,0)</f>
        <v/>
      </c>
      <c r="AL249">
        <f>IF(AND(Screener!$B$6&lt;&gt;"",$D249=Screener!$B$6),1,0)</f>
        <v/>
      </c>
      <c r="AM249">
        <f>IF(OR($H249="",Screener!$B$8=""),0,MAX(0,1-ABS(LOG10($H249/Screener!$B$8))/W_SIZEHW))</f>
        <v/>
      </c>
      <c r="AN249">
        <f>IF(OR($V249="",Screener!$B$9=""),0,IF($V249=Screener!$B$9,1,0))</f>
        <v/>
      </c>
      <c r="AO249">
        <f>IF(OR($AA249="",Screener!$B$10=""),0,IF($AA249=Screener!$B$10,1,0))</f>
        <v/>
      </c>
      <c r="AP249">
        <f>IF($G249="",0,MAX(0,1-(Screener!$B$12-$G249)/W_RECD))</f>
        <v/>
      </c>
      <c r="AQ249">
        <f>IF($B249=Screener!$B$3,-999999,W_SUB*AK249+W_SEC*AL249*(1-AK249)+W_SIZE*AM249+W_PROF*AN249+W_AH*AO249+W_REC*AP249)+ROW()/1000000</f>
        <v/>
      </c>
      <c r="AR249">
        <f>IF(OR('NEW DEAL'!$B$6="",$E249&lt;&gt;'NEW DEAL'!$B$6),-1,1+IF(OR($H249="",'NEW DEAL'!$B$7=""),0,MAX(0,1-ABS(LOG10($H249/'NEW DEAL'!$B$7))/W_SIZEHW)))+ROW()/1000000</f>
        <v/>
      </c>
    </row>
    <row r="250">
      <c r="A250" s="23" t="inlineStr">
        <is>
          <t>2555</t>
        </is>
      </c>
      <c r="B250" s="22" t="inlineStr">
        <is>
          <t>CHABAIDAO</t>
        </is>
      </c>
      <c r="C250" s="22" t="inlineStr">
        <is>
          <t>四川百茶百道實業股份有限公司</t>
        </is>
      </c>
      <c r="D250" s="24" t="inlineStr">
        <is>
          <t>Consumer</t>
        </is>
      </c>
      <c r="E250" s="24" t="inlineStr">
        <is>
          <t>F&amp;B chains / restaurants</t>
        </is>
      </c>
      <c r="F250" s="22" t="inlineStr">
        <is>
          <t>Standard</t>
        </is>
      </c>
      <c r="G250" s="39" t="n">
        <v>45405</v>
      </c>
      <c r="H250" s="26" t="n">
        <v>2585.86</v>
      </c>
      <c r="I250" s="22" t="inlineStr">
        <is>
          <t>gross (stated)</t>
        </is>
      </c>
      <c r="J250" s="27" t="n"/>
      <c r="K250" s="27" t="n">
        <v>17.5</v>
      </c>
      <c r="L250" s="44" t="n">
        <v>17.5</v>
      </c>
      <c r="M250" s="32" t="n"/>
      <c r="N250" s="29" t="inlineStr">
        <is>
          <t>Y</t>
        </is>
      </c>
      <c r="O250" s="36" t="n">
        <v>25860</v>
      </c>
      <c r="P250" s="40" t="n">
        <v>0.5</v>
      </c>
      <c r="Q250" s="31" t="n">
        <v>1.11</v>
      </c>
      <c r="R250" s="45" t="n">
        <v>-26.86</v>
      </c>
      <c r="S250" s="33" t="n">
        <v>0</v>
      </c>
      <c r="T250" s="28" t="n">
        <v>2.1</v>
      </c>
      <c r="U250" s="22" t="n"/>
      <c r="V250" s="29" t="inlineStr">
        <is>
          <t>Y</t>
        </is>
      </c>
      <c r="W250" s="34" t="n">
        <v>20.4</v>
      </c>
      <c r="X250" s="31" t="n"/>
      <c r="Y250" s="35" t="n"/>
      <c r="Z250" s="36" t="n">
        <v>1265.9</v>
      </c>
      <c r="AA250" s="22" t="n"/>
      <c r="AB250" s="22" t="n"/>
      <c r="AC250" s="22" t="n"/>
      <c r="AD250" s="22" t="inlineStr">
        <is>
          <t>China International Capital Corporation Hong Kong Securities Limited; Citigroup Global Markets Asia Limited; Citigroup Global Markets Limited; –9 2– CMB International Capital Limited; CCB International Capital Limited; Shenwan Hongyuan Securities (H.K.) Limited; China Merchants Securities (HK) Co., Limited; Futu Securities International (Hong Kong) Limited; Tiger Brokers (HK) Global Limited</t>
        </is>
      </c>
      <c r="AE250" s="22" t="n"/>
      <c r="AK250">
        <f>IF(AND(Screener!$B$7&lt;&gt;"",$E250=Screener!$B$7),1,0)</f>
        <v/>
      </c>
      <c r="AL250">
        <f>IF(AND(Screener!$B$6&lt;&gt;"",$D250=Screener!$B$6),1,0)</f>
        <v/>
      </c>
      <c r="AM250">
        <f>IF(OR($H250="",Screener!$B$8=""),0,MAX(0,1-ABS(LOG10($H250/Screener!$B$8))/W_SIZEHW))</f>
        <v/>
      </c>
      <c r="AN250">
        <f>IF(OR($V250="",Screener!$B$9=""),0,IF($V250=Screener!$B$9,1,0))</f>
        <v/>
      </c>
      <c r="AO250">
        <f>IF(OR($AA250="",Screener!$B$10=""),0,IF($AA250=Screener!$B$10,1,0))</f>
        <v/>
      </c>
      <c r="AP250">
        <f>IF($G250="",0,MAX(0,1-(Screener!$B$12-$G250)/W_RECD))</f>
        <v/>
      </c>
      <c r="AQ250">
        <f>IF($B250=Screener!$B$3,-999999,W_SUB*AK250+W_SEC*AL250*(1-AK250)+W_SIZE*AM250+W_PROF*AN250+W_AH*AO250+W_REC*AP250)+ROW()/1000000</f>
        <v/>
      </c>
      <c r="AR250">
        <f>IF(OR('NEW DEAL'!$B$6="",$E250&lt;&gt;'NEW DEAL'!$B$6),-1,1+IF(OR($H250="",'NEW DEAL'!$B$7=""),0,MAX(0,1-ABS(LOG10($H250/'NEW DEAL'!$B$7))/W_SIZEHW)))+ROW()/1000000</f>
        <v/>
      </c>
    </row>
    <row r="251">
      <c r="A251" s="23" t="inlineStr">
        <is>
          <t>2438</t>
        </is>
      </c>
      <c r="B251" s="22" t="inlineStr">
        <is>
          <t>MOBVOI</t>
        </is>
      </c>
      <c r="C251" s="22" t="n"/>
      <c r="D251" s="24" t="inlineStr">
        <is>
          <t>Tech/AI</t>
        </is>
      </c>
      <c r="E251" s="24" t="inlineStr">
        <is>
          <t>AI application / agent software</t>
        </is>
      </c>
      <c r="F251" s="22" t="inlineStr">
        <is>
          <t>Standard</t>
        </is>
      </c>
      <c r="G251" s="39" t="n">
        <v>45406</v>
      </c>
      <c r="H251" s="26" t="n">
        <v>321.4</v>
      </c>
      <c r="I251" s="22" t="inlineStr">
        <is>
          <t>gross (price x shares)</t>
        </is>
      </c>
      <c r="J251" s="27" t="n">
        <v>3.7</v>
      </c>
      <c r="K251" s="27" t="n">
        <v>4.1</v>
      </c>
      <c r="L251" s="44" t="n">
        <v>3.8</v>
      </c>
      <c r="M251" s="28" t="n">
        <v>25</v>
      </c>
      <c r="N251" s="29" t="inlineStr">
        <is>
          <t>N</t>
        </is>
      </c>
      <c r="O251" s="26" t="n">
        <v>3157.2</v>
      </c>
      <c r="P251" s="46" t="n">
        <v>117.39</v>
      </c>
      <c r="Q251" s="31" t="n">
        <v>1.58</v>
      </c>
      <c r="R251" s="45" t="n">
        <v>-3.16</v>
      </c>
      <c r="S251" s="33" t="n">
        <v>40.6</v>
      </c>
      <c r="T251" s="28" t="n">
        <v>15</v>
      </c>
      <c r="U251" s="22" t="n"/>
      <c r="V251" s="29" t="inlineStr">
        <is>
          <t>N</t>
        </is>
      </c>
      <c r="W251" s="31" t="n"/>
      <c r="X251" s="34" t="n">
        <v>5.7</v>
      </c>
      <c r="Y251" s="36" t="n">
        <v>557.8</v>
      </c>
      <c r="Z251" s="36" t="n">
        <v>-882.9</v>
      </c>
      <c r="AA251" s="22" t="n"/>
      <c r="AB251" s="22" t="n"/>
      <c r="AC251" s="22" t="inlineStr">
        <is>
          <t>Central, Hong Kong CMB International Capital Limited</t>
        </is>
      </c>
      <c r="AD251" s="22" t="inlineStr">
        <is>
          <t>Managers China International Capital Corporation Hong Kong Securities Limited; Central, Hong Kong CMB International Capital Limited; Haitong International Securities Company Limited; Zhongtai International Securities Limited; ICBC International Securities Limited; Central, Hong Kong China Galaxy International Securities (Hong Kong) Co., Limited; CMBC Securities Company Limited; Central, Hong Kong SPDB International Capital Limited; BOCOM International Securities Limited; Tiger Brokers (HK) Global Limited; Sheung Wan, Hong Kong Livermore Holdings Limited</t>
        </is>
      </c>
      <c r="AE251" s="22" t="n"/>
      <c r="AK251">
        <f>IF(AND(Screener!$B$7&lt;&gt;"",$E251=Screener!$B$7),1,0)</f>
        <v/>
      </c>
      <c r="AL251">
        <f>IF(AND(Screener!$B$6&lt;&gt;"",$D251=Screener!$B$6),1,0)</f>
        <v/>
      </c>
      <c r="AM251">
        <f>IF(OR($H251="",Screener!$B$8=""),0,MAX(0,1-ABS(LOG10($H251/Screener!$B$8))/W_SIZEHW))</f>
        <v/>
      </c>
      <c r="AN251">
        <f>IF(OR($V251="",Screener!$B$9=""),0,IF($V251=Screener!$B$9,1,0))</f>
        <v/>
      </c>
      <c r="AO251">
        <f>IF(OR($AA251="",Screener!$B$10=""),0,IF($AA251=Screener!$B$10,1,0))</f>
        <v/>
      </c>
      <c r="AP251">
        <f>IF($G251="",0,MAX(0,1-(Screener!$B$12-$G251)/W_RECD))</f>
        <v/>
      </c>
      <c r="AQ251">
        <f>IF($B251=Screener!$B$3,-999999,W_SUB*AK251+W_SEC*AL251*(1-AK251)+W_SIZE*AM251+W_PROF*AN251+W_AH*AO251+W_REC*AP251)+ROW()/1000000</f>
        <v/>
      </c>
      <c r="AR251">
        <f>IF(OR('NEW DEAL'!$B$6="",$E251&lt;&gt;'NEW DEAL'!$B$6),-1,1+IF(OR($H251="",'NEW DEAL'!$B$7=""),0,MAX(0,1-ABS(LOG10($H251/'NEW DEAL'!$B$7))/W_SIZEHW)))+ROW()/1000000</f>
        <v/>
      </c>
    </row>
    <row r="252">
      <c r="A252" s="23" t="inlineStr">
        <is>
          <t>2556</t>
        </is>
      </c>
      <c r="B252" s="22" t="inlineStr">
        <is>
          <t>MARKETINGFORCE</t>
        </is>
      </c>
      <c r="C252" s="22" t="inlineStr">
        <is>
          <t>邁富時管理有限公司</t>
        </is>
      </c>
      <c r="D252" s="24" t="inlineStr">
        <is>
          <t>Tech/AI</t>
        </is>
      </c>
      <c r="E252" s="24" t="inlineStr">
        <is>
          <t>SaaS / enterprise software</t>
        </is>
      </c>
      <c r="F252" s="22" t="inlineStr">
        <is>
          <t>Standard</t>
        </is>
      </c>
      <c r="G252" s="39" t="n">
        <v>45428</v>
      </c>
      <c r="H252" s="26" t="n">
        <v>259.4</v>
      </c>
      <c r="I252" s="22" t="inlineStr">
        <is>
          <t>gross (price x shares)</t>
        </is>
      </c>
      <c r="J252" s="27" t="n">
        <v>42</v>
      </c>
      <c r="K252" s="27" t="n">
        <v>45</v>
      </c>
      <c r="L252" s="44" t="n">
        <v>43.6</v>
      </c>
      <c r="M252" s="28" t="n">
        <v>53.3</v>
      </c>
      <c r="N252" s="29" t="inlineStr">
        <is>
          <t>N</t>
        </is>
      </c>
      <c r="O252" s="26" t="n">
        <v>10253.2</v>
      </c>
      <c r="P252" s="46" t="n">
        <v>5.95</v>
      </c>
      <c r="Q252" s="31" t="n">
        <v>1.03</v>
      </c>
      <c r="R252" s="45" t="n">
        <v>18.46</v>
      </c>
      <c r="S252" s="33" t="n">
        <v>17.3</v>
      </c>
      <c r="T252" s="32" t="n"/>
      <c r="U252" s="22" t="n"/>
      <c r="V252" s="29" t="inlineStr">
        <is>
          <t>N</t>
        </is>
      </c>
      <c r="W252" s="31" t="n"/>
      <c r="X252" s="34" t="n">
        <v>7.6</v>
      </c>
      <c r="Y252" s="36" t="n">
        <v>1355.3</v>
      </c>
      <c r="Z252" s="36" t="n">
        <v>-186.4</v>
      </c>
      <c r="AA252" s="22" t="n"/>
      <c r="AB252" s="22" t="n"/>
      <c r="AC252" s="22" t="inlineStr">
        <is>
          <t>CCB International Capital Limited</t>
        </is>
      </c>
      <c r="AD252" s="22" t="n"/>
      <c r="AE252" s="22" t="n"/>
      <c r="AK252">
        <f>IF(AND(Screener!$B$7&lt;&gt;"",$E252=Screener!$B$7),1,0)</f>
        <v/>
      </c>
      <c r="AL252">
        <f>IF(AND(Screener!$B$6&lt;&gt;"",$D252=Screener!$B$6),1,0)</f>
        <v/>
      </c>
      <c r="AM252">
        <f>IF(OR($H252="",Screener!$B$8=""),0,MAX(0,1-ABS(LOG10($H252/Screener!$B$8))/W_SIZEHW))</f>
        <v/>
      </c>
      <c r="AN252">
        <f>IF(OR($V252="",Screener!$B$9=""),0,IF($V252=Screener!$B$9,1,0))</f>
        <v/>
      </c>
      <c r="AO252">
        <f>IF(OR($AA252="",Screener!$B$10=""),0,IF($AA252=Screener!$B$10,1,0))</f>
        <v/>
      </c>
      <c r="AP252">
        <f>IF($G252="",0,MAX(0,1-(Screener!$B$12-$G252)/W_RECD))</f>
        <v/>
      </c>
      <c r="AQ252">
        <f>IF($B252=Screener!$B$3,-999999,W_SUB*AK252+W_SEC*AL252*(1-AK252)+W_SIZE*AM252+W_PROF*AN252+W_AH*AO252+W_REC*AP252)+ROW()/1000000</f>
        <v/>
      </c>
      <c r="AR252">
        <f>IF(OR('NEW DEAL'!$B$6="",$E252&lt;&gt;'NEW DEAL'!$B$6),-1,1+IF(OR($H252="",'NEW DEAL'!$B$7=""),0,MAX(0,1-ABS(LOG10($H252/'NEW DEAL'!$B$7))/W_SIZEHW)))+ROW()/1000000</f>
        <v/>
      </c>
    </row>
    <row r="253">
      <c r="A253" s="23" t="inlineStr">
        <is>
          <t>2529</t>
        </is>
      </c>
      <c r="B253" s="22" t="inlineStr">
        <is>
          <t>HOLLWIN URBAN</t>
        </is>
      </c>
      <c r="C253" s="22" t="n"/>
      <c r="D253" s="24" t="inlineStr">
        <is>
          <t>Real Estate</t>
        </is>
      </c>
      <c r="E253" s="24" t="inlineStr">
        <is>
          <t>Property management</t>
        </is>
      </c>
      <c r="F253" s="22" t="inlineStr">
        <is>
          <t>Standard</t>
        </is>
      </c>
      <c r="G253" s="39" t="n">
        <v>45429</v>
      </c>
      <c r="H253" s="26" t="n">
        <v>128</v>
      </c>
      <c r="I253" s="22" t="inlineStr">
        <is>
          <t>gross (price x shares)</t>
        </is>
      </c>
      <c r="J253" s="27" t="n"/>
      <c r="K253" s="27" t="n">
        <v>3.6</v>
      </c>
      <c r="L253" s="44" t="n">
        <v>3.2</v>
      </c>
      <c r="M253" s="32" t="n"/>
      <c r="N253" s="29" t="inlineStr">
        <is>
          <t>N</t>
        </is>
      </c>
      <c r="O253" s="26" t="n">
        <v>512</v>
      </c>
      <c r="P253" s="46" t="n">
        <v>47.59</v>
      </c>
      <c r="Q253" s="31" t="n">
        <v>1.2</v>
      </c>
      <c r="R253" s="45" t="n">
        <v>0.31</v>
      </c>
      <c r="S253" s="33" t="n">
        <v>52.34</v>
      </c>
      <c r="T253" s="32" t="n"/>
      <c r="U253" s="22" t="n"/>
      <c r="V253" s="29" t="inlineStr">
        <is>
          <t>Y</t>
        </is>
      </c>
      <c r="W253" s="34" t="n">
        <v>6.6</v>
      </c>
      <c r="X253" s="34" t="n">
        <v>0.7</v>
      </c>
      <c r="Y253" s="36" t="n">
        <v>717.1</v>
      </c>
      <c r="Z253" s="36" t="n">
        <v>77.2</v>
      </c>
      <c r="AA253" s="22" t="n"/>
      <c r="AB253" s="22" t="n"/>
      <c r="AC253" s="22" t="n"/>
      <c r="AD253" s="22" t="inlineStr">
        <is>
          <t>China International Capital Corporation Hong Kong Securities Limited; ABCI Capital Limited; CEB International Capital Corporation Limited; China Sunrise Securities (International) Limited; CMBC Securities Company Limited; CMB International Capital Limited; ICBC International Securities Limited; Livermore Holdings Limited; UOB Kay Hian (Hong Kong) Limited; Zhongtai International Securities Limited</t>
        </is>
      </c>
      <c r="AE253" s="22" t="n"/>
      <c r="AK253">
        <f>IF(AND(Screener!$B$7&lt;&gt;"",$E253=Screener!$B$7),1,0)</f>
        <v/>
      </c>
      <c r="AL253">
        <f>IF(AND(Screener!$B$6&lt;&gt;"",$D253=Screener!$B$6),1,0)</f>
        <v/>
      </c>
      <c r="AM253">
        <f>IF(OR($H253="",Screener!$B$8=""),0,MAX(0,1-ABS(LOG10($H253/Screener!$B$8))/W_SIZEHW))</f>
        <v/>
      </c>
      <c r="AN253">
        <f>IF(OR($V253="",Screener!$B$9=""),0,IF($V253=Screener!$B$9,1,0))</f>
        <v/>
      </c>
      <c r="AO253">
        <f>IF(OR($AA253="",Screener!$B$10=""),0,IF($AA253=Screener!$B$10,1,0))</f>
        <v/>
      </c>
      <c r="AP253">
        <f>IF($G253="",0,MAX(0,1-(Screener!$B$12-$G253)/W_RECD))</f>
        <v/>
      </c>
      <c r="AQ253">
        <f>IF($B253=Screener!$B$3,-999999,W_SUB*AK253+W_SEC*AL253*(1-AK253)+W_SIZE*AM253+W_PROF*AN253+W_AH*AO253+W_REC*AP253)+ROW()/1000000</f>
        <v/>
      </c>
      <c r="AR253">
        <f>IF(OR('NEW DEAL'!$B$6="",$E253&lt;&gt;'NEW DEAL'!$B$6),-1,1+IF(OR($H253="",'NEW DEAL'!$B$7=""),0,MAX(0,1-ABS(LOG10($H253/'NEW DEAL'!$B$7))/W_SIZEHW)))+ROW()/1000000</f>
        <v/>
      </c>
    </row>
    <row r="254">
      <c r="A254" s="23" t="inlineStr">
        <is>
          <t>2898</t>
        </is>
      </c>
      <c r="B254" s="22" t="inlineStr">
        <is>
          <t>SUNHO BIO-B</t>
        </is>
      </c>
      <c r="C254" s="22" t="n"/>
      <c r="D254" s="24" t="inlineStr">
        <is>
          <t>Healthcare</t>
        </is>
      </c>
      <c r="E254" s="24" t="inlineStr">
        <is>
          <t>Biotech pre-revenue (18A)</t>
        </is>
      </c>
      <c r="F254" s="38" t="inlineStr">
        <is>
          <t>18A</t>
        </is>
      </c>
      <c r="G254" s="39" t="n">
        <v>45436</v>
      </c>
      <c r="H254" s="26" t="n">
        <v>461</v>
      </c>
      <c r="I254" s="22" t="inlineStr">
        <is>
          <t>gross (price x shares)</t>
        </is>
      </c>
      <c r="J254" s="27" t="n"/>
      <c r="K254" s="27" t="n"/>
      <c r="L254" s="44" t="n">
        <v>13.5</v>
      </c>
      <c r="M254" s="32" t="n"/>
      <c r="N254" s="22" t="n"/>
      <c r="O254" s="26" t="n">
        <v>2115</v>
      </c>
      <c r="P254" s="46" t="n">
        <v>10.08</v>
      </c>
      <c r="Q254" s="31" t="n">
        <v>1.27</v>
      </c>
      <c r="R254" s="45" t="n">
        <v>7.56</v>
      </c>
      <c r="S254" s="33" t="n">
        <v>9.07</v>
      </c>
      <c r="T254" s="32" t="n"/>
      <c r="U254" s="22" t="n"/>
      <c r="V254" s="22" t="n"/>
      <c r="W254" s="31" t="n"/>
      <c r="X254" s="31" t="n"/>
      <c r="Y254" s="35" t="n"/>
      <c r="Z254" s="35" t="n"/>
      <c r="AA254" s="22" t="n"/>
      <c r="AB254" s="22" t="n"/>
      <c r="AC254" s="22" t="n"/>
      <c r="AD254" s="22" t="n"/>
      <c r="AE254" s="22" t="n"/>
      <c r="AK254">
        <f>IF(AND(Screener!$B$7&lt;&gt;"",$E254=Screener!$B$7),1,0)</f>
        <v/>
      </c>
      <c r="AL254">
        <f>IF(AND(Screener!$B$6&lt;&gt;"",$D254=Screener!$B$6),1,0)</f>
        <v/>
      </c>
      <c r="AM254">
        <f>IF(OR($H254="",Screener!$B$8=""),0,MAX(0,1-ABS(LOG10($H254/Screener!$B$8))/W_SIZEHW))</f>
        <v/>
      </c>
      <c r="AN254">
        <f>IF(OR($V254="",Screener!$B$9=""),0,IF($V254=Screener!$B$9,1,0))</f>
        <v/>
      </c>
      <c r="AO254">
        <f>IF(OR($AA254="",Screener!$B$10=""),0,IF($AA254=Screener!$B$10,1,0))</f>
        <v/>
      </c>
      <c r="AP254">
        <f>IF($G254="",0,MAX(0,1-(Screener!$B$12-$G254)/W_RECD))</f>
        <v/>
      </c>
      <c r="AQ254">
        <f>IF($B254=Screener!$B$3,-999999,W_SUB*AK254+W_SEC*AL254*(1-AK254)+W_SIZE*AM254+W_PROF*AN254+W_AH*AO254+W_REC*AP254)+ROW()/1000000</f>
        <v/>
      </c>
      <c r="AR254">
        <f>IF(OR('NEW DEAL'!$B$6="",$E254&lt;&gt;'NEW DEAL'!$B$6),-1,1+IF(OR($H254="",'NEW DEAL'!$B$7=""),0,MAX(0,1-ABS(LOG10($H254/'NEW DEAL'!$B$7))/W_SIZEHW)))+ROW()/1000000</f>
        <v/>
      </c>
    </row>
    <row r="255">
      <c r="A255" s="23" t="inlineStr">
        <is>
          <t>0917</t>
        </is>
      </c>
      <c r="B255" s="22" t="inlineStr">
        <is>
          <t>QUNABOX GROUP</t>
        </is>
      </c>
      <c r="C255" s="22" t="n"/>
      <c r="D255" s="24" t="inlineStr">
        <is>
          <t>Other</t>
        </is>
      </c>
      <c r="E255" s="24" t="inlineStr">
        <is>
          <t>Other / unclassified</t>
        </is>
      </c>
      <c r="F255" s="22" t="inlineStr">
        <is>
          <t>Standard</t>
        </is>
      </c>
      <c r="G255" s="39" t="n">
        <v>45439</v>
      </c>
      <c r="H255" s="26" t="n">
        <v>492.6</v>
      </c>
      <c r="I255" s="22" t="inlineStr">
        <is>
          <t>gross (stated)</t>
        </is>
      </c>
      <c r="J255" s="27" t="n"/>
      <c r="K255" s="27" t="n"/>
      <c r="L255" s="44" t="n">
        <v>25</v>
      </c>
      <c r="M255" s="32" t="n"/>
      <c r="N255" s="22" t="n"/>
      <c r="O255" s="26" t="n">
        <v>6567.6</v>
      </c>
      <c r="P255" s="46" t="n">
        <v>12.05</v>
      </c>
      <c r="Q255" s="31" t="n">
        <v>1.11</v>
      </c>
      <c r="R255" s="47" t="n">
        <v>246.4</v>
      </c>
      <c r="S255" s="33" t="n">
        <v>20</v>
      </c>
      <c r="T255" s="32" t="n"/>
      <c r="U255" s="22" t="n"/>
      <c r="V255" s="22" t="n"/>
      <c r="W255" s="31" t="n"/>
      <c r="X255" s="31" t="n"/>
      <c r="Y255" s="35" t="n"/>
      <c r="Z255" s="35" t="n"/>
      <c r="AA255" s="22" t="n"/>
      <c r="AB255" s="22" t="n"/>
      <c r="AC255" s="22" t="n"/>
      <c r="AD255" s="22" t="n"/>
      <c r="AE255" s="22" t="n"/>
      <c r="AK255">
        <f>IF(AND(Screener!$B$7&lt;&gt;"",$E255=Screener!$B$7),1,0)</f>
        <v/>
      </c>
      <c r="AL255">
        <f>IF(AND(Screener!$B$6&lt;&gt;"",$D255=Screener!$B$6),1,0)</f>
        <v/>
      </c>
      <c r="AM255">
        <f>IF(OR($H255="",Screener!$B$8=""),0,MAX(0,1-ABS(LOG10($H255/Screener!$B$8))/W_SIZEHW))</f>
        <v/>
      </c>
      <c r="AN255">
        <f>IF(OR($V255="",Screener!$B$9=""),0,IF($V255=Screener!$B$9,1,0))</f>
        <v/>
      </c>
      <c r="AO255">
        <f>IF(OR($AA255="",Screener!$B$10=""),0,IF($AA255=Screener!$B$10,1,0))</f>
        <v/>
      </c>
      <c r="AP255">
        <f>IF($G255="",0,MAX(0,1-(Screener!$B$12-$G255)/W_RECD))</f>
        <v/>
      </c>
      <c r="AQ255">
        <f>IF($B255=Screener!$B$3,-999999,W_SUB*AK255+W_SEC*AL255*(1-AK255)+W_SIZE*AM255+W_PROF*AN255+W_AH*AO255+W_REC*AP255)+ROW()/1000000</f>
        <v/>
      </c>
      <c r="AR255">
        <f>IF(OR('NEW DEAL'!$B$6="",$E255&lt;&gt;'NEW DEAL'!$B$6),-1,1+IF(OR($H255="",'NEW DEAL'!$B$7=""),0,MAX(0,1-ABS(LOG10($H255/'NEW DEAL'!$B$7))/W_SIZEHW)))+ROW()/1000000</f>
        <v/>
      </c>
    </row>
    <row r="256">
      <c r="A256" s="23" t="inlineStr">
        <is>
          <t>2505</t>
        </is>
      </c>
      <c r="B256" s="22" t="inlineStr">
        <is>
          <t>EDA GROUP HLDGS</t>
        </is>
      </c>
      <c r="C256" s="22" t="n"/>
      <c r="D256" s="24" t="inlineStr">
        <is>
          <t>Industrials</t>
        </is>
      </c>
      <c r="E256" s="24" t="inlineStr">
        <is>
          <t>Logistics</t>
        </is>
      </c>
      <c r="F256" s="22" t="inlineStr">
        <is>
          <t>Standard</t>
        </is>
      </c>
      <c r="G256" s="39" t="n">
        <v>45440</v>
      </c>
      <c r="H256" s="35" t="n"/>
      <c r="I256" s="22" t="n"/>
      <c r="J256" s="27" t="n">
        <v>2.28</v>
      </c>
      <c r="K256" s="27" t="n">
        <v>3.06</v>
      </c>
      <c r="L256" s="44" t="n">
        <v>2.28</v>
      </c>
      <c r="M256" s="28" t="n">
        <v>0</v>
      </c>
      <c r="N256" s="22" t="inlineStr">
        <is>
          <t>N</t>
        </is>
      </c>
      <c r="O256" s="36" t="n">
        <v>1175</v>
      </c>
      <c r="P256" s="46" t="n">
        <v>103.44</v>
      </c>
      <c r="Q256" s="31" t="n">
        <v>0.35</v>
      </c>
      <c r="R256" s="45" t="n">
        <v>84.20999999999999</v>
      </c>
      <c r="S256" s="33" t="n">
        <v>35.8</v>
      </c>
      <c r="T256" s="32" t="n"/>
      <c r="U256" s="22" t="inlineStr">
        <is>
          <t>not-yet (at allotment)</t>
        </is>
      </c>
      <c r="V256" s="29" t="inlineStr">
        <is>
          <t>Y</t>
        </is>
      </c>
      <c r="W256" s="34" t="n">
        <v>15.4</v>
      </c>
      <c r="X256" s="34" t="n">
        <v>0.9</v>
      </c>
      <c r="Y256" s="36" t="n">
        <v>1330.2</v>
      </c>
      <c r="Z256" s="36" t="n">
        <v>76.3</v>
      </c>
      <c r="AA256" s="22" t="n"/>
      <c r="AB256" s="22" t="n"/>
      <c r="AC256" s="22" t="inlineStr">
        <is>
          <t>CMB International Capital Limited</t>
        </is>
      </c>
      <c r="AD256" s="22" t="inlineStr">
        <is>
          <t>Managers and Capital Market Intermediaries CMB International Capital Limited; ABCI Capital Limited; ABCI Securities Company Limited</t>
        </is>
      </c>
      <c r="AE256" s="22" t="n"/>
      <c r="AK256">
        <f>IF(AND(Screener!$B$7&lt;&gt;"",$E256=Screener!$B$7),1,0)</f>
        <v/>
      </c>
      <c r="AL256">
        <f>IF(AND(Screener!$B$6&lt;&gt;"",$D256=Screener!$B$6),1,0)</f>
        <v/>
      </c>
      <c r="AM256">
        <f>IF(OR($H256="",Screener!$B$8=""),0,MAX(0,1-ABS(LOG10($H256/Screener!$B$8))/W_SIZEHW))</f>
        <v/>
      </c>
      <c r="AN256">
        <f>IF(OR($V256="",Screener!$B$9=""),0,IF($V256=Screener!$B$9,1,0))</f>
        <v/>
      </c>
      <c r="AO256">
        <f>IF(OR($AA256="",Screener!$B$10=""),0,IF($AA256=Screener!$B$10,1,0))</f>
        <v/>
      </c>
      <c r="AP256">
        <f>IF($G256="",0,MAX(0,1-(Screener!$B$12-$G256)/W_RECD))</f>
        <v/>
      </c>
      <c r="AQ256">
        <f>IF($B256=Screener!$B$3,-999999,W_SUB*AK256+W_SEC*AL256*(1-AK256)+W_SIZE*AM256+W_PROF*AN256+W_AH*AO256+W_REC*AP256)+ROW()/1000000</f>
        <v/>
      </c>
      <c r="AR256">
        <f>IF(OR('NEW DEAL'!$B$6="",$E256&lt;&gt;'NEW DEAL'!$B$6),-1,1+IF(OR($H256="",'NEW DEAL'!$B$7=""),0,MAX(0,1-ABS(LOG10($H256/'NEW DEAL'!$B$7))/W_SIZEHW)))+ROW()/1000000</f>
        <v/>
      </c>
    </row>
    <row r="257">
      <c r="A257" s="23" t="inlineStr">
        <is>
          <t>2443</t>
        </is>
      </c>
      <c r="B257" s="22" t="inlineStr">
        <is>
          <t>AUTOSTREETS</t>
        </is>
      </c>
      <c r="C257" s="22" t="n"/>
      <c r="D257" s="24" t="inlineStr">
        <is>
          <t>Consumer</t>
        </is>
      </c>
      <c r="E257" s="24" t="inlineStr">
        <is>
          <t>Retail / distribution</t>
        </is>
      </c>
      <c r="F257" s="22" t="inlineStr">
        <is>
          <t>Standard</t>
        </is>
      </c>
      <c r="G257" s="39" t="n">
        <v>45443</v>
      </c>
      <c r="H257" s="26" t="n">
        <v>153</v>
      </c>
      <c r="I257" s="22" t="inlineStr">
        <is>
          <t>gross (stated)</t>
        </is>
      </c>
      <c r="J257" s="27" t="n"/>
      <c r="K257" s="27" t="n"/>
      <c r="L257" s="44" t="n">
        <v>10.2</v>
      </c>
      <c r="M257" s="32" t="n"/>
      <c r="N257" s="22" t="n"/>
      <c r="O257" s="26" t="n">
        <v>8500</v>
      </c>
      <c r="P257" s="46" t="n">
        <v>433.34</v>
      </c>
      <c r="Q257" s="31" t="n">
        <v>0.98</v>
      </c>
      <c r="R257" s="45" t="n">
        <v>26.86</v>
      </c>
      <c r="S257" s="33" t="n">
        <v>0</v>
      </c>
      <c r="T257" s="32" t="n"/>
      <c r="U257" s="22" t="n"/>
      <c r="V257" s="22" t="n"/>
      <c r="W257" s="31" t="n"/>
      <c r="X257" s="34" t="n">
        <v>15.7</v>
      </c>
      <c r="Y257" s="36" t="n">
        <v>541.2</v>
      </c>
      <c r="Z257" s="35" t="n"/>
      <c r="AA257" s="22" t="n"/>
      <c r="AB257" s="22" t="n"/>
      <c r="AC257" s="22" t="inlineStr">
        <is>
          <t>CITIC Securities (Hong Kong) Limited; Haitong International Capital Limited</t>
        </is>
      </c>
      <c r="AD257" s="22" t="inlineStr">
        <is>
          <t>Managers CLSA Limited; Haitong International S ecurities Company Limited; Fosun International Securities Limited; Central Hong Kong China Galaxy International Securities (Hong Kong) Co., Limited; Central Hong Kong CMB International Capital Limited; Central, Hong Kong ABCI Securities Company Limited; Central, Hong Kong BOCI Asia Limited; Central, Hong Kong Futu Securities Internat ional (Hong Kong) Limited; No. 95 Queensway Admiralty, Hong Kong Livermore Holdings Limited; Patrons Securities Limited; Sheung Wan, Hong Kong Ruibang Securities Limited; Central Hong Kong SPDB International Capital Limited</t>
        </is>
      </c>
      <c r="AE257" s="22" t="n"/>
      <c r="AK257">
        <f>IF(AND(Screener!$B$7&lt;&gt;"",$E257=Screener!$B$7),1,0)</f>
        <v/>
      </c>
      <c r="AL257">
        <f>IF(AND(Screener!$B$6&lt;&gt;"",$D257=Screener!$B$6),1,0)</f>
        <v/>
      </c>
      <c r="AM257">
        <f>IF(OR($H257="",Screener!$B$8=""),0,MAX(0,1-ABS(LOG10($H257/Screener!$B$8))/W_SIZEHW))</f>
        <v/>
      </c>
      <c r="AN257">
        <f>IF(OR($V257="",Screener!$B$9=""),0,IF($V257=Screener!$B$9,1,0))</f>
        <v/>
      </c>
      <c r="AO257">
        <f>IF(OR($AA257="",Screener!$B$10=""),0,IF($AA257=Screener!$B$10,1,0))</f>
        <v/>
      </c>
      <c r="AP257">
        <f>IF($G257="",0,MAX(0,1-(Screener!$B$12-$G257)/W_RECD))</f>
        <v/>
      </c>
      <c r="AQ257">
        <f>IF($B257=Screener!$B$3,-999999,W_SUB*AK257+W_SEC*AL257*(1-AK257)+W_SIZE*AM257+W_PROF*AN257+W_AH*AO257+W_REC*AP257)+ROW()/1000000</f>
        <v/>
      </c>
      <c r="AR257">
        <f>IF(OR('NEW DEAL'!$B$6="",$E257&lt;&gt;'NEW DEAL'!$B$6),-1,1+IF(OR($H257="",'NEW DEAL'!$B$7=""),0,MAX(0,1-ABS(LOG10($H257/'NEW DEAL'!$B$7))/W_SIZEHW)))+ROW()/1000000</f>
        <v/>
      </c>
    </row>
    <row r="258">
      <c r="A258" s="23" t="inlineStr">
        <is>
          <t>2522</t>
        </is>
      </c>
      <c r="B258" s="22" t="inlineStr">
        <is>
          <t>RIMAG GROUP</t>
        </is>
      </c>
      <c r="C258" s="22" t="inlineStr">
        <is>
          <t>江西一脈陽光集團股份有限公司</t>
        </is>
      </c>
      <c r="D258" s="24" t="inlineStr">
        <is>
          <t>Healthcare</t>
        </is>
      </c>
      <c r="E258" s="24" t="inlineStr">
        <is>
          <t>Hospitals / clinics</t>
        </is>
      </c>
      <c r="F258" s="22" t="inlineStr">
        <is>
          <t>Standard</t>
        </is>
      </c>
      <c r="G258" s="39" t="n">
        <v>45450</v>
      </c>
      <c r="H258" s="26" t="n">
        <v>266.9</v>
      </c>
      <c r="I258" s="22" t="inlineStr">
        <is>
          <t>gross (price x shares)</t>
        </is>
      </c>
      <c r="J258" s="27" t="n">
        <v>14.6</v>
      </c>
      <c r="K258" s="27" t="n">
        <v>16.8</v>
      </c>
      <c r="L258" s="44" t="n">
        <v>14.98</v>
      </c>
      <c r="M258" s="28" t="n">
        <v>17.3</v>
      </c>
      <c r="N258" s="29" t="inlineStr">
        <is>
          <t>N</t>
        </is>
      </c>
      <c r="O258" s="26" t="n">
        <v>5337.6</v>
      </c>
      <c r="P258" s="46" t="n">
        <v>336.33</v>
      </c>
      <c r="Q258" s="31" t="n">
        <v>1.24</v>
      </c>
      <c r="R258" s="45" t="n">
        <v>0.13</v>
      </c>
      <c r="S258" s="33" t="n">
        <v>44.97</v>
      </c>
      <c r="T258" s="32" t="n"/>
      <c r="U258" s="22" t="n"/>
      <c r="V258" s="29" t="inlineStr">
        <is>
          <t>Y</t>
        </is>
      </c>
      <c r="W258" s="34" t="n">
        <v>132.8</v>
      </c>
      <c r="X258" s="34" t="n">
        <v>5.2</v>
      </c>
      <c r="Y258" s="36" t="n">
        <v>1021.8</v>
      </c>
      <c r="Z258" s="36" t="n">
        <v>40.2</v>
      </c>
      <c r="AA258" s="22" t="n"/>
      <c r="AB258" s="22" t="n"/>
      <c r="AC258" s="22" t="inlineStr">
        <is>
          <t>CITIC Securities (Hong Kong) Limited; -Overall Coordinator CLSA Limited</t>
        </is>
      </c>
      <c r="AD258" s="22" t="inlineStr">
        <is>
          <t>CLSA Limited; CMB International Capital Limited; Huatai Financial Holdings (Hong Kong) Limited; Fosun International Securities Limited; Central, Hong Kong ABCI Capital Limited; China Galaxy International Securities (Hong Kong) Co., Limited; Sheung Wan, Hong Kong Futu Securities International (Hong Kong) Limited; No. 95 Queensway Admiralty, Hong Kong ICBC International Securities Limited; Patrons Securities Limited; Sheung Wan, Hong Kong Quam Securities Limited; TradeGo Markets Limited; Holdings Limited</t>
        </is>
      </c>
      <c r="AE258" s="22" t="n"/>
      <c r="AK258">
        <f>IF(AND(Screener!$B$7&lt;&gt;"",$E258=Screener!$B$7),1,0)</f>
        <v/>
      </c>
      <c r="AL258">
        <f>IF(AND(Screener!$B$6&lt;&gt;"",$D258=Screener!$B$6),1,0)</f>
        <v/>
      </c>
      <c r="AM258">
        <f>IF(OR($H258="",Screener!$B$8=""),0,MAX(0,1-ABS(LOG10($H258/Screener!$B$8))/W_SIZEHW))</f>
        <v/>
      </c>
      <c r="AN258">
        <f>IF(OR($V258="",Screener!$B$9=""),0,IF($V258=Screener!$B$9,1,0))</f>
        <v/>
      </c>
      <c r="AO258">
        <f>IF(OR($AA258="",Screener!$B$10=""),0,IF($AA258=Screener!$B$10,1,0))</f>
        <v/>
      </c>
      <c r="AP258">
        <f>IF($G258="",0,MAX(0,1-(Screener!$B$12-$G258)/W_RECD))</f>
        <v/>
      </c>
      <c r="AQ258">
        <f>IF($B258=Screener!$B$3,-999999,W_SUB*AK258+W_SEC*AL258*(1-AK258)+W_SIZE*AM258+W_PROF*AN258+W_AH*AO258+W_REC*AP258)+ROW()/1000000</f>
        <v/>
      </c>
      <c r="AR258">
        <f>IF(OR('NEW DEAL'!$B$6="",$E258&lt;&gt;'NEW DEAL'!$B$6),-1,1+IF(OR($H258="",'NEW DEAL'!$B$7=""),0,MAX(0,1-ABS(LOG10($H258/'NEW DEAL'!$B$7))/W_SIZEHW)))+ROW()/1000000</f>
        <v/>
      </c>
    </row>
    <row r="259">
      <c r="A259" s="23" t="inlineStr">
        <is>
          <t>2550</t>
        </is>
      </c>
      <c r="B259" s="22" t="inlineStr">
        <is>
          <t>EASOU TECH</t>
        </is>
      </c>
      <c r="C259" s="22" t="inlineStr">
        <is>
          <t>宜搜科技控股有限公司</t>
        </is>
      </c>
      <c r="D259" s="24" t="inlineStr">
        <is>
          <t>Tech/AI</t>
        </is>
      </c>
      <c r="E259" s="24" t="inlineStr">
        <is>
          <t>Internet platform / e-commerce</t>
        </is>
      </c>
      <c r="F259" s="22" t="inlineStr">
        <is>
          <t>Standard</t>
        </is>
      </c>
      <c r="G259" s="39" t="n">
        <v>45450</v>
      </c>
      <c r="H259" s="26" t="n">
        <v>85.90000000000001</v>
      </c>
      <c r="I259" s="22" t="inlineStr">
        <is>
          <t>gross (price x shares)</t>
        </is>
      </c>
      <c r="J259" s="27" t="n"/>
      <c r="K259" s="27" t="n">
        <v>8</v>
      </c>
      <c r="L259" s="44" t="n">
        <v>5.8</v>
      </c>
      <c r="M259" s="32" t="n"/>
      <c r="N259" s="29" t="inlineStr">
        <is>
          <t>N</t>
        </is>
      </c>
      <c r="O259" s="26" t="n">
        <v>1907.8</v>
      </c>
      <c r="P259" s="46" t="n">
        <v>114.59</v>
      </c>
      <c r="Q259" s="31" t="n">
        <v>0.98</v>
      </c>
      <c r="R259" s="45" t="n">
        <v>91.72</v>
      </c>
      <c r="S259" s="33" t="n">
        <v>0</v>
      </c>
      <c r="T259" s="32" t="n">
        <v>15</v>
      </c>
      <c r="U259" s="22" t="inlineStr">
        <is>
          <t>not-yet (at allotment)</t>
        </is>
      </c>
      <c r="V259" s="29" t="inlineStr">
        <is>
          <t>Y</t>
        </is>
      </c>
      <c r="W259" s="34" t="n">
        <v>69.40000000000001</v>
      </c>
      <c r="X259" s="34" t="n">
        <v>3.1</v>
      </c>
      <c r="Y259" s="36" t="n">
        <v>614.9</v>
      </c>
      <c r="Z259" s="36" t="n">
        <v>27.5</v>
      </c>
      <c r="AA259" s="22" t="n"/>
      <c r="AB259" s="22" t="n"/>
      <c r="AC259" s="22" t="n"/>
      <c r="AD259" s="22" t="inlineStr">
        <is>
          <t>BOCI Asia Limited; Central, Hong Kong Guotai Junan Securities (Hong Kong) Limited; BOCOM International Securities Limited; Wanchai, Hong Kong Citrus Securities Limited; Wanchai, Hong Kong Guosen Securities (HK) Capital Company Limited; ICBC International Securities Limited; Livermore Holdings Limited; Shenwan Hongyuan Securities (H.K.) Limited; SPDB International Capital Limited; Tiger Brokers (HK) Global Limited; Wanchai, Hong Kong Zhongtai International Securities Limited</t>
        </is>
      </c>
      <c r="AE259" s="22" t="n"/>
      <c r="AK259">
        <f>IF(AND(Screener!$B$7&lt;&gt;"",$E259=Screener!$B$7),1,0)</f>
        <v/>
      </c>
      <c r="AL259">
        <f>IF(AND(Screener!$B$6&lt;&gt;"",$D259=Screener!$B$6),1,0)</f>
        <v/>
      </c>
      <c r="AM259">
        <f>IF(OR($H259="",Screener!$B$8=""),0,MAX(0,1-ABS(LOG10($H259/Screener!$B$8))/W_SIZEHW))</f>
        <v/>
      </c>
      <c r="AN259">
        <f>IF(OR($V259="",Screener!$B$9=""),0,IF($V259=Screener!$B$9,1,0))</f>
        <v/>
      </c>
      <c r="AO259">
        <f>IF(OR($AA259="",Screener!$B$10=""),0,IF($AA259=Screener!$B$10,1,0))</f>
        <v/>
      </c>
      <c r="AP259">
        <f>IF($G259="",0,MAX(0,1-(Screener!$B$12-$G259)/W_RECD))</f>
        <v/>
      </c>
      <c r="AQ259">
        <f>IF($B259=Screener!$B$3,-999999,W_SUB*AK259+W_SEC*AL259*(1-AK259)+W_SIZE*AM259+W_PROF*AN259+W_AH*AO259+W_REC*AP259)+ROW()/1000000</f>
        <v/>
      </c>
      <c r="AR259">
        <f>IF(OR('NEW DEAL'!$B$6="",$E259&lt;&gt;'NEW DEAL'!$B$6),-1,1+IF(OR($H259="",'NEW DEAL'!$B$7=""),0,MAX(0,1-ABS(LOG10($H259/'NEW DEAL'!$B$7))/W_SIZEHW)))+ROW()/1000000</f>
        <v/>
      </c>
    </row>
    <row r="260">
      <c r="A260" s="23" t="inlineStr">
        <is>
          <t>2228</t>
        </is>
      </c>
      <c r="B260" s="22" t="inlineStr">
        <is>
          <t>QUANTUMPH-P</t>
        </is>
      </c>
      <c r="C260" s="22" t="n"/>
      <c r="D260" s="24" t="inlineStr">
        <is>
          <t>Tech/AI</t>
        </is>
      </c>
      <c r="E260" s="24" t="inlineStr">
        <is>
          <t>AI application / agent software</t>
        </is>
      </c>
      <c r="F260" s="38" t="inlineStr">
        <is>
          <t>18C</t>
        </is>
      </c>
      <c r="G260" s="43" t="n">
        <v>45456</v>
      </c>
      <c r="H260" s="26" t="n">
        <v>989.3</v>
      </c>
      <c r="I260" s="22" t="inlineStr">
        <is>
          <t>gross (price x shares)</t>
        </is>
      </c>
      <c r="J260" s="27" t="n"/>
      <c r="K260" s="27" t="n"/>
      <c r="L260" s="44" t="n">
        <v>5.28</v>
      </c>
      <c r="M260" s="32" t="n"/>
      <c r="N260" s="22" t="n"/>
      <c r="O260" s="36" t="n">
        <v>18890</v>
      </c>
      <c r="P260" s="46" t="n">
        <v>103.35</v>
      </c>
      <c r="Q260" s="31" t="n">
        <v>2.13</v>
      </c>
      <c r="R260" s="45" t="n">
        <v>9.85</v>
      </c>
      <c r="S260" s="33" t="n">
        <v>5</v>
      </c>
      <c r="T260" s="28" t="n">
        <v>15</v>
      </c>
      <c r="U260" s="22" t="n"/>
      <c r="V260" s="22" t="n"/>
      <c r="W260" s="31" t="n"/>
      <c r="X260" s="31" t="n"/>
      <c r="Y260" s="35" t="n"/>
      <c r="Z260" s="35" t="n"/>
      <c r="AA260" s="22" t="n"/>
      <c r="AB260" s="22" t="n"/>
      <c r="AC260" s="22" t="n"/>
      <c r="AD260" s="22" t="n"/>
      <c r="AE260" s="22" t="n"/>
      <c r="AK260">
        <f>IF(AND(Screener!$B$7&lt;&gt;"",$E260=Screener!$B$7),1,0)</f>
        <v/>
      </c>
      <c r="AL260">
        <f>IF(AND(Screener!$B$6&lt;&gt;"",$D260=Screener!$B$6),1,0)</f>
        <v/>
      </c>
      <c r="AM260">
        <f>IF(OR($H260="",Screener!$B$8=""),0,MAX(0,1-ABS(LOG10($H260/Screener!$B$8))/W_SIZEHW))</f>
        <v/>
      </c>
      <c r="AN260">
        <f>IF(OR($V260="",Screener!$B$9=""),0,IF($V260=Screener!$B$9,1,0))</f>
        <v/>
      </c>
      <c r="AO260">
        <f>IF(OR($AA260="",Screener!$B$10=""),0,IF($AA260=Screener!$B$10,1,0))</f>
        <v/>
      </c>
      <c r="AP260">
        <f>IF($G260="",0,MAX(0,1-(Screener!$B$12-$G260)/W_RECD))</f>
        <v/>
      </c>
      <c r="AQ260">
        <f>IF($B260=Screener!$B$3,-999999,W_SUB*AK260+W_SEC*AL260*(1-AK260)+W_SIZE*AM260+W_PROF*AN260+W_AH*AO260+W_REC*AP260)+ROW()/1000000</f>
        <v/>
      </c>
      <c r="AR260">
        <f>IF(OR('NEW DEAL'!$B$6="",$E260&lt;&gt;'NEW DEAL'!$B$6),-1,1+IF(OR($H260="",'NEW DEAL'!$B$7=""),0,MAX(0,1-ABS(LOG10($H260/'NEW DEAL'!$B$7))/W_SIZEHW)))+ROW()/1000000</f>
        <v/>
      </c>
    </row>
    <row r="261">
      <c r="A261" s="23" t="inlineStr">
        <is>
          <t>2512</t>
        </is>
      </c>
      <c r="B261" s="22" t="inlineStr">
        <is>
          <t>CLOUD FACTORY</t>
        </is>
      </c>
      <c r="C261" s="22" t="n"/>
      <c r="D261" s="24" t="inlineStr">
        <is>
          <t>Tech/AI</t>
        </is>
      </c>
      <c r="E261" s="24" t="inlineStr">
        <is>
          <t>Data center / cloud infra</t>
        </is>
      </c>
      <c r="F261" s="22" t="inlineStr">
        <is>
          <t>Standard</t>
        </is>
      </c>
      <c r="G261" s="39" t="n">
        <v>45457</v>
      </c>
      <c r="H261" s="26" t="n">
        <v>133.9</v>
      </c>
      <c r="I261" s="22" t="inlineStr">
        <is>
          <t>net proceeds</t>
        </is>
      </c>
      <c r="J261" s="27" t="n"/>
      <c r="K261" s="27" t="n">
        <v>4.6</v>
      </c>
      <c r="L261" s="44" t="n">
        <v>4.6</v>
      </c>
      <c r="M261" s="32" t="n"/>
      <c r="N261" s="29" t="inlineStr">
        <is>
          <t>Y</t>
        </is>
      </c>
      <c r="O261" s="26" t="n">
        <v>2116</v>
      </c>
      <c r="P261" s="46" t="n">
        <v>25.79</v>
      </c>
      <c r="Q261" s="31" t="n">
        <v>1.09</v>
      </c>
      <c r="R261" s="45" t="n">
        <v>-17.39</v>
      </c>
      <c r="S261" s="33" t="n">
        <v>0</v>
      </c>
      <c r="T261" s="32" t="n">
        <v>15</v>
      </c>
      <c r="U261" s="22" t="n"/>
      <c r="V261" s="29" t="inlineStr">
        <is>
          <t>Y</t>
        </is>
      </c>
      <c r="W261" s="34" t="n">
        <v>135.6</v>
      </c>
      <c r="X261" s="31" t="n"/>
      <c r="Y261" s="35" t="n"/>
      <c r="Z261" s="36" t="n">
        <v>15.6</v>
      </c>
      <c r="AA261" s="22" t="n"/>
      <c r="AB261" s="22" t="n"/>
      <c r="AC261" s="22" t="n"/>
      <c r="AD261" s="22" t="inlineStr">
        <is>
          <t>Managers and CMIs SPDB International Capital Limited; CMB International Capital Limited; Managers and CMIs CLSA Limited; Managers and CMIs CEB International Capital Corporation Limited; Livermore Holdings Limited; Essence International Secu rities (Hong Kong) Limited; First Shanghai Securities Limited; CMBC Securities Company Limited; CCB International Capital Limited; Fosun International Securities Limited; Central, Hong Kong Futu Securities International (Hong Kong) Limited</t>
        </is>
      </c>
      <c r="AE261" s="22" t="n"/>
      <c r="AK261">
        <f>IF(AND(Screener!$B$7&lt;&gt;"",$E261=Screener!$B$7),1,0)</f>
        <v/>
      </c>
      <c r="AL261">
        <f>IF(AND(Screener!$B$6&lt;&gt;"",$D261=Screener!$B$6),1,0)</f>
        <v/>
      </c>
      <c r="AM261">
        <f>IF(OR($H261="",Screener!$B$8=""),0,MAX(0,1-ABS(LOG10($H261/Screener!$B$8))/W_SIZEHW))</f>
        <v/>
      </c>
      <c r="AN261">
        <f>IF(OR($V261="",Screener!$B$9=""),0,IF($V261=Screener!$B$9,1,0))</f>
        <v/>
      </c>
      <c r="AO261">
        <f>IF(OR($AA261="",Screener!$B$10=""),0,IF($AA261=Screener!$B$10,1,0))</f>
        <v/>
      </c>
      <c r="AP261">
        <f>IF($G261="",0,MAX(0,1-(Screener!$B$12-$G261)/W_RECD))</f>
        <v/>
      </c>
      <c r="AQ261">
        <f>IF($B261=Screener!$B$3,-999999,W_SUB*AK261+W_SEC*AL261*(1-AK261)+W_SIZE*AM261+W_PROF*AN261+W_AH*AO261+W_REC*AP261)+ROW()/1000000</f>
        <v/>
      </c>
      <c r="AR261">
        <f>IF(OR('NEW DEAL'!$B$6="",$E261&lt;&gt;'NEW DEAL'!$B$6),-1,1+IF(OR($H261="",'NEW DEAL'!$B$7=""),0,MAX(0,1-ABS(LOG10($H261/'NEW DEAL'!$B$7))/W_SIZEHW)))+ROW()/1000000</f>
        <v/>
      </c>
    </row>
    <row r="262">
      <c r="A262" s="23" t="inlineStr">
        <is>
          <t>2881</t>
        </is>
      </c>
      <c r="B262" s="22" t="inlineStr">
        <is>
          <t>WUHAN YOUJI</t>
        </is>
      </c>
      <c r="C262" s="22" t="n"/>
      <c r="D262" s="24" t="inlineStr">
        <is>
          <t>Materials/Energy</t>
        </is>
      </c>
      <c r="E262" s="24" t="inlineStr">
        <is>
          <t>Chemicals</t>
        </is>
      </c>
      <c r="F262" s="22" t="inlineStr">
        <is>
          <t>Standard</t>
        </is>
      </c>
      <c r="G262" s="39" t="n">
        <v>45461</v>
      </c>
      <c r="H262" s="26" t="n">
        <v>100.7</v>
      </c>
      <c r="I262" s="22" t="inlineStr">
        <is>
          <t>gross (price x shares)</t>
        </is>
      </c>
      <c r="J262" s="27" t="n"/>
      <c r="K262" s="27" t="n">
        <v>8.5</v>
      </c>
      <c r="L262" s="44" t="n">
        <v>5.5</v>
      </c>
      <c r="M262" s="32" t="n"/>
      <c r="N262" s="29" t="inlineStr">
        <is>
          <t>N</t>
        </is>
      </c>
      <c r="O262" s="26" t="n">
        <v>513.1</v>
      </c>
      <c r="P262" s="46" t="n">
        <v>337.57</v>
      </c>
      <c r="Q262" s="31" t="n">
        <v>0.92</v>
      </c>
      <c r="R262" s="45" t="n">
        <v>27.64</v>
      </c>
      <c r="S262" s="33" t="n">
        <v>0</v>
      </c>
      <c r="T262" s="32" t="n">
        <v>17.7</v>
      </c>
      <c r="U262" s="22" t="n"/>
      <c r="V262" s="29" t="inlineStr">
        <is>
          <t>Y</t>
        </is>
      </c>
      <c r="W262" s="34" t="n">
        <v>6.4</v>
      </c>
      <c r="X262" s="34" t="n">
        <v>0.2</v>
      </c>
      <c r="Y262" s="36" t="n">
        <v>2944.8</v>
      </c>
      <c r="Z262" s="36" t="n">
        <v>80.2</v>
      </c>
      <c r="AA262" s="22" t="n"/>
      <c r="AB262" s="22" t="n"/>
      <c r="AC262" s="22" t="inlineStr">
        <is>
          <t>BOCOM International (Asia) Limited</t>
        </is>
      </c>
      <c r="AD262" s="22" t="inlineStr">
        <is>
          <t>BOCOM International Securities Limited; ABCI Capital Limited; CCB International Capital Limited; CEB International Capital Corporation Limited; China Industrial Securities International Capital Limited; CMBC Securities Company Limited; Essence International Securities (Hong Kong) Limited; Fortune Origin Securities Limited; Futu Securities International (Hong Kong) Limited; ICBC International Securities Limited; Phillip Securities (Hong Kong) Limited; Quam Securities Limited</t>
        </is>
      </c>
      <c r="AE262" s="22" t="n"/>
      <c r="AK262">
        <f>IF(AND(Screener!$B$7&lt;&gt;"",$E262=Screener!$B$7),1,0)</f>
        <v/>
      </c>
      <c r="AL262">
        <f>IF(AND(Screener!$B$6&lt;&gt;"",$D262=Screener!$B$6),1,0)</f>
        <v/>
      </c>
      <c r="AM262">
        <f>IF(OR($H262="",Screener!$B$8=""),0,MAX(0,1-ABS(LOG10($H262/Screener!$B$8))/W_SIZEHW))</f>
        <v/>
      </c>
      <c r="AN262">
        <f>IF(OR($V262="",Screener!$B$9=""),0,IF($V262=Screener!$B$9,1,0))</f>
        <v/>
      </c>
      <c r="AO262">
        <f>IF(OR($AA262="",Screener!$B$10=""),0,IF($AA262=Screener!$B$10,1,0))</f>
        <v/>
      </c>
      <c r="AP262">
        <f>IF($G262="",0,MAX(0,1-(Screener!$B$12-$G262)/W_RECD))</f>
        <v/>
      </c>
      <c r="AQ262">
        <f>IF($B262=Screener!$B$3,-999999,W_SUB*AK262+W_SEC*AL262*(1-AK262)+W_SIZE*AM262+W_PROF*AN262+W_AH*AO262+W_REC*AP262)+ROW()/1000000</f>
        <v/>
      </c>
      <c r="AR262">
        <f>IF(OR('NEW DEAL'!$B$6="",$E262&lt;&gt;'NEW DEAL'!$B$6),-1,1+IF(OR($H262="",'NEW DEAL'!$B$7=""),0,MAX(0,1-ABS(LOG10($H262/'NEW DEAL'!$B$7))/W_SIZEHW)))+ROW()/1000000</f>
        <v/>
      </c>
    </row>
    <row r="263">
      <c r="A263" s="23" t="inlineStr">
        <is>
          <t>2559</t>
        </is>
      </c>
      <c r="B263" s="22" t="inlineStr">
        <is>
          <t>DIDA INC</t>
        </is>
      </c>
      <c r="C263" s="22" t="n"/>
      <c r="D263" s="24" t="inlineStr">
        <is>
          <t>Tech/AI</t>
        </is>
      </c>
      <c r="E263" s="24" t="inlineStr">
        <is>
          <t>Internet platform / e-commerce</t>
        </is>
      </c>
      <c r="F263" s="22" t="inlineStr">
        <is>
          <t>Standard</t>
        </is>
      </c>
      <c r="G263" s="39" t="n">
        <v>45471</v>
      </c>
      <c r="H263" s="26" t="n">
        <v>234.5</v>
      </c>
      <c r="I263" s="22" t="inlineStr">
        <is>
          <t>gross (price x shares)</t>
        </is>
      </c>
      <c r="J263" s="27" t="n"/>
      <c r="K263" s="27" t="n">
        <v>7</v>
      </c>
      <c r="L263" s="44" t="n">
        <v>6</v>
      </c>
      <c r="M263" s="32" t="n"/>
      <c r="N263" s="29" t="inlineStr">
        <is>
          <t>N</t>
        </is>
      </c>
      <c r="O263" s="26" t="n">
        <v>5963.9</v>
      </c>
      <c r="P263" s="46" t="n">
        <v>112.9</v>
      </c>
      <c r="Q263" s="31" t="n">
        <v>1.28</v>
      </c>
      <c r="R263" s="45" t="n">
        <v>-22.5</v>
      </c>
      <c r="S263" s="33" t="n">
        <v>0</v>
      </c>
      <c r="T263" s="28" t="n">
        <v>15</v>
      </c>
      <c r="U263" s="22" t="n"/>
      <c r="V263" s="22" t="n"/>
      <c r="W263" s="31" t="n"/>
      <c r="X263" s="34" t="n">
        <v>6.7</v>
      </c>
      <c r="Y263" s="36" t="n">
        <v>896.6</v>
      </c>
      <c r="Z263" s="35" t="n"/>
      <c r="AA263" s="22" t="n"/>
      <c r="AB263" s="22" t="n"/>
      <c r="AC263" s="22" t="inlineStr">
        <is>
          <t>China International Capital Corporation Hong Kong Securities Limited; Haitong International Capital Limited; Nomura International (Hong Kong) Limited</t>
        </is>
      </c>
      <c r="AD263" s="22" t="inlineStr">
        <is>
          <t>China International Capital Corporation Hong Kong Securities Limited; Haitong International Securities Company Limited; Nomura International (Hong Kong) Limited; CMBC Securities Company Limited; ABCI Capital Limited; BOCI Asia Limited; CCB International Capital Limited; China Galaxy International Securities (Hong Kong) Co., Limited; CMB International Capital Limited; ICBC International Securities Limited; Tiger Brokers (HK) Global Limited; Livermore Holdings Limited</t>
        </is>
      </c>
      <c r="AE263" s="22" t="n"/>
      <c r="AK263">
        <f>IF(AND(Screener!$B$7&lt;&gt;"",$E263=Screener!$B$7),1,0)</f>
        <v/>
      </c>
      <c r="AL263">
        <f>IF(AND(Screener!$B$6&lt;&gt;"",$D263=Screener!$B$6),1,0)</f>
        <v/>
      </c>
      <c r="AM263">
        <f>IF(OR($H263="",Screener!$B$8=""),0,MAX(0,1-ABS(LOG10($H263/Screener!$B$8))/W_SIZEHW))</f>
        <v/>
      </c>
      <c r="AN263">
        <f>IF(OR($V263="",Screener!$B$9=""),0,IF($V263=Screener!$B$9,1,0))</f>
        <v/>
      </c>
      <c r="AO263">
        <f>IF(OR($AA263="",Screener!$B$10=""),0,IF($AA263=Screener!$B$10,1,0))</f>
        <v/>
      </c>
      <c r="AP263">
        <f>IF($G263="",0,MAX(0,1-(Screener!$B$12-$G263)/W_RECD))</f>
        <v/>
      </c>
      <c r="AQ263">
        <f>IF($B263=Screener!$B$3,-999999,W_SUB*AK263+W_SEC*AL263*(1-AK263)+W_SIZE*AM263+W_PROF*AN263+W_AH*AO263+W_REC*AP263)+ROW()/1000000</f>
        <v/>
      </c>
      <c r="AR263">
        <f>IF(OR('NEW DEAL'!$B$6="",$E263&lt;&gt;'NEW DEAL'!$B$6),-1,1+IF(OR($H263="",'NEW DEAL'!$B$7=""),0,MAX(0,1-ABS(LOG10($H263/'NEW DEAL'!$B$7))/W_SIZEHW)))+ROW()/1000000</f>
        <v/>
      </c>
    </row>
    <row r="264">
      <c r="A264" s="23" t="inlineStr">
        <is>
          <t>2479</t>
        </is>
      </c>
      <c r="B264" s="22" t="inlineStr">
        <is>
          <t>TIANJUDIHE</t>
        </is>
      </c>
      <c r="C264" s="22" t="inlineStr">
        <is>
          <t>天聚地合</t>
        </is>
      </c>
      <c r="D264" s="24" t="inlineStr">
        <is>
          <t>Tech/AI</t>
        </is>
      </c>
      <c r="E264" s="24" t="inlineStr">
        <is>
          <t>SaaS / enterprise software</t>
        </is>
      </c>
      <c r="F264" s="22" t="inlineStr">
        <is>
          <t>Standard</t>
        </is>
      </c>
      <c r="G264" s="43" t="n">
        <v>45471</v>
      </c>
      <c r="H264" s="26" t="n">
        <v>401.5</v>
      </c>
      <c r="I264" s="22" t="inlineStr">
        <is>
          <t>gross (price x shares)</t>
        </is>
      </c>
      <c r="J264" s="27" t="n"/>
      <c r="K264" s="27" t="n">
        <v>83.33</v>
      </c>
      <c r="L264" s="44" t="n">
        <v>83.33</v>
      </c>
      <c r="M264" s="32" t="n"/>
      <c r="N264" s="29" t="inlineStr">
        <is>
          <t>Y</t>
        </is>
      </c>
      <c r="O264" s="26" t="n">
        <v>4176.3</v>
      </c>
      <c r="P264" s="46" t="n">
        <v>602.87</v>
      </c>
      <c r="Q264" s="31" t="n">
        <v>0.99</v>
      </c>
      <c r="R264" s="45" t="n">
        <v>-27.82</v>
      </c>
      <c r="S264" s="33" t="n">
        <v>79.62</v>
      </c>
      <c r="T264" s="32" t="n"/>
      <c r="U264" s="22" t="n"/>
      <c r="V264" s="29" t="inlineStr">
        <is>
          <t>Y</t>
        </is>
      </c>
      <c r="W264" s="34" t="n">
        <v>108.2</v>
      </c>
      <c r="X264" s="34" t="n">
        <v>8.6</v>
      </c>
      <c r="Y264" s="36" t="n">
        <v>485.2</v>
      </c>
      <c r="Z264" s="36" t="n">
        <v>38.6</v>
      </c>
      <c r="AA264" s="22" t="n"/>
      <c r="AB264" s="22" t="n"/>
      <c r="AC264" s="22" t="inlineStr">
        <is>
          <t>CITIC Securities (Hong Kong) Limited</t>
        </is>
      </c>
      <c r="AD264" s="22" t="inlineStr">
        <is>
          <t>CLSA Limited; CMB International Capital Limited; ABCI Capital Limited; Soochow Securities International Brokerage Limited; CCB International Capital Limited; SPDB International Capital Limited; Livermore Holdings Limited; Futu Securities International (Hong Kong) Limited; Tiger Brokers (HK) Global Limited</t>
        </is>
      </c>
      <c r="AE264" s="22" t="n"/>
      <c r="AK264">
        <f>IF(AND(Screener!$B$7&lt;&gt;"",$E264=Screener!$B$7),1,0)</f>
        <v/>
      </c>
      <c r="AL264">
        <f>IF(AND(Screener!$B$6&lt;&gt;"",$D264=Screener!$B$6),1,0)</f>
        <v/>
      </c>
      <c r="AM264">
        <f>IF(OR($H264="",Screener!$B$8=""),0,MAX(0,1-ABS(LOG10($H264/Screener!$B$8))/W_SIZEHW))</f>
        <v/>
      </c>
      <c r="AN264">
        <f>IF(OR($V264="",Screener!$B$9=""),0,IF($V264=Screener!$B$9,1,0))</f>
        <v/>
      </c>
      <c r="AO264">
        <f>IF(OR($AA264="",Screener!$B$10=""),0,IF($AA264=Screener!$B$10,1,0))</f>
        <v/>
      </c>
      <c r="AP264">
        <f>IF($G264="",0,MAX(0,1-(Screener!$B$12-$G264)/W_RECD))</f>
        <v/>
      </c>
      <c r="AQ264">
        <f>IF($B264=Screener!$B$3,-999999,W_SUB*AK264+W_SEC*AL264*(1-AK264)+W_SIZE*AM264+W_PROF*AN264+W_AH*AO264+W_REC*AP264)+ROW()/1000000</f>
        <v/>
      </c>
      <c r="AR264">
        <f>IF(OR('NEW DEAL'!$B$6="",$E264&lt;&gt;'NEW DEAL'!$B$6),-1,1+IF(OR($H264="",'NEW DEAL'!$B$7=""),0,MAX(0,1-ABS(LOG10($H264/'NEW DEAL'!$B$7))/W_SIZEHW)))+ROW()/1000000</f>
        <v/>
      </c>
    </row>
    <row r="265">
      <c r="A265" s="23" t="inlineStr">
        <is>
          <t>6181</t>
        </is>
      </c>
      <c r="B265" s="22" t="inlineStr">
        <is>
          <t>LAOPU GOLD</t>
        </is>
      </c>
      <c r="C265" s="22" t="n"/>
      <c r="D265" s="24" t="inlineStr">
        <is>
          <t>Consumer</t>
        </is>
      </c>
      <c r="E265" s="24" t="inlineStr">
        <is>
          <t>Apparel / luxury</t>
        </is>
      </c>
      <c r="F265" s="22" t="inlineStr">
        <is>
          <t>Standard</t>
        </is>
      </c>
      <c r="G265" s="43" t="n">
        <v>45471</v>
      </c>
      <c r="H265" s="26" t="n">
        <v>905.9</v>
      </c>
      <c r="I265" s="22" t="inlineStr">
        <is>
          <t>gross (price x shares)</t>
        </is>
      </c>
      <c r="J265" s="27" t="n"/>
      <c r="K265" s="27" t="n">
        <v>40.5</v>
      </c>
      <c r="L265" s="44" t="n">
        <v>40.5</v>
      </c>
      <c r="M265" s="32" t="n"/>
      <c r="N265" s="29" t="inlineStr">
        <is>
          <t>Y</t>
        </is>
      </c>
      <c r="O265" s="26" t="n">
        <v>6683</v>
      </c>
      <c r="P265" s="46" t="n">
        <v>582.15</v>
      </c>
      <c r="Q265" s="31" t="n">
        <v>11.9</v>
      </c>
      <c r="R265" s="45" t="n">
        <v>72.84</v>
      </c>
      <c r="S265" s="33" t="n">
        <v>55.53</v>
      </c>
      <c r="T265" s="28" t="n">
        <v>15</v>
      </c>
      <c r="U265" s="22" t="n"/>
      <c r="V265" s="29" t="inlineStr">
        <is>
          <t>Y</t>
        </is>
      </c>
      <c r="W265" s="34" t="n">
        <v>53.3</v>
      </c>
      <c r="X265" s="34" t="n">
        <v>1.9</v>
      </c>
      <c r="Y265" s="36" t="n">
        <v>3497.5</v>
      </c>
      <c r="Z265" s="36" t="n">
        <v>125.3</v>
      </c>
      <c r="AA265" s="22" t="n"/>
      <c r="AB265" s="22" t="n"/>
      <c r="AC265" s="22" t="inlineStr">
        <is>
          <t>China Securities (International) Corporate Finance Company Limited</t>
        </is>
      </c>
      <c r="AD265" s="22" t="inlineStr">
        <is>
          <t>China Securities (International) Corporate Finance Company Limited; CCB International Capital Limited; BOCOM International Securities Limited</t>
        </is>
      </c>
      <c r="AE265" s="22" t="n"/>
      <c r="AK265">
        <f>IF(AND(Screener!$B$7&lt;&gt;"",$E265=Screener!$B$7),1,0)</f>
        <v/>
      </c>
      <c r="AL265">
        <f>IF(AND(Screener!$B$6&lt;&gt;"",$D265=Screener!$B$6),1,0)</f>
        <v/>
      </c>
      <c r="AM265">
        <f>IF(OR($H265="",Screener!$B$8=""),0,MAX(0,1-ABS(LOG10($H265/Screener!$B$8))/W_SIZEHW))</f>
        <v/>
      </c>
      <c r="AN265">
        <f>IF(OR($V265="",Screener!$B$9=""),0,IF($V265=Screener!$B$9,1,0))</f>
        <v/>
      </c>
      <c r="AO265">
        <f>IF(OR($AA265="",Screener!$B$10=""),0,IF($AA265=Screener!$B$10,1,0))</f>
        <v/>
      </c>
      <c r="AP265">
        <f>IF($G265="",0,MAX(0,1-(Screener!$B$12-$G265)/W_RECD))</f>
        <v/>
      </c>
      <c r="AQ265">
        <f>IF($B265=Screener!$B$3,-999999,W_SUB*AK265+W_SEC*AL265*(1-AK265)+W_SIZE*AM265+W_PROF*AN265+W_AH*AO265+W_REC*AP265)+ROW()/1000000</f>
        <v/>
      </c>
      <c r="AR265">
        <f>IF(OR('NEW DEAL'!$B$6="",$E265&lt;&gt;'NEW DEAL'!$B$6),-1,1+IF(OR($H265="",'NEW DEAL'!$B$7=""),0,MAX(0,1-ABS(LOG10($H265/'NEW DEAL'!$B$7))/W_SIZEHW)))+ROW()/1000000</f>
        <v/>
      </c>
    </row>
    <row r="266">
      <c r="A266" s="23" t="inlineStr">
        <is>
          <t>2545</t>
        </is>
      </c>
      <c r="B266" s="22" t="inlineStr">
        <is>
          <t>ZHONGGAN COMM</t>
        </is>
      </c>
      <c r="C266" s="22" t="inlineStr">
        <is>
          <t>中贛通信(集團)控股有限公司</t>
        </is>
      </c>
      <c r="D266" s="24" t="inlineStr">
        <is>
          <t>TMT-other</t>
        </is>
      </c>
      <c r="E266" s="24" t="inlineStr">
        <is>
          <t>Telecom</t>
        </is>
      </c>
      <c r="F266" s="22" t="inlineStr">
        <is>
          <t>Standard</t>
        </is>
      </c>
      <c r="G266" s="39" t="n">
        <v>45476</v>
      </c>
      <c r="H266" s="26" t="n">
        <v>200</v>
      </c>
      <c r="I266" s="22" t="inlineStr">
        <is>
          <t>gross (price x shares)</t>
        </is>
      </c>
      <c r="J266" s="27" t="n">
        <v>1.13</v>
      </c>
      <c r="K266" s="27" t="n">
        <v>1.25</v>
      </c>
      <c r="L266" s="44" t="n">
        <v>1.25</v>
      </c>
      <c r="M266" s="28" t="n">
        <v>100</v>
      </c>
      <c r="N266" s="29" t="inlineStr">
        <is>
          <t>Y</t>
        </is>
      </c>
      <c r="O266" s="26" t="n">
        <v>800</v>
      </c>
      <c r="P266" s="46" t="n">
        <v>195.99</v>
      </c>
      <c r="Q266" s="31" t="n">
        <v>1.5</v>
      </c>
      <c r="R266" s="45" t="n">
        <v>-46.4</v>
      </c>
      <c r="S266" s="33" t="n">
        <v>0</v>
      </c>
      <c r="T266" s="32" t="n">
        <v>15</v>
      </c>
      <c r="U266" s="22" t="n"/>
      <c r="V266" s="22" t="n"/>
      <c r="W266" s="31" t="n"/>
      <c r="X266" s="34" t="n">
        <v>1.2</v>
      </c>
      <c r="Y266" s="36" t="n">
        <v>670.2</v>
      </c>
      <c r="Z266" s="35" t="n"/>
      <c r="AA266" s="22" t="n"/>
      <c r="AB266" s="22" t="n"/>
      <c r="AC266" s="22" t="inlineStr">
        <is>
          <t>Zhongtai International Capital Limited</t>
        </is>
      </c>
      <c r="AD266" s="22" t="inlineStr">
        <is>
          <t>Zhongtai International Securities Limited; CCB International Capital Limited; CMB International Capital Limited; ABCI Capital Limited; ICBC International Securities Limited; CMBC Securities Company Limited; China Sunrise Securities (International) Limited</t>
        </is>
      </c>
      <c r="AE266" s="22" t="n"/>
      <c r="AK266">
        <f>IF(AND(Screener!$B$7&lt;&gt;"",$E266=Screener!$B$7),1,0)</f>
        <v/>
      </c>
      <c r="AL266">
        <f>IF(AND(Screener!$B$6&lt;&gt;"",$D266=Screener!$B$6),1,0)</f>
        <v/>
      </c>
      <c r="AM266">
        <f>IF(OR($H266="",Screener!$B$8=""),0,MAX(0,1-ABS(LOG10($H266/Screener!$B$8))/W_SIZEHW))</f>
        <v/>
      </c>
      <c r="AN266">
        <f>IF(OR($V266="",Screener!$B$9=""),0,IF($V266=Screener!$B$9,1,0))</f>
        <v/>
      </c>
      <c r="AO266">
        <f>IF(OR($AA266="",Screener!$B$10=""),0,IF($AA266=Screener!$B$10,1,0))</f>
        <v/>
      </c>
      <c r="AP266">
        <f>IF($G266="",0,MAX(0,1-(Screener!$B$12-$G266)/W_RECD))</f>
        <v/>
      </c>
      <c r="AQ266">
        <f>IF($B266=Screener!$B$3,-999999,W_SUB*AK266+W_SEC*AL266*(1-AK266)+W_SIZE*AM266+W_PROF*AN266+W_AH*AO266+W_REC*AP266)+ROW()/1000000</f>
        <v/>
      </c>
      <c r="AR266">
        <f>IF(OR('NEW DEAL'!$B$6="",$E266&lt;&gt;'NEW DEAL'!$B$6),-1,1+IF(OR($H266="",'NEW DEAL'!$B$7=""),0,MAX(0,1-ABS(LOG10($H266/'NEW DEAL'!$B$7))/W_SIZEHW)))+ROW()/1000000</f>
        <v/>
      </c>
    </row>
    <row r="267">
      <c r="A267" s="23" t="inlineStr">
        <is>
          <t>1354</t>
        </is>
      </c>
      <c r="B267" s="22" t="inlineStr">
        <is>
          <t>KINGFARPROPERTY</t>
        </is>
      </c>
      <c r="C267" s="22" t="inlineStr">
        <is>
          <t>西安經發物業股份有限公司</t>
        </is>
      </c>
      <c r="D267" s="24" t="inlineStr">
        <is>
          <t>Real Estate</t>
        </is>
      </c>
      <c r="E267" s="24" t="inlineStr">
        <is>
          <t>Property management</t>
        </is>
      </c>
      <c r="F267" s="22" t="inlineStr">
        <is>
          <t>Standard</t>
        </is>
      </c>
      <c r="G267" s="43" t="n">
        <v>45476</v>
      </c>
      <c r="H267" s="26" t="n">
        <v>125</v>
      </c>
      <c r="I267" s="22" t="inlineStr">
        <is>
          <t>gross (price x shares)</t>
        </is>
      </c>
      <c r="J267" s="27" t="n">
        <v>7.5</v>
      </c>
      <c r="K267" s="27" t="n">
        <v>9.300000000000001</v>
      </c>
      <c r="L267" s="44" t="n">
        <v>7.5</v>
      </c>
      <c r="M267" s="28" t="n">
        <v>0</v>
      </c>
      <c r="N267" s="29" t="inlineStr">
        <is>
          <t>N</t>
        </is>
      </c>
      <c r="O267" s="26" t="n">
        <v>500</v>
      </c>
      <c r="P267" s="46" t="n">
        <v>118.87</v>
      </c>
      <c r="Q267" s="31" t="n">
        <v>0.98</v>
      </c>
      <c r="R267" s="45" t="n">
        <v>-11.47</v>
      </c>
      <c r="S267" s="33" t="n">
        <v>43.05</v>
      </c>
      <c r="T267" s="32" t="n">
        <v>10.8</v>
      </c>
      <c r="U267" s="22" t="n"/>
      <c r="V267" s="29" t="inlineStr">
        <is>
          <t>Y</t>
        </is>
      </c>
      <c r="W267" s="34" t="n">
        <v>8.9</v>
      </c>
      <c r="X267" s="34" t="n">
        <v>0.5</v>
      </c>
      <c r="Y267" s="36" t="n">
        <v>948.5</v>
      </c>
      <c r="Z267" s="36" t="n">
        <v>56.1</v>
      </c>
      <c r="AA267" s="22" t="n"/>
      <c r="AB267" s="22" t="n"/>
      <c r="AC267" s="22" t="inlineStr">
        <is>
          <t>CEB International Capital Corporation Limited</t>
        </is>
      </c>
      <c r="AD267" s="22" t="inlineStr">
        <is>
          <t>CEB International Capital Corporation Limited; CMB International Capital Limited; CCB International Capital Limited; ABCI Capital Limited; ICBC International Securities Limited; CMBC Securities Company Limited; China Everbright Securities (HK) Limited; Zhongtai International Securities Limited; China Galaxy International Securities (Hong Kong) Co., Limited; Cinda International Capital Limited; Tiger Brokers (HK) Global Limited; Futu Securities International (Hong Kong) Limited</t>
        </is>
      </c>
      <c r="AE267" s="22" t="n"/>
      <c r="AK267">
        <f>IF(AND(Screener!$B$7&lt;&gt;"",$E267=Screener!$B$7),1,0)</f>
        <v/>
      </c>
      <c r="AL267">
        <f>IF(AND(Screener!$B$6&lt;&gt;"",$D267=Screener!$B$6),1,0)</f>
        <v/>
      </c>
      <c r="AM267">
        <f>IF(OR($H267="",Screener!$B$8=""),0,MAX(0,1-ABS(LOG10($H267/Screener!$B$8))/W_SIZEHW))</f>
        <v/>
      </c>
      <c r="AN267">
        <f>IF(OR($V267="",Screener!$B$9=""),0,IF($V267=Screener!$B$9,1,0))</f>
        <v/>
      </c>
      <c r="AO267">
        <f>IF(OR($AA267="",Screener!$B$10=""),0,IF($AA267=Screener!$B$10,1,0))</f>
        <v/>
      </c>
      <c r="AP267">
        <f>IF($G267="",0,MAX(0,1-(Screener!$B$12-$G267)/W_RECD))</f>
        <v/>
      </c>
      <c r="AQ267">
        <f>IF($B267=Screener!$B$3,-999999,W_SUB*AK267+W_SEC*AL267*(1-AK267)+W_SIZE*AM267+W_PROF*AN267+W_AH*AO267+W_REC*AP267)+ROW()/1000000</f>
        <v/>
      </c>
      <c r="AR267">
        <f>IF(OR('NEW DEAL'!$B$6="",$E267&lt;&gt;'NEW DEAL'!$B$6),-1,1+IF(OR($H267="",'NEW DEAL'!$B$7=""),0,MAX(0,1-ABS(LOG10($H267/'NEW DEAL'!$B$7))/W_SIZEHW)))+ROW()/1000000</f>
        <v/>
      </c>
    </row>
    <row r="268">
      <c r="A268" s="23" t="inlineStr">
        <is>
          <t>6657</t>
        </is>
      </c>
      <c r="B268" s="22" t="inlineStr">
        <is>
          <t>BAIWANG CO</t>
        </is>
      </c>
      <c r="C268" s="22" t="inlineStr">
        <is>
          <t>百望股份有限公司</t>
        </is>
      </c>
      <c r="D268" s="24" t="inlineStr">
        <is>
          <t>Tech/AI</t>
        </is>
      </c>
      <c r="E268" s="24" t="inlineStr">
        <is>
          <t>SaaS / enterprise software</t>
        </is>
      </c>
      <c r="F268" s="22" t="inlineStr">
        <is>
          <t>Standard</t>
        </is>
      </c>
      <c r="G268" s="43" t="n">
        <v>45482</v>
      </c>
      <c r="H268" s="26" t="n">
        <v>333.4</v>
      </c>
      <c r="I268" s="22" t="inlineStr">
        <is>
          <t>gross (price x shares)</t>
        </is>
      </c>
      <c r="J268" s="27" t="n">
        <v>36</v>
      </c>
      <c r="K268" s="27" t="n">
        <v>40</v>
      </c>
      <c r="L268" s="44" t="n">
        <v>36</v>
      </c>
      <c r="M268" s="28" t="n">
        <v>0</v>
      </c>
      <c r="N268" s="29" t="inlineStr">
        <is>
          <t>N</t>
        </is>
      </c>
      <c r="O268" s="26" t="n">
        <v>8132.6</v>
      </c>
      <c r="P268" s="46" t="n">
        <v>6.58</v>
      </c>
      <c r="Q268" s="31" t="n">
        <v>1.04</v>
      </c>
      <c r="R268" s="45" t="n">
        <v>8.06</v>
      </c>
      <c r="S268" s="42" t="n">
        <v>78</v>
      </c>
      <c r="T268" s="32" t="n">
        <v>6.61</v>
      </c>
      <c r="U268" s="22" t="inlineStr">
        <is>
          <t>not-yet (at allotment)</t>
        </is>
      </c>
      <c r="V268" s="29" t="inlineStr">
        <is>
          <t>N</t>
        </is>
      </c>
      <c r="W268" s="31" t="n"/>
      <c r="X268" s="34" t="n">
        <v>10.4</v>
      </c>
      <c r="Y268" s="36" t="n">
        <v>784.3</v>
      </c>
      <c r="Z268" s="36" t="n">
        <v>-395.2</v>
      </c>
      <c r="AA268" s="22" t="n"/>
      <c r="AB268" s="22" t="n"/>
      <c r="AC268" s="22" t="n"/>
      <c r="AD268" s="22" t="n"/>
      <c r="AE268" s="22" t="n"/>
      <c r="AK268">
        <f>IF(AND(Screener!$B$7&lt;&gt;"",$E268=Screener!$B$7),1,0)</f>
        <v/>
      </c>
      <c r="AL268">
        <f>IF(AND(Screener!$B$6&lt;&gt;"",$D268=Screener!$B$6),1,0)</f>
        <v/>
      </c>
      <c r="AM268">
        <f>IF(OR($H268="",Screener!$B$8=""),0,MAX(0,1-ABS(LOG10($H268/Screener!$B$8))/W_SIZEHW))</f>
        <v/>
      </c>
      <c r="AN268">
        <f>IF(OR($V268="",Screener!$B$9=""),0,IF($V268=Screener!$B$9,1,0))</f>
        <v/>
      </c>
      <c r="AO268">
        <f>IF(OR($AA268="",Screener!$B$10=""),0,IF($AA268=Screener!$B$10,1,0))</f>
        <v/>
      </c>
      <c r="AP268">
        <f>IF($G268="",0,MAX(0,1-(Screener!$B$12-$G268)/W_RECD))</f>
        <v/>
      </c>
      <c r="AQ268">
        <f>IF($B268=Screener!$B$3,-999999,W_SUB*AK268+W_SEC*AL268*(1-AK268)+W_SIZE*AM268+W_PROF*AN268+W_AH*AO268+W_REC*AP268)+ROW()/1000000</f>
        <v/>
      </c>
      <c r="AR268">
        <f>IF(OR('NEW DEAL'!$B$6="",$E268&lt;&gt;'NEW DEAL'!$B$6),-1,1+IF(OR($H268="",'NEW DEAL'!$B$7=""),0,MAX(0,1-ABS(LOG10($H268/'NEW DEAL'!$B$7))/W_SIZEHW)))+ROW()/1000000</f>
        <v/>
      </c>
    </row>
    <row r="269">
      <c r="A269" s="23" t="inlineStr">
        <is>
          <t>6086</t>
        </is>
      </c>
      <c r="B269" s="22" t="inlineStr">
        <is>
          <t>FANGZHOU JIANKE</t>
        </is>
      </c>
      <c r="C269" s="22" t="inlineStr">
        <is>
          <t>方舟云康控股有限公司</t>
        </is>
      </c>
      <c r="D269" s="24" t="inlineStr">
        <is>
          <t>Healthcare</t>
        </is>
      </c>
      <c r="E269" s="24" t="inlineStr">
        <is>
          <t>Digital health</t>
        </is>
      </c>
      <c r="F269" s="22" t="inlineStr">
        <is>
          <t>Standard</t>
        </is>
      </c>
      <c r="G269" s="39" t="n">
        <v>45482</v>
      </c>
      <c r="H269" s="26" t="n">
        <v>194.68</v>
      </c>
      <c r="I269" s="22" t="inlineStr">
        <is>
          <t>gross (stated)</t>
        </is>
      </c>
      <c r="J269" s="27" t="n"/>
      <c r="K269" s="27" t="n">
        <v>8.359999999999999</v>
      </c>
      <c r="L269" s="44" t="n">
        <v>8.18</v>
      </c>
      <c r="M269" s="32" t="n"/>
      <c r="N269" s="29" t="inlineStr">
        <is>
          <t>N</t>
        </is>
      </c>
      <c r="O269" s="26" t="n">
        <v>10963.4</v>
      </c>
      <c r="P269" s="46" t="n">
        <v>16.63</v>
      </c>
      <c r="Q269" s="31" t="n">
        <v>1.66</v>
      </c>
      <c r="R269" s="45" t="n">
        <v>-44.62</v>
      </c>
      <c r="S269" s="33" t="n">
        <v>28.6</v>
      </c>
      <c r="T269" s="32" t="n">
        <v>8.720000000000001</v>
      </c>
      <c r="U269" s="22" t="n"/>
      <c r="V269" s="29" t="inlineStr">
        <is>
          <t>N</t>
        </is>
      </c>
      <c r="W269" s="31" t="n"/>
      <c r="X269" s="34" t="n">
        <v>4.1</v>
      </c>
      <c r="Y269" s="36" t="n">
        <v>2677.7</v>
      </c>
      <c r="Z269" s="36" t="n">
        <v>-216.5</v>
      </c>
      <c r="AA269" s="22" t="n"/>
      <c r="AB269" s="22" t="n"/>
      <c r="AC269" s="22" t="inlineStr">
        <is>
          <t>Citigroup Global Markets Asia Limited; ABCI Capital Limited</t>
        </is>
      </c>
      <c r="AD269" s="22" t="inlineStr">
        <is>
          <t>Citigroup Global Markets Asia Limited; ABCI Capital Limited; Essence International Securities (Hong Kong) Limited; ICBC International Securities Limited; China Galaxy International Securities (Hong Kong) Co., Limited; Citigroup Global Markets Limited; – 122 – ABCI Capital Limited; China Everbright Securities (HK) Limited; China Merchants Securities (HK) Co., Limited; Citrus Securities Limited; Fosun International Securities Limited; Futu Securities International (Hong Kong) Limited</t>
        </is>
      </c>
      <c r="AE269" s="22" t="n"/>
      <c r="AK269">
        <f>IF(AND(Screener!$B$7&lt;&gt;"",$E269=Screener!$B$7),1,0)</f>
        <v/>
      </c>
      <c r="AL269">
        <f>IF(AND(Screener!$B$6&lt;&gt;"",$D269=Screener!$B$6),1,0)</f>
        <v/>
      </c>
      <c r="AM269">
        <f>IF(OR($H269="",Screener!$B$8=""),0,MAX(0,1-ABS(LOG10($H269/Screener!$B$8))/W_SIZEHW))</f>
        <v/>
      </c>
      <c r="AN269">
        <f>IF(OR($V269="",Screener!$B$9=""),0,IF($V269=Screener!$B$9,1,0))</f>
        <v/>
      </c>
      <c r="AO269">
        <f>IF(OR($AA269="",Screener!$B$10=""),0,IF($AA269=Screener!$B$10,1,0))</f>
        <v/>
      </c>
      <c r="AP269">
        <f>IF($G269="",0,MAX(0,1-(Screener!$B$12-$G269)/W_RECD))</f>
        <v/>
      </c>
      <c r="AQ269">
        <f>IF($B269=Screener!$B$3,-999999,W_SUB*AK269+W_SEC*AL269*(1-AK269)+W_SIZE*AM269+W_PROF*AN269+W_AH*AO269+W_REC*AP269)+ROW()/1000000</f>
        <v/>
      </c>
      <c r="AR269">
        <f>IF(OR('NEW DEAL'!$B$6="",$E269&lt;&gt;'NEW DEAL'!$B$6),-1,1+IF(OR($H269="",'NEW DEAL'!$B$7=""),0,MAX(0,1-ABS(LOG10($H269/'NEW DEAL'!$B$7))/W_SIZEHW)))+ROW()/1000000</f>
        <v/>
      </c>
    </row>
    <row r="270">
      <c r="A270" s="23" t="inlineStr">
        <is>
          <t>1334</t>
        </is>
      </c>
      <c r="B270" s="22" t="inlineStr">
        <is>
          <t>RUICHANG INTL</t>
        </is>
      </c>
      <c r="C270" s="22" t="n"/>
      <c r="D270" s="24" t="inlineStr">
        <is>
          <t>Consumer</t>
        </is>
      </c>
      <c r="E270" s="24" t="inlineStr">
        <is>
          <t>Auto parts / supply chain</t>
        </is>
      </c>
      <c r="F270" s="22" t="inlineStr">
        <is>
          <t>Standard</t>
        </is>
      </c>
      <c r="G270" s="39" t="n">
        <v>45483</v>
      </c>
      <c r="H270" s="26" t="n">
        <v>131.3</v>
      </c>
      <c r="I270" s="22" t="inlineStr">
        <is>
          <t>gross (stated)</t>
        </is>
      </c>
      <c r="J270" s="27" t="n"/>
      <c r="K270" s="27" t="n">
        <v>1.39</v>
      </c>
      <c r="L270" s="44" t="n">
        <v>1.05</v>
      </c>
      <c r="M270" s="32" t="n"/>
      <c r="N270" s="29" t="inlineStr">
        <is>
          <t>N</t>
        </is>
      </c>
      <c r="O270" s="26" t="n">
        <v>474</v>
      </c>
      <c r="P270" s="46" t="n">
        <v>19.24</v>
      </c>
      <c r="Q270" s="31" t="n">
        <v>0.97</v>
      </c>
      <c r="R270" s="45" t="n">
        <v>14.29</v>
      </c>
      <c r="S270" s="33" t="n">
        <v>44</v>
      </c>
      <c r="T270" s="32" t="n">
        <v>11</v>
      </c>
      <c r="U270" s="22" t="inlineStr">
        <is>
          <t>not-yet (at allotment)</t>
        </is>
      </c>
      <c r="V270" s="29" t="inlineStr">
        <is>
          <t>Y</t>
        </is>
      </c>
      <c r="W270" s="34" t="n">
        <v>7.8</v>
      </c>
      <c r="X270" s="34" t="n">
        <v>0.8</v>
      </c>
      <c r="Y270" s="36" t="n">
        <v>598.5</v>
      </c>
      <c r="Z270" s="36" t="n">
        <v>60.7</v>
      </c>
      <c r="AA270" s="22" t="n"/>
      <c r="AB270" s="22" t="n"/>
      <c r="AC270" s="22" t="inlineStr">
        <is>
          <t>First Shanghai Capital Limited</t>
        </is>
      </c>
      <c r="AD270" s="22" t="inlineStr">
        <is>
          <t>First Shanghai Securities Limited; Victory Securities Company Limited; First Sha nghai Securities Limited; Sheung Wan, Hong Kong CLSA Limited; Central China International Capital Limited; China Merchants Securities (HK) Co., Limited; China Everbright Securities (HK) Limited; Shanxi Securities International Limited; Essence International Securities (Hong Kong) Limited; Livermore Holdings Limited; Tiger Brokers (HK) Global Limited; Fortune (HK) Securities Limited</t>
        </is>
      </c>
      <c r="AE270" s="22" t="n"/>
      <c r="AK270">
        <f>IF(AND(Screener!$B$7&lt;&gt;"",$E270=Screener!$B$7),1,0)</f>
        <v/>
      </c>
      <c r="AL270">
        <f>IF(AND(Screener!$B$6&lt;&gt;"",$D270=Screener!$B$6),1,0)</f>
        <v/>
      </c>
      <c r="AM270">
        <f>IF(OR($H270="",Screener!$B$8=""),0,MAX(0,1-ABS(LOG10($H270/Screener!$B$8))/W_SIZEHW))</f>
        <v/>
      </c>
      <c r="AN270">
        <f>IF(OR($V270="",Screener!$B$9=""),0,IF($V270=Screener!$B$9,1,0))</f>
        <v/>
      </c>
      <c r="AO270">
        <f>IF(OR($AA270="",Screener!$B$10=""),0,IF($AA270=Screener!$B$10,1,0))</f>
        <v/>
      </c>
      <c r="AP270">
        <f>IF($G270="",0,MAX(0,1-(Screener!$B$12-$G270)/W_RECD))</f>
        <v/>
      </c>
      <c r="AQ270">
        <f>IF($B270=Screener!$B$3,-999999,W_SUB*AK270+W_SEC*AL270*(1-AK270)+W_SIZE*AM270+W_PROF*AN270+W_AH*AO270+W_REC*AP270)+ROW()/1000000</f>
        <v/>
      </c>
      <c r="AR270">
        <f>IF(OR('NEW DEAL'!$B$6="",$E270&lt;&gt;'NEW DEAL'!$B$6),-1,1+IF(OR($H270="",'NEW DEAL'!$B$7=""),0,MAX(0,1-ABS(LOG10($H270/'NEW DEAL'!$B$7))/W_SIZEHW)))+ROW()/1000000</f>
        <v/>
      </c>
    </row>
    <row r="271">
      <c r="A271" s="23" t="inlineStr">
        <is>
          <t>2495</t>
        </is>
      </c>
      <c r="B271" s="22" t="inlineStr">
        <is>
          <t>VOICECOMM</t>
        </is>
      </c>
      <c r="C271" s="22" t="inlineStr">
        <is>
          <t>上海聲通信息科技股份有限公司</t>
        </is>
      </c>
      <c r="D271" s="24" t="inlineStr">
        <is>
          <t>TMT-other</t>
        </is>
      </c>
      <c r="E271" s="24" t="inlineStr">
        <is>
          <t>Telecom</t>
        </is>
      </c>
      <c r="F271" s="22" t="inlineStr">
        <is>
          <t>Standard</t>
        </is>
      </c>
      <c r="G271" s="43" t="n">
        <v>45483</v>
      </c>
      <c r="H271" s="26" t="n">
        <v>664.02</v>
      </c>
      <c r="I271" s="22" t="inlineStr">
        <is>
          <t>gross (stated)</t>
        </is>
      </c>
      <c r="J271" s="27" t="n"/>
      <c r="K271" s="27" t="n">
        <v>152.1</v>
      </c>
      <c r="L271" s="44" t="n">
        <v>152.1</v>
      </c>
      <c r="M271" s="32" t="n"/>
      <c r="N271" s="29" t="inlineStr">
        <is>
          <t>Y</t>
        </is>
      </c>
      <c r="O271" s="26" t="n">
        <v>5388.1</v>
      </c>
      <c r="P271" s="46" t="n">
        <v>3.51</v>
      </c>
      <c r="Q271" s="31" t="n">
        <v>1.24</v>
      </c>
      <c r="R271" s="45" t="n">
        <v>-11.24</v>
      </c>
      <c r="S271" s="33" t="n">
        <v>41.2</v>
      </c>
      <c r="T271" s="28" t="n">
        <v>4.4</v>
      </c>
      <c r="U271" s="22" t="n"/>
      <c r="V271" s="29" t="inlineStr">
        <is>
          <t>N</t>
        </is>
      </c>
      <c r="W271" s="31" t="n"/>
      <c r="X271" s="34" t="n">
        <v>9.5</v>
      </c>
      <c r="Y271" s="36" t="n">
        <v>566.5</v>
      </c>
      <c r="Z271" s="36" t="n">
        <v>-31.6</v>
      </c>
      <c r="AA271" s="22" t="n"/>
      <c r="AB271" s="22" t="n"/>
      <c r="AC271" s="22" t="inlineStr">
        <is>
          <t>China International Capital Corporation Hong Kong Securities Limited</t>
        </is>
      </c>
      <c r="AD271" s="22" t="inlineStr">
        <is>
          <t>China International Capital Corporation Hong Kong Securities Limited; China Securities (International) Brokerage Company Limited; CMBC Securities Company Limited; Orient Securities (Hong Kong) Limited; ABCI Capital Limited; China Everbright Securities (HK) Limited; China Galaxy International Securities (Hong Kong) Co., Limited; China Merchants Securities (HK) Co., Limited; CMB International Capital Limited; DBS Asia Capital Limited; ICBC International Securities Limited; Shenwan Hongyuan Securities (H.K.) Limited</t>
        </is>
      </c>
      <c r="AE271" s="22" t="n"/>
      <c r="AK271">
        <f>IF(AND(Screener!$B$7&lt;&gt;"",$E271=Screener!$B$7),1,0)</f>
        <v/>
      </c>
      <c r="AL271">
        <f>IF(AND(Screener!$B$6&lt;&gt;"",$D271=Screener!$B$6),1,0)</f>
        <v/>
      </c>
      <c r="AM271">
        <f>IF(OR($H271="",Screener!$B$8=""),0,MAX(0,1-ABS(LOG10($H271/Screener!$B$8))/W_SIZEHW))</f>
        <v/>
      </c>
      <c r="AN271">
        <f>IF(OR($V271="",Screener!$B$9=""),0,IF($V271=Screener!$B$9,1,0))</f>
        <v/>
      </c>
      <c r="AO271">
        <f>IF(OR($AA271="",Screener!$B$10=""),0,IF($AA271=Screener!$B$10,1,0))</f>
        <v/>
      </c>
      <c r="AP271">
        <f>IF($G271="",0,MAX(0,1-(Screener!$B$12-$G271)/W_RECD))</f>
        <v/>
      </c>
      <c r="AQ271">
        <f>IF($B271=Screener!$B$3,-999999,W_SUB*AK271+W_SEC*AL271*(1-AK271)+W_SIZE*AM271+W_PROF*AN271+W_AH*AO271+W_REC*AP271)+ROW()/1000000</f>
        <v/>
      </c>
      <c r="AR271">
        <f>IF(OR('NEW DEAL'!$B$6="",$E271&lt;&gt;'NEW DEAL'!$B$6),-1,1+IF(OR($H271="",'NEW DEAL'!$B$7=""),0,MAX(0,1-ABS(LOG10($H271/'NEW DEAL'!$B$7))/W_SIZEHW)))+ROW()/1000000</f>
        <v/>
      </c>
    </row>
    <row r="272">
      <c r="A272" s="23" t="inlineStr">
        <is>
          <t>9680</t>
        </is>
      </c>
      <c r="B272" s="22" t="inlineStr">
        <is>
          <t>CHENQI TECH</t>
        </is>
      </c>
      <c r="C272" s="22" t="n"/>
      <c r="D272" s="24" t="inlineStr">
        <is>
          <t>Tech/AI</t>
        </is>
      </c>
      <c r="E272" s="24" t="inlineStr">
        <is>
          <t>Internet platform / e-commerce</t>
        </is>
      </c>
      <c r="F272" s="22" t="inlineStr">
        <is>
          <t>Standard</t>
        </is>
      </c>
      <c r="G272" s="43" t="n">
        <v>45483</v>
      </c>
      <c r="H272" s="26" t="n">
        <v>1050.2</v>
      </c>
      <c r="I272" s="22" t="inlineStr">
        <is>
          <t>gross (price x shares)</t>
        </is>
      </c>
      <c r="J272" s="27" t="n">
        <v>34</v>
      </c>
      <c r="K272" s="27" t="n">
        <v>45.4</v>
      </c>
      <c r="L272" s="44" t="n">
        <v>35</v>
      </c>
      <c r="M272" s="28" t="n">
        <v>8.800000000000001</v>
      </c>
      <c r="N272" s="29" t="inlineStr">
        <is>
          <t>N</t>
        </is>
      </c>
      <c r="O272" s="26" t="n">
        <v>7144</v>
      </c>
      <c r="P272" s="40" t="n">
        <v>0.6</v>
      </c>
      <c r="Q272" s="31" t="n">
        <v>1.18</v>
      </c>
      <c r="R272" s="45" t="n">
        <v>-3.14</v>
      </c>
      <c r="S272" s="33" t="n">
        <v>77.06</v>
      </c>
      <c r="T272" s="32" t="n"/>
      <c r="U272" s="22" t="n"/>
      <c r="V272" s="29" t="inlineStr">
        <is>
          <t>N</t>
        </is>
      </c>
      <c r="W272" s="31" t="n"/>
      <c r="X272" s="34" t="n">
        <v>3</v>
      </c>
      <c r="Y272" s="36" t="n">
        <v>2377.2</v>
      </c>
      <c r="Z272" s="36" t="n">
        <v>-762.1</v>
      </c>
      <c r="AA272" s="22" t="n"/>
      <c r="AB272" s="22" t="n"/>
      <c r="AC272" s="22" t="n"/>
      <c r="AD272" s="22" t="inlineStr">
        <is>
          <t>Huatai Financial Holdings (Hong Kong) Limited; ABCI Capital Limited; TradeGo Markets Limited; Livermore Holdings Limited</t>
        </is>
      </c>
      <c r="AE272" s="22" t="n"/>
      <c r="AK272">
        <f>IF(AND(Screener!$B$7&lt;&gt;"",$E272=Screener!$B$7),1,0)</f>
        <v/>
      </c>
      <c r="AL272">
        <f>IF(AND(Screener!$B$6&lt;&gt;"",$D272=Screener!$B$6),1,0)</f>
        <v/>
      </c>
      <c r="AM272">
        <f>IF(OR($H272="",Screener!$B$8=""),0,MAX(0,1-ABS(LOG10($H272/Screener!$B$8))/W_SIZEHW))</f>
        <v/>
      </c>
      <c r="AN272">
        <f>IF(OR($V272="",Screener!$B$9=""),0,IF($V272=Screener!$B$9,1,0))</f>
        <v/>
      </c>
      <c r="AO272">
        <f>IF(OR($AA272="",Screener!$B$10=""),0,IF($AA272=Screener!$B$10,1,0))</f>
        <v/>
      </c>
      <c r="AP272">
        <f>IF($G272="",0,MAX(0,1-(Screener!$B$12-$G272)/W_RECD))</f>
        <v/>
      </c>
      <c r="AQ272">
        <f>IF($B272=Screener!$B$3,-999999,W_SUB*AK272+W_SEC*AL272*(1-AK272)+W_SIZE*AM272+W_PROF*AN272+W_AH*AO272+W_REC*AP272)+ROW()/1000000</f>
        <v/>
      </c>
      <c r="AR272">
        <f>IF(OR('NEW DEAL'!$B$6="",$E272&lt;&gt;'NEW DEAL'!$B$6),-1,1+IF(OR($H272="",'NEW DEAL'!$B$7=""),0,MAX(0,1-ABS(LOG10($H272/'NEW DEAL'!$B$7))/W_SIZEHW)))+ROW()/1000000</f>
        <v/>
      </c>
    </row>
    <row r="273">
      <c r="A273" s="23" t="inlineStr">
        <is>
          <t>2507</t>
        </is>
      </c>
      <c r="B273" s="22" t="inlineStr">
        <is>
          <t>CIRRUS</t>
        </is>
      </c>
      <c r="C273" s="22" t="inlineStr">
        <is>
          <t>西銳飛機有限公司</t>
        </is>
      </c>
      <c r="D273" s="24" t="inlineStr">
        <is>
          <t>Industrials</t>
        </is>
      </c>
      <c r="E273" s="24" t="inlineStr">
        <is>
          <t>Capital goods / machinery</t>
        </is>
      </c>
      <c r="F273" s="22" t="inlineStr">
        <is>
          <t>Standard</t>
        </is>
      </c>
      <c r="G273" s="39" t="n">
        <v>45485</v>
      </c>
      <c r="H273" s="26" t="n">
        <v>1509.1</v>
      </c>
      <c r="I273" s="22" t="inlineStr">
        <is>
          <t>gross (price x shares)</t>
        </is>
      </c>
      <c r="J273" s="27" t="n">
        <v>27.34</v>
      </c>
      <c r="K273" s="27" t="n">
        <v>28</v>
      </c>
      <c r="L273" s="44" t="n">
        <v>27.5</v>
      </c>
      <c r="M273" s="28" t="n">
        <v>24.2</v>
      </c>
      <c r="N273" s="22" t="inlineStr">
        <is>
          <t>N</t>
        </is>
      </c>
      <c r="O273" s="26" t="n">
        <v>10060.6</v>
      </c>
      <c r="P273" s="48" t="n">
        <v>1.56</v>
      </c>
      <c r="Q273" s="31" t="n">
        <v>1.57</v>
      </c>
      <c r="R273" s="45" t="n">
        <v>0</v>
      </c>
      <c r="S273" s="33" t="n">
        <v>25.7</v>
      </c>
      <c r="T273" s="28" t="n">
        <v>10</v>
      </c>
      <c r="U273" s="22" t="n"/>
      <c r="V273" s="29" t="inlineStr">
        <is>
          <t>Y</t>
        </is>
      </c>
      <c r="W273" s="34" t="n">
        <v>14.2</v>
      </c>
      <c r="X273" s="34" t="n">
        <v>1.4</v>
      </c>
      <c r="Y273" s="36" t="n">
        <v>6973.8</v>
      </c>
      <c r="Z273" s="36" t="n">
        <v>710.9</v>
      </c>
      <c r="AA273" s="22" t="n"/>
      <c r="AB273" s="22" t="n"/>
      <c r="AC273" s="22" t="n"/>
      <c r="AD273" s="22" t="inlineStr">
        <is>
          <t>China International Capital Corporation Hong Kong Securities Limited; ABCI Capital Limited; BOCI Asia Limited; Central, Hong Kong China Galaxy International Securities (Hong Kong) Co., Limited; China Merchants Securities (HK) Co., Limited; CMB International Capital Limited; Futu Securities International (Hong Kong) Limited; Huatai Financial Holdings (Hong Kong) Limited; ICBC International Securities Limited; Tiger Brokers (HK) Global Limited</t>
        </is>
      </c>
      <c r="AE273" s="22" t="n"/>
      <c r="AK273">
        <f>IF(AND(Screener!$B$7&lt;&gt;"",$E273=Screener!$B$7),1,0)</f>
        <v/>
      </c>
      <c r="AL273">
        <f>IF(AND(Screener!$B$6&lt;&gt;"",$D273=Screener!$B$6),1,0)</f>
        <v/>
      </c>
      <c r="AM273">
        <f>IF(OR($H273="",Screener!$B$8=""),0,MAX(0,1-ABS(LOG10($H273/Screener!$B$8))/W_SIZEHW))</f>
        <v/>
      </c>
      <c r="AN273">
        <f>IF(OR($V273="",Screener!$B$9=""),0,IF($V273=Screener!$B$9,1,0))</f>
        <v/>
      </c>
      <c r="AO273">
        <f>IF(OR($AA273="",Screener!$B$10=""),0,IF($AA273=Screener!$B$10,1,0))</f>
        <v/>
      </c>
      <c r="AP273">
        <f>IF($G273="",0,MAX(0,1-(Screener!$B$12-$G273)/W_RECD))</f>
        <v/>
      </c>
      <c r="AQ273">
        <f>IF($B273=Screener!$B$3,-999999,W_SUB*AK273+W_SEC*AL273*(1-AK273)+W_SIZE*AM273+W_PROF*AN273+W_AH*AO273+W_REC*AP273)+ROW()/1000000</f>
        <v/>
      </c>
      <c r="AR273">
        <f>IF(OR('NEW DEAL'!$B$6="",$E273&lt;&gt;'NEW DEAL'!$B$6),-1,1+IF(OR($H273="",'NEW DEAL'!$B$7=""),0,MAX(0,1-ABS(LOG10($H273/'NEW DEAL'!$B$7))/W_SIZEHW)))+ROW()/1000000</f>
        <v/>
      </c>
    </row>
    <row r="274">
      <c r="A274" s="23" t="inlineStr">
        <is>
          <t>2531</t>
        </is>
      </c>
      <c r="B274" s="22" t="inlineStr">
        <is>
          <t>CARLINK TECH</t>
        </is>
      </c>
      <c r="C274" s="22" t="n"/>
      <c r="D274" s="24" t="inlineStr">
        <is>
          <t>Consumer</t>
        </is>
      </c>
      <c r="E274" s="24" t="inlineStr">
        <is>
          <t>Auto parts / supply chain</t>
        </is>
      </c>
      <c r="F274" s="22" t="inlineStr">
        <is>
          <t>Standard</t>
        </is>
      </c>
      <c r="G274" s="39" t="n">
        <v>45488</v>
      </c>
      <c r="H274" s="26" t="n">
        <v>298.9</v>
      </c>
      <c r="I274" s="22" t="inlineStr">
        <is>
          <t>gross (price x shares)</t>
        </is>
      </c>
      <c r="J274" s="27" t="n">
        <v>4.7</v>
      </c>
      <c r="K274" s="27" t="n">
        <v>5.3</v>
      </c>
      <c r="L274" s="44" t="n">
        <v>4.7</v>
      </c>
      <c r="M274" s="28" t="n">
        <v>0</v>
      </c>
      <c r="N274" s="29" t="inlineStr">
        <is>
          <t>N</t>
        </is>
      </c>
      <c r="O274" s="26" t="n">
        <v>1723</v>
      </c>
      <c r="P274" s="46" t="n">
        <v>2.49</v>
      </c>
      <c r="Q274" s="31" t="n">
        <v>1.06</v>
      </c>
      <c r="R274" s="45" t="n">
        <v>2.13</v>
      </c>
      <c r="S274" s="33" t="n">
        <v>29.44</v>
      </c>
      <c r="T274" s="32" t="n"/>
      <c r="U274" s="22" t="n"/>
      <c r="V274" s="29" t="inlineStr">
        <is>
          <t>Y</t>
        </is>
      </c>
      <c r="W274" s="34" t="n">
        <v>30.4</v>
      </c>
      <c r="X274" s="34" t="n">
        <v>2.8</v>
      </c>
      <c r="Y274" s="36" t="n">
        <v>616.6</v>
      </c>
      <c r="Z274" s="36" t="n">
        <v>56.7</v>
      </c>
      <c r="AA274" s="22" t="n"/>
      <c r="AB274" s="22" t="n"/>
      <c r="AC274" s="22" t="inlineStr">
        <is>
          <t>Sole Overall Coordinator and Sole Global Coordinator CCB International Capital Limited</t>
        </is>
      </c>
      <c r="AD274" s="22" t="inlineStr">
        <is>
          <t>Managers CCB International Capital Limited; China Galaxy International Securities (Hong Kong) Co. Limited; Cinda International Capital Limited; CMBC Securities Company Limited; Donghai International Securities (Hong Kong) Limited; Livermore Holdings Limited; Quam Securities Limited; SPDB International Capital Limited; Victory Securities Company Limited; Yue Xiu Securities Company Limited; Zhongtai International Securities Limited; ZMF Asset Management Limited</t>
        </is>
      </c>
      <c r="AE274" s="22" t="n"/>
      <c r="AK274">
        <f>IF(AND(Screener!$B$7&lt;&gt;"",$E274=Screener!$B$7),1,0)</f>
        <v/>
      </c>
      <c r="AL274">
        <f>IF(AND(Screener!$B$6&lt;&gt;"",$D274=Screener!$B$6),1,0)</f>
        <v/>
      </c>
      <c r="AM274">
        <f>IF(OR($H274="",Screener!$B$8=""),0,MAX(0,1-ABS(LOG10($H274/Screener!$B$8))/W_SIZEHW))</f>
        <v/>
      </c>
      <c r="AN274">
        <f>IF(OR($V274="",Screener!$B$9=""),0,IF($V274=Screener!$B$9,1,0))</f>
        <v/>
      </c>
      <c r="AO274">
        <f>IF(OR($AA274="",Screener!$B$10=""),0,IF($AA274=Screener!$B$10,1,0))</f>
        <v/>
      </c>
      <c r="AP274">
        <f>IF($G274="",0,MAX(0,1-(Screener!$B$12-$G274)/W_RECD))</f>
        <v/>
      </c>
      <c r="AQ274">
        <f>IF($B274=Screener!$B$3,-999999,W_SUB*AK274+W_SEC*AL274*(1-AK274)+W_SIZE*AM274+W_PROF*AN274+W_AH*AO274+W_REC*AP274)+ROW()/1000000</f>
        <v/>
      </c>
      <c r="AR274">
        <f>IF(OR('NEW DEAL'!$B$6="",$E274&lt;&gt;'NEW DEAL'!$B$6),-1,1+IF(OR($H274="",'NEW DEAL'!$B$7=""),0,MAX(0,1-ABS(LOG10($H274/'NEW DEAL'!$B$7))/W_SIZEHW)))+ROW()/1000000</f>
        <v/>
      </c>
    </row>
    <row r="275">
      <c r="A275" s="23" t="inlineStr">
        <is>
          <t>1471</t>
        </is>
      </c>
      <c r="B275" s="22" t="inlineStr">
        <is>
          <t>ZHONGMIAO</t>
        </is>
      </c>
      <c r="C275" s="22" t="inlineStr">
        <is>
          <t>眾淼控股</t>
        </is>
      </c>
      <c r="D275" s="24" t="inlineStr">
        <is>
          <t>Financials</t>
        </is>
      </c>
      <c r="E275" s="24" t="inlineStr">
        <is>
          <t>Insurance</t>
        </is>
      </c>
      <c r="F275" s="22" t="inlineStr">
        <is>
          <t>Standard</t>
        </is>
      </c>
      <c r="G275" s="39" t="n">
        <v>45510</v>
      </c>
      <c r="H275" s="26" t="n">
        <v>247.1</v>
      </c>
      <c r="I275" s="22" t="inlineStr">
        <is>
          <t>gross (price x shares)</t>
        </is>
      </c>
      <c r="J275" s="27" t="n">
        <v>7</v>
      </c>
      <c r="K275" s="27" t="n">
        <v>10.2</v>
      </c>
      <c r="L275" s="44" t="n">
        <v>7</v>
      </c>
      <c r="M275" s="28" t="n">
        <v>0</v>
      </c>
      <c r="N275" s="29" t="inlineStr">
        <is>
          <t>N</t>
        </is>
      </c>
      <c r="O275" s="26" t="n">
        <v>988.4</v>
      </c>
      <c r="P275" s="46" t="n">
        <v>16.07</v>
      </c>
      <c r="Q275" s="31" t="n">
        <v>0.98</v>
      </c>
      <c r="R275" s="45" t="n">
        <v>5</v>
      </c>
      <c r="S275" s="33" t="n">
        <v>18.71</v>
      </c>
      <c r="T275" s="32" t="n">
        <v>17</v>
      </c>
      <c r="U275" s="22" t="n"/>
      <c r="V275" s="29" t="inlineStr">
        <is>
          <t>Y</t>
        </is>
      </c>
      <c r="W275" s="34" t="n">
        <v>23</v>
      </c>
      <c r="X275" s="34" t="n">
        <v>5.2</v>
      </c>
      <c r="Y275" s="36" t="n">
        <v>191.4</v>
      </c>
      <c r="Z275" s="36" t="n">
        <v>42.9</v>
      </c>
      <c r="AA275" s="22" t="n"/>
      <c r="AB275" s="22" t="n"/>
      <c r="AC275" s="22" t="inlineStr">
        <is>
          <t>CITIC Securities (Hong Kong) Limited; Ping An of China Capital (Hong Kong) Company Limited</t>
        </is>
      </c>
      <c r="AD275" s="22" t="inlineStr">
        <is>
          <t>China PA Securities (Hong Kong) Company Limited; CLSA Limited; CMB International Capital Limited; Fosun International Securities Limited; Hong Tai Securities Limited</t>
        </is>
      </c>
      <c r="AE275" s="22" t="n"/>
      <c r="AK275">
        <f>IF(AND(Screener!$B$7&lt;&gt;"",$E275=Screener!$B$7),1,0)</f>
        <v/>
      </c>
      <c r="AL275">
        <f>IF(AND(Screener!$B$6&lt;&gt;"",$D275=Screener!$B$6),1,0)</f>
        <v/>
      </c>
      <c r="AM275">
        <f>IF(OR($H275="",Screener!$B$8=""),0,MAX(0,1-ABS(LOG10($H275/Screener!$B$8))/W_SIZEHW))</f>
        <v/>
      </c>
      <c r="AN275">
        <f>IF(OR($V275="",Screener!$B$9=""),0,IF($V275=Screener!$B$9,1,0))</f>
        <v/>
      </c>
      <c r="AO275">
        <f>IF(OR($AA275="",Screener!$B$10=""),0,IF($AA275=Screener!$B$10,1,0))</f>
        <v/>
      </c>
      <c r="AP275">
        <f>IF($G275="",0,MAX(0,1-(Screener!$B$12-$G275)/W_RECD))</f>
        <v/>
      </c>
      <c r="AQ275">
        <f>IF($B275=Screener!$B$3,-999999,W_SUB*AK275+W_SEC*AL275*(1-AK275)+W_SIZE*AM275+W_PROF*AN275+W_AH*AO275+W_REC*AP275)+ROW()/1000000</f>
        <v/>
      </c>
      <c r="AR275">
        <f>IF(OR('NEW DEAL'!$B$6="",$E275&lt;&gt;'NEW DEAL'!$B$6),-1,1+IF(OR($H275="",'NEW DEAL'!$B$7=""),0,MAX(0,1-ABS(LOG10($H275/'NEW DEAL'!$B$7))/W_SIZEHW)))+ROW()/1000000</f>
        <v/>
      </c>
    </row>
    <row r="276">
      <c r="A276" s="23" t="inlineStr">
        <is>
          <t>2533</t>
        </is>
      </c>
      <c r="B276" s="22" t="inlineStr">
        <is>
          <t>BLACK SESAME</t>
        </is>
      </c>
      <c r="C276" s="22" t="inlineStr">
        <is>
          <t>黑芝麻智能國際控股有限公司</t>
        </is>
      </c>
      <c r="D276" s="24" t="inlineStr">
        <is>
          <t>Tech/AI</t>
        </is>
      </c>
      <c r="E276" s="24" t="inlineStr">
        <is>
          <t>AI chips &amp; semis</t>
        </is>
      </c>
      <c r="F276" s="22" t="inlineStr">
        <is>
          <t>Standard</t>
        </is>
      </c>
      <c r="G276" s="43" t="n">
        <v>45512</v>
      </c>
      <c r="H276" s="26" t="n">
        <v>1036</v>
      </c>
      <c r="I276" s="22" t="inlineStr">
        <is>
          <t>gross (price x shares)</t>
        </is>
      </c>
      <c r="J276" s="27" t="n">
        <v>28</v>
      </c>
      <c r="K276" s="27" t="n">
        <v>30.3</v>
      </c>
      <c r="L276" s="44" t="n">
        <v>28</v>
      </c>
      <c r="M276" s="28" t="n">
        <v>0</v>
      </c>
      <c r="N276" s="29" t="inlineStr">
        <is>
          <t>N</t>
        </is>
      </c>
      <c r="O276" s="26" t="n">
        <v>15936.7</v>
      </c>
      <c r="P276" s="46" t="n">
        <v>2.52</v>
      </c>
      <c r="Q276" s="31" t="n">
        <v>1.05</v>
      </c>
      <c r="R276" s="45" t="n">
        <v>-26.96</v>
      </c>
      <c r="S276" s="33" t="n">
        <v>7.38</v>
      </c>
      <c r="T276" s="32" t="n">
        <v>7.39</v>
      </c>
      <c r="U276" s="22" t="inlineStr">
        <is>
          <t>not-yet (at allotment)</t>
        </is>
      </c>
      <c r="V276" s="22" t="n"/>
      <c r="W276" s="31" t="n"/>
      <c r="X276" s="34" t="n">
        <v>46.4</v>
      </c>
      <c r="Y276" s="36" t="n">
        <v>343.6</v>
      </c>
      <c r="Z276" s="35" t="n"/>
      <c r="AA276" s="22" t="n"/>
      <c r="AB276" s="22" t="n"/>
      <c r="AC276" s="22" t="n"/>
      <c r="AD276" s="22" t="inlineStr">
        <is>
          <t>CCB International Capital Limited; GF Securities (Hong Kong) Brokerage Limited; Futu Securities International (Hong Kong) Limited</t>
        </is>
      </c>
      <c r="AE276" s="22" t="n"/>
      <c r="AK276">
        <f>IF(AND(Screener!$B$7&lt;&gt;"",$E276=Screener!$B$7),1,0)</f>
        <v/>
      </c>
      <c r="AL276">
        <f>IF(AND(Screener!$B$6&lt;&gt;"",$D276=Screener!$B$6),1,0)</f>
        <v/>
      </c>
      <c r="AM276">
        <f>IF(OR($H276="",Screener!$B$8=""),0,MAX(0,1-ABS(LOG10($H276/Screener!$B$8))/W_SIZEHW))</f>
        <v/>
      </c>
      <c r="AN276">
        <f>IF(OR($V276="",Screener!$B$9=""),0,IF($V276=Screener!$B$9,1,0))</f>
        <v/>
      </c>
      <c r="AO276">
        <f>IF(OR($AA276="",Screener!$B$10=""),0,IF($AA276=Screener!$B$10,1,0))</f>
        <v/>
      </c>
      <c r="AP276">
        <f>IF($G276="",0,MAX(0,1-(Screener!$B$12-$G276)/W_RECD))</f>
        <v/>
      </c>
      <c r="AQ276">
        <f>IF($B276=Screener!$B$3,-999999,W_SUB*AK276+W_SEC*AL276*(1-AK276)+W_SIZE*AM276+W_PROF*AN276+W_AH*AO276+W_REC*AP276)+ROW()/1000000</f>
        <v/>
      </c>
      <c r="AR276">
        <f>IF(OR('NEW DEAL'!$B$6="",$E276&lt;&gt;'NEW DEAL'!$B$6),-1,1+IF(OR($H276="",'NEW DEAL'!$B$7=""),0,MAX(0,1-ABS(LOG10($H276/'NEW DEAL'!$B$7))/W_SIZEHW)))+ROW()/1000000</f>
        <v/>
      </c>
    </row>
    <row r="277">
      <c r="A277" s="23" t="inlineStr">
        <is>
          <t>2410</t>
        </is>
      </c>
      <c r="B277" s="22" t="inlineStr">
        <is>
          <t>TYK MEDICINES-B</t>
        </is>
      </c>
      <c r="C277" s="22" t="inlineStr">
        <is>
          <t>浙江同源康醫藥股份有限公司</t>
        </is>
      </c>
      <c r="D277" s="24" t="inlineStr">
        <is>
          <t>Healthcare</t>
        </is>
      </c>
      <c r="E277" s="24" t="inlineStr">
        <is>
          <t>Biotech pre-revenue (18A)</t>
        </is>
      </c>
      <c r="F277" s="38" t="inlineStr">
        <is>
          <t>18A</t>
        </is>
      </c>
      <c r="G277" s="39" t="n">
        <v>45524</v>
      </c>
      <c r="H277" s="26" t="n">
        <v>579.3</v>
      </c>
      <c r="I277" s="22" t="inlineStr">
        <is>
          <t>gross (price x shares)</t>
        </is>
      </c>
      <c r="J277" s="27" t="n"/>
      <c r="K277" s="27" t="n">
        <v>12.1</v>
      </c>
      <c r="L277" s="44" t="n">
        <v>12.1</v>
      </c>
      <c r="M277" s="32" t="n"/>
      <c r="N277" s="29" t="inlineStr">
        <is>
          <t>Y</t>
        </is>
      </c>
      <c r="O277" s="26" t="n">
        <v>4487.1</v>
      </c>
      <c r="P277" s="46" t="n">
        <v>2.29</v>
      </c>
      <c r="Q277" s="31" t="n">
        <v>1.01</v>
      </c>
      <c r="R277" s="45" t="n">
        <v>13.22</v>
      </c>
      <c r="S277" s="33" t="n">
        <v>35.51</v>
      </c>
      <c r="T277" s="32" t="n"/>
      <c r="U277" s="22" t="n"/>
      <c r="V277" s="29" t="inlineStr">
        <is>
          <t>N</t>
        </is>
      </c>
      <c r="W277" s="31" t="n"/>
      <c r="X277" s="34" t="n">
        <v>92.09999999999999</v>
      </c>
      <c r="Y277" s="36" t="n">
        <v>48.7</v>
      </c>
      <c r="Z277" s="36" t="n">
        <v>-91.5</v>
      </c>
      <c r="AA277" s="22" t="n"/>
      <c r="AB277" s="22" t="n"/>
      <c r="AC277" s="22" t="inlineStr">
        <is>
          <t>CITIC Securities (Hong Kong) Limited</t>
        </is>
      </c>
      <c r="AD277" s="22" t="inlineStr">
        <is>
          <t>CLSA Limited; CMB International Capital Limited; Haitong International Securities Company Limited; Managers CLSA Limited; Deutsche Bank AG, Hong Kong Branch; Livermore Holdings Limited; BOCI Asia Limited</t>
        </is>
      </c>
      <c r="AE277" s="22" t="n"/>
      <c r="AK277">
        <f>IF(AND(Screener!$B$7&lt;&gt;"",$E277=Screener!$B$7),1,0)</f>
        <v/>
      </c>
      <c r="AL277">
        <f>IF(AND(Screener!$B$6&lt;&gt;"",$D277=Screener!$B$6),1,0)</f>
        <v/>
      </c>
      <c r="AM277">
        <f>IF(OR($H277="",Screener!$B$8=""),0,MAX(0,1-ABS(LOG10($H277/Screener!$B$8))/W_SIZEHW))</f>
        <v/>
      </c>
      <c r="AN277">
        <f>IF(OR($V277="",Screener!$B$9=""),0,IF($V277=Screener!$B$9,1,0))</f>
        <v/>
      </c>
      <c r="AO277">
        <f>IF(OR($AA277="",Screener!$B$10=""),0,IF($AA277=Screener!$B$10,1,0))</f>
        <v/>
      </c>
      <c r="AP277">
        <f>IF($G277="",0,MAX(0,1-(Screener!$B$12-$G277)/W_RECD))</f>
        <v/>
      </c>
      <c r="AQ277">
        <f>IF($B277=Screener!$B$3,-999999,W_SUB*AK277+W_SEC*AL277*(1-AK277)+W_SIZE*AM277+W_PROF*AN277+W_AH*AO277+W_REC*AP277)+ROW()/1000000</f>
        <v/>
      </c>
      <c r="AR277">
        <f>IF(OR('NEW DEAL'!$B$6="",$E277&lt;&gt;'NEW DEAL'!$B$6),-1,1+IF(OR($H277="",'NEW DEAL'!$B$7=""),0,MAX(0,1-ABS(LOG10($H277/'NEW DEAL'!$B$7))/W_SIZEHW)))+ROW()/1000000</f>
        <v/>
      </c>
    </row>
    <row r="278">
      <c r="A278" s="23" t="inlineStr">
        <is>
          <t>0300</t>
        </is>
      </c>
      <c r="B278" s="22" t="inlineStr">
        <is>
          <t>MIDEA GROUP</t>
        </is>
      </c>
      <c r="C278" s="22" t="n"/>
      <c r="D278" s="24" t="inlineStr">
        <is>
          <t>Tech/AI</t>
        </is>
      </c>
      <c r="E278" s="24" t="inlineStr">
        <is>
          <t>Smart hardware / consumer electronics</t>
        </is>
      </c>
      <c r="F278" s="22" t="inlineStr">
        <is>
          <t>Standard</t>
        </is>
      </c>
      <c r="G278" s="39" t="n">
        <v>45552</v>
      </c>
      <c r="H278" s="26" t="n">
        <v>31014</v>
      </c>
      <c r="I278" s="22" t="inlineStr">
        <is>
          <t>gross (stated)</t>
        </is>
      </c>
      <c r="J278" s="27" t="n"/>
      <c r="K278" s="27" t="n"/>
      <c r="L278" s="44" t="n">
        <v>54.8</v>
      </c>
      <c r="M278" s="32" t="n"/>
      <c r="N278" s="22" t="n"/>
      <c r="O278" s="36" t="n">
        <v>408345</v>
      </c>
      <c r="P278" s="40" t="n">
        <v>5.3</v>
      </c>
      <c r="Q278" s="31" t="n">
        <v>0.11</v>
      </c>
      <c r="R278" s="47" t="n">
        <v>70.26000000000001</v>
      </c>
      <c r="S278" s="33" t="n"/>
      <c r="T278" s="28" t="n">
        <v>15</v>
      </c>
      <c r="U278" s="22" t="n"/>
      <c r="V278" s="22" t="n"/>
      <c r="W278" s="31" t="n"/>
      <c r="X278" s="31" t="n"/>
      <c r="Y278" s="35" t="n"/>
      <c r="Z278" s="35" t="n"/>
      <c r="AA278" s="22" t="inlineStr">
        <is>
          <t>Y</t>
        </is>
      </c>
      <c r="AB278" s="22" t="inlineStr">
        <is>
          <t>000333.SZ</t>
        </is>
      </c>
      <c r="AC278" s="22" t="n"/>
      <c r="AD278" s="22" t="n"/>
      <c r="AE278" s="22" t="n"/>
      <c r="AK278">
        <f>IF(AND(Screener!$B$7&lt;&gt;"",$E278=Screener!$B$7),1,0)</f>
        <v/>
      </c>
      <c r="AL278">
        <f>IF(AND(Screener!$B$6&lt;&gt;"",$D278=Screener!$B$6),1,0)</f>
        <v/>
      </c>
      <c r="AM278">
        <f>IF(OR($H278="",Screener!$B$8=""),0,MAX(0,1-ABS(LOG10($H278/Screener!$B$8))/W_SIZEHW))</f>
        <v/>
      </c>
      <c r="AN278">
        <f>IF(OR($V278="",Screener!$B$9=""),0,IF($V278=Screener!$B$9,1,0))</f>
        <v/>
      </c>
      <c r="AO278">
        <f>IF(OR($AA278="",Screener!$B$10=""),0,IF($AA278=Screener!$B$10,1,0))</f>
        <v/>
      </c>
      <c r="AP278">
        <f>IF($G278="",0,MAX(0,1-(Screener!$B$12-$G278)/W_RECD))</f>
        <v/>
      </c>
      <c r="AQ278">
        <f>IF($B278=Screener!$B$3,-999999,W_SUB*AK278+W_SEC*AL278*(1-AK278)+W_SIZE*AM278+W_PROF*AN278+W_AH*AO278+W_REC*AP278)+ROW()/1000000</f>
        <v/>
      </c>
      <c r="AR278">
        <f>IF(OR('NEW DEAL'!$B$6="",$E278&lt;&gt;'NEW DEAL'!$B$6),-1,1+IF(OR($H278="",'NEW DEAL'!$B$7=""),0,MAX(0,1-ABS(LOG10($H278/'NEW DEAL'!$B$7))/W_SIZEHW)))+ROW()/1000000</f>
        <v/>
      </c>
    </row>
    <row r="279">
      <c r="A279" s="23" t="inlineStr">
        <is>
          <t>2549</t>
        </is>
      </c>
      <c r="B279" s="22" t="inlineStr">
        <is>
          <t>CAROTE LTD</t>
        </is>
      </c>
      <c r="C279" s="22" t="inlineStr">
        <is>
          <t>卡羅特</t>
        </is>
      </c>
      <c r="D279" s="24" t="inlineStr">
        <is>
          <t>Consumer</t>
        </is>
      </c>
      <c r="E279" s="24" t="inlineStr">
        <is>
          <t>Retail / distribution</t>
        </is>
      </c>
      <c r="F279" s="22" t="inlineStr">
        <is>
          <t>Standard</t>
        </is>
      </c>
      <c r="G279" s="43" t="n">
        <v>45567</v>
      </c>
      <c r="H279" s="35" t="n"/>
      <c r="I279" s="22" t="n"/>
      <c r="J279" s="27" t="n"/>
      <c r="K279" s="27" t="n">
        <v>5.78</v>
      </c>
      <c r="L279" s="44" t="n">
        <v>5.78</v>
      </c>
      <c r="M279" s="32" t="n"/>
      <c r="N279" s="29" t="inlineStr">
        <is>
          <t>Y</t>
        </is>
      </c>
      <c r="O279" s="36" t="n">
        <v>3190</v>
      </c>
      <c r="P279" s="46" t="n">
        <v>1347.27</v>
      </c>
      <c r="Q279" s="31" t="n">
        <v>7.91</v>
      </c>
      <c r="R279" s="45" t="n">
        <v>58.3</v>
      </c>
      <c r="S279" s="33" t="n">
        <v>62</v>
      </c>
      <c r="T279" s="32" t="n">
        <v>10.22</v>
      </c>
      <c r="U279" s="22" t="n"/>
      <c r="V279" s="29" t="inlineStr">
        <is>
          <t>Y</t>
        </is>
      </c>
      <c r="W279" s="34" t="n">
        <v>10633.3</v>
      </c>
      <c r="X279" s="34" t="n">
        <v>1876.5</v>
      </c>
      <c r="Y279" s="36" t="n">
        <v>1.7</v>
      </c>
      <c r="Z279" s="36" t="n">
        <v>0.3</v>
      </c>
      <c r="AA279" s="22" t="n"/>
      <c r="AB279" s="22" t="n"/>
      <c r="AC279" s="22" t="inlineStr">
        <is>
          <t>BNP Paribas Securities (Asia) Limited; CMB International Capital Limited</t>
        </is>
      </c>
      <c r="AD279" s="22" t="inlineStr">
        <is>
          <t>CMB International Capital Limited; BNP Paribas Securities (Asia) Limited</t>
        </is>
      </c>
      <c r="AE279" s="22" t="n"/>
      <c r="AK279">
        <f>IF(AND(Screener!$B$7&lt;&gt;"",$E279=Screener!$B$7),1,0)</f>
        <v/>
      </c>
      <c r="AL279">
        <f>IF(AND(Screener!$B$6&lt;&gt;"",$D279=Screener!$B$6),1,0)</f>
        <v/>
      </c>
      <c r="AM279">
        <f>IF(OR($H279="",Screener!$B$8=""),0,MAX(0,1-ABS(LOG10($H279/Screener!$B$8))/W_SIZEHW))</f>
        <v/>
      </c>
      <c r="AN279">
        <f>IF(OR($V279="",Screener!$B$9=""),0,IF($V279=Screener!$B$9,1,0))</f>
        <v/>
      </c>
      <c r="AO279">
        <f>IF(OR($AA279="",Screener!$B$10=""),0,IF($AA279=Screener!$B$10,1,0))</f>
        <v/>
      </c>
      <c r="AP279">
        <f>IF($G279="",0,MAX(0,1-(Screener!$B$12-$G279)/W_RECD))</f>
        <v/>
      </c>
      <c r="AQ279">
        <f>IF($B279=Screener!$B$3,-999999,W_SUB*AK279+W_SEC*AL279*(1-AK279)+W_SIZE*AM279+W_PROF*AN279+W_AH*AO279+W_REC*AP279)+ROW()/1000000</f>
        <v/>
      </c>
      <c r="AR279">
        <f>IF(OR('NEW DEAL'!$B$6="",$E279&lt;&gt;'NEW DEAL'!$B$6),-1,1+IF(OR($H279="",'NEW DEAL'!$B$7=""),0,MAX(0,1-ABS(LOG10($H279/'NEW DEAL'!$B$7))/W_SIZEHW)))+ROW()/1000000</f>
        <v/>
      </c>
    </row>
    <row r="280">
      <c r="A280" s="23" t="inlineStr">
        <is>
          <t>2576</t>
        </is>
      </c>
      <c r="B280" s="22" t="inlineStr">
        <is>
          <t>TAIMEI TECH</t>
        </is>
      </c>
      <c r="C280" s="22" t="inlineStr">
        <is>
          <t>浙江太美醫療科技股份有限公司</t>
        </is>
      </c>
      <c r="D280" s="24" t="inlineStr">
        <is>
          <t>Tech/AI</t>
        </is>
      </c>
      <c r="E280" s="24" t="inlineStr">
        <is>
          <t>SaaS / enterprise software</t>
        </is>
      </c>
      <c r="F280" s="22" t="inlineStr">
        <is>
          <t>Standard</t>
        </is>
      </c>
      <c r="G280" s="43" t="n">
        <v>45573</v>
      </c>
      <c r="H280" s="26" t="n">
        <v>335.1</v>
      </c>
      <c r="I280" s="22" t="inlineStr">
        <is>
          <t>gross (stated)</t>
        </is>
      </c>
      <c r="J280" s="27" t="n"/>
      <c r="K280" s="27" t="n">
        <v>13</v>
      </c>
      <c r="L280" s="44" t="n">
        <v>13</v>
      </c>
      <c r="M280" s="32" t="n"/>
      <c r="N280" s="29" t="inlineStr">
        <is>
          <t>Y</t>
        </is>
      </c>
      <c r="O280" s="26" t="n">
        <v>6419.5</v>
      </c>
      <c r="P280" s="48" t="n">
        <v>156.3</v>
      </c>
      <c r="Q280" s="31" t="n"/>
      <c r="R280" s="45" t="n">
        <v>-29.23</v>
      </c>
      <c r="S280" s="33" t="n">
        <v>0</v>
      </c>
      <c r="T280" s="32" t="n">
        <v>5.22</v>
      </c>
      <c r="U280" s="22" t="n"/>
      <c r="V280" s="29" t="inlineStr">
        <is>
          <t>N</t>
        </is>
      </c>
      <c r="W280" s="31" t="n"/>
      <c r="X280" s="31" t="n"/>
      <c r="Y280" s="35" t="n"/>
      <c r="Z280" s="36" t="n">
        <v>-464.8</v>
      </c>
      <c r="AA280" s="22" t="n"/>
      <c r="AB280" s="22" t="n"/>
      <c r="AC280" s="22" t="n"/>
      <c r="AD280" s="22" t="inlineStr">
        <is>
          <t>Morgan Stanley Asia Limited; China International Capital Corporation Hong Kong Securities Limited; Managers and Capital Market Intermediaries Morgan Stanley Asia Limited; Huatai Financial Holdings (Hong Kong) Limited; CMB International Capital Limited; Futu Securities International (Hong Kong) Limited; Tiger Brokers (HK) Global Limited; Valuable Capital Limited</t>
        </is>
      </c>
      <c r="AE280" s="22" t="n"/>
      <c r="AK280">
        <f>IF(AND(Screener!$B$7&lt;&gt;"",$E280=Screener!$B$7),1,0)</f>
        <v/>
      </c>
      <c r="AL280">
        <f>IF(AND(Screener!$B$6&lt;&gt;"",$D280=Screener!$B$6),1,0)</f>
        <v/>
      </c>
      <c r="AM280">
        <f>IF(OR($H280="",Screener!$B$8=""),0,MAX(0,1-ABS(LOG10($H280/Screener!$B$8))/W_SIZEHW))</f>
        <v/>
      </c>
      <c r="AN280">
        <f>IF(OR($V280="",Screener!$B$9=""),0,IF($V280=Screener!$B$9,1,0))</f>
        <v/>
      </c>
      <c r="AO280">
        <f>IF(OR($AA280="",Screener!$B$10=""),0,IF($AA280=Screener!$B$10,1,0))</f>
        <v/>
      </c>
      <c r="AP280">
        <f>IF($G280="",0,MAX(0,1-(Screener!$B$12-$G280)/W_RECD))</f>
        <v/>
      </c>
      <c r="AQ280">
        <f>IF($B280=Screener!$B$3,-999999,W_SUB*AK280+W_SEC*AL280*(1-AK280)+W_SIZE*AM280+W_PROF*AN280+W_AH*AO280+W_REC*AP280)+ROW()/1000000</f>
        <v/>
      </c>
      <c r="AR280">
        <f>IF(OR('NEW DEAL'!$B$6="",$E280&lt;&gt;'NEW DEAL'!$B$6),-1,1+IF(OR($H280="",'NEW DEAL'!$B$7=""),0,MAX(0,1-ABS(LOG10($H280/'NEW DEAL'!$B$7))/W_SIZEHW)))+ROW()/1000000</f>
        <v/>
      </c>
    </row>
    <row r="281">
      <c r="A281" s="23" t="inlineStr">
        <is>
          <t>9639</t>
        </is>
      </c>
      <c r="B281" s="22" t="inlineStr">
        <is>
          <t>WING LEE DEV</t>
        </is>
      </c>
      <c r="C281" s="22" t="n"/>
      <c r="D281" s="24" t="inlineStr">
        <is>
          <t>Industrials</t>
        </is>
      </c>
      <c r="E281" s="24" t="inlineStr">
        <is>
          <t>Construction / engineering</t>
        </is>
      </c>
      <c r="F281" s="22" t="inlineStr">
        <is>
          <t>Standard</t>
        </is>
      </c>
      <c r="G281" s="39" t="n">
        <v>45574</v>
      </c>
      <c r="H281" s="26" t="n">
        <v>182.5</v>
      </c>
      <c r="I281" s="22" t="inlineStr">
        <is>
          <t>gross (stated)</t>
        </is>
      </c>
      <c r="J281" s="27" t="n">
        <v>0.57</v>
      </c>
      <c r="K281" s="27" t="n">
        <v>0.73</v>
      </c>
      <c r="L281" s="44" t="n">
        <v>0.73</v>
      </c>
      <c r="M281" s="28" t="n">
        <v>100</v>
      </c>
      <c r="N281" s="29" t="inlineStr">
        <is>
          <t>Y</t>
        </is>
      </c>
      <c r="O281" s="26" t="n">
        <v>730</v>
      </c>
      <c r="P281" s="46" t="n">
        <v>120.6</v>
      </c>
      <c r="Q281" s="31" t="n">
        <v>1.14</v>
      </c>
      <c r="R281" s="45" t="n">
        <v>-15.07</v>
      </c>
      <c r="S281" s="33" t="n">
        <v>21.2</v>
      </c>
      <c r="T281" s="32" t="n">
        <v>15</v>
      </c>
      <c r="U281" s="22" t="n"/>
      <c r="V281" s="29" t="inlineStr">
        <is>
          <t>Y</t>
        </is>
      </c>
      <c r="W281" s="34" t="n">
        <v>9.5</v>
      </c>
      <c r="X281" s="34" t="n">
        <v>1.4</v>
      </c>
      <c r="Y281" s="36" t="n">
        <v>526.1</v>
      </c>
      <c r="Z281" s="36" t="n">
        <v>76.90000000000001</v>
      </c>
      <c r="AA281" s="22" t="n"/>
      <c r="AB281" s="22" t="n"/>
      <c r="AC281" s="22" t="inlineStr">
        <is>
          <t>Alliance Capital Partners Limited</t>
        </is>
      </c>
      <c r="AD281" s="22" t="inlineStr">
        <is>
          <t>Alliance Capital Partners Limited; China Galaxy International Securities (Hong Kong) Co., Limited; CMBC Securities Company Limited; ABCI Capital Limited; China Industrial Securities International Capital Limited</t>
        </is>
      </c>
      <c r="AE281" s="22" t="n"/>
      <c r="AK281">
        <f>IF(AND(Screener!$B$7&lt;&gt;"",$E281=Screener!$B$7),1,0)</f>
        <v/>
      </c>
      <c r="AL281">
        <f>IF(AND(Screener!$B$6&lt;&gt;"",$D281=Screener!$B$6),1,0)</f>
        <v/>
      </c>
      <c r="AM281">
        <f>IF(OR($H281="",Screener!$B$8=""),0,MAX(0,1-ABS(LOG10($H281/Screener!$B$8))/W_SIZEHW))</f>
        <v/>
      </c>
      <c r="AN281">
        <f>IF(OR($V281="",Screener!$B$9=""),0,IF($V281=Screener!$B$9,1,0))</f>
        <v/>
      </c>
      <c r="AO281">
        <f>IF(OR($AA281="",Screener!$B$10=""),0,IF($AA281=Screener!$B$10,1,0))</f>
        <v/>
      </c>
      <c r="AP281">
        <f>IF($G281="",0,MAX(0,1-(Screener!$B$12-$G281)/W_RECD))</f>
        <v/>
      </c>
      <c r="AQ281">
        <f>IF($B281=Screener!$B$3,-999999,W_SUB*AK281+W_SEC*AL281*(1-AK281)+W_SIZE*AM281+W_PROF*AN281+W_AH*AO281+W_REC*AP281)+ROW()/1000000</f>
        <v/>
      </c>
      <c r="AR281">
        <f>IF(OR('NEW DEAL'!$B$6="",$E281&lt;&gt;'NEW DEAL'!$B$6),-1,1+IF(OR($H281="",'NEW DEAL'!$B$7=""),0,MAX(0,1-ABS(LOG10($H281/'NEW DEAL'!$B$7))/W_SIZEHW)))+ROW()/1000000</f>
        <v/>
      </c>
    </row>
    <row r="282">
      <c r="A282" s="23" t="inlineStr">
        <is>
          <t>2567</t>
        </is>
      </c>
      <c r="B282" s="22" t="inlineStr">
        <is>
          <t>QINIU</t>
        </is>
      </c>
      <c r="C282" s="22" t="n"/>
      <c r="D282" s="24" t="inlineStr">
        <is>
          <t>Tech/AI</t>
        </is>
      </c>
      <c r="E282" s="24" t="inlineStr">
        <is>
          <t>Data center / cloud infra</t>
        </is>
      </c>
      <c r="F282" s="22" t="inlineStr">
        <is>
          <t>Standard</t>
        </is>
      </c>
      <c r="G282" s="43" t="n">
        <v>45581</v>
      </c>
      <c r="H282" s="26" t="n">
        <v>439.3</v>
      </c>
      <c r="I282" s="22" t="inlineStr">
        <is>
          <t>gross (stated)</t>
        </is>
      </c>
      <c r="J282" s="27" t="n">
        <v>2.74</v>
      </c>
      <c r="K282" s="27" t="n">
        <v>2.86</v>
      </c>
      <c r="L282" s="44" t="n">
        <v>2.75</v>
      </c>
      <c r="M282" s="28" t="n">
        <v>8.300000000000001</v>
      </c>
      <c r="N282" s="29" t="inlineStr">
        <is>
          <t>N</t>
        </is>
      </c>
      <c r="O282" s="26" t="n">
        <v>5490.8</v>
      </c>
      <c r="P282" s="46" t="n">
        <v>19.87</v>
      </c>
      <c r="Q282" s="31" t="n">
        <v>1.02</v>
      </c>
      <c r="R282" s="45" t="n">
        <v>-56.73</v>
      </c>
      <c r="S282" s="33" t="n">
        <v>63.5</v>
      </c>
      <c r="T282" s="32" t="n">
        <v>9.1</v>
      </c>
      <c r="U282" s="22" t="inlineStr">
        <is>
          <t>not-yet (at allotment)</t>
        </is>
      </c>
      <c r="V282" s="29" t="inlineStr">
        <is>
          <t>N</t>
        </is>
      </c>
      <c r="W282" s="31" t="n"/>
      <c r="X282" s="34" t="n">
        <v>3.7</v>
      </c>
      <c r="Y282" s="36" t="n">
        <v>1467.4</v>
      </c>
      <c r="Z282" s="36" t="n">
        <v>-356.5</v>
      </c>
      <c r="AA282" s="22" t="n"/>
      <c r="AB282" s="22" t="n"/>
      <c r="AC282" s="22" t="inlineStr">
        <is>
          <t>Shenwan Hongyuan Capital (H.K.) Limited; BOCOM International (Asia) Limited</t>
        </is>
      </c>
      <c r="AD282" s="22" t="inlineStr">
        <is>
          <t>Shenwan Hongyuan Securities (H.K.) Limited; BOCOM International Securities Limited; Huatai Financial Holdings (Hong Kong) Limited; GF Securities (Hong Kong) Brokerage Limited; CMB International Capital Limited; ABCI Capital Limited; Zheshang International Financial Holdings Co., Limited; China Merchants Securities (HK) Co., Limited; CMBC Securities Company Limited</t>
        </is>
      </c>
      <c r="AE282" s="22" t="n"/>
      <c r="AK282">
        <f>IF(AND(Screener!$B$7&lt;&gt;"",$E282=Screener!$B$7),1,0)</f>
        <v/>
      </c>
      <c r="AL282">
        <f>IF(AND(Screener!$B$6&lt;&gt;"",$D282=Screener!$B$6),1,0)</f>
        <v/>
      </c>
      <c r="AM282">
        <f>IF(OR($H282="",Screener!$B$8=""),0,MAX(0,1-ABS(LOG10($H282/Screener!$B$8))/W_SIZEHW))</f>
        <v/>
      </c>
      <c r="AN282">
        <f>IF(OR($V282="",Screener!$B$9=""),0,IF($V282=Screener!$B$9,1,0))</f>
        <v/>
      </c>
      <c r="AO282">
        <f>IF(OR($AA282="",Screener!$B$10=""),0,IF($AA282=Screener!$B$10,1,0))</f>
        <v/>
      </c>
      <c r="AP282">
        <f>IF($G282="",0,MAX(0,1-(Screener!$B$12-$G282)/W_RECD))</f>
        <v/>
      </c>
      <c r="AQ282">
        <f>IF($B282=Screener!$B$3,-999999,W_SUB*AK282+W_SEC*AL282*(1-AK282)+W_SIZE*AM282+W_PROF*AN282+W_AH*AO282+W_REC*AP282)+ROW()/1000000</f>
        <v/>
      </c>
      <c r="AR282">
        <f>IF(OR('NEW DEAL'!$B$6="",$E282&lt;&gt;'NEW DEAL'!$B$6),-1,1+IF(OR($H282="",'NEW DEAL'!$B$7=""),0,MAX(0,1-ABS(LOG10($H282/'NEW DEAL'!$B$7))/W_SIZEHW)))+ROW()/1000000</f>
        <v/>
      </c>
    </row>
    <row r="283">
      <c r="A283" s="23" t="inlineStr">
        <is>
          <t>2460</t>
        </is>
      </c>
      <c r="B283" s="22" t="inlineStr">
        <is>
          <t>CR BEVERAGE</t>
        </is>
      </c>
      <c r="C283" s="22" t="n"/>
      <c r="D283" s="24" t="inlineStr">
        <is>
          <t>Consumer</t>
        </is>
      </c>
      <c r="E283" s="24" t="inlineStr">
        <is>
          <t>Beverages / packaged food</t>
        </is>
      </c>
      <c r="F283" s="22" t="inlineStr">
        <is>
          <t>Standard</t>
        </is>
      </c>
      <c r="G283" s="43" t="n">
        <v>45588</v>
      </c>
      <c r="H283" s="26" t="n">
        <v>5043.5</v>
      </c>
      <c r="I283" s="22" t="inlineStr">
        <is>
          <t>gross (price x shares)</t>
        </is>
      </c>
      <c r="J283" s="27" t="n">
        <v>13.5</v>
      </c>
      <c r="K283" s="27" t="n">
        <v>14.5</v>
      </c>
      <c r="L283" s="44" t="n">
        <v>14.5</v>
      </c>
      <c r="M283" s="28" t="n">
        <v>100</v>
      </c>
      <c r="N283" s="29" t="inlineStr">
        <is>
          <t>Y</t>
        </is>
      </c>
      <c r="O283" s="26" t="n">
        <v>34077.7</v>
      </c>
      <c r="P283" s="46" t="n">
        <v>234.49</v>
      </c>
      <c r="Q283" s="31" t="n">
        <v>24.47</v>
      </c>
      <c r="R283" s="45" t="n">
        <v>15.03</v>
      </c>
      <c r="S283" s="33" t="n">
        <v>47.72</v>
      </c>
      <c r="T283" s="28" t="n">
        <v>15</v>
      </c>
      <c r="U283" s="22" t="inlineStr">
        <is>
          <t>partial</t>
        </is>
      </c>
      <c r="V283" s="29" t="inlineStr">
        <is>
          <t>Y</t>
        </is>
      </c>
      <c r="W283" s="34" t="n">
        <v>23.3</v>
      </c>
      <c r="X283" s="34" t="n">
        <v>2.3</v>
      </c>
      <c r="Y283" s="36" t="n">
        <v>14866.2</v>
      </c>
      <c r="Z283" s="36" t="n">
        <v>1464.5</v>
      </c>
      <c r="AA283" s="22" t="n"/>
      <c r="AB283" s="22" t="n"/>
      <c r="AC283" s="22" t="inlineStr">
        <is>
          <t>UBS Securities Hong Kong Limited; BOCI Asia Limited; CITIC Securities (Hong Kong) Limited; Merrill Lynch (Asia Pacific) Limited</t>
        </is>
      </c>
      <c r="AD283" s="22" t="inlineStr">
        <is>
          <t>UBS AG Hong Kong Branch; BOCI Asia Limited; CLSA Limited; Merrill Lynch (Asia Pacific) Limited; China International Capital Corporation Hong Kong Securities Limited; CMB International Capital Limited; The Hongkong and Shanghai Banking Corporation Limited; ABCI Capital Limited; CCB International Capital Limited</t>
        </is>
      </c>
      <c r="AE283" s="22" t="n"/>
      <c r="AK283">
        <f>IF(AND(Screener!$B$7&lt;&gt;"",$E283=Screener!$B$7),1,0)</f>
        <v/>
      </c>
      <c r="AL283">
        <f>IF(AND(Screener!$B$6&lt;&gt;"",$D283=Screener!$B$6),1,0)</f>
        <v/>
      </c>
      <c r="AM283">
        <f>IF(OR($H283="",Screener!$B$8=""),0,MAX(0,1-ABS(LOG10($H283/Screener!$B$8))/W_SIZEHW))</f>
        <v/>
      </c>
      <c r="AN283">
        <f>IF(OR($V283="",Screener!$B$9=""),0,IF($V283=Screener!$B$9,1,0))</f>
        <v/>
      </c>
      <c r="AO283">
        <f>IF(OR($AA283="",Screener!$B$10=""),0,IF($AA283=Screener!$B$10,1,0))</f>
        <v/>
      </c>
      <c r="AP283">
        <f>IF($G283="",0,MAX(0,1-(Screener!$B$12-$G283)/W_RECD))</f>
        <v/>
      </c>
      <c r="AQ283">
        <f>IF($B283=Screener!$B$3,-999999,W_SUB*AK283+W_SEC*AL283*(1-AK283)+W_SIZE*AM283+W_PROF*AN283+W_AH*AO283+W_REC*AP283)+ROW()/1000000</f>
        <v/>
      </c>
      <c r="AR283">
        <f>IF(OR('NEW DEAL'!$B$6="",$E283&lt;&gt;'NEW DEAL'!$B$6),-1,1+IF(OR($H283="",'NEW DEAL'!$B$7=""),0,MAX(0,1-ABS(LOG10($H283/'NEW DEAL'!$B$7))/W_SIZEHW)))+ROW()/1000000</f>
        <v/>
      </c>
    </row>
    <row r="284">
      <c r="A284" s="23" t="inlineStr">
        <is>
          <t>9660</t>
        </is>
      </c>
      <c r="B284" s="22" t="inlineStr">
        <is>
          <t>HORIZONROBOT-W</t>
        </is>
      </c>
      <c r="C284" s="22" t="n"/>
      <c r="D284" s="24" t="inlineStr">
        <is>
          <t>Tech/AI</t>
        </is>
      </c>
      <c r="E284" s="24" t="inlineStr">
        <is>
          <t>AI chips &amp; semis</t>
        </is>
      </c>
      <c r="F284" s="38" t="inlineStr">
        <is>
          <t>WVR</t>
        </is>
      </c>
      <c r="G284" s="43" t="n">
        <v>45589</v>
      </c>
      <c r="H284" s="26" t="n">
        <v>5407</v>
      </c>
      <c r="I284" s="22" t="inlineStr">
        <is>
          <t>gross (stated)</t>
        </is>
      </c>
      <c r="J284" s="27" t="n">
        <v>3.73</v>
      </c>
      <c r="K284" s="27" t="n">
        <v>3.99</v>
      </c>
      <c r="L284" s="44" t="n">
        <v>3.99</v>
      </c>
      <c r="M284" s="28" t="n">
        <v>100</v>
      </c>
      <c r="N284" s="22" t="inlineStr">
        <is>
          <t>Y</t>
        </is>
      </c>
      <c r="O284" s="26" t="n">
        <v>51989.2</v>
      </c>
      <c r="P284" s="46" t="n">
        <v>33.83</v>
      </c>
      <c r="Q284" s="31" t="n">
        <v>13.81</v>
      </c>
      <c r="R284" s="45" t="n">
        <v>2.76</v>
      </c>
      <c r="S284" s="33" t="n">
        <v>31.56</v>
      </c>
      <c r="T284" s="28" t="n">
        <v>15</v>
      </c>
      <c r="U284" s="22" t="n"/>
      <c r="V284" s="29" t="inlineStr">
        <is>
          <t>N</t>
        </is>
      </c>
      <c r="W284" s="31" t="n"/>
      <c r="X284" s="34" t="n">
        <v>30.5</v>
      </c>
      <c r="Y284" s="36" t="n">
        <v>1706.8</v>
      </c>
      <c r="Z284" s="36" t="n">
        <v>-7413</v>
      </c>
      <c r="AA284" s="22" t="n"/>
      <c r="AB284" s="22" t="n"/>
      <c r="AC284" s="22" t="inlineStr">
        <is>
          <t>and Joint Sponsor-Overall Coordinators Goldman Sachs (Asia) L.L.C; Morgan Stanley Asia Limited; China Securities (International) Corporate Finance Company Limited</t>
        </is>
      </c>
      <c r="AD284" s="22" t="inlineStr">
        <is>
          <t>Goldman Sachs (Asia) L.L.C; Morgan Stanley Asia Limited; Central, Hong Kong CLSA Limited; Deutsche Bank AG, Hong Kong Branch; The Hongkong and Shanghai Banking Corporation Limited; CMB International Capital Limited; China Galaxy International Securities (Hong Kong) Co., Limited; China Securities (International) Corporate Finance Company Limited; Central, Hong Kong BOCOM International Securities Limited</t>
        </is>
      </c>
      <c r="AE284" s="22" t="n"/>
      <c r="AK284">
        <f>IF(AND(Screener!$B$7&lt;&gt;"",$E284=Screener!$B$7),1,0)</f>
        <v/>
      </c>
      <c r="AL284">
        <f>IF(AND(Screener!$B$6&lt;&gt;"",$D284=Screener!$B$6),1,0)</f>
        <v/>
      </c>
      <c r="AM284">
        <f>IF(OR($H284="",Screener!$B$8=""),0,MAX(0,1-ABS(LOG10($H284/Screener!$B$8))/W_SIZEHW))</f>
        <v/>
      </c>
      <c r="AN284">
        <f>IF(OR($V284="",Screener!$B$9=""),0,IF($V284=Screener!$B$9,1,0))</f>
        <v/>
      </c>
      <c r="AO284">
        <f>IF(OR($AA284="",Screener!$B$10=""),0,IF($AA284=Screener!$B$10,1,0))</f>
        <v/>
      </c>
      <c r="AP284">
        <f>IF($G284="",0,MAX(0,1-(Screener!$B$12-$G284)/W_RECD))</f>
        <v/>
      </c>
      <c r="AQ284">
        <f>IF($B284=Screener!$B$3,-999999,W_SUB*AK284+W_SEC*AL284*(1-AK284)+W_SIZE*AM284+W_PROF*AN284+W_AH*AO284+W_REC*AP284)+ROW()/1000000</f>
        <v/>
      </c>
      <c r="AR284">
        <f>IF(OR('NEW DEAL'!$B$6="",$E284&lt;&gt;'NEW DEAL'!$B$6),-1,1+IF(OR($H284="",'NEW DEAL'!$B$7=""),0,MAX(0,1-ABS(LOG10($H284/'NEW DEAL'!$B$7))/W_SIZEHW)))+ROW()/1000000</f>
        <v/>
      </c>
    </row>
    <row r="285">
      <c r="A285" s="23" t="inlineStr">
        <is>
          <t>2465</t>
        </is>
      </c>
      <c r="B285" s="22" t="inlineStr">
        <is>
          <t>LOPAL TECH</t>
        </is>
      </c>
      <c r="C285" s="22" t="n"/>
      <c r="D285" s="24" t="inlineStr">
        <is>
          <t>Industrials</t>
        </is>
      </c>
      <c r="E285" s="24" t="inlineStr">
        <is>
          <t>Batteries / energy storage</t>
        </is>
      </c>
      <c r="F285" s="22" t="inlineStr">
        <is>
          <t>Standard</t>
        </is>
      </c>
      <c r="G285" s="39" t="n">
        <v>45595</v>
      </c>
      <c r="H285" s="26" t="n">
        <v>550</v>
      </c>
      <c r="I285" s="22" t="inlineStr">
        <is>
          <t>gross (price x shares)</t>
        </is>
      </c>
      <c r="J285" s="27" t="n"/>
      <c r="K285" s="27" t="n">
        <v>7</v>
      </c>
      <c r="L285" s="44" t="n">
        <v>5.5</v>
      </c>
      <c r="M285" s="32" t="n"/>
      <c r="N285" s="29" t="inlineStr">
        <is>
          <t>N</t>
        </is>
      </c>
      <c r="O285" s="26" t="n">
        <v>3666.7</v>
      </c>
      <c r="P285" s="46" t="n">
        <v>3.99</v>
      </c>
      <c r="Q285" s="31" t="n">
        <v>3.23</v>
      </c>
      <c r="R285" s="45" t="n">
        <v>-13.64</v>
      </c>
      <c r="S285" s="33" t="n">
        <v>20</v>
      </c>
      <c r="T285" s="28" t="n">
        <v>15</v>
      </c>
      <c r="U285" s="22" t="n"/>
      <c r="V285" s="29" t="inlineStr">
        <is>
          <t>N</t>
        </is>
      </c>
      <c r="W285" s="31" t="n"/>
      <c r="X285" s="34" t="n">
        <v>0.3</v>
      </c>
      <c r="Y285" s="36" t="n">
        <v>13466.1</v>
      </c>
      <c r="Z285" s="36" t="n">
        <v>-2013.6</v>
      </c>
      <c r="AA285" s="22" t="inlineStr">
        <is>
          <t>Y</t>
        </is>
      </c>
      <c r="AB285" s="22" t="inlineStr">
        <is>
          <t>603906.SS</t>
        </is>
      </c>
      <c r="AC285" s="22" t="inlineStr">
        <is>
          <t>Guotai Junan Capital Limited; Halcyon Capital Limited</t>
        </is>
      </c>
      <c r="AD285" s="22" t="inlineStr">
        <is>
          <t>ABCI Securities Company Limited</t>
        </is>
      </c>
      <c r="AE285" s="22" t="n"/>
      <c r="AK285">
        <f>IF(AND(Screener!$B$7&lt;&gt;"",$E285=Screener!$B$7),1,0)</f>
        <v/>
      </c>
      <c r="AL285">
        <f>IF(AND(Screener!$B$6&lt;&gt;"",$D285=Screener!$B$6),1,0)</f>
        <v/>
      </c>
      <c r="AM285">
        <f>IF(OR($H285="",Screener!$B$8=""),0,MAX(0,1-ABS(LOG10($H285/Screener!$B$8))/W_SIZEHW))</f>
        <v/>
      </c>
      <c r="AN285">
        <f>IF(OR($V285="",Screener!$B$9=""),0,IF($V285=Screener!$B$9,1,0))</f>
        <v/>
      </c>
      <c r="AO285">
        <f>IF(OR($AA285="",Screener!$B$10=""),0,IF($AA285=Screener!$B$10,1,0))</f>
        <v/>
      </c>
      <c r="AP285">
        <f>IF($G285="",0,MAX(0,1-(Screener!$B$12-$G285)/W_RECD))</f>
        <v/>
      </c>
      <c r="AQ285">
        <f>IF($B285=Screener!$B$3,-999999,W_SUB*AK285+W_SEC*AL285*(1-AK285)+W_SIZE*AM285+W_PROF*AN285+W_AH*AO285+W_REC*AP285)+ROW()/1000000</f>
        <v/>
      </c>
      <c r="AR285">
        <f>IF(OR('NEW DEAL'!$B$6="",$E285&lt;&gt;'NEW DEAL'!$B$6),-1,1+IF(OR($H285="",'NEW DEAL'!$B$7=""),0,MAX(0,1-ABS(LOG10($H285/'NEW DEAL'!$B$7))/W_SIZEHW)))+ROW()/1000000</f>
        <v/>
      </c>
    </row>
    <row r="286">
      <c r="A286" s="23" t="inlineStr">
        <is>
          <t>2563</t>
        </is>
      </c>
      <c r="B286" s="22" t="inlineStr">
        <is>
          <t>BIOSTAR PHARM-B</t>
        </is>
      </c>
      <c r="C286" s="22" t="inlineStr">
        <is>
          <t>北京華昊中天生物醫藥股份有限公司</t>
        </is>
      </c>
      <c r="D286" s="24" t="inlineStr">
        <is>
          <t>Healthcare</t>
        </is>
      </c>
      <c r="E286" s="24" t="inlineStr">
        <is>
          <t>Biotech pre-revenue (18A)</t>
        </is>
      </c>
      <c r="F286" s="38" t="inlineStr">
        <is>
          <t>18A</t>
        </is>
      </c>
      <c r="G286" s="39" t="n">
        <v>45596</v>
      </c>
      <c r="H286" s="26" t="n">
        <v>233.4</v>
      </c>
      <c r="I286" s="22" t="inlineStr">
        <is>
          <t>gross (price x shares)</t>
        </is>
      </c>
      <c r="J286" s="27" t="n"/>
      <c r="K286" s="27" t="n">
        <v>22</v>
      </c>
      <c r="L286" s="44" t="n">
        <v>16</v>
      </c>
      <c r="M286" s="32" t="n"/>
      <c r="N286" s="29" t="inlineStr">
        <is>
          <t>N</t>
        </is>
      </c>
      <c r="O286" s="26" t="n">
        <v>5833.4</v>
      </c>
      <c r="P286" s="46" t="n">
        <v>21.45</v>
      </c>
      <c r="Q286" s="31" t="n">
        <v>0.994</v>
      </c>
      <c r="R286" s="45" t="n">
        <v>30</v>
      </c>
      <c r="S286" s="33" t="n">
        <v>15.7</v>
      </c>
      <c r="T286" s="32" t="n"/>
      <c r="U286" s="22" t="n"/>
      <c r="V286" s="29" t="inlineStr">
        <is>
          <t>N</t>
        </is>
      </c>
      <c r="W286" s="31" t="n"/>
      <c r="X286" s="31" t="n"/>
      <c r="Y286" s="35" t="n"/>
      <c r="Z286" s="36" t="n">
        <v>-91.8</v>
      </c>
      <c r="AA286" s="22" t="n"/>
      <c r="AB286" s="22" t="n"/>
      <c r="AC286" s="22" t="n"/>
      <c r="AD286" s="22" t="n"/>
      <c r="AE286" s="22" t="n"/>
      <c r="AK286">
        <f>IF(AND(Screener!$B$7&lt;&gt;"",$E286=Screener!$B$7),1,0)</f>
        <v/>
      </c>
      <c r="AL286">
        <f>IF(AND(Screener!$B$6&lt;&gt;"",$D286=Screener!$B$6),1,0)</f>
        <v/>
      </c>
      <c r="AM286">
        <f>IF(OR($H286="",Screener!$B$8=""),0,MAX(0,1-ABS(LOG10($H286/Screener!$B$8))/W_SIZEHW))</f>
        <v/>
      </c>
      <c r="AN286">
        <f>IF(OR($V286="",Screener!$B$9=""),0,IF($V286=Screener!$B$9,1,0))</f>
        <v/>
      </c>
      <c r="AO286">
        <f>IF(OR($AA286="",Screener!$B$10=""),0,IF($AA286=Screener!$B$10,1,0))</f>
        <v/>
      </c>
      <c r="AP286">
        <f>IF($G286="",0,MAX(0,1-(Screener!$B$12-$G286)/W_RECD))</f>
        <v/>
      </c>
      <c r="AQ286">
        <f>IF($B286=Screener!$B$3,-999999,W_SUB*AK286+W_SEC*AL286*(1-AK286)+W_SIZE*AM286+W_PROF*AN286+W_AH*AO286+W_REC*AP286)+ROW()/1000000</f>
        <v/>
      </c>
      <c r="AR286">
        <f>IF(OR('NEW DEAL'!$B$6="",$E286&lt;&gt;'NEW DEAL'!$B$6),-1,1+IF(OR($H286="",'NEW DEAL'!$B$7=""),0,MAX(0,1-ABS(LOG10($H286/'NEW DEAL'!$B$7))/W_SIZEHW)))+ROW()/1000000</f>
        <v/>
      </c>
    </row>
    <row r="287">
      <c r="A287" s="23" t="inlineStr">
        <is>
          <t>2510</t>
        </is>
      </c>
      <c r="B287" s="22" t="inlineStr">
        <is>
          <t>TS LINES</t>
        </is>
      </c>
      <c r="C287" s="22" t="inlineStr">
        <is>
          <t>德翔海運有限公司</t>
        </is>
      </c>
      <c r="D287" s="24" t="inlineStr">
        <is>
          <t>Industrials</t>
        </is>
      </c>
      <c r="E287" s="24" t="inlineStr">
        <is>
          <t>Logistics</t>
        </is>
      </c>
      <c r="F287" s="22" t="inlineStr">
        <is>
          <t>Standard</t>
        </is>
      </c>
      <c r="G287" s="43" t="n">
        <v>45597</v>
      </c>
      <c r="H287" s="26" t="n">
        <v>1048.9</v>
      </c>
      <c r="I287" s="22" t="inlineStr">
        <is>
          <t>gross (price x shares)</t>
        </is>
      </c>
      <c r="J287" s="27" t="n">
        <v>3.5</v>
      </c>
      <c r="K287" s="27" t="n">
        <v>4.5</v>
      </c>
      <c r="L287" s="44" t="n">
        <v>4.18</v>
      </c>
      <c r="M287" s="28" t="n">
        <v>68</v>
      </c>
      <c r="N287" s="29" t="inlineStr">
        <is>
          <t>N</t>
        </is>
      </c>
      <c r="O287" s="26" t="n">
        <v>6900.9</v>
      </c>
      <c r="P287" s="46" t="n">
        <v>12.09</v>
      </c>
      <c r="Q287" s="31" t="n">
        <v>2.22</v>
      </c>
      <c r="R287" s="45" t="n">
        <v>-1.91</v>
      </c>
      <c r="S287" s="33" t="n">
        <v>12.3</v>
      </c>
      <c r="T287" s="28" t="n">
        <v>15</v>
      </c>
      <c r="U287" s="22" t="n"/>
      <c r="V287" s="29" t="inlineStr">
        <is>
          <t>N</t>
        </is>
      </c>
      <c r="W287" s="31" t="n"/>
      <c r="X287" s="34" t="n">
        <v>1</v>
      </c>
      <c r="Y287" s="36" t="n">
        <v>6821.9</v>
      </c>
      <c r="Z287" s="36" t="n">
        <v>-245.9</v>
      </c>
      <c r="AA287" s="22" t="n"/>
      <c r="AB287" s="22" t="n"/>
      <c r="AC287" s="22" t="inlineStr">
        <is>
          <t>J.P. Morgan Securities (Far East) Limited; China Merchants Securities (HK) Co., Limited</t>
        </is>
      </c>
      <c r="AD287" s="22" t="inlineStr">
        <is>
          <t>J.P. Morgan Securities (Asia Pacific) Limited; China Merchants Securities (HK) Co., Limited; Futu Securities International (Hong Kong) Limited; Yuanta Securities (Hong Kong) Company Limited; Admiralty, Hong Kong Livermore Holdings Limited</t>
        </is>
      </c>
      <c r="AE287" s="22" t="n"/>
      <c r="AK287">
        <f>IF(AND(Screener!$B$7&lt;&gt;"",$E287=Screener!$B$7),1,0)</f>
        <v/>
      </c>
      <c r="AL287">
        <f>IF(AND(Screener!$B$6&lt;&gt;"",$D287=Screener!$B$6),1,0)</f>
        <v/>
      </c>
      <c r="AM287">
        <f>IF(OR($H287="",Screener!$B$8=""),0,MAX(0,1-ABS(LOG10($H287/Screener!$B$8))/W_SIZEHW))</f>
        <v/>
      </c>
      <c r="AN287">
        <f>IF(OR($V287="",Screener!$B$9=""),0,IF($V287=Screener!$B$9,1,0))</f>
        <v/>
      </c>
      <c r="AO287">
        <f>IF(OR($AA287="",Screener!$B$10=""),0,IF($AA287=Screener!$B$10,1,0))</f>
        <v/>
      </c>
      <c r="AP287">
        <f>IF($G287="",0,MAX(0,1-(Screener!$B$12-$G287)/W_RECD))</f>
        <v/>
      </c>
      <c r="AQ287">
        <f>IF($B287=Screener!$B$3,-999999,W_SUB*AK287+W_SEC*AL287*(1-AK287)+W_SIZE*AM287+W_PROF*AN287+W_AH*AO287+W_REC*AP287)+ROW()/1000000</f>
        <v/>
      </c>
      <c r="AR287">
        <f>IF(OR('NEW DEAL'!$B$6="",$E287&lt;&gt;'NEW DEAL'!$B$6),-1,1+IF(OR($H287="",'NEW DEAL'!$B$7=""),0,MAX(0,1-ABS(LOG10($H287/'NEW DEAL'!$B$7))/W_SIZEHW)))+ROW()/1000000</f>
        <v/>
      </c>
    </row>
    <row r="288">
      <c r="A288" s="23" t="inlineStr">
        <is>
          <t>2519</t>
        </is>
      </c>
      <c r="B288" s="22" t="inlineStr">
        <is>
          <t>AUGROUP</t>
        </is>
      </c>
      <c r="C288" s="22" t="inlineStr">
        <is>
          <t>傲基（深圳）跨境商務股份有限公司</t>
        </is>
      </c>
      <c r="D288" s="24" t="inlineStr">
        <is>
          <t>Consumer</t>
        </is>
      </c>
      <c r="E288" s="24" t="inlineStr">
        <is>
          <t>Retail / distribution</t>
        </is>
      </c>
      <c r="F288" s="22" t="inlineStr">
        <is>
          <t>Standard</t>
        </is>
      </c>
      <c r="G288" s="43" t="n">
        <v>45604</v>
      </c>
      <c r="H288" s="26" t="n">
        <v>466.4</v>
      </c>
      <c r="I288" s="22" t="inlineStr">
        <is>
          <t>gross (price x shares)</t>
        </is>
      </c>
      <c r="J288" s="27" t="n">
        <v>14.56</v>
      </c>
      <c r="K288" s="27" t="n">
        <v>15.6</v>
      </c>
      <c r="L288" s="44" t="n">
        <v>15.6</v>
      </c>
      <c r="M288" s="28" t="n">
        <v>100</v>
      </c>
      <c r="N288" s="29" t="inlineStr">
        <is>
          <t>Y</t>
        </is>
      </c>
      <c r="O288" s="36" t="n">
        <v>6265</v>
      </c>
      <c r="P288" s="46" t="n">
        <v>17.74</v>
      </c>
      <c r="Q288" s="31" t="n">
        <v>2.45</v>
      </c>
      <c r="R288" s="45" t="n">
        <v>-11.41</v>
      </c>
      <c r="S288" s="33" t="n">
        <v>11.67</v>
      </c>
      <c r="T288" s="28" t="n">
        <v>15</v>
      </c>
      <c r="U288" s="22" t="n"/>
      <c r="V288" s="29" t="inlineStr">
        <is>
          <t>Y</t>
        </is>
      </c>
      <c r="W288" s="34" t="n">
        <v>11</v>
      </c>
      <c r="X288" s="31" t="n"/>
      <c r="Y288" s="35" t="n"/>
      <c r="Z288" s="36" t="n">
        <v>572.1</v>
      </c>
      <c r="AA288" s="22" t="n"/>
      <c r="AB288" s="22" t="n"/>
      <c r="AC288" s="22" t="inlineStr">
        <is>
          <t>Huatai Financial Holdings (Hong Kong) Limited</t>
        </is>
      </c>
      <c r="AD288" s="22" t="inlineStr">
        <is>
          <t>Huatai Financial Holdings (Hong Kong) Limited; CLSA Limited; DBS Asia Capital Limited; Livermore Holdings Limited</t>
        </is>
      </c>
      <c r="AE288" s="22" t="n"/>
      <c r="AK288">
        <f>IF(AND(Screener!$B$7&lt;&gt;"",$E288=Screener!$B$7),1,0)</f>
        <v/>
      </c>
      <c r="AL288">
        <f>IF(AND(Screener!$B$6&lt;&gt;"",$D288=Screener!$B$6),1,0)</f>
        <v/>
      </c>
      <c r="AM288">
        <f>IF(OR($H288="",Screener!$B$8=""),0,MAX(0,1-ABS(LOG10($H288/Screener!$B$8))/W_SIZEHW))</f>
        <v/>
      </c>
      <c r="AN288">
        <f>IF(OR($V288="",Screener!$B$9=""),0,IF($V288=Screener!$B$9,1,0))</f>
        <v/>
      </c>
      <c r="AO288">
        <f>IF(OR($AA288="",Screener!$B$10=""),0,IF($AA288=Screener!$B$10,1,0))</f>
        <v/>
      </c>
      <c r="AP288">
        <f>IF($G288="",0,MAX(0,1-(Screener!$B$12-$G288)/W_RECD))</f>
        <v/>
      </c>
      <c r="AQ288">
        <f>IF($B288=Screener!$B$3,-999999,W_SUB*AK288+W_SEC*AL288*(1-AK288)+W_SIZE*AM288+W_PROF*AN288+W_AH*AO288+W_REC*AP288)+ROW()/1000000</f>
        <v/>
      </c>
      <c r="AR288">
        <f>IF(OR('NEW DEAL'!$B$6="",$E288&lt;&gt;'NEW DEAL'!$B$6),-1,1+IF(OR($H288="",'NEW DEAL'!$B$7=""),0,MAX(0,1-ABS(LOG10($H288/'NEW DEAL'!$B$7))/W_SIZEHW)))+ROW()/1000000</f>
        <v/>
      </c>
    </row>
    <row r="289">
      <c r="A289" s="23" t="inlineStr">
        <is>
          <t>2551</t>
        </is>
      </c>
      <c r="B289" s="22" t="inlineStr">
        <is>
          <t>APT ELECTRONICS</t>
        </is>
      </c>
      <c r="C289" s="22" t="inlineStr">
        <is>
          <t>廣東晶科電子股份有限公司</t>
        </is>
      </c>
      <c r="D289" s="24" t="inlineStr">
        <is>
          <t>Tech/AI</t>
        </is>
      </c>
      <c r="E289" s="24" t="inlineStr">
        <is>
          <t>AI chips &amp; semis</t>
        </is>
      </c>
      <c r="F289" s="22" t="inlineStr">
        <is>
          <t>Standard</t>
        </is>
      </c>
      <c r="G289" s="43" t="n">
        <v>45604</v>
      </c>
      <c r="H289" s="35" t="n"/>
      <c r="I289" s="22" t="n"/>
      <c r="J289" s="27" t="n"/>
      <c r="K289" s="27" t="n"/>
      <c r="L289" s="44" t="n">
        <v>3.61</v>
      </c>
      <c r="M289" s="32" t="n"/>
      <c r="N289" s="22" t="n"/>
      <c r="O289" s="26" t="n">
        <v>1939.1</v>
      </c>
      <c r="P289" s="46" t="n">
        <v>5677.83</v>
      </c>
      <c r="Q289" s="31" t="n">
        <v>6.95</v>
      </c>
      <c r="R289" s="45" t="n">
        <v>47.65</v>
      </c>
      <c r="S289" s="33" t="n">
        <v>0</v>
      </c>
      <c r="T289" s="32" t="n"/>
      <c r="U289" s="22" t="n"/>
      <c r="V289" s="29" t="inlineStr">
        <is>
          <t>Y</t>
        </is>
      </c>
      <c r="W289" s="34" t="n">
        <v>24.5</v>
      </c>
      <c r="X289" s="34" t="n">
        <v>0.9</v>
      </c>
      <c r="Y289" s="36" t="n">
        <v>2043.8</v>
      </c>
      <c r="Z289" s="36" t="n">
        <v>79.2</v>
      </c>
      <c r="AA289" s="22" t="n"/>
      <c r="AB289" s="22" t="n"/>
      <c r="AC289" s="22" t="inlineStr">
        <is>
          <t>CITIC Securities (Hong Kong) Limited</t>
        </is>
      </c>
      <c r="AD289" s="22" t="inlineStr">
        <is>
          <t>CLSA Limited; GF Securities (Hong Kong) Brokerage Limited; Sinolink Securities (Hong Kong) Company Limited; BOCI Asia Limited; ABCI Capital Limited; ICBC International Securities Limited; China Galaxy International Securities (Hong Kong) Co., Limited; China Sunrise Securities (International) Limited; Patrons Securities Limited; Tiger Brokers (HK) Global Limited</t>
        </is>
      </c>
      <c r="AE289" s="22" t="n"/>
      <c r="AK289">
        <f>IF(AND(Screener!$B$7&lt;&gt;"",$E289=Screener!$B$7),1,0)</f>
        <v/>
      </c>
      <c r="AL289">
        <f>IF(AND(Screener!$B$6&lt;&gt;"",$D289=Screener!$B$6),1,0)</f>
        <v/>
      </c>
      <c r="AM289">
        <f>IF(OR($H289="",Screener!$B$8=""),0,MAX(0,1-ABS(LOG10($H289/Screener!$B$8))/W_SIZEHW))</f>
        <v/>
      </c>
      <c r="AN289">
        <f>IF(OR($V289="",Screener!$B$9=""),0,IF($V289=Screener!$B$9,1,0))</f>
        <v/>
      </c>
      <c r="AO289">
        <f>IF(OR($AA289="",Screener!$B$10=""),0,IF($AA289=Screener!$B$10,1,0))</f>
        <v/>
      </c>
      <c r="AP289">
        <f>IF($G289="",0,MAX(0,1-(Screener!$B$12-$G289)/W_RECD))</f>
        <v/>
      </c>
      <c r="AQ289">
        <f>IF($B289=Screener!$B$3,-999999,W_SUB*AK289+W_SEC*AL289*(1-AK289)+W_SIZE*AM289+W_PROF*AN289+W_AH*AO289+W_REC*AP289)+ROW()/1000000</f>
        <v/>
      </c>
      <c r="AR289">
        <f>IF(OR('NEW DEAL'!$B$6="",$E289&lt;&gt;'NEW DEAL'!$B$6),-1,1+IF(OR($H289="",'NEW DEAL'!$B$7=""),0,MAX(0,1-ABS(LOG10($H289/'NEW DEAL'!$B$7))/W_SIZEHW)))+ROW()/1000000</f>
        <v/>
      </c>
    </row>
    <row r="290">
      <c r="A290" s="23" t="inlineStr">
        <is>
          <t>2582</t>
        </is>
      </c>
      <c r="B290" s="22" t="inlineStr">
        <is>
          <t>GUOFUHEE</t>
        </is>
      </c>
      <c r="C290" s="22" t="inlineStr">
        <is>
          <t>江蘇國富氫能技術裝備股份有限公司</t>
        </is>
      </c>
      <c r="D290" s="24" t="inlineStr">
        <is>
          <t>Industrials</t>
        </is>
      </c>
      <c r="E290" s="24" t="inlineStr">
        <is>
          <t>Batteries / energy storage</t>
        </is>
      </c>
      <c r="F290" s="22" t="inlineStr">
        <is>
          <t>Standard</t>
        </is>
      </c>
      <c r="G290" s="43" t="n">
        <v>45611</v>
      </c>
      <c r="H290" s="26" t="n">
        <v>390</v>
      </c>
      <c r="I290" s="22" t="inlineStr">
        <is>
          <t>gross (price x shares)</t>
        </is>
      </c>
      <c r="J290" s="27" t="n"/>
      <c r="K290" s="27" t="n">
        <v>73</v>
      </c>
      <c r="L290" s="44" t="n">
        <v>65</v>
      </c>
      <c r="M290" s="32" t="n"/>
      <c r="N290" s="29" t="inlineStr">
        <is>
          <t>N</t>
        </is>
      </c>
      <c r="O290" s="26" t="n">
        <v>6806.2</v>
      </c>
      <c r="P290" s="46" t="n">
        <v>21.07</v>
      </c>
      <c r="Q290" s="31" t="n">
        <v>0.99</v>
      </c>
      <c r="R290" s="45" t="n">
        <v>20</v>
      </c>
      <c r="S290" s="33" t="n">
        <v>80.8</v>
      </c>
      <c r="T290" s="32" t="n"/>
      <c r="U290" s="22" t="n"/>
      <c r="V290" s="29" t="inlineStr">
        <is>
          <t>N</t>
        </is>
      </c>
      <c r="W290" s="31" t="n"/>
      <c r="X290" s="34" t="n">
        <v>11.8</v>
      </c>
      <c r="Y290" s="36" t="n">
        <v>574.7</v>
      </c>
      <c r="Z290" s="36" t="n">
        <v>-82.5</v>
      </c>
      <c r="AA290" s="22" t="n"/>
      <c r="AB290" s="22" t="n"/>
      <c r="AC290" s="22" t="inlineStr">
        <is>
          <t>Haitong International Capital Limited; Central, Hong Kong CITIC Securities (Hong Kong) Limited</t>
        </is>
      </c>
      <c r="AD290" s="22" t="inlineStr">
        <is>
          <t>Managers and CMIs CCB International Capital Limited; Central, Hong Kong China Securities (International) Corporate Finance Company Limited; Managers and CMIs Livermore Holdings Limited; Zhongtai International Securities Limited; Fortune Origin Securities Limited; Central, Hong Kong ICBC International Securities Limited; Quam Securities Limited; Soochow Securities International Brokerage Limited</t>
        </is>
      </c>
      <c r="AE290" s="22" t="n"/>
      <c r="AK290">
        <f>IF(AND(Screener!$B$7&lt;&gt;"",$E290=Screener!$B$7),1,0)</f>
        <v/>
      </c>
      <c r="AL290">
        <f>IF(AND(Screener!$B$6&lt;&gt;"",$D290=Screener!$B$6),1,0)</f>
        <v/>
      </c>
      <c r="AM290">
        <f>IF(OR($H290="",Screener!$B$8=""),0,MAX(0,1-ABS(LOG10($H290/Screener!$B$8))/W_SIZEHW))</f>
        <v/>
      </c>
      <c r="AN290">
        <f>IF(OR($V290="",Screener!$B$9=""),0,IF($V290=Screener!$B$9,1,0))</f>
        <v/>
      </c>
      <c r="AO290">
        <f>IF(OR($AA290="",Screener!$B$10=""),0,IF($AA290=Screener!$B$10,1,0))</f>
        <v/>
      </c>
      <c r="AP290">
        <f>IF($G290="",0,MAX(0,1-(Screener!$B$12-$G290)/W_RECD))</f>
        <v/>
      </c>
      <c r="AQ290">
        <f>IF($B290=Screener!$B$3,-999999,W_SUB*AK290+W_SEC*AL290*(1-AK290)+W_SIZE*AM290+W_PROF*AN290+W_AH*AO290+W_REC*AP290)+ROW()/1000000</f>
        <v/>
      </c>
      <c r="AR290">
        <f>IF(OR('NEW DEAL'!$B$6="",$E290&lt;&gt;'NEW DEAL'!$B$6),-1,1+IF(OR($H290="",'NEW DEAL'!$B$7=""),0,MAX(0,1-ABS(LOG10($H290/'NEW DEAL'!$B$7))/W_SIZEHW)))+ROW()/1000000</f>
        <v/>
      </c>
    </row>
    <row r="291">
      <c r="A291" s="23" t="inlineStr">
        <is>
          <t>6936</t>
        </is>
      </c>
      <c r="B291" s="22" t="inlineStr">
        <is>
          <t>SF HOLDING</t>
        </is>
      </c>
      <c r="C291" s="22" t="inlineStr">
        <is>
          <t>順豐控股股份有限公司</t>
        </is>
      </c>
      <c r="D291" s="24" t="inlineStr">
        <is>
          <t>Industrials</t>
        </is>
      </c>
      <c r="E291" s="24" t="inlineStr">
        <is>
          <t>Logistics</t>
        </is>
      </c>
      <c r="F291" s="22" t="inlineStr">
        <is>
          <t>Standard</t>
        </is>
      </c>
      <c r="G291" s="39" t="n">
        <v>45623</v>
      </c>
      <c r="H291" s="26" t="n">
        <v>5831</v>
      </c>
      <c r="I291" s="22" t="inlineStr">
        <is>
          <t>gross (stated)</t>
        </is>
      </c>
      <c r="J291" s="27" t="n"/>
      <c r="K291" s="27" t="n">
        <v>36.3</v>
      </c>
      <c r="L291" s="44" t="n">
        <v>34.3</v>
      </c>
      <c r="M291" s="32" t="n"/>
      <c r="N291" s="29" t="inlineStr">
        <is>
          <t>N</t>
        </is>
      </c>
      <c r="O291" s="26" t="n">
        <v>149512.8</v>
      </c>
      <c r="P291" s="46" t="n">
        <v>79.06999999999999</v>
      </c>
      <c r="Q291" s="31" t="n">
        <v>10.1</v>
      </c>
      <c r="R291" s="45" t="n">
        <v>0</v>
      </c>
      <c r="S291" s="42" t="n">
        <v>27.4</v>
      </c>
      <c r="T291" s="28" t="n">
        <v>15</v>
      </c>
      <c r="U291" s="22" t="n"/>
      <c r="V291" s="29" t="inlineStr">
        <is>
          <t>Y</t>
        </is>
      </c>
      <c r="W291" s="34" t="n">
        <v>17.2</v>
      </c>
      <c r="X291" s="34" t="n">
        <v>0.5</v>
      </c>
      <c r="Y291" s="36" t="n">
        <v>284250.3</v>
      </c>
      <c r="Z291" s="36" t="n">
        <v>8702.799999999999</v>
      </c>
      <c r="AA291" s="22" t="inlineStr">
        <is>
          <t>Y</t>
        </is>
      </c>
      <c r="AB291" s="22" t="inlineStr">
        <is>
          <t>002352.SZ</t>
        </is>
      </c>
      <c r="AC291" s="22" t="inlineStr">
        <is>
          <t>Goldman Sachs (Asia) L.L.C; Huatai Financial Holdings (Hong Kong) Limited; J.P. Morgan Securities (Far East) Limited</t>
        </is>
      </c>
      <c r="AD291" s="22" t="inlineStr">
        <is>
          <t>Goldman Sachs (Asia) L.L.C; Huatai Financial Holdings (Hong Kong) Limited; J.P. Morgan Securities (Asia Pacific) Limited; China International Capital Corporation Hong Kong Securities Limited; UBS AG Hong Kong Branch; ABCI Capital Limited; BOCI Asia Limited; DBS Asia Capital Limited; GF Securities (Hong Kong) Brokerage Limited; ICBC International Securities Limited</t>
        </is>
      </c>
      <c r="AE291" s="22" t="n"/>
      <c r="AK291">
        <f>IF(AND(Screener!$B$7&lt;&gt;"",$E291=Screener!$B$7),1,0)</f>
        <v/>
      </c>
      <c r="AL291">
        <f>IF(AND(Screener!$B$6&lt;&gt;"",$D291=Screener!$B$6),1,0)</f>
        <v/>
      </c>
      <c r="AM291">
        <f>IF(OR($H291="",Screener!$B$8=""),0,MAX(0,1-ABS(LOG10($H291/Screener!$B$8))/W_SIZEHW))</f>
        <v/>
      </c>
      <c r="AN291">
        <f>IF(OR($V291="",Screener!$B$9=""),0,IF($V291=Screener!$B$9,1,0))</f>
        <v/>
      </c>
      <c r="AO291">
        <f>IF(OR($AA291="",Screener!$B$10=""),0,IF($AA291=Screener!$B$10,1,0))</f>
        <v/>
      </c>
      <c r="AP291">
        <f>IF($G291="",0,MAX(0,1-(Screener!$B$12-$G291)/W_RECD))</f>
        <v/>
      </c>
      <c r="AQ291">
        <f>IF($B291=Screener!$B$3,-999999,W_SUB*AK291+W_SEC*AL291*(1-AK291)+W_SIZE*AM291+W_PROF*AN291+W_AH*AO291+W_REC*AP291)+ROW()/1000000</f>
        <v/>
      </c>
      <c r="AR291">
        <f>IF(OR('NEW DEAL'!$B$6="",$E291&lt;&gt;'NEW DEAL'!$B$6),-1,1+IF(OR($H291="",'NEW DEAL'!$B$7=""),0,MAX(0,1-ABS(LOG10($H291/'NEW DEAL'!$B$7))/W_SIZEHW)))+ROW()/1000000</f>
        <v/>
      </c>
    </row>
    <row r="292">
      <c r="A292" s="23" t="inlineStr">
        <is>
          <t>2566</t>
        </is>
      </c>
      <c r="B292" s="22" t="inlineStr">
        <is>
          <t>JIUYUAN GENE</t>
        </is>
      </c>
      <c r="C292" s="22" t="n"/>
      <c r="D292" s="24" t="inlineStr">
        <is>
          <t>Healthcare</t>
        </is>
      </c>
      <c r="E292" s="24" t="inlineStr">
        <is>
          <t>Biopharma commercial</t>
        </is>
      </c>
      <c r="F292" s="22" t="inlineStr">
        <is>
          <t>Standard</t>
        </is>
      </c>
      <c r="G292" s="39" t="n">
        <v>45624</v>
      </c>
      <c r="H292" s="26" t="n">
        <v>563.9</v>
      </c>
      <c r="I292" s="22" t="inlineStr">
        <is>
          <t>gross (price x shares)</t>
        </is>
      </c>
      <c r="J292" s="27" t="n">
        <v>11.48</v>
      </c>
      <c r="K292" s="27" t="n">
        <v>12.56</v>
      </c>
      <c r="L292" s="44" t="n">
        <v>12.42</v>
      </c>
      <c r="M292" s="28" t="n">
        <v>87</v>
      </c>
      <c r="N292" s="29" t="inlineStr">
        <is>
          <t>N</t>
        </is>
      </c>
      <c r="O292" s="26" t="n">
        <v>3047.9</v>
      </c>
      <c r="P292" s="46" t="n">
        <v>675.83</v>
      </c>
      <c r="Q292" s="31" t="n">
        <v>1.18</v>
      </c>
      <c r="R292" s="45" t="n">
        <v>-38.41</v>
      </c>
      <c r="S292" s="33" t="n">
        <v>49.66</v>
      </c>
      <c r="T292" s="32" t="n">
        <v>17.16</v>
      </c>
      <c r="U292" s="22" t="n"/>
      <c r="V292" s="29" t="inlineStr">
        <is>
          <t>Y</t>
        </is>
      </c>
      <c r="W292" s="34" t="n">
        <v>23.1</v>
      </c>
      <c r="X292" s="34" t="n">
        <v>2.2</v>
      </c>
      <c r="Y292" s="36" t="n">
        <v>1416.1</v>
      </c>
      <c r="Z292" s="36" t="n">
        <v>131.8</v>
      </c>
      <c r="AA292" s="22" t="n"/>
      <c r="AB292" s="22" t="n"/>
      <c r="AC292" s="22" t="inlineStr">
        <is>
          <t>and Sponsor-Overall Coordinator Huatai Financial Holdings (Hong Kong) Limited</t>
        </is>
      </c>
      <c r="AD292" s="22" t="inlineStr">
        <is>
          <t>Huatai Financial Holdings (Hong Kong) Limited; Central, Hong Kong CLSA Limited</t>
        </is>
      </c>
      <c r="AE292" s="22" t="n"/>
      <c r="AK292">
        <f>IF(AND(Screener!$B$7&lt;&gt;"",$E292=Screener!$B$7),1,0)</f>
        <v/>
      </c>
      <c r="AL292">
        <f>IF(AND(Screener!$B$6&lt;&gt;"",$D292=Screener!$B$6),1,0)</f>
        <v/>
      </c>
      <c r="AM292">
        <f>IF(OR($H292="",Screener!$B$8=""),0,MAX(0,1-ABS(LOG10($H292/Screener!$B$8))/W_SIZEHW))</f>
        <v/>
      </c>
      <c r="AN292">
        <f>IF(OR($V292="",Screener!$B$9=""),0,IF($V292=Screener!$B$9,1,0))</f>
        <v/>
      </c>
      <c r="AO292">
        <f>IF(OR($AA292="",Screener!$B$10=""),0,IF($AA292=Screener!$B$10,1,0))</f>
        <v/>
      </c>
      <c r="AP292">
        <f>IF($G292="",0,MAX(0,1-(Screener!$B$12-$G292)/W_RECD))</f>
        <v/>
      </c>
      <c r="AQ292">
        <f>IF($B292=Screener!$B$3,-999999,W_SUB*AK292+W_SEC*AL292*(1-AK292)+W_SIZE*AM292+W_PROF*AN292+W_AH*AO292+W_REC*AP292)+ROW()/1000000</f>
        <v/>
      </c>
      <c r="AR292">
        <f>IF(OR('NEW DEAL'!$B$6="",$E292&lt;&gt;'NEW DEAL'!$B$6),-1,1+IF(OR($H292="",'NEW DEAL'!$B$7=""),0,MAX(0,1-ABS(LOG10($H292/'NEW DEAL'!$B$7))/W_SIZEHW)))+ROW()/1000000</f>
        <v/>
      </c>
    </row>
    <row r="293">
      <c r="A293" s="23" t="inlineStr">
        <is>
          <t>2585</t>
        </is>
      </c>
      <c r="B293" s="22" t="inlineStr">
        <is>
          <t>MOKINGRAN</t>
        </is>
      </c>
      <c r="C293" s="22" t="inlineStr">
        <is>
          <t>夢金園黃金珠寶集團股份有限公司</t>
        </is>
      </c>
      <c r="D293" s="24" t="inlineStr">
        <is>
          <t>Consumer</t>
        </is>
      </c>
      <c r="E293" s="24" t="inlineStr">
        <is>
          <t>Apparel / luxury</t>
        </is>
      </c>
      <c r="F293" s="22" t="inlineStr">
        <is>
          <t>Standard</t>
        </is>
      </c>
      <c r="G293" s="43" t="n">
        <v>45625</v>
      </c>
      <c r="H293" s="26" t="n">
        <v>527.48</v>
      </c>
      <c r="I293" s="22" t="inlineStr">
        <is>
          <t>gross (stated)</t>
        </is>
      </c>
      <c r="J293" s="27" t="n">
        <v>12</v>
      </c>
      <c r="K293" s="27" t="n">
        <v>14.4</v>
      </c>
      <c r="L293" s="44" t="n">
        <v>12</v>
      </c>
      <c r="M293" s="28" t="n">
        <v>0</v>
      </c>
      <c r="N293" s="29" t="inlineStr">
        <is>
          <t>N</t>
        </is>
      </c>
      <c r="O293" s="26" t="n">
        <v>3276.3</v>
      </c>
      <c r="P293" s="46" t="n">
        <v>20.58</v>
      </c>
      <c r="Q293" s="31" t="n">
        <v>0.98</v>
      </c>
      <c r="R293" s="45" t="n">
        <v>7.5</v>
      </c>
      <c r="S293" s="33" t="n">
        <v>39.77</v>
      </c>
      <c r="T293" s="32" t="n">
        <v>5.64</v>
      </c>
      <c r="U293" s="22" t="inlineStr">
        <is>
          <t>not-yet (at allotment)</t>
        </is>
      </c>
      <c r="V293" s="29" t="inlineStr">
        <is>
          <t>Y</t>
        </is>
      </c>
      <c r="W293" s="34" t="n">
        <v>12.8</v>
      </c>
      <c r="X293" s="34" t="n">
        <v>0.1</v>
      </c>
      <c r="Y293" s="36" t="n">
        <v>22229.5</v>
      </c>
      <c r="Z293" s="36" t="n">
        <v>256.8</v>
      </c>
      <c r="AA293" s="22" t="n"/>
      <c r="AB293" s="22" t="n"/>
      <c r="AC293" s="22" t="inlineStr">
        <is>
          <t>CITIC Securities (Hong Kong) Limited</t>
        </is>
      </c>
      <c r="AD293" s="22" t="inlineStr">
        <is>
          <t>CLSA Limited; ABCI Capital Limited; China Everbright Securities (HK) Limited; Futu Securities International (Hong Kong) Limited; ICBC International Securities Limited; TradeGo Markets Limited</t>
        </is>
      </c>
      <c r="AE293" s="22" t="n"/>
      <c r="AK293">
        <f>IF(AND(Screener!$B$7&lt;&gt;"",$E293=Screener!$B$7),1,0)</f>
        <v/>
      </c>
      <c r="AL293">
        <f>IF(AND(Screener!$B$6&lt;&gt;"",$D293=Screener!$B$6),1,0)</f>
        <v/>
      </c>
      <c r="AM293">
        <f>IF(OR($H293="",Screener!$B$8=""),0,MAX(0,1-ABS(LOG10($H293/Screener!$B$8))/W_SIZEHW))</f>
        <v/>
      </c>
      <c r="AN293">
        <f>IF(OR($V293="",Screener!$B$9=""),0,IF($V293=Screener!$B$9,1,0))</f>
        <v/>
      </c>
      <c r="AO293">
        <f>IF(OR($AA293="",Screener!$B$10=""),0,IF($AA293=Screener!$B$10,1,0))</f>
        <v/>
      </c>
      <c r="AP293">
        <f>IF($G293="",0,MAX(0,1-(Screener!$B$12-$G293)/W_RECD))</f>
        <v/>
      </c>
      <c r="AQ293">
        <f>IF($B293=Screener!$B$3,-999999,W_SUB*AK293+W_SEC*AL293*(1-AK293)+W_SIZE*AM293+W_PROF*AN293+W_AH*AO293+W_REC*AP293)+ROW()/1000000</f>
        <v/>
      </c>
      <c r="AR293">
        <f>IF(OR('NEW DEAL'!$B$6="",$E293&lt;&gt;'NEW DEAL'!$B$6),-1,1+IF(OR($H293="",'NEW DEAL'!$B$7=""),0,MAX(0,1-ABS(LOG10($H293/'NEW DEAL'!$B$7))/W_SIZEHW)))+ROW()/1000000</f>
        <v/>
      </c>
    </row>
    <row r="294">
      <c r="A294" s="23" t="inlineStr">
        <is>
          <t>2586</t>
        </is>
      </c>
      <c r="B294" s="22" t="inlineStr">
        <is>
          <t>DMALL</t>
        </is>
      </c>
      <c r="C294" s="22" t="n"/>
      <c r="D294" s="24" t="inlineStr">
        <is>
          <t>Tech/AI</t>
        </is>
      </c>
      <c r="E294" s="24" t="inlineStr">
        <is>
          <t>SaaS / enterprise software</t>
        </is>
      </c>
      <c r="F294" s="22" t="inlineStr">
        <is>
          <t>Standard</t>
        </is>
      </c>
      <c r="G294" s="39" t="n">
        <v>45632</v>
      </c>
      <c r="H294" s="26" t="n">
        <v>778.6</v>
      </c>
      <c r="I294" s="22" t="inlineStr">
        <is>
          <t>gross (price x shares)</t>
        </is>
      </c>
      <c r="J294" s="27" t="n"/>
      <c r="K294" s="27" t="n"/>
      <c r="L294" s="44" t="n">
        <v>30.21</v>
      </c>
      <c r="M294" s="32" t="n"/>
      <c r="N294" s="22" t="n"/>
      <c r="O294" s="26" t="n">
        <v>26786.9</v>
      </c>
      <c r="P294" s="48" t="n">
        <v>1.94</v>
      </c>
      <c r="Q294" s="31" t="n">
        <v>1.36</v>
      </c>
      <c r="R294" s="45" t="n">
        <v>-54.32</v>
      </c>
      <c r="S294" s="33" t="n">
        <v>39.05</v>
      </c>
      <c r="T294" s="32" t="n">
        <v>10</v>
      </c>
      <c r="U294" s="22" t="inlineStr">
        <is>
          <t>not-yet (at allotment)</t>
        </is>
      </c>
      <c r="V294" s="22" t="n"/>
      <c r="W294" s="31" t="n"/>
      <c r="X294" s="34" t="n">
        <v>15.4</v>
      </c>
      <c r="Y294" s="36" t="n">
        <v>1743.9</v>
      </c>
      <c r="Z294" s="35" t="n"/>
      <c r="AA294" s="22" t="n"/>
      <c r="AB294" s="22" t="n"/>
      <c r="AC294" s="22" t="inlineStr">
        <is>
          <t>UBS Securities Hong Kong Limited; Central, Hong Kong CMB International Capital Limited; Central, Hong Kong China Merchants Securities (HK) Co., Limited</t>
        </is>
      </c>
      <c r="AD294" s="22" t="inlineStr">
        <is>
          <t>UBS AG Hong Kong Branch; Central, Hong Kong CMB International Capital Limited; Central, Hong Kong China Merchants Securities (HK) Co., Limited; CLSA Limited; China International Capital Corporation Hong Kong Securities Limited; CCB International Capital Limited; CMBC Securities Company Limited; Haitong International Securities Company Limited; Managers and Capital Market Intermediaries UBS AG Hong Kong Branch; DIRECTORS AND PARTIES INVOLVED IN THE GLOBAL OFFERING CMB International Capital Limited; ABCI Capital Limited; DIRECTORS AND PARTIES INVOLVED IN THE GLOBAL OFFERING ABCI Securities Company Limited</t>
        </is>
      </c>
      <c r="AE294" s="22" t="n"/>
      <c r="AK294">
        <f>IF(AND(Screener!$B$7&lt;&gt;"",$E294=Screener!$B$7),1,0)</f>
        <v/>
      </c>
      <c r="AL294">
        <f>IF(AND(Screener!$B$6&lt;&gt;"",$D294=Screener!$B$6),1,0)</f>
        <v/>
      </c>
      <c r="AM294">
        <f>IF(OR($H294="",Screener!$B$8=""),0,MAX(0,1-ABS(LOG10($H294/Screener!$B$8))/W_SIZEHW))</f>
        <v/>
      </c>
      <c r="AN294">
        <f>IF(OR($V294="",Screener!$B$9=""),0,IF($V294=Screener!$B$9,1,0))</f>
        <v/>
      </c>
      <c r="AO294">
        <f>IF(OR($AA294="",Screener!$B$10=""),0,IF($AA294=Screener!$B$10,1,0))</f>
        <v/>
      </c>
      <c r="AP294">
        <f>IF($G294="",0,MAX(0,1-(Screener!$B$12-$G294)/W_RECD))</f>
        <v/>
      </c>
      <c r="AQ294">
        <f>IF($B294=Screener!$B$3,-999999,W_SUB*AK294+W_SEC*AL294*(1-AK294)+W_SIZE*AM294+W_PROF*AN294+W_AH*AO294+W_REC*AP294)+ROW()/1000000</f>
        <v/>
      </c>
      <c r="AR294">
        <f>IF(OR('NEW DEAL'!$B$6="",$E294&lt;&gt;'NEW DEAL'!$B$6),-1,1+IF(OR($H294="",'NEW DEAL'!$B$7=""),0,MAX(0,1-ABS(LOG10($H294/'NEW DEAL'!$B$7))/W_SIZEHW)))+ROW()/1000000</f>
        <v/>
      </c>
    </row>
    <row r="295">
      <c r="A295" s="23" t="inlineStr">
        <is>
          <t>2570</t>
        </is>
      </c>
      <c r="B295" s="22" t="inlineStr">
        <is>
          <t>REFIRE</t>
        </is>
      </c>
      <c r="C295" s="22" t="n"/>
      <c r="D295" s="24" t="inlineStr">
        <is>
          <t>Industrials</t>
        </is>
      </c>
      <c r="E295" s="24" t="inlineStr">
        <is>
          <t>Batteries / energy storage</t>
        </is>
      </c>
      <c r="F295" s="22" t="inlineStr">
        <is>
          <t>Standard</t>
        </is>
      </c>
      <c r="G295" s="43" t="n">
        <v>45632</v>
      </c>
      <c r="H295" s="26" t="n">
        <v>709.7</v>
      </c>
      <c r="I295" s="22" t="inlineStr">
        <is>
          <t>gross (stated)</t>
        </is>
      </c>
      <c r="J295" s="27" t="n">
        <v>145</v>
      </c>
      <c r="K295" s="27" t="n">
        <v>165</v>
      </c>
      <c r="L295" s="44" t="n">
        <v>147</v>
      </c>
      <c r="M295" s="28" t="n">
        <v>10</v>
      </c>
      <c r="N295" s="29" t="inlineStr">
        <is>
          <t>N</t>
        </is>
      </c>
      <c r="O295" s="26" t="n">
        <v>11106.4</v>
      </c>
      <c r="P295" s="48" t="n">
        <v>1.55</v>
      </c>
      <c r="Q295" s="31" t="n">
        <v>1.33</v>
      </c>
      <c r="R295" s="45" t="n">
        <v>0.07000000000000001</v>
      </c>
      <c r="S295" s="33" t="n">
        <v>46.39</v>
      </c>
      <c r="T295" s="28" t="n">
        <v>10</v>
      </c>
      <c r="U295" s="22" t="n"/>
      <c r="V295" s="22" t="n"/>
      <c r="W295" s="31" t="n"/>
      <c r="X295" s="34" t="n">
        <v>11.3</v>
      </c>
      <c r="Y295" s="36" t="n">
        <v>984.8</v>
      </c>
      <c r="Z295" s="35" t="n"/>
      <c r="AA295" s="22" t="n"/>
      <c r="AB295" s="22" t="n"/>
      <c r="AC295" s="22" t="n"/>
      <c r="AD295" s="22" t="inlineStr">
        <is>
          <t>China International Capital Corporation Hong Kong Securities Limited; CMB International Capital Limited; BOCI Asia Limited; China Galaxy International Securities (Hong Kong) Co., Limited; ABCI Capital Limited; China Merchants Securities (HK) Co., Limited; Livermore Holdings Limited; Tiger Brokers (HK) Global Limited</t>
        </is>
      </c>
      <c r="AE295" s="22" t="n"/>
      <c r="AK295">
        <f>IF(AND(Screener!$B$7&lt;&gt;"",$E295=Screener!$B$7),1,0)</f>
        <v/>
      </c>
      <c r="AL295">
        <f>IF(AND(Screener!$B$6&lt;&gt;"",$D295=Screener!$B$6),1,0)</f>
        <v/>
      </c>
      <c r="AM295">
        <f>IF(OR($H295="",Screener!$B$8=""),0,MAX(0,1-ABS(LOG10($H295/Screener!$B$8))/W_SIZEHW))</f>
        <v/>
      </c>
      <c r="AN295">
        <f>IF(OR($V295="",Screener!$B$9=""),0,IF($V295=Screener!$B$9,1,0))</f>
        <v/>
      </c>
      <c r="AO295">
        <f>IF(OR($AA295="",Screener!$B$10=""),0,IF($AA295=Screener!$B$10,1,0))</f>
        <v/>
      </c>
      <c r="AP295">
        <f>IF($G295="",0,MAX(0,1-(Screener!$B$12-$G295)/W_RECD))</f>
        <v/>
      </c>
      <c r="AQ295">
        <f>IF($B295=Screener!$B$3,-999999,W_SUB*AK295+W_SEC*AL295*(1-AK295)+W_SIZE*AM295+W_PROF*AN295+W_AH*AO295+W_REC*AP295)+ROW()/1000000</f>
        <v/>
      </c>
      <c r="AR295">
        <f>IF(OR('NEW DEAL'!$B$6="",$E295&lt;&gt;'NEW DEAL'!$B$6),-1,1+IF(OR($H295="",'NEW DEAL'!$B$7=""),0,MAX(0,1-ABS(LOG10($H295/'NEW DEAL'!$B$7))/W_SIZEHW)))+ROW()/1000000</f>
        <v/>
      </c>
    </row>
    <row r="296">
      <c r="A296" s="23" t="inlineStr">
        <is>
          <t>1318</t>
        </is>
      </c>
      <c r="B296" s="22" t="inlineStr">
        <is>
          <t>MAO GEPING</t>
        </is>
      </c>
      <c r="C296" s="22" t="n"/>
      <c r="D296" s="24" t="inlineStr">
        <is>
          <t>Consumer</t>
        </is>
      </c>
      <c r="E296" s="24" t="inlineStr">
        <is>
          <t>Beauty / personal care</t>
        </is>
      </c>
      <c r="F296" s="22" t="inlineStr">
        <is>
          <t>Standard</t>
        </is>
      </c>
      <c r="G296" s="43" t="n">
        <v>45636</v>
      </c>
      <c r="H296" s="26" t="n">
        <v>2337.02</v>
      </c>
      <c r="I296" s="22" t="inlineStr">
        <is>
          <t>gross (stated)</t>
        </is>
      </c>
      <c r="J296" s="27" t="n"/>
      <c r="K296" s="27" t="n"/>
      <c r="L296" s="44" t="n">
        <v>29.8</v>
      </c>
      <c r="M296" s="32" t="n"/>
      <c r="N296" s="22" t="n"/>
      <c r="O296" s="36" t="n">
        <v>13750</v>
      </c>
      <c r="P296" s="46" t="n">
        <v>919.1799999999999</v>
      </c>
      <c r="Q296" s="31" t="n">
        <v>30.34</v>
      </c>
      <c r="R296" s="45" t="n">
        <v>76.51000000000001</v>
      </c>
      <c r="S296" s="33" t="n">
        <v>33.3</v>
      </c>
      <c r="T296" s="32" t="n"/>
      <c r="U296" s="22" t="inlineStr">
        <is>
          <t>partial</t>
        </is>
      </c>
      <c r="V296" s="22" t="n"/>
      <c r="W296" s="31" t="n"/>
      <c r="X296" s="31" t="n"/>
      <c r="Y296" s="35" t="n"/>
      <c r="Z296" s="35" t="n"/>
      <c r="AA296" s="22" t="n"/>
      <c r="AB296" s="22" t="n"/>
      <c r="AC296" s="22" t="n"/>
      <c r="AD296" s="22" t="n"/>
      <c r="AE296" s="22" t="n"/>
      <c r="AK296">
        <f>IF(AND(Screener!$B$7&lt;&gt;"",$E296=Screener!$B$7),1,0)</f>
        <v/>
      </c>
      <c r="AL296">
        <f>IF(AND(Screener!$B$6&lt;&gt;"",$D296=Screener!$B$6),1,0)</f>
        <v/>
      </c>
      <c r="AM296">
        <f>IF(OR($H296="",Screener!$B$8=""),0,MAX(0,1-ABS(LOG10($H296/Screener!$B$8))/W_SIZEHW))</f>
        <v/>
      </c>
      <c r="AN296">
        <f>IF(OR($V296="",Screener!$B$9=""),0,IF($V296=Screener!$B$9,1,0))</f>
        <v/>
      </c>
      <c r="AO296">
        <f>IF(OR($AA296="",Screener!$B$10=""),0,IF($AA296=Screener!$B$10,1,0))</f>
        <v/>
      </c>
      <c r="AP296">
        <f>IF($G296="",0,MAX(0,1-(Screener!$B$12-$G296)/W_RECD))</f>
        <v/>
      </c>
      <c r="AQ296">
        <f>IF($B296=Screener!$B$3,-999999,W_SUB*AK296+W_SEC*AL296*(1-AK296)+W_SIZE*AM296+W_PROF*AN296+W_AH*AO296+W_REC*AP296)+ROW()/1000000</f>
        <v/>
      </c>
      <c r="AR296">
        <f>IF(OR('NEW DEAL'!$B$6="",$E296&lt;&gt;'NEW DEAL'!$B$6),-1,1+IF(OR($H296="",'NEW DEAL'!$B$7=""),0,MAX(0,1-ABS(LOG10($H296/'NEW DEAL'!$B$7))/W_SIZEHW)))+ROW()/1000000</f>
        <v/>
      </c>
    </row>
    <row r="297">
      <c r="A297" s="23" t="inlineStr">
        <is>
          <t>2593</t>
        </is>
      </c>
      <c r="B297" s="22" t="inlineStr">
        <is>
          <t>HERBS GROUP</t>
        </is>
      </c>
      <c r="C297" s="22" t="inlineStr">
        <is>
          <t>草姬集團控股有限公司</t>
        </is>
      </c>
      <c r="D297" s="24" t="inlineStr">
        <is>
          <t>Healthcare</t>
        </is>
      </c>
      <c r="E297" s="24" t="inlineStr">
        <is>
          <t>TCM</t>
        </is>
      </c>
      <c r="F297" s="22" t="inlineStr">
        <is>
          <t>Standard</t>
        </is>
      </c>
      <c r="G297" s="39" t="n">
        <v>45645</v>
      </c>
      <c r="H297" s="26" t="n">
        <v>125</v>
      </c>
      <c r="I297" s="22" t="inlineStr">
        <is>
          <t>gross (stated)</t>
        </is>
      </c>
      <c r="J297" s="27" t="n">
        <v>3.75</v>
      </c>
      <c r="K297" s="27" t="n">
        <v>4.15</v>
      </c>
      <c r="L297" s="44" t="n">
        <v>3.75</v>
      </c>
      <c r="M297" s="28" t="n">
        <v>0</v>
      </c>
      <c r="N297" s="29" t="inlineStr">
        <is>
          <t>N</t>
        </is>
      </c>
      <c r="O297" s="26" t="n">
        <v>500</v>
      </c>
      <c r="P297" s="46" t="n">
        <v>6083.63</v>
      </c>
      <c r="Q297" s="31" t="n">
        <v>1.79</v>
      </c>
      <c r="R297" s="45" t="n">
        <v>10.4</v>
      </c>
      <c r="S297" s="33" t="n">
        <v>22.4</v>
      </c>
      <c r="T297" s="32" t="n"/>
      <c r="U297" s="22" t="n"/>
      <c r="V297" s="29" t="inlineStr">
        <is>
          <t>Y</t>
        </is>
      </c>
      <c r="W297" s="34" t="n">
        <v>12.7</v>
      </c>
      <c r="X297" s="34" t="n">
        <v>2</v>
      </c>
      <c r="Y297" s="36" t="n">
        <v>251.2</v>
      </c>
      <c r="Z297" s="36" t="n">
        <v>39.5</v>
      </c>
      <c r="AA297" s="22" t="n"/>
      <c r="AB297" s="22" t="n"/>
      <c r="AC297" s="22" t="n"/>
      <c r="AD297" s="22" t="inlineStr">
        <is>
          <t>ABCI Capital Limited</t>
        </is>
      </c>
      <c r="AE297" s="22" t="n"/>
      <c r="AK297">
        <f>IF(AND(Screener!$B$7&lt;&gt;"",$E297=Screener!$B$7),1,0)</f>
        <v/>
      </c>
      <c r="AL297">
        <f>IF(AND(Screener!$B$6&lt;&gt;"",$D297=Screener!$B$6),1,0)</f>
        <v/>
      </c>
      <c r="AM297">
        <f>IF(OR($H297="",Screener!$B$8=""),0,MAX(0,1-ABS(LOG10($H297/Screener!$B$8))/W_SIZEHW))</f>
        <v/>
      </c>
      <c r="AN297">
        <f>IF(OR($V297="",Screener!$B$9=""),0,IF($V297=Screener!$B$9,1,0))</f>
        <v/>
      </c>
      <c r="AO297">
        <f>IF(OR($AA297="",Screener!$B$10=""),0,IF($AA297=Screener!$B$10,1,0))</f>
        <v/>
      </c>
      <c r="AP297">
        <f>IF($G297="",0,MAX(0,1-(Screener!$B$12-$G297)/W_RECD))</f>
        <v/>
      </c>
      <c r="AQ297">
        <f>IF($B297=Screener!$B$3,-999999,W_SUB*AK297+W_SEC*AL297*(1-AK297)+W_SIZE*AM297+W_PROF*AN297+W_AH*AO297+W_REC*AP297)+ROW()/1000000</f>
        <v/>
      </c>
      <c r="AR297">
        <f>IF(OR('NEW DEAL'!$B$6="",$E297&lt;&gt;'NEW DEAL'!$B$6),-1,1+IF(OR($H297="",'NEW DEAL'!$B$7=""),0,MAX(0,1-ABS(LOG10($H297/'NEW DEAL'!$B$7))/W_SIZEHW)))+ROW()/1000000</f>
        <v/>
      </c>
    </row>
    <row r="298">
      <c r="A298" s="23" t="inlineStr">
        <is>
          <t>0999</t>
        </is>
      </c>
      <c r="B298" s="22" t="inlineStr">
        <is>
          <t>XIAOCAIYUAN</t>
        </is>
      </c>
      <c r="C298" s="22" t="n"/>
      <c r="D298" s="24" t="inlineStr">
        <is>
          <t>Consumer</t>
        </is>
      </c>
      <c r="E298" s="24" t="inlineStr">
        <is>
          <t>F&amp;B chains / restaurants</t>
        </is>
      </c>
      <c r="F298" s="22" t="inlineStr">
        <is>
          <t>Standard</t>
        </is>
      </c>
      <c r="G298" s="43" t="n">
        <v>45646</v>
      </c>
      <c r="H298" s="26" t="n">
        <v>860</v>
      </c>
      <c r="I298" s="22" t="inlineStr">
        <is>
          <t>gross (price x shares)</t>
        </is>
      </c>
      <c r="J298" s="27" t="n"/>
      <c r="K298" s="27" t="n"/>
      <c r="L298" s="44" t="n">
        <v>8.5</v>
      </c>
      <c r="M298" s="32" t="n"/>
      <c r="N298" s="22" t="n"/>
      <c r="O298" s="26" t="n">
        <v>10000.4</v>
      </c>
      <c r="P298" s="48" t="n">
        <v>1.44</v>
      </c>
      <c r="Q298" s="31" t="n">
        <v>1.29</v>
      </c>
      <c r="R298" s="47" t="n">
        <v>6.47</v>
      </c>
      <c r="S298" s="33" t="n"/>
      <c r="T298" s="32" t="n"/>
      <c r="U298" s="22" t="n"/>
      <c r="V298" s="22" t="n"/>
      <c r="W298" s="31" t="n"/>
      <c r="X298" s="31" t="n"/>
      <c r="Y298" s="35" t="n"/>
      <c r="Z298" s="35" t="n"/>
      <c r="AA298" s="22" t="n"/>
      <c r="AB298" s="22" t="n"/>
      <c r="AC298" s="22" t="n"/>
      <c r="AD298" s="22" t="n"/>
      <c r="AE298" s="22" t="n"/>
      <c r="AK298">
        <f>IF(AND(Screener!$B$7&lt;&gt;"",$E298=Screener!$B$7),1,0)</f>
        <v/>
      </c>
      <c r="AL298">
        <f>IF(AND(Screener!$B$6&lt;&gt;"",$D298=Screener!$B$6),1,0)</f>
        <v/>
      </c>
      <c r="AM298">
        <f>IF(OR($H298="",Screener!$B$8=""),0,MAX(0,1-ABS(LOG10($H298/Screener!$B$8))/W_SIZEHW))</f>
        <v/>
      </c>
      <c r="AN298">
        <f>IF(OR($V298="",Screener!$B$9=""),0,IF($V298=Screener!$B$9,1,0))</f>
        <v/>
      </c>
      <c r="AO298">
        <f>IF(OR($AA298="",Screener!$B$10=""),0,IF($AA298=Screener!$B$10,1,0))</f>
        <v/>
      </c>
      <c r="AP298">
        <f>IF($G298="",0,MAX(0,1-(Screener!$B$12-$G298)/W_RECD))</f>
        <v/>
      </c>
      <c r="AQ298">
        <f>IF($B298=Screener!$B$3,-999999,W_SUB*AK298+W_SEC*AL298*(1-AK298)+W_SIZE*AM298+W_PROF*AN298+W_AH*AO298+W_REC*AP298)+ROW()/1000000</f>
        <v/>
      </c>
      <c r="AR298">
        <f>IF(OR('NEW DEAL'!$B$6="",$E298&lt;&gt;'NEW DEAL'!$B$6),-1,1+IF(OR($H298="",'NEW DEAL'!$B$7=""),0,MAX(0,1-ABS(LOG10($H298/'NEW DEAL'!$B$7))/W_SIZEHW)))+ROW()/1000000</f>
        <v/>
      </c>
    </row>
    <row r="299">
      <c r="A299" s="23" t="inlineStr">
        <is>
          <t>2432</t>
        </is>
      </c>
      <c r="B299" s="22" t="inlineStr">
        <is>
          <t>DOBOT</t>
        </is>
      </c>
      <c r="C299" s="22" t="inlineStr">
        <is>
          <t>深圳市越疆科技股份有限公司</t>
        </is>
      </c>
      <c r="D299" s="24" t="inlineStr">
        <is>
          <t>Tech/AI</t>
        </is>
      </c>
      <c r="E299" s="24" t="inlineStr">
        <is>
          <t>Robotics &amp; autonomous driving</t>
        </is>
      </c>
      <c r="F299" s="22" t="inlineStr">
        <is>
          <t>Standard</t>
        </is>
      </c>
      <c r="G299" s="43" t="n">
        <v>45649</v>
      </c>
      <c r="H299" s="26" t="n">
        <v>752</v>
      </c>
      <c r="I299" s="22" t="inlineStr">
        <is>
          <t>gross (stated)</t>
        </is>
      </c>
      <c r="J299" s="27" t="n"/>
      <c r="K299" s="27" t="n">
        <v>20.8</v>
      </c>
      <c r="L299" s="44" t="n">
        <v>18.8</v>
      </c>
      <c r="M299" s="32" t="n"/>
      <c r="N299" s="29" t="inlineStr">
        <is>
          <t>N</t>
        </is>
      </c>
      <c r="O299" s="26" t="n">
        <v>6654.9</v>
      </c>
      <c r="P299" s="46" t="n">
        <v>9.25</v>
      </c>
      <c r="Q299" s="31" t="n">
        <v>2.64</v>
      </c>
      <c r="R299" s="45" t="n">
        <v>0.74</v>
      </c>
      <c r="S299" s="33" t="n">
        <v>0</v>
      </c>
      <c r="T299" s="28" t="n">
        <v>15</v>
      </c>
      <c r="U299" s="22" t="n"/>
      <c r="V299" s="29" t="inlineStr">
        <is>
          <t>N</t>
        </is>
      </c>
      <c r="W299" s="31" t="n"/>
      <c r="X299" s="31" t="n"/>
      <c r="Y299" s="35" t="n"/>
      <c r="Z299" s="36" t="n">
        <v>-113.6</v>
      </c>
      <c r="AA299" s="22" t="n"/>
      <c r="AB299" s="22" t="n"/>
      <c r="AC299" s="22" t="inlineStr">
        <is>
          <t>Guotai Junan Capital Limited; ABCI Capital Limited</t>
        </is>
      </c>
      <c r="AD299" s="22" t="inlineStr">
        <is>
          <t>Guotai Junan Securities (Hong Kong) Limited; ABCI Capital Limited; Shenwan Hongyuan Securities (H.K.) Limited; TradeGo Markets Limited</t>
        </is>
      </c>
      <c r="AE299" s="22" t="n"/>
      <c r="AK299">
        <f>IF(AND(Screener!$B$7&lt;&gt;"",$E299=Screener!$B$7),1,0)</f>
        <v/>
      </c>
      <c r="AL299">
        <f>IF(AND(Screener!$B$6&lt;&gt;"",$D299=Screener!$B$6),1,0)</f>
        <v/>
      </c>
      <c r="AM299">
        <f>IF(OR($H299="",Screener!$B$8=""),0,MAX(0,1-ABS(LOG10($H299/Screener!$B$8))/W_SIZEHW))</f>
        <v/>
      </c>
      <c r="AN299">
        <f>IF(OR($V299="",Screener!$B$9=""),0,IF($V299=Screener!$B$9,1,0))</f>
        <v/>
      </c>
      <c r="AO299">
        <f>IF(OR($AA299="",Screener!$B$10=""),0,IF($AA299=Screener!$B$10,1,0))</f>
        <v/>
      </c>
      <c r="AP299">
        <f>IF($G299="",0,MAX(0,1-(Screener!$B$12-$G299)/W_RECD))</f>
        <v/>
      </c>
      <c r="AQ299">
        <f>IF($B299=Screener!$B$3,-999999,W_SUB*AK299+W_SEC*AL299*(1-AK299)+W_SIZE*AM299+W_PROF*AN299+W_AH*AO299+W_REC*AP299)+ROW()/1000000</f>
        <v/>
      </c>
      <c r="AR299">
        <f>IF(OR('NEW DEAL'!$B$6="",$E299&lt;&gt;'NEW DEAL'!$B$6),-1,1+IF(OR($H299="",'NEW DEAL'!$B$7=""),0,MAX(0,1-ABS(LOG10($H299/'NEW DEAL'!$B$7))/W_SIZEHW)))+ROW()/1000000</f>
        <v/>
      </c>
    </row>
    <row r="300">
      <c r="A300" s="23" t="inlineStr">
        <is>
          <t>2431</t>
        </is>
      </c>
      <c r="B300" s="22" t="inlineStr">
        <is>
          <t>MINIEYE</t>
        </is>
      </c>
      <c r="C300" s="22" t="inlineStr">
        <is>
          <t>深圳佑駕創新科技股份有限公司</t>
        </is>
      </c>
      <c r="D300" s="24" t="inlineStr">
        <is>
          <t>Tech/AI</t>
        </is>
      </c>
      <c r="E300" s="24" t="inlineStr">
        <is>
          <t>Robotics &amp; autonomous driving</t>
        </is>
      </c>
      <c r="F300" s="22" t="inlineStr">
        <is>
          <t>Standard</t>
        </is>
      </c>
      <c r="G300" s="43" t="n">
        <v>45653</v>
      </c>
      <c r="H300" s="26" t="n">
        <v>666.23</v>
      </c>
      <c r="I300" s="22" t="inlineStr">
        <is>
          <t>gross (stated)</t>
        </is>
      </c>
      <c r="J300" s="27" t="n">
        <v>17</v>
      </c>
      <c r="K300" s="27" t="n">
        <v>20.2</v>
      </c>
      <c r="L300" s="44" t="n">
        <v>17</v>
      </c>
      <c r="M300" s="28" t="n">
        <v>0</v>
      </c>
      <c r="N300" s="29" t="inlineStr">
        <is>
          <t>N</t>
        </is>
      </c>
      <c r="O300" s="26" t="n">
        <v>6002.1</v>
      </c>
      <c r="P300" s="46" t="n">
        <v>14.04</v>
      </c>
      <c r="Q300" s="31" t="n">
        <v>1.09</v>
      </c>
      <c r="R300" s="45" t="n">
        <v>14.12</v>
      </c>
      <c r="S300" s="33" t="n"/>
      <c r="T300" s="32" t="n">
        <v>5.29</v>
      </c>
      <c r="U300" s="22" t="n"/>
      <c r="V300" s="29" t="inlineStr">
        <is>
          <t>N</t>
        </is>
      </c>
      <c r="W300" s="31" t="n"/>
      <c r="X300" s="34" t="n">
        <v>11.5</v>
      </c>
      <c r="Y300" s="36" t="n">
        <v>523.8</v>
      </c>
      <c r="Z300" s="36" t="n">
        <v>-227.9</v>
      </c>
      <c r="AA300" s="22" t="n"/>
      <c r="AB300" s="22" t="n"/>
      <c r="AC300" s="22" t="inlineStr">
        <is>
          <t>CITIC Securities (Hong Kong) Limited; China International Capital Corporation Hong Kong Securities Limited</t>
        </is>
      </c>
      <c r="AD300" s="22" t="inlineStr">
        <is>
          <t>BOCI Asia Limited; CMBC Securities Company Limited; Central, Hong Kong Futu Securities International (Hong Kong) Limited; No. 95 Queensway Admiralty, Hong Kong Phillip Securities (Hong Kong) Limited; Shenwan Hongyuan Securities (H.K.) Limited; SPDB International Capital Limited; Tiger Brokers (HK) Global Limited</t>
        </is>
      </c>
      <c r="AE300" s="22" t="n"/>
      <c r="AK300">
        <f>IF(AND(Screener!$B$7&lt;&gt;"",$E300=Screener!$B$7),1,0)</f>
        <v/>
      </c>
      <c r="AL300">
        <f>IF(AND(Screener!$B$6&lt;&gt;"",$D300=Screener!$B$6),1,0)</f>
        <v/>
      </c>
      <c r="AM300">
        <f>IF(OR($H300="",Screener!$B$8=""),0,MAX(0,1-ABS(LOG10($H300/Screener!$B$8))/W_SIZEHW))</f>
        <v/>
      </c>
      <c r="AN300">
        <f>IF(OR($V300="",Screener!$B$9=""),0,IF($V300=Screener!$B$9,1,0))</f>
        <v/>
      </c>
      <c r="AO300">
        <f>IF(OR($AA300="",Screener!$B$10=""),0,IF($AA300=Screener!$B$10,1,0))</f>
        <v/>
      </c>
      <c r="AP300">
        <f>IF($G300="",0,MAX(0,1-(Screener!$B$12-$G300)/W_RECD))</f>
        <v/>
      </c>
      <c r="AQ300">
        <f>IF($B300=Screener!$B$3,-999999,W_SUB*AK300+W_SEC*AL300*(1-AK300)+W_SIZE*AM300+W_PROF*AN300+W_AH*AO300+W_REC*AP300)+ROW()/1000000</f>
        <v/>
      </c>
      <c r="AR300">
        <f>IF(OR('NEW DEAL'!$B$6="",$E300&lt;&gt;'NEW DEAL'!$B$6),-1,1+IF(OR($H300="",'NEW DEAL'!$B$7=""),0,MAX(0,1-ABS(LOG10($H300/'NEW DEAL'!$B$7))/W_SIZEHW)))+ROW()/1000000</f>
        <v/>
      </c>
    </row>
    <row r="301">
      <c r="A301" s="23" t="inlineStr">
        <is>
          <t>2587</t>
        </is>
      </c>
      <c r="B301" s="22" t="inlineStr">
        <is>
          <t>HEALTHYWAY INC</t>
        </is>
      </c>
      <c r="C301" s="22" t="n"/>
      <c r="D301" s="24" t="inlineStr">
        <is>
          <t>Healthcare</t>
        </is>
      </c>
      <c r="E301" s="24" t="inlineStr">
        <is>
          <t>Digital health</t>
        </is>
      </c>
      <c r="F301" s="22" t="inlineStr">
        <is>
          <t>Standard</t>
        </is>
      </c>
      <c r="G301" s="43" t="n">
        <v>45656</v>
      </c>
      <c r="H301" s="26" t="n">
        <v>195</v>
      </c>
      <c r="I301" s="22" t="inlineStr">
        <is>
          <t>gross (stated)</t>
        </is>
      </c>
      <c r="J301" s="27" t="n">
        <v>7.8</v>
      </c>
      <c r="K301" s="27" t="n">
        <v>8.800000000000001</v>
      </c>
      <c r="L301" s="44" t="n">
        <v>7.8</v>
      </c>
      <c r="M301" s="28" t="n">
        <v>0</v>
      </c>
      <c r="N301" s="29" t="inlineStr">
        <is>
          <t>N</t>
        </is>
      </c>
      <c r="O301" s="26" t="n">
        <v>6846.1</v>
      </c>
      <c r="P301" s="46" t="n">
        <v>34.42</v>
      </c>
      <c r="Q301" s="31" t="n">
        <v>0.98</v>
      </c>
      <c r="R301" s="45" t="n">
        <v>36.67</v>
      </c>
      <c r="S301" s="33" t="n">
        <v>51.23</v>
      </c>
      <c r="T301" s="32" t="n"/>
      <c r="U301" s="22" t="n"/>
      <c r="V301" s="29" t="inlineStr">
        <is>
          <t>N</t>
        </is>
      </c>
      <c r="W301" s="31" t="n"/>
      <c r="X301" s="31" t="n"/>
      <c r="Y301" s="35" t="n"/>
      <c r="Z301" s="36" t="n">
        <v>-345.3</v>
      </c>
      <c r="AA301" s="22" t="n"/>
      <c r="AB301" s="22" t="n"/>
      <c r="AC301" s="22" t="inlineStr">
        <is>
          <t>CCB Intern ational Capital Limited; Financial Advisor (Note) Bristol Capital Limited</t>
        </is>
      </c>
      <c r="AD301" s="22" t="inlineStr">
        <is>
          <t>BOCI Asia Limited; Livermore Holdings Limited; Fosun International Securities Limited; Zhongtai International Securities Limited; China Everbright Securities (HK) Limited; Ruibang Securities Limited; Sinolink Securities (Hong Kong) Company Limited; Victory Securities Company Limited; Futu Securities International (Hong Kong) Limited</t>
        </is>
      </c>
      <c r="AE301" s="22" t="n"/>
      <c r="AK301">
        <f>IF(AND(Screener!$B$7&lt;&gt;"",$E301=Screener!$B$7),1,0)</f>
        <v/>
      </c>
      <c r="AL301">
        <f>IF(AND(Screener!$B$6&lt;&gt;"",$D301=Screener!$B$6),1,0)</f>
        <v/>
      </c>
      <c r="AM301">
        <f>IF(OR($H301="",Screener!$B$8=""),0,MAX(0,1-ABS(LOG10($H301/Screener!$B$8))/W_SIZEHW))</f>
        <v/>
      </c>
      <c r="AN301">
        <f>IF(OR($V301="",Screener!$B$9=""),0,IF($V301=Screener!$B$9,1,0))</f>
        <v/>
      </c>
      <c r="AO301">
        <f>IF(OR($AA301="",Screener!$B$10=""),0,IF($AA301=Screener!$B$10,1,0))</f>
        <v/>
      </c>
      <c r="AP301">
        <f>IF($G301="",0,MAX(0,1-(Screener!$B$12-$G301)/W_RECD))</f>
        <v/>
      </c>
      <c r="AQ301">
        <f>IF($B301=Screener!$B$3,-999999,W_SUB*AK301+W_SEC*AL301*(1-AK301)+W_SIZE*AM301+W_PROF*AN301+W_AH*AO301+W_REC*AP301)+ROW()/1000000</f>
        <v/>
      </c>
      <c r="AR301">
        <f>IF(OR('NEW DEAL'!$B$6="",$E301&lt;&gt;'NEW DEAL'!$B$6),-1,1+IF(OR($H301="",'NEW DEAL'!$B$7=""),0,MAX(0,1-ABS(LOG10($H301/'NEW DEAL'!$B$7))/W_SIZEHW)))+ROW()/1000000</f>
        <v/>
      </c>
    </row>
    <row r="302">
      <c r="A302" s="23" t="inlineStr">
        <is>
          <t>2577</t>
        </is>
      </c>
      <c r="B302" s="22" t="inlineStr">
        <is>
          <t>INNOSCIENCE</t>
        </is>
      </c>
      <c r="C302" s="22" t="inlineStr">
        <is>
          <t>英諾賽科</t>
        </is>
      </c>
      <c r="D302" s="24" t="inlineStr">
        <is>
          <t>Tech/AI</t>
        </is>
      </c>
      <c r="E302" s="24" t="inlineStr">
        <is>
          <t>AI chips &amp; semis</t>
        </is>
      </c>
      <c r="F302" s="22" t="inlineStr">
        <is>
          <t>Standard</t>
        </is>
      </c>
      <c r="G302" s="43" t="n">
        <v>45656</v>
      </c>
      <c r="H302" s="26" t="n">
        <v>1399.9</v>
      </c>
      <c r="I302" s="22" t="inlineStr">
        <is>
          <t>gross (price x shares)</t>
        </is>
      </c>
      <c r="J302" s="27" t="n">
        <v>30.86</v>
      </c>
      <c r="K302" s="27" t="n">
        <v>33.66</v>
      </c>
      <c r="L302" s="44" t="n">
        <v>30.86</v>
      </c>
      <c r="M302" s="28" t="n">
        <v>0</v>
      </c>
      <c r="N302" s="29" t="inlineStr">
        <is>
          <t>N</t>
        </is>
      </c>
      <c r="O302" s="36" t="n">
        <v>27130.6</v>
      </c>
      <c r="P302" s="46" t="n">
        <v>2.87</v>
      </c>
      <c r="Q302" s="31" t="n">
        <v>1.41</v>
      </c>
      <c r="R302" s="45" t="n">
        <v>0.45</v>
      </c>
      <c r="S302" s="33" t="n">
        <v>55.38</v>
      </c>
      <c r="T302" s="28" t="n">
        <v>5.3</v>
      </c>
      <c r="U302" s="22" t="n"/>
      <c r="V302" s="29" t="inlineStr">
        <is>
          <t>N</t>
        </is>
      </c>
      <c r="W302" s="31" t="n"/>
      <c r="X302" s="34" t="n">
        <v>41.6</v>
      </c>
      <c r="Y302" s="36" t="n">
        <v>652</v>
      </c>
      <c r="Z302" s="36" t="n">
        <v>-1212.1</v>
      </c>
      <c r="AA302" s="22" t="n"/>
      <c r="AB302" s="22" t="n"/>
      <c r="AC302" s="22" t="inlineStr">
        <is>
          <t>CMB International Capital Limited</t>
        </is>
      </c>
      <c r="AD302" s="22" t="inlineStr">
        <is>
          <t>CMB International Capital Limited; CLSA Limited; Huatai Financial Holdings (Hong Kong) Limited; Jefferies Hong Kong Limited; Hong Tai Securities Limited; ABCI Capital Limited; Patrons Securities Limited; Long Bridge HK Limited; Futu Securities International (Hong Kong) Limited; Tiger Brokers (HK) Global Limited; TradeGo Markets Limited</t>
        </is>
      </c>
      <c r="AE302" s="22" t="n"/>
      <c r="AK302">
        <f>IF(AND(Screener!$B$7&lt;&gt;"",$E302=Screener!$B$7),1,0)</f>
        <v/>
      </c>
      <c r="AL302">
        <f>IF(AND(Screener!$B$6&lt;&gt;"",$D302=Screener!$B$6),1,0)</f>
        <v/>
      </c>
      <c r="AM302">
        <f>IF(OR($H302="",Screener!$B$8=""),0,MAX(0,1-ABS(LOG10($H302/Screener!$B$8))/W_SIZEHW))</f>
        <v/>
      </c>
      <c r="AN302">
        <f>IF(OR($V302="",Screener!$B$9=""),0,IF($V302=Screener!$B$9,1,0))</f>
        <v/>
      </c>
      <c r="AO302">
        <f>IF(OR($AA302="",Screener!$B$10=""),0,IF($AA302=Screener!$B$10,1,0))</f>
        <v/>
      </c>
      <c r="AP302">
        <f>IF($G302="",0,MAX(0,1-(Screener!$B$12-$G302)/W_RECD))</f>
        <v/>
      </c>
      <c r="AQ302">
        <f>IF($B302=Screener!$B$3,-999999,W_SUB*AK302+W_SEC*AL302*(1-AK302)+W_SIZE*AM302+W_PROF*AN302+W_AH*AO302+W_REC*AP302)+ROW()/1000000</f>
        <v/>
      </c>
      <c r="AR302">
        <f>IF(OR('NEW DEAL'!$B$6="",$E302&lt;&gt;'NEW DEAL'!$B$6),-1,1+IF(OR($H302="",'NEW DEAL'!$B$7=""),0,MAX(0,1-ABS(LOG10($H302/'NEW DEAL'!$B$7))/W_SIZEHW)))+ROW()/1000000</f>
        <v/>
      </c>
    </row>
    <row r="303">
      <c r="A303" s="23" t="inlineStr">
        <is>
          <t>2506</t>
        </is>
      </c>
      <c r="B303" s="22" t="inlineStr">
        <is>
          <t>XUNFEIHEALTH</t>
        </is>
      </c>
      <c r="C303" s="22" t="inlineStr">
        <is>
          <t>訊飛醫療科技股份有限公司</t>
        </is>
      </c>
      <c r="D303" s="24" t="inlineStr">
        <is>
          <t>Healthcare</t>
        </is>
      </c>
      <c r="E303" s="24" t="inlineStr">
        <is>
          <t>Digital health</t>
        </is>
      </c>
      <c r="F303" s="22" t="inlineStr">
        <is>
          <t>Standard</t>
        </is>
      </c>
      <c r="G303" s="39" t="n">
        <v>45656</v>
      </c>
      <c r="H303" s="26" t="n">
        <v>582.5</v>
      </c>
      <c r="I303" s="22" t="inlineStr">
        <is>
          <t>gross (price x shares)</t>
        </is>
      </c>
      <c r="J303" s="27" t="n"/>
      <c r="K303" s="27" t="n">
        <v>82.8</v>
      </c>
      <c r="L303" s="44" t="n">
        <v>82.8</v>
      </c>
      <c r="M303" s="32" t="n"/>
      <c r="N303" s="29" t="inlineStr">
        <is>
          <t>Y</t>
        </is>
      </c>
      <c r="O303" s="26" t="n">
        <v>10008.7</v>
      </c>
      <c r="P303" s="46" t="n">
        <v>3.66</v>
      </c>
      <c r="Q303" s="31" t="n">
        <v>1.1</v>
      </c>
      <c r="R303" s="45" t="n">
        <v>5.07</v>
      </c>
      <c r="S303" s="33" t="n">
        <v>47.5</v>
      </c>
      <c r="T303" s="32" t="n">
        <v>10.51</v>
      </c>
      <c r="U303" s="22" t="inlineStr">
        <is>
          <t>not-yet (at allotment)</t>
        </is>
      </c>
      <c r="V303" s="22" t="n"/>
      <c r="W303" s="31" t="n"/>
      <c r="X303" s="34" t="n">
        <v>16.4</v>
      </c>
      <c r="Y303" s="36" t="n">
        <v>611.7</v>
      </c>
      <c r="Z303" s="35" t="n"/>
      <c r="AA303" s="22" t="n"/>
      <c r="AB303" s="22" t="n"/>
      <c r="AC303" s="22" t="inlineStr">
        <is>
          <t>Huatai Financial Holdings (Hong Kong) Limited; GF Capital (Hong Kong) Limited; CCB International Capital Limited</t>
        </is>
      </c>
      <c r="AD303" s="22" t="inlineStr">
        <is>
          <t>Huatai Financial Holdings (Hong Kong) Limited; CCB International Capital Limited; GF Securities (Hong Kong) Brokerage Limited; ICBC International Securities Limited; SPDB International Capital Limited; ABCI Capital Limited; China Galaxy International Securities (Hong Kong) Co., Limited; TradeGo Markets Limited</t>
        </is>
      </c>
      <c r="AE303" s="22" t="n"/>
      <c r="AK303">
        <f>IF(AND(Screener!$B$7&lt;&gt;"",$E303=Screener!$B$7),1,0)</f>
        <v/>
      </c>
      <c r="AL303">
        <f>IF(AND(Screener!$B$6&lt;&gt;"",$D303=Screener!$B$6),1,0)</f>
        <v/>
      </c>
      <c r="AM303">
        <f>IF(OR($H303="",Screener!$B$8=""),0,MAX(0,1-ABS(LOG10($H303/Screener!$B$8))/W_SIZEHW))</f>
        <v/>
      </c>
      <c r="AN303">
        <f>IF(OR($V303="",Screener!$B$9=""),0,IF($V303=Screener!$B$9,1,0))</f>
        <v/>
      </c>
      <c r="AO303">
        <f>IF(OR($AA303="",Screener!$B$10=""),0,IF($AA303=Screener!$B$10,1,0))</f>
        <v/>
      </c>
      <c r="AP303">
        <f>IF($G303="",0,MAX(0,1-(Screener!$B$12-$G303)/W_RECD))</f>
        <v/>
      </c>
      <c r="AQ303">
        <f>IF($B303=Screener!$B$3,-999999,W_SUB*AK303+W_SEC*AL303*(1-AK303)+W_SIZE*AM303+W_PROF*AN303+W_AH*AO303+W_REC*AP303)+ROW()/1000000</f>
        <v/>
      </c>
      <c r="AR303">
        <f>IF(OR('NEW DEAL'!$B$6="",$E303&lt;&gt;'NEW DEAL'!$B$6),-1,1+IF(OR($H303="",'NEW DEAL'!$B$7=""),0,MAX(0,1-ABS(LOG10($H303/'NEW DEAL'!$B$7))/W_SIZEHW)))+ROW()/1000000</f>
        <v/>
      </c>
    </row>
    <row r="304">
      <c r="A304" s="23" t="inlineStr">
        <is>
          <t>6681</t>
        </is>
      </c>
      <c r="B304" s="22" t="inlineStr">
        <is>
          <t>BRAINAURORA-B</t>
        </is>
      </c>
      <c r="C304" s="22" t="inlineStr">
        <is>
          <t>腦動極光醫療科技有限公司</t>
        </is>
      </c>
      <c r="D304" s="24" t="inlineStr">
        <is>
          <t>Healthcare</t>
        </is>
      </c>
      <c r="E304" s="24" t="inlineStr">
        <is>
          <t>Medical devices</t>
        </is>
      </c>
      <c r="F304" s="38" t="inlineStr">
        <is>
          <t>18A</t>
        </is>
      </c>
      <c r="G304" s="43" t="n">
        <v>45665</v>
      </c>
      <c r="H304" s="26" t="n">
        <v>583.1799999999999</v>
      </c>
      <c r="I304" s="22" t="inlineStr">
        <is>
          <t>gross (stated)</t>
        </is>
      </c>
      <c r="J304" s="27" t="n"/>
      <c r="K304" s="27" t="n">
        <v>3.22</v>
      </c>
      <c r="L304" s="44" t="n">
        <v>3.22</v>
      </c>
      <c r="M304" s="32" t="n"/>
      <c r="N304" s="29" t="inlineStr">
        <is>
          <t>Y</t>
        </is>
      </c>
      <c r="O304" s="26" t="n">
        <v>4077.4</v>
      </c>
      <c r="P304" s="46" t="n">
        <v>11.39</v>
      </c>
      <c r="Q304" s="31" t="n">
        <v>1.01</v>
      </c>
      <c r="R304" s="45" t="n">
        <v>3.42</v>
      </c>
      <c r="S304" s="33" t="n">
        <v>64.27</v>
      </c>
      <c r="T304" s="32" t="n">
        <v>14</v>
      </c>
      <c r="U304" s="22" t="inlineStr">
        <is>
          <t>not-yet (at allotment)</t>
        </is>
      </c>
      <c r="V304" s="29" t="inlineStr">
        <is>
          <t>N</t>
        </is>
      </c>
      <c r="W304" s="31" t="n"/>
      <c r="X304" s="34" t="n">
        <v>55.2</v>
      </c>
      <c r="Y304" s="36" t="n">
        <v>73.90000000000001</v>
      </c>
      <c r="Z304" s="36" t="n">
        <v>-395</v>
      </c>
      <c r="AA304" s="22" t="n"/>
      <c r="AB304" s="22" t="n"/>
      <c r="AC304" s="22" t="inlineStr">
        <is>
          <t>China International Capital Corporation Hong Kong Securities Limited; SPDB International Capital Limited</t>
        </is>
      </c>
      <c r="AD304" s="22" t="inlineStr">
        <is>
          <t>China International Capital Corporation Hong Kong Securities Limited; SPDB International Capital Limited; CMB International Capital Limited; Tiger Brokers (HK) Global Limited; GF Securities (Hong Kong) Brokerage Limited; CCB International Capital Limited; BOCI Asia Limited; China Everbright Securities (HK) Limited; ABCI Capital Limited; China Industrial Securities International Capital Limited; Haitong International Securities Company Limited</t>
        </is>
      </c>
      <c r="AE304" s="22" t="n"/>
      <c r="AK304">
        <f>IF(AND(Screener!$B$7&lt;&gt;"",$E304=Screener!$B$7),1,0)</f>
        <v/>
      </c>
      <c r="AL304">
        <f>IF(AND(Screener!$B$6&lt;&gt;"",$D304=Screener!$B$6),1,0)</f>
        <v/>
      </c>
      <c r="AM304">
        <f>IF(OR($H304="",Screener!$B$8=""),0,MAX(0,1-ABS(LOG10($H304/Screener!$B$8))/W_SIZEHW))</f>
        <v/>
      </c>
      <c r="AN304">
        <f>IF(OR($V304="",Screener!$B$9=""),0,IF($V304=Screener!$B$9,1,0))</f>
        <v/>
      </c>
      <c r="AO304">
        <f>IF(OR($AA304="",Screener!$B$10=""),0,IF($AA304=Screener!$B$10,1,0))</f>
        <v/>
      </c>
      <c r="AP304">
        <f>IF($G304="",0,MAX(0,1-(Screener!$B$12-$G304)/W_RECD))</f>
        <v/>
      </c>
      <c r="AQ304">
        <f>IF($B304=Screener!$B$3,-999999,W_SUB*AK304+W_SEC*AL304*(1-AK304)+W_SIZE*AM304+W_PROF*AN304+W_AH*AO304+W_REC*AP304)+ROW()/1000000</f>
        <v/>
      </c>
      <c r="AR304">
        <f>IF(OR('NEW DEAL'!$B$6="",$E304&lt;&gt;'NEW DEAL'!$B$6),-1,1+IF(OR($H304="",'NEW DEAL'!$B$7=""),0,MAX(0,1-ABS(LOG10($H304/'NEW DEAL'!$B$7))/W_SIZEHW)))+ROW()/1000000</f>
        <v/>
      </c>
    </row>
    <row r="305">
      <c r="A305" s="23" t="inlineStr">
        <is>
          <t>2560</t>
        </is>
      </c>
      <c r="B305" s="22" t="inlineStr">
        <is>
          <t>CONCH MAT TECH</t>
        </is>
      </c>
      <c r="C305" s="22" t="inlineStr">
        <is>
          <t>安徽海螺材料科技股份有限公司</t>
        </is>
      </c>
      <c r="D305" s="24" t="inlineStr">
        <is>
          <t>Materials/Energy</t>
        </is>
      </c>
      <c r="E305" s="24" t="inlineStr">
        <is>
          <t>Chemicals</t>
        </is>
      </c>
      <c r="F305" s="22" t="inlineStr">
        <is>
          <t>Standard</t>
        </is>
      </c>
      <c r="G305" s="39" t="n">
        <v>45666</v>
      </c>
      <c r="H305" s="26" t="n">
        <v>434.9</v>
      </c>
      <c r="I305" s="22" t="inlineStr">
        <is>
          <t>gross (stated)</t>
        </is>
      </c>
      <c r="J305" s="27" t="n"/>
      <c r="K305" s="27" t="n">
        <v>3.3</v>
      </c>
      <c r="L305" s="44" t="n">
        <v>3</v>
      </c>
      <c r="M305" s="32" t="n"/>
      <c r="N305" s="29" t="inlineStr">
        <is>
          <t>N</t>
        </is>
      </c>
      <c r="O305" s="36" t="n">
        <v>1825</v>
      </c>
      <c r="P305" s="46" t="n">
        <v>25.83</v>
      </c>
      <c r="Q305" s="31" t="n">
        <v>1.04</v>
      </c>
      <c r="R305" s="45" t="n">
        <v>-47.67</v>
      </c>
      <c r="S305" s="33" t="n">
        <v>66.79000000000001</v>
      </c>
      <c r="T305" s="32" t="n">
        <v>8.5</v>
      </c>
      <c r="U305" s="22" t="inlineStr">
        <is>
          <t>not-yet (at allotment)</t>
        </is>
      </c>
      <c r="V305" s="29" t="inlineStr">
        <is>
          <t>Y</t>
        </is>
      </c>
      <c r="W305" s="34" t="n">
        <v>9125</v>
      </c>
      <c r="X305" s="34" t="n">
        <v>701.9</v>
      </c>
      <c r="Y305" s="36" t="n">
        <v>2.6</v>
      </c>
      <c r="Z305" s="36" t="n">
        <v>0.2</v>
      </c>
      <c r="AA305" s="22" t="n"/>
      <c r="AB305" s="22" t="n"/>
      <c r="AC305" s="22" t="inlineStr">
        <is>
          <t>China Securities (International) Corporate Finance Company Limited</t>
        </is>
      </c>
      <c r="AD305" s="22" t="inlineStr">
        <is>
          <t>China Securities (International) Corporate Finance Company Limited; –9 5– China Galaxy International Securities (Hong Kong) Co., Limited; BOCI Asia Limited; ABCI Capital Limited; ICBC International Securities Limited; Victory Securities Company Limited; China Galaxy International Securities (Hong Kong) Co., Limited; Shenwan Hongyuan Securities (H.K.) Limited; CCB International Capital Limited; Haitong International Securities Company Limited; Guoyuan Securities Brokerage (Hong Kong) Limited; Orient Securities (Hong Kong) Limited</t>
        </is>
      </c>
      <c r="AE305" s="22" t="n"/>
      <c r="AK305">
        <f>IF(AND(Screener!$B$7&lt;&gt;"",$E305=Screener!$B$7),1,0)</f>
        <v/>
      </c>
      <c r="AL305">
        <f>IF(AND(Screener!$B$6&lt;&gt;"",$D305=Screener!$B$6),1,0)</f>
        <v/>
      </c>
      <c r="AM305">
        <f>IF(OR($H305="",Screener!$B$8=""),0,MAX(0,1-ABS(LOG10($H305/Screener!$B$8))/W_SIZEHW))</f>
        <v/>
      </c>
      <c r="AN305">
        <f>IF(OR($V305="",Screener!$B$9=""),0,IF($V305=Screener!$B$9,1,0))</f>
        <v/>
      </c>
      <c r="AO305">
        <f>IF(OR($AA305="",Screener!$B$10=""),0,IF($AA305=Screener!$B$10,1,0))</f>
        <v/>
      </c>
      <c r="AP305">
        <f>IF($G305="",0,MAX(0,1-(Screener!$B$12-$G305)/W_RECD))</f>
        <v/>
      </c>
      <c r="AQ305">
        <f>IF($B305=Screener!$B$3,-999999,W_SUB*AK305+W_SEC*AL305*(1-AK305)+W_SIZE*AM305+W_PROF*AN305+W_AH*AO305+W_REC*AP305)+ROW()/1000000</f>
        <v/>
      </c>
      <c r="AR305">
        <f>IF(OR('NEW DEAL'!$B$6="",$E305&lt;&gt;'NEW DEAL'!$B$6),-1,1+IF(OR($H305="",'NEW DEAL'!$B$7=""),0,MAX(0,1-ABS(LOG10($H305/'NEW DEAL'!$B$7))/W_SIZEHW)))+ROW()/1000000</f>
        <v/>
      </c>
    </row>
    <row r="306">
      <c r="A306" s="23" t="inlineStr">
        <is>
          <t>2613</t>
        </is>
      </c>
      <c r="B306" s="22" t="inlineStr">
        <is>
          <t>CONTIOCEAN</t>
        </is>
      </c>
      <c r="C306" s="22" t="n"/>
      <c r="D306" s="24" t="inlineStr">
        <is>
          <t>Industrials</t>
        </is>
      </c>
      <c r="E306" s="24" t="inlineStr">
        <is>
          <t>Capital goods / machinery</t>
        </is>
      </c>
      <c r="F306" s="22" t="inlineStr">
        <is>
          <t>Standard</t>
        </is>
      </c>
      <c r="G306" s="43" t="n">
        <v>45666</v>
      </c>
      <c r="H306" s="26" t="n">
        <v>318</v>
      </c>
      <c r="I306" s="22" t="inlineStr">
        <is>
          <t>gross (stated)</t>
        </is>
      </c>
      <c r="J306" s="27" t="n">
        <v>31.8</v>
      </c>
      <c r="K306" s="27" t="n">
        <v>39.8</v>
      </c>
      <c r="L306" s="44" t="n">
        <v>31.8</v>
      </c>
      <c r="M306" s="28" t="n">
        <v>0</v>
      </c>
      <c r="N306" s="29" t="inlineStr">
        <is>
          <t>N</t>
        </is>
      </c>
      <c r="O306" s="26" t="n">
        <v>1272</v>
      </c>
      <c r="P306" s="46" t="n">
        <v>55.33</v>
      </c>
      <c r="Q306" s="31" t="n">
        <v>0.95</v>
      </c>
      <c r="R306" s="45" t="n">
        <v>6.29</v>
      </c>
      <c r="S306" s="33" t="n">
        <v>84.7</v>
      </c>
      <c r="T306" s="32" t="n"/>
      <c r="U306" s="22" t="n"/>
      <c r="V306" s="29" t="inlineStr">
        <is>
          <t>Y</t>
        </is>
      </c>
      <c r="W306" s="34" t="n">
        <v>9.6</v>
      </c>
      <c r="X306" s="34" t="n">
        <v>2.3</v>
      </c>
      <c r="Y306" s="36" t="n">
        <v>561.3</v>
      </c>
      <c r="Z306" s="36" t="n">
        <v>132.6</v>
      </c>
      <c r="AA306" s="22" t="n"/>
      <c r="AB306" s="22" t="n"/>
      <c r="AC306" s="22" t="inlineStr">
        <is>
          <t>CITIC Securities (Hong Kong) Limited; China Galaxy International Securities (Hong Kong) Co., Limited</t>
        </is>
      </c>
      <c r="AD306" s="22" t="inlineStr">
        <is>
          <t>CLSA Limited; China Galaxy International Securities (Hong Kong) Co., Limited; BNP Paribas Securities (Asia) Limited; CCB International Capital Limited; CEB International Capit al Corporation Limited; China Everbright Securities (HK) Limited; China Sunrise Securities (International) Limited; Fortune Origin Securities Limited; ICBC International Securities Limited; Quam Securities Limited; SPDB International Capital Limited</t>
        </is>
      </c>
      <c r="AE306" s="22" t="n"/>
      <c r="AK306">
        <f>IF(AND(Screener!$B$7&lt;&gt;"",$E306=Screener!$B$7),1,0)</f>
        <v/>
      </c>
      <c r="AL306">
        <f>IF(AND(Screener!$B$6&lt;&gt;"",$D306=Screener!$B$6),1,0)</f>
        <v/>
      </c>
      <c r="AM306">
        <f>IF(OR($H306="",Screener!$B$8=""),0,MAX(0,1-ABS(LOG10($H306/Screener!$B$8))/W_SIZEHW))</f>
        <v/>
      </c>
      <c r="AN306">
        <f>IF(OR($V306="",Screener!$B$9=""),0,IF($V306=Screener!$B$9,1,0))</f>
        <v/>
      </c>
      <c r="AO306">
        <f>IF(OR($AA306="",Screener!$B$10=""),0,IF($AA306=Screener!$B$10,1,0))</f>
        <v/>
      </c>
      <c r="AP306">
        <f>IF($G306="",0,MAX(0,1-(Screener!$B$12-$G306)/W_RECD))</f>
        <v/>
      </c>
      <c r="AQ306">
        <f>IF($B306=Screener!$B$3,-999999,W_SUB*AK306+W_SEC*AL306*(1-AK306)+W_SIZE*AM306+W_PROF*AN306+W_AH*AO306+W_REC*AP306)+ROW()/1000000</f>
        <v/>
      </c>
      <c r="AR306">
        <f>IF(OR('NEW DEAL'!$B$6="",$E306&lt;&gt;'NEW DEAL'!$B$6),-1,1+IF(OR($H306="",'NEW DEAL'!$B$7=""),0,MAX(0,1-ABS(LOG10($H306/'NEW DEAL'!$B$7))/W_SIZEHW)))+ROW()/1000000</f>
        <v/>
      </c>
    </row>
    <row r="307">
      <c r="A307" s="23" t="inlineStr">
        <is>
          <t>0325</t>
        </is>
      </c>
      <c r="B307" s="22" t="inlineStr">
        <is>
          <t>BLOKS</t>
        </is>
      </c>
      <c r="C307" s="22" t="n"/>
      <c r="D307" s="24" t="inlineStr">
        <is>
          <t>Consumer</t>
        </is>
      </c>
      <c r="E307" s="24" t="inlineStr">
        <is>
          <t>Retail / distribution</t>
        </is>
      </c>
      <c r="F307" s="22" t="inlineStr">
        <is>
          <t>Standard</t>
        </is>
      </c>
      <c r="G307" s="43" t="n">
        <v>45667</v>
      </c>
      <c r="H307" s="26" t="n">
        <v>1674</v>
      </c>
      <c r="I307" s="22" t="inlineStr">
        <is>
          <t>gross (stated)</t>
        </is>
      </c>
      <c r="J307" s="27" t="n"/>
      <c r="K307" s="27" t="n"/>
      <c r="L307" s="44" t="n">
        <v>60.35</v>
      </c>
      <c r="M307" s="32" t="n"/>
      <c r="N307" s="22" t="n"/>
      <c r="O307" s="36" t="n">
        <v>14455</v>
      </c>
      <c r="P307" s="46" t="n">
        <v>5999.96</v>
      </c>
      <c r="Q307" s="31" t="n">
        <v>38.6</v>
      </c>
      <c r="R307" s="45" t="n">
        <v>40.85</v>
      </c>
      <c r="S307" s="33" t="n">
        <v>23.1</v>
      </c>
      <c r="T307" s="32" t="n"/>
      <c r="U307" s="22" t="n"/>
      <c r="V307" s="22" t="n"/>
      <c r="W307" s="31" t="n"/>
      <c r="X307" s="31" t="n"/>
      <c r="Y307" s="35" t="n"/>
      <c r="Z307" s="35" t="n"/>
      <c r="AA307" s="22" t="n"/>
      <c r="AB307" s="22" t="n"/>
      <c r="AC307" s="22" t="n"/>
      <c r="AD307" s="22" t="n"/>
      <c r="AE307" s="22" t="n"/>
      <c r="AK307">
        <f>IF(AND(Screener!$B$7&lt;&gt;"",$E307=Screener!$B$7),1,0)</f>
        <v/>
      </c>
      <c r="AL307">
        <f>IF(AND(Screener!$B$6&lt;&gt;"",$D307=Screener!$B$6),1,0)</f>
        <v/>
      </c>
      <c r="AM307">
        <f>IF(OR($H307="",Screener!$B$8=""),0,MAX(0,1-ABS(LOG10($H307/Screener!$B$8))/W_SIZEHW))</f>
        <v/>
      </c>
      <c r="AN307">
        <f>IF(OR($V307="",Screener!$B$9=""),0,IF($V307=Screener!$B$9,1,0))</f>
        <v/>
      </c>
      <c r="AO307">
        <f>IF(OR($AA307="",Screener!$B$10=""),0,IF($AA307=Screener!$B$10,1,0))</f>
        <v/>
      </c>
      <c r="AP307">
        <f>IF($G307="",0,MAX(0,1-(Screener!$B$12-$G307)/W_RECD))</f>
        <v/>
      </c>
      <c r="AQ307">
        <f>IF($B307=Screener!$B$3,-999999,W_SUB*AK307+W_SEC*AL307*(1-AK307)+W_SIZE*AM307+W_PROF*AN307+W_AH*AO307+W_REC*AP307)+ROW()/1000000</f>
        <v/>
      </c>
      <c r="AR307">
        <f>IF(OR('NEW DEAL'!$B$6="",$E307&lt;&gt;'NEW DEAL'!$B$6),-1,1+IF(OR($H307="",'NEW DEAL'!$B$7=""),0,MAX(0,1-ABS(LOG10($H307/'NEW DEAL'!$B$7))/W_SIZEHW)))+ROW()/1000000</f>
        <v/>
      </c>
    </row>
    <row r="308">
      <c r="A308" s="23" t="inlineStr">
        <is>
          <t>2530</t>
        </is>
      </c>
      <c r="B308" s="22" t="inlineStr">
        <is>
          <t>NUMANS</t>
        </is>
      </c>
      <c r="C308" s="22" t="n"/>
      <c r="D308" s="24" t="inlineStr">
        <is>
          <t>Consumer</t>
        </is>
      </c>
      <c r="E308" s="24" t="inlineStr">
        <is>
          <t>Beverages / packaged food</t>
        </is>
      </c>
      <c r="F308" s="22" t="inlineStr">
        <is>
          <t>Standard</t>
        </is>
      </c>
      <c r="G308" s="39" t="n">
        <v>45667</v>
      </c>
      <c r="H308" s="26" t="n">
        <v>200</v>
      </c>
      <c r="I308" s="22" t="inlineStr">
        <is>
          <t>gross (stated)</t>
        </is>
      </c>
      <c r="J308" s="27" t="n">
        <v>0.8</v>
      </c>
      <c r="K308" s="27" t="n">
        <v>1.09</v>
      </c>
      <c r="L308" s="44" t="n">
        <v>0.8</v>
      </c>
      <c r="M308" s="28" t="n">
        <v>0</v>
      </c>
      <c r="N308" s="29" t="inlineStr">
        <is>
          <t>N</t>
        </is>
      </c>
      <c r="O308" s="26" t="n">
        <v>800</v>
      </c>
      <c r="P308" s="46" t="n">
        <v>65.17</v>
      </c>
      <c r="Q308" s="31" t="n">
        <v>1.03</v>
      </c>
      <c r="R308" s="45" t="n">
        <v>-13.75</v>
      </c>
      <c r="S308" s="33" t="n">
        <v>0</v>
      </c>
      <c r="T308" s="32" t="n">
        <v>20</v>
      </c>
      <c r="U308" s="22" t="inlineStr">
        <is>
          <t>not-yet (at allotment)</t>
        </is>
      </c>
      <c r="V308" s="29" t="inlineStr">
        <is>
          <t>Y</t>
        </is>
      </c>
      <c r="W308" s="34" t="n">
        <v>4.6</v>
      </c>
      <c r="X308" s="34" t="n">
        <v>1.7</v>
      </c>
      <c r="Y308" s="36" t="n">
        <v>469.2</v>
      </c>
      <c r="Z308" s="36" t="n">
        <v>175.3</v>
      </c>
      <c r="AA308" s="22" t="n"/>
      <c r="AB308" s="22" t="n"/>
      <c r="AC308" s="22" t="inlineStr">
        <is>
          <t>and Sole Overall Coordinator Caitong International Capital Co., Limited</t>
        </is>
      </c>
      <c r="AD308" s="22" t="inlineStr">
        <is>
          <t>Joint Lead Managers Caitong International Securities Co., Limited; Quam Securities Limited; Managers China Everbright Securities (HK) Limited; Wanchai, Hong Kong First Fidelity Capital (International) Limited; No. 95 Queensway Admiralty, Hong Kong Phillip Securities (Hong Kong) Limited; Soochow Securities International Brokerage Limited; UZen Securities Limited</t>
        </is>
      </c>
      <c r="AE308" s="22" t="n"/>
      <c r="AK308">
        <f>IF(AND(Screener!$B$7&lt;&gt;"",$E308=Screener!$B$7),1,0)</f>
        <v/>
      </c>
      <c r="AL308">
        <f>IF(AND(Screener!$B$6&lt;&gt;"",$D308=Screener!$B$6),1,0)</f>
        <v/>
      </c>
      <c r="AM308">
        <f>IF(OR($H308="",Screener!$B$8=""),0,MAX(0,1-ABS(LOG10($H308/Screener!$B$8))/W_SIZEHW))</f>
        <v/>
      </c>
      <c r="AN308">
        <f>IF(OR($V308="",Screener!$B$9=""),0,IF($V308=Screener!$B$9,1,0))</f>
        <v/>
      </c>
      <c r="AO308">
        <f>IF(OR($AA308="",Screener!$B$10=""),0,IF($AA308=Screener!$B$10,1,0))</f>
        <v/>
      </c>
      <c r="AP308">
        <f>IF($G308="",0,MAX(0,1-(Screener!$B$12-$G308)/W_RECD))</f>
        <v/>
      </c>
      <c r="AQ308">
        <f>IF($B308=Screener!$B$3,-999999,W_SUB*AK308+W_SEC*AL308*(1-AK308)+W_SIZE*AM308+W_PROF*AN308+W_AH*AO308+W_REC*AP308)+ROW()/1000000</f>
        <v/>
      </c>
      <c r="AR308">
        <f>IF(OR('NEW DEAL'!$B$6="",$E308&lt;&gt;'NEW DEAL'!$B$6),-1,1+IF(OR($H308="",'NEW DEAL'!$B$7=""),0,MAX(0,1-ABS(LOG10($H308/'NEW DEAL'!$B$7))/W_SIZEHW)))+ROW()/1000000</f>
        <v/>
      </c>
    </row>
    <row r="309">
      <c r="A309" s="23" t="inlineStr">
        <is>
          <t>2596</t>
        </is>
      </c>
      <c r="B309" s="22" t="inlineStr">
        <is>
          <t>YIBIN BANK</t>
        </is>
      </c>
      <c r="C309" s="22" t="inlineStr">
        <is>
          <t>宜賓市商業銀行股份有限公司</t>
        </is>
      </c>
      <c r="D309" s="24" t="inlineStr">
        <is>
          <t>Financials</t>
        </is>
      </c>
      <c r="E309" s="24" t="inlineStr">
        <is>
          <t>Banks</t>
        </is>
      </c>
      <c r="F309" s="22" t="inlineStr">
        <is>
          <t>Standard</t>
        </is>
      </c>
      <c r="G309" s="39" t="n">
        <v>45670</v>
      </c>
      <c r="H309" s="26" t="n">
        <v>1782.96</v>
      </c>
      <c r="I309" s="22" t="inlineStr">
        <is>
          <t>gross (stated)</t>
        </is>
      </c>
      <c r="J309" s="27" t="n"/>
      <c r="K309" s="27" t="n">
        <v>2.72</v>
      </c>
      <c r="L309" s="44" t="n">
        <v>2.59</v>
      </c>
      <c r="M309" s="32" t="n"/>
      <c r="N309" s="29" t="inlineStr">
        <is>
          <t>N</t>
        </is>
      </c>
      <c r="O309" s="26" t="n">
        <v>10568.8</v>
      </c>
      <c r="P309" s="40" t="n">
        <v>0.21</v>
      </c>
      <c r="Q309" s="31" t="n">
        <v>1.14</v>
      </c>
      <c r="R309" s="45" t="n">
        <v>0.77</v>
      </c>
      <c r="S309" s="33" t="n">
        <v>0</v>
      </c>
      <c r="T309" s="32" t="n">
        <v>14.08</v>
      </c>
      <c r="U309" s="22" t="n"/>
      <c r="V309" s="29" t="inlineStr">
        <is>
          <t>Y</t>
        </is>
      </c>
      <c r="W309" s="34" t="n">
        <v>21137.6</v>
      </c>
      <c r="X309" s="31" t="n"/>
      <c r="Y309" s="35" t="n"/>
      <c r="Z309" s="36" t="n">
        <v>0.5</v>
      </c>
      <c r="AA309" s="22" t="n"/>
      <c r="AB309" s="22" t="n"/>
      <c r="AC309" s="22" t="inlineStr">
        <is>
          <t>CCB International Capital Limited; ICBC International Capital Limited</t>
        </is>
      </c>
      <c r="AD309" s="22" t="inlineStr">
        <is>
          <t>BOCI Asia Limited; CLSA Limited; Zhongtai International Securities Limited</t>
        </is>
      </c>
      <c r="AE309" s="22" t="n"/>
      <c r="AK309">
        <f>IF(AND(Screener!$B$7&lt;&gt;"",$E309=Screener!$B$7),1,0)</f>
        <v/>
      </c>
      <c r="AL309">
        <f>IF(AND(Screener!$B$6&lt;&gt;"",$D309=Screener!$B$6),1,0)</f>
        <v/>
      </c>
      <c r="AM309">
        <f>IF(OR($H309="",Screener!$B$8=""),0,MAX(0,1-ABS(LOG10($H309/Screener!$B$8))/W_SIZEHW))</f>
        <v/>
      </c>
      <c r="AN309">
        <f>IF(OR($V309="",Screener!$B$9=""),0,IF($V309=Screener!$B$9,1,0))</f>
        <v/>
      </c>
      <c r="AO309">
        <f>IF(OR($AA309="",Screener!$B$10=""),0,IF($AA309=Screener!$B$10,1,0))</f>
        <v/>
      </c>
      <c r="AP309">
        <f>IF($G309="",0,MAX(0,1-(Screener!$B$12-$G309)/W_RECD))</f>
        <v/>
      </c>
      <c r="AQ309">
        <f>IF($B309=Screener!$B$3,-999999,W_SUB*AK309+W_SEC*AL309*(1-AK309)+W_SIZE*AM309+W_PROF*AN309+W_AH*AO309+W_REC*AP309)+ROW()/1000000</f>
        <v/>
      </c>
      <c r="AR309">
        <f>IF(OR('NEW DEAL'!$B$6="",$E309&lt;&gt;'NEW DEAL'!$B$6),-1,1+IF(OR($H309="",'NEW DEAL'!$B$7=""),0,MAX(0,1-ABS(LOG10($H309/'NEW DEAL'!$B$7))/W_SIZEHW)))+ROW()/1000000</f>
        <v/>
      </c>
    </row>
    <row r="310">
      <c r="A310" s="23" t="inlineStr">
        <is>
          <t>2571</t>
        </is>
      </c>
      <c r="B310" s="22" t="inlineStr">
        <is>
          <t>SAIMO</t>
        </is>
      </c>
      <c r="C310" s="22" t="inlineStr">
        <is>
          <t>北京賽目科技股份有限公司</t>
        </is>
      </c>
      <c r="D310" s="24" t="inlineStr">
        <is>
          <t>Industrials</t>
        </is>
      </c>
      <c r="E310" s="24" t="inlineStr">
        <is>
          <t>Capital goods / machinery</t>
        </is>
      </c>
      <c r="F310" s="22" t="inlineStr">
        <is>
          <t>Standard</t>
        </is>
      </c>
      <c r="G310" s="39" t="n">
        <v>45672</v>
      </c>
      <c r="H310" s="26" t="n">
        <v>433</v>
      </c>
      <c r="I310" s="22" t="inlineStr">
        <is>
          <t>gross (stated)</t>
        </is>
      </c>
      <c r="J310" s="27" t="n">
        <v>12</v>
      </c>
      <c r="K310" s="27" t="n">
        <v>12</v>
      </c>
      <c r="L310" s="44" t="n">
        <v>12.99</v>
      </c>
      <c r="M310" s="32" t="n"/>
      <c r="N310" s="29" t="inlineStr">
        <is>
          <t>N</t>
        </is>
      </c>
      <c r="O310" s="26" t="n">
        <v>1732</v>
      </c>
      <c r="P310" s="46" t="n">
        <v>2.66</v>
      </c>
      <c r="Q310" s="31" t="n">
        <v>1.06</v>
      </c>
      <c r="R310" s="45" t="n">
        <v>1.46</v>
      </c>
      <c r="S310" s="33" t="n">
        <v>34.3</v>
      </c>
      <c r="T310" s="32" t="n">
        <v>9.300000000000001</v>
      </c>
      <c r="U310" s="22" t="n"/>
      <c r="V310" s="29" t="inlineStr">
        <is>
          <t>Y</t>
        </is>
      </c>
      <c r="W310" s="34" t="n">
        <v>31</v>
      </c>
      <c r="X310" s="34" t="n">
        <v>9</v>
      </c>
      <c r="Y310" s="36" t="n">
        <v>193.3</v>
      </c>
      <c r="Z310" s="36" t="n">
        <v>55.8</v>
      </c>
      <c r="AA310" s="22" t="n"/>
      <c r="AB310" s="22" t="n"/>
      <c r="AC310" s="22" t="n"/>
      <c r="AD310" s="22" t="inlineStr">
        <is>
          <t>CEB International Capital Corporation Limited; CLSA Limited; (Hong Kong) Co., Limited; CMB International Capital Limited; CCB International Capital Limited; BOCOM International Securities Limited; SPDB International Capital Limited; Livermore Holdings Limited; China Sunrise Securities (International) Limited; Citrus Securities Limited</t>
        </is>
      </c>
      <c r="AE310" s="22" t="n"/>
      <c r="AK310">
        <f>IF(AND(Screener!$B$7&lt;&gt;"",$E310=Screener!$B$7),1,0)</f>
        <v/>
      </c>
      <c r="AL310">
        <f>IF(AND(Screener!$B$6&lt;&gt;"",$D310=Screener!$B$6),1,0)</f>
        <v/>
      </c>
      <c r="AM310">
        <f>IF(OR($H310="",Screener!$B$8=""),0,MAX(0,1-ABS(LOG10($H310/Screener!$B$8))/W_SIZEHW))</f>
        <v/>
      </c>
      <c r="AN310">
        <f>IF(OR($V310="",Screener!$B$9=""),0,IF($V310=Screener!$B$9,1,0))</f>
        <v/>
      </c>
      <c r="AO310">
        <f>IF(OR($AA310="",Screener!$B$10=""),0,IF($AA310=Screener!$B$10,1,0))</f>
        <v/>
      </c>
      <c r="AP310">
        <f>IF($G310="",0,MAX(0,1-(Screener!$B$12-$G310)/W_RECD))</f>
        <v/>
      </c>
      <c r="AQ310">
        <f>IF($B310=Screener!$B$3,-999999,W_SUB*AK310+W_SEC*AL310*(1-AK310)+W_SIZE*AM310+W_PROF*AN310+W_AH*AO310+W_REC*AP310)+ROW()/1000000</f>
        <v/>
      </c>
      <c r="AR310">
        <f>IF(OR('NEW DEAL'!$B$6="",$E310&lt;&gt;'NEW DEAL'!$B$6),-1,1+IF(OR($H310="",'NEW DEAL'!$B$7=""),0,MAX(0,1-ABS(LOG10($H310/'NEW DEAL'!$B$7))/W_SIZEHW)))+ROW()/1000000</f>
        <v/>
      </c>
    </row>
    <row r="311">
      <c r="A311" s="23" t="inlineStr">
        <is>
          <t>1364</t>
        </is>
      </c>
      <c r="B311" s="22" t="inlineStr">
        <is>
          <t>GUMING</t>
        </is>
      </c>
      <c r="C311" s="22" t="inlineStr">
        <is>
          <t>古茗控股有限公司</t>
        </is>
      </c>
      <c r="D311" s="24" t="inlineStr">
        <is>
          <t>Consumer</t>
        </is>
      </c>
      <c r="E311" s="24" t="inlineStr">
        <is>
          <t>F&amp;B chains / restaurants</t>
        </is>
      </c>
      <c r="F311" s="22" t="inlineStr">
        <is>
          <t>Standard</t>
        </is>
      </c>
      <c r="G311" s="43" t="n">
        <v>45700</v>
      </c>
      <c r="H311" s="26" t="n">
        <v>1813</v>
      </c>
      <c r="I311" s="22" t="inlineStr">
        <is>
          <t>gross (stated)</t>
        </is>
      </c>
      <c r="J311" s="27" t="n"/>
      <c r="K311" s="27" t="n">
        <v>9.94</v>
      </c>
      <c r="L311" s="44" t="n">
        <v>9.94</v>
      </c>
      <c r="M311" s="32" t="n"/>
      <c r="N311" s="29" t="inlineStr">
        <is>
          <t>Y</t>
        </is>
      </c>
      <c r="O311" s="26" t="n">
        <v>23421.8</v>
      </c>
      <c r="P311" s="46" t="n">
        <v>194.87</v>
      </c>
      <c r="Q311" s="31" t="n">
        <v>15.03</v>
      </c>
      <c r="R311" s="45" t="n">
        <v>-6.44</v>
      </c>
      <c r="S311" s="33" t="n">
        <v>30.51</v>
      </c>
      <c r="T311" s="32" t="n">
        <v>8.199999999999999</v>
      </c>
      <c r="U311" s="22" t="n"/>
      <c r="V311" s="29" t="inlineStr">
        <is>
          <t>Y</t>
        </is>
      </c>
      <c r="W311" s="34" t="n">
        <v>19.4</v>
      </c>
      <c r="X311" s="34" t="n">
        <v>2.8</v>
      </c>
      <c r="Y311" s="36" t="n">
        <v>8443.200000000001</v>
      </c>
      <c r="Z311" s="36" t="n">
        <v>1206</v>
      </c>
      <c r="AA311" s="22" t="n"/>
      <c r="AB311" s="22" t="n"/>
      <c r="AC311" s="22" t="inlineStr">
        <is>
          <t>Goldman Sachs (Asia) L.L.C; UBS Securities Hong Kong Limited</t>
        </is>
      </c>
      <c r="AD311" s="22" t="inlineStr">
        <is>
          <t>Goldman Sachs (Asia) L.L.C; UBS AG Hong Kong Branch; Central, Hong Kong China International Capital Corporation Hong Kong Securities Limited; Central, Hong Kong The Hongkong and Shanghai Banking Corporation Limited; DIRECTORS AND PARTIES INVOLVED IN THE GLOBAL OFFERING –1 1 0– ABCI Capital Limited; BOCI Asia Limited; Central, Hong Kong CMB International Capital Limited</t>
        </is>
      </c>
      <c r="AE311" s="22" t="n"/>
      <c r="AK311">
        <f>IF(AND(Screener!$B$7&lt;&gt;"",$E311=Screener!$B$7),1,0)</f>
        <v/>
      </c>
      <c r="AL311">
        <f>IF(AND(Screener!$B$6&lt;&gt;"",$D311=Screener!$B$6),1,0)</f>
        <v/>
      </c>
      <c r="AM311">
        <f>IF(OR($H311="",Screener!$B$8=""),0,MAX(0,1-ABS(LOG10($H311/Screener!$B$8))/W_SIZEHW))</f>
        <v/>
      </c>
      <c r="AN311">
        <f>IF(OR($V311="",Screener!$B$9=""),0,IF($V311=Screener!$B$9,1,0))</f>
        <v/>
      </c>
      <c r="AO311">
        <f>IF(OR($AA311="",Screener!$B$10=""),0,IF($AA311=Screener!$B$10,1,0))</f>
        <v/>
      </c>
      <c r="AP311">
        <f>IF($G311="",0,MAX(0,1-(Screener!$B$12-$G311)/W_RECD))</f>
        <v/>
      </c>
      <c r="AQ311">
        <f>IF($B311=Screener!$B$3,-999999,W_SUB*AK311+W_SEC*AL311*(1-AK311)+W_SIZE*AM311+W_PROF*AN311+W_AH*AO311+W_REC*AP311)+ROW()/1000000</f>
        <v/>
      </c>
      <c r="AR311">
        <f>IF(OR('NEW DEAL'!$B$6="",$E311&lt;&gt;'NEW DEAL'!$B$6),-1,1+IF(OR($H311="",'NEW DEAL'!$B$7=""),0,MAX(0,1-ABS(LOG10($H311/'NEW DEAL'!$B$7))/W_SIZEHW)))+ROW()/1000000</f>
        <v/>
      </c>
    </row>
    <row r="312">
      <c r="A312" s="23" t="inlineStr">
        <is>
          <t>2097</t>
        </is>
      </c>
      <c r="B312" s="22" t="inlineStr">
        <is>
          <t>MIXUE GROUP</t>
        </is>
      </c>
      <c r="C312" s="22" t="n"/>
      <c r="D312" s="24" t="inlineStr">
        <is>
          <t>Consumer</t>
        </is>
      </c>
      <c r="E312" s="24" t="inlineStr">
        <is>
          <t>F&amp;B chains / restaurants</t>
        </is>
      </c>
      <c r="F312" s="22" t="inlineStr">
        <is>
          <t>Standard</t>
        </is>
      </c>
      <c r="G312" s="39" t="n">
        <v>45719</v>
      </c>
      <c r="H312" s="26" t="n">
        <v>3455</v>
      </c>
      <c r="I312" s="22" t="inlineStr">
        <is>
          <t>gross (stated)</t>
        </is>
      </c>
      <c r="J312" s="27" t="n"/>
      <c r="K312" s="27" t="n"/>
      <c r="L312" s="44" t="n">
        <v>202.5</v>
      </c>
      <c r="M312" s="32" t="n"/>
      <c r="N312" s="22" t="n"/>
      <c r="O312" s="26" t="n">
        <v>66827.89999999999</v>
      </c>
      <c r="P312" s="46" t="n">
        <v>5258.21</v>
      </c>
      <c r="Q312" s="31" t="n">
        <v>35.23</v>
      </c>
      <c r="R312" s="45" t="n">
        <v>43.21</v>
      </c>
      <c r="S312" s="33" t="n">
        <v>45.09</v>
      </c>
      <c r="T312" s="28" t="n">
        <v>15</v>
      </c>
      <c r="U312" s="22" t="n"/>
      <c r="V312" s="29" t="inlineStr">
        <is>
          <t>Y</t>
        </is>
      </c>
      <c r="W312" s="34" t="n">
        <v>19.1</v>
      </c>
      <c r="X312" s="34" t="n">
        <v>3</v>
      </c>
      <c r="Y312" s="36" t="n">
        <v>22332.7</v>
      </c>
      <c r="Z312" s="36" t="n">
        <v>3505.3</v>
      </c>
      <c r="AA312" s="22" t="n"/>
      <c r="AB312" s="22" t="n"/>
      <c r="AC312" s="22" t="inlineStr">
        <is>
          <t>Merrill Lynch (Asia Pacific) Limited; Goldman Sachs (Asia) L.L.C; UBS Securities Hong Kong Limited</t>
        </is>
      </c>
      <c r="AD312" s="22" t="inlineStr">
        <is>
          <t>Merrill Lynch (Asia Pacific) Limited; Goldman Sachs (Asia) L.L.C; UBS AG Hong Kong Branch; Huatai Financial Holdings (Hong Kong) Limited; ICBC International Securities Limited; Managers and Capital Market Intermediaries Merrill Lynch (Asia Pacific) Limited; GF Securities (Hong Kong) Brokerage Limited; CMB International Capital Limited</t>
        </is>
      </c>
      <c r="AE312" s="22" t="n"/>
      <c r="AK312">
        <f>IF(AND(Screener!$B$7&lt;&gt;"",$E312=Screener!$B$7),1,0)</f>
        <v/>
      </c>
      <c r="AL312">
        <f>IF(AND(Screener!$B$6&lt;&gt;"",$D312=Screener!$B$6),1,0)</f>
        <v/>
      </c>
      <c r="AM312">
        <f>IF(OR($H312="",Screener!$B$8=""),0,MAX(0,1-ABS(LOG10($H312/Screener!$B$8))/W_SIZEHW))</f>
        <v/>
      </c>
      <c r="AN312">
        <f>IF(OR($V312="",Screener!$B$9=""),0,IF($V312=Screener!$B$9,1,0))</f>
        <v/>
      </c>
      <c r="AO312">
        <f>IF(OR($AA312="",Screener!$B$10=""),0,IF($AA312=Screener!$B$10,1,0))</f>
        <v/>
      </c>
      <c r="AP312">
        <f>IF($G312="",0,MAX(0,1-(Screener!$B$12-$G312)/W_RECD))</f>
        <v/>
      </c>
      <c r="AQ312">
        <f>IF($B312=Screener!$B$3,-999999,W_SUB*AK312+W_SEC*AL312*(1-AK312)+W_SIZE*AM312+W_PROF*AN312+W_AH*AO312+W_REC*AP312)+ROW()/1000000</f>
        <v/>
      </c>
      <c r="AR312">
        <f>IF(OR('NEW DEAL'!$B$6="",$E312&lt;&gt;'NEW DEAL'!$B$6),-1,1+IF(OR($H312="",'NEW DEAL'!$B$7=""),0,MAX(0,1-ABS(LOG10($H312/'NEW DEAL'!$B$7))/W_SIZEHW)))+ROW()/1000000</f>
        <v/>
      </c>
    </row>
    <row r="313">
      <c r="A313" s="23" t="inlineStr">
        <is>
          <t>6693</t>
        </is>
      </c>
      <c r="B313" s="22" t="inlineStr">
        <is>
          <t>CHIFENG GOLD</t>
        </is>
      </c>
      <c r="C313" s="22" t="inlineStr">
        <is>
          <t>赤峰吉隆黃金礦業股份有限公司</t>
        </is>
      </c>
      <c r="D313" s="24" t="inlineStr">
        <is>
          <t>Materials/Energy</t>
        </is>
      </c>
      <c r="E313" s="24" t="inlineStr">
        <is>
          <t>Mining / metals</t>
        </is>
      </c>
      <c r="F313" s="22" t="inlineStr">
        <is>
          <t>Standard</t>
        </is>
      </c>
      <c r="G313" s="43" t="n">
        <v>45726</v>
      </c>
      <c r="H313" s="26" t="n">
        <v>2821.5</v>
      </c>
      <c r="I313" s="22" t="inlineStr">
        <is>
          <t>gross (price x shares)</t>
        </is>
      </c>
      <c r="J313" s="27" t="n"/>
      <c r="K313" s="27" t="n">
        <v>15.83</v>
      </c>
      <c r="L313" s="44" t="n">
        <v>13.72</v>
      </c>
      <c r="M313" s="32" t="n"/>
      <c r="N313" s="29" t="inlineStr">
        <is>
          <t>N</t>
        </is>
      </c>
      <c r="O313" s="26" t="n">
        <v>25650.4</v>
      </c>
      <c r="P313" s="46" t="n">
        <v>9.529999999999999</v>
      </c>
      <c r="Q313" s="31" t="n">
        <v>3.67</v>
      </c>
      <c r="R313" s="45" t="n">
        <v>0</v>
      </c>
      <c r="S313" s="33" t="n">
        <v>26.4</v>
      </c>
      <c r="T313" s="28" t="n">
        <v>15</v>
      </c>
      <c r="U313" s="22" t="n"/>
      <c r="V313" s="29" t="inlineStr">
        <is>
          <t>Y</t>
        </is>
      </c>
      <c r="W313" s="34" t="n">
        <v>26.8</v>
      </c>
      <c r="X313" s="34" t="n">
        <v>3.2</v>
      </c>
      <c r="Y313" s="36" t="n">
        <v>7943</v>
      </c>
      <c r="Z313" s="36" t="n">
        <v>958.7</v>
      </c>
      <c r="AA313" s="22" t="inlineStr">
        <is>
          <t>Y</t>
        </is>
      </c>
      <c r="AB313" s="22" t="inlineStr">
        <is>
          <t>600988.SS</t>
        </is>
      </c>
      <c r="AC313" s="22" t="inlineStr">
        <is>
          <t>CITIC Securities (Hong Kong) Limited</t>
        </is>
      </c>
      <c r="AD313" s="22" t="inlineStr">
        <is>
          <t>Kong Securities Limited; Managers ABCI Capital Limited; Central, Hong Kong ABCI Securities Company Limited</t>
        </is>
      </c>
      <c r="AE313" s="22" t="n"/>
      <c r="AK313">
        <f>IF(AND(Screener!$B$7&lt;&gt;"",$E313=Screener!$B$7),1,0)</f>
        <v/>
      </c>
      <c r="AL313">
        <f>IF(AND(Screener!$B$6&lt;&gt;"",$D313=Screener!$B$6),1,0)</f>
        <v/>
      </c>
      <c r="AM313">
        <f>IF(OR($H313="",Screener!$B$8=""),0,MAX(0,1-ABS(LOG10($H313/Screener!$B$8))/W_SIZEHW))</f>
        <v/>
      </c>
      <c r="AN313">
        <f>IF(OR($V313="",Screener!$B$9=""),0,IF($V313=Screener!$B$9,1,0))</f>
        <v/>
      </c>
      <c r="AO313">
        <f>IF(OR($AA313="",Screener!$B$10=""),0,IF($AA313=Screener!$B$10,1,0))</f>
        <v/>
      </c>
      <c r="AP313">
        <f>IF($G313="",0,MAX(0,1-(Screener!$B$12-$G313)/W_RECD))</f>
        <v/>
      </c>
      <c r="AQ313">
        <f>IF($B313=Screener!$B$3,-999999,W_SUB*AK313+W_SEC*AL313*(1-AK313)+W_SIZE*AM313+W_PROF*AN313+W_AH*AO313+W_REC*AP313)+ROW()/1000000</f>
        <v/>
      </c>
      <c r="AR313">
        <f>IF(OR('NEW DEAL'!$B$6="",$E313&lt;&gt;'NEW DEAL'!$B$6),-1,1+IF(OR($H313="",'NEW DEAL'!$B$7=""),0,MAX(0,1-ABS(LOG10($H313/'NEW DEAL'!$B$7))/W_SIZEHW)))+ROW()/1000000</f>
        <v/>
      </c>
    </row>
    <row r="314">
      <c r="A314" s="23" t="inlineStr">
        <is>
          <t>2561</t>
        </is>
      </c>
      <c r="B314" s="22" t="inlineStr">
        <is>
          <t>VISEN PHARMA-B</t>
        </is>
      </c>
      <c r="C314" s="22" t="n"/>
      <c r="D314" s="24" t="inlineStr">
        <is>
          <t>Healthcare</t>
        </is>
      </c>
      <c r="E314" s="24" t="inlineStr">
        <is>
          <t>Biotech pre-revenue (18A)</t>
        </is>
      </c>
      <c r="F314" s="38" t="inlineStr">
        <is>
          <t>18A</t>
        </is>
      </c>
      <c r="G314" s="43" t="n">
        <v>45737</v>
      </c>
      <c r="H314" s="26" t="n">
        <v>783.3</v>
      </c>
      <c r="I314" s="22" t="inlineStr">
        <is>
          <t>gross (stated)</t>
        </is>
      </c>
      <c r="J314" s="27" t="n">
        <v>68.44</v>
      </c>
      <c r="K314" s="27" t="n">
        <v>75.28</v>
      </c>
      <c r="L314" s="44" t="n">
        <v>68.8</v>
      </c>
      <c r="M314" s="28" t="n">
        <v>5.3</v>
      </c>
      <c r="N314" s="29" t="inlineStr">
        <is>
          <t>N</t>
        </is>
      </c>
      <c r="O314" s="26" t="n">
        <v>28380.4</v>
      </c>
      <c r="P314" s="46" t="n">
        <v>72.64</v>
      </c>
      <c r="Q314" s="31" t="n">
        <v>1.65</v>
      </c>
      <c r="R314" s="45" t="n">
        <v>0</v>
      </c>
      <c r="S314" s="33" t="n">
        <v>65</v>
      </c>
      <c r="T314" s="32" t="n">
        <v>11.32</v>
      </c>
      <c r="U314" s="22" t="n"/>
      <c r="V314" s="29" t="inlineStr">
        <is>
          <t>N</t>
        </is>
      </c>
      <c r="W314" s="31" t="n"/>
      <c r="X314" s="31" t="n"/>
      <c r="Y314" s="35" t="n"/>
      <c r="Z314" s="36" t="n">
        <v>-229.2</v>
      </c>
      <c r="AA314" s="22" t="n"/>
      <c r="AB314" s="22" t="n"/>
      <c r="AC314" s="22" t="inlineStr">
        <is>
          <t>Morgan Stanley Asia Limited; Jefferies Hong Kong Limited</t>
        </is>
      </c>
      <c r="AD314" s="22" t="n"/>
      <c r="AE314" s="22" t="n"/>
      <c r="AK314">
        <f>IF(AND(Screener!$B$7&lt;&gt;"",$E314=Screener!$B$7),1,0)</f>
        <v/>
      </c>
      <c r="AL314">
        <f>IF(AND(Screener!$B$6&lt;&gt;"",$D314=Screener!$B$6),1,0)</f>
        <v/>
      </c>
      <c r="AM314">
        <f>IF(OR($H314="",Screener!$B$8=""),0,MAX(0,1-ABS(LOG10($H314/Screener!$B$8))/W_SIZEHW))</f>
        <v/>
      </c>
      <c r="AN314">
        <f>IF(OR($V314="",Screener!$B$9=""),0,IF($V314=Screener!$B$9,1,0))</f>
        <v/>
      </c>
      <c r="AO314">
        <f>IF(OR($AA314="",Screener!$B$10=""),0,IF($AA314=Screener!$B$10,1,0))</f>
        <v/>
      </c>
      <c r="AP314">
        <f>IF($G314="",0,MAX(0,1-(Screener!$B$12-$G314)/W_RECD))</f>
        <v/>
      </c>
      <c r="AQ314">
        <f>IF($B314=Screener!$B$3,-999999,W_SUB*AK314+W_SEC*AL314*(1-AK314)+W_SIZE*AM314+W_PROF*AN314+W_AH*AO314+W_REC*AP314)+ROW()/1000000</f>
        <v/>
      </c>
      <c r="AR314">
        <f>IF(OR('NEW DEAL'!$B$6="",$E314&lt;&gt;'NEW DEAL'!$B$6),-1,1+IF(OR($H314="",'NEW DEAL'!$B$7=""),0,MAX(0,1-ABS(LOG10($H314/'NEW DEAL'!$B$7))/W_SIZEHW)))+ROW()/1000000</f>
        <v/>
      </c>
    </row>
    <row r="315">
      <c r="A315" s="23" t="inlineStr">
        <is>
          <t>2610</t>
        </is>
      </c>
      <c r="B315" s="22" t="inlineStr">
        <is>
          <t>NANSHAN AL INTL</t>
        </is>
      </c>
      <c r="C315" s="22" t="n"/>
      <c r="D315" s="24" t="inlineStr">
        <is>
          <t>Materials/Energy</t>
        </is>
      </c>
      <c r="E315" s="24" t="inlineStr">
        <is>
          <t>Mining / metals</t>
        </is>
      </c>
      <c r="F315" s="22" t="inlineStr">
        <is>
          <t>Standard</t>
        </is>
      </c>
      <c r="G315" s="39" t="n">
        <v>45741</v>
      </c>
      <c r="H315" s="26" t="n">
        <v>2347.1</v>
      </c>
      <c r="I315" s="22" t="inlineStr">
        <is>
          <t>gross (stated)</t>
        </is>
      </c>
      <c r="J315" s="27" t="n">
        <v>26.6</v>
      </c>
      <c r="K315" s="41" t="n">
        <v>26.6</v>
      </c>
      <c r="L315" s="44" t="n">
        <v>26.6</v>
      </c>
      <c r="M315" s="32" t="n"/>
      <c r="N315" s="29" t="inlineStr">
        <is>
          <t>Y</t>
        </is>
      </c>
      <c r="O315" s="26" t="n">
        <v>15647.1</v>
      </c>
      <c r="P315" s="46" t="n">
        <v>3.89</v>
      </c>
      <c r="Q315" s="31" t="n">
        <v>1.67</v>
      </c>
      <c r="R315" s="45" t="n">
        <v>-5.08</v>
      </c>
      <c r="S315" s="33" t="n">
        <v>39.82</v>
      </c>
      <c r="T315" s="28" t="n">
        <v>15</v>
      </c>
      <c r="U315" s="22" t="n"/>
      <c r="V315" s="29" t="inlineStr">
        <is>
          <t>Y</t>
        </is>
      </c>
      <c r="W315" s="34" t="n">
        <v>16.4</v>
      </c>
      <c r="X315" s="34" t="n">
        <v>3</v>
      </c>
      <c r="Y315" s="36" t="n">
        <v>5286.7</v>
      </c>
      <c r="Z315" s="36" t="n">
        <v>956.8</v>
      </c>
      <c r="AA315" s="22" t="n"/>
      <c r="AB315" s="22" t="n"/>
      <c r="AC315" s="22" t="n"/>
      <c r="AD315" s="22" t="inlineStr">
        <is>
          <t>Huatai Financial Holdings (Hong Kong) Limited; CMB International Capital Limited; China International Capital Corporation Hong Kong Securities Limited; CLSA Limited; Daiwa Capital Markets Hong Kong Limited; DBS Asia Capital Limited; ICBC International Securities Limited; UOB Kay Hian (Hong Kong) Limited; China Galaxy International Securities (Hong Kong) Co., Limited; A VICT Global Asset Management Limited; BOCI Asia Limited; Futu Securities International (Hong Kong) Limited</t>
        </is>
      </c>
      <c r="AE315" s="22" t="n"/>
      <c r="AK315">
        <f>IF(AND(Screener!$B$7&lt;&gt;"",$E315=Screener!$B$7),1,0)</f>
        <v/>
      </c>
      <c r="AL315">
        <f>IF(AND(Screener!$B$6&lt;&gt;"",$D315=Screener!$B$6),1,0)</f>
        <v/>
      </c>
      <c r="AM315">
        <f>IF(OR($H315="",Screener!$B$8=""),0,MAX(0,1-ABS(LOG10($H315/Screener!$B$8))/W_SIZEHW))</f>
        <v/>
      </c>
      <c r="AN315">
        <f>IF(OR($V315="",Screener!$B$9=""),0,IF($V315=Screener!$B$9,1,0))</f>
        <v/>
      </c>
      <c r="AO315">
        <f>IF(OR($AA315="",Screener!$B$10=""),0,IF($AA315=Screener!$B$10,1,0))</f>
        <v/>
      </c>
      <c r="AP315">
        <f>IF($G315="",0,MAX(0,1-(Screener!$B$12-$G315)/W_RECD))</f>
        <v/>
      </c>
      <c r="AQ315">
        <f>IF($B315=Screener!$B$3,-999999,W_SUB*AK315+W_SEC*AL315*(1-AK315)+W_SIZE*AM315+W_PROF*AN315+W_AH*AO315+W_REC*AP315)+ROW()/1000000</f>
        <v/>
      </c>
      <c r="AR315">
        <f>IF(OR('NEW DEAL'!$B$6="",$E315&lt;&gt;'NEW DEAL'!$B$6),-1,1+IF(OR($H315="",'NEW DEAL'!$B$7=""),0,MAX(0,1-ABS(LOG10($H315/'NEW DEAL'!$B$7))/W_SIZEHW)))+ROW()/1000000</f>
        <v/>
      </c>
    </row>
    <row r="316">
      <c r="A316" s="23" t="inlineStr">
        <is>
          <t>2569</t>
        </is>
      </c>
      <c r="B316" s="22" t="inlineStr">
        <is>
          <t>SOFT INTL</t>
        </is>
      </c>
      <c r="C316" s="22" t="inlineStr">
        <is>
          <t>舒寶國際集團有限公司</t>
        </is>
      </c>
      <c r="D316" s="24" t="inlineStr">
        <is>
          <t>Materials/Energy</t>
        </is>
      </c>
      <c r="E316" s="24" t="inlineStr">
        <is>
          <t>Chemicals</t>
        </is>
      </c>
      <c r="F316" s="22" t="inlineStr">
        <is>
          <t>Standard</t>
        </is>
      </c>
      <c r="G316" s="39" t="n">
        <v>45743</v>
      </c>
      <c r="H316" s="26" t="n">
        <v>127.5</v>
      </c>
      <c r="I316" s="22" t="inlineStr">
        <is>
          <t>gross (stated)</t>
        </is>
      </c>
      <c r="J316" s="27" t="n">
        <v>0.5</v>
      </c>
      <c r="K316" s="27" t="n">
        <v>0.6</v>
      </c>
      <c r="L316" s="44" t="n">
        <v>0.51</v>
      </c>
      <c r="M316" s="28" t="n">
        <v>10</v>
      </c>
      <c r="N316" s="29" t="inlineStr">
        <is>
          <t>N</t>
        </is>
      </c>
      <c r="O316" s="26" t="n">
        <v>510</v>
      </c>
      <c r="P316" s="46" t="n">
        <v>167.09</v>
      </c>
      <c r="Q316" s="31" t="n">
        <v>1.02</v>
      </c>
      <c r="R316" s="45" t="n">
        <v>31.37</v>
      </c>
      <c r="S316" s="33" t="n">
        <v>0</v>
      </c>
      <c r="T316" s="32" t="n">
        <v>7.5</v>
      </c>
      <c r="U316" s="22" t="n"/>
      <c r="V316" s="29" t="inlineStr">
        <is>
          <t>Y</t>
        </is>
      </c>
      <c r="W316" s="34" t="n">
        <v>7.9</v>
      </c>
      <c r="X316" s="34" t="n">
        <v>0.7</v>
      </c>
      <c r="Y316" s="36" t="n">
        <v>720</v>
      </c>
      <c r="Z316" s="36" t="n">
        <v>64.8</v>
      </c>
      <c r="AA316" s="22" t="n"/>
      <c r="AB316" s="22" t="n"/>
      <c r="AC316" s="22" t="n"/>
      <c r="AD316" s="22" t="inlineStr">
        <is>
          <t>CMBC Securities Company Limited; Central, Hong Kong Hung Sing Securities Limited; Yuet Sheung International Securities Limited; Central, Hong Kong Zhongtai International Securities Limited; Central, Hong Kong ZMF Asset Management Limited</t>
        </is>
      </c>
      <c r="AE316" s="22" t="n"/>
      <c r="AK316">
        <f>IF(AND(Screener!$B$7&lt;&gt;"",$E316=Screener!$B$7),1,0)</f>
        <v/>
      </c>
      <c r="AL316">
        <f>IF(AND(Screener!$B$6&lt;&gt;"",$D316=Screener!$B$6),1,0)</f>
        <v/>
      </c>
      <c r="AM316">
        <f>IF(OR($H316="",Screener!$B$8=""),0,MAX(0,1-ABS(LOG10($H316/Screener!$B$8))/W_SIZEHW))</f>
        <v/>
      </c>
      <c r="AN316">
        <f>IF(OR($V316="",Screener!$B$9=""),0,IF($V316=Screener!$B$9,1,0))</f>
        <v/>
      </c>
      <c r="AO316">
        <f>IF(OR($AA316="",Screener!$B$10=""),0,IF($AA316=Screener!$B$10,1,0))</f>
        <v/>
      </c>
      <c r="AP316">
        <f>IF($G316="",0,MAX(0,1-(Screener!$B$12-$G316)/W_RECD))</f>
        <v/>
      </c>
      <c r="AQ316">
        <f>IF($B316=Screener!$B$3,-999999,W_SUB*AK316+W_SEC*AL316*(1-AK316)+W_SIZE*AM316+W_PROF*AN316+W_AH*AO316+W_REC*AP316)+ROW()/1000000</f>
        <v/>
      </c>
      <c r="AR316">
        <f>IF(OR('NEW DEAL'!$B$6="",$E316&lt;&gt;'NEW DEAL'!$B$6),-1,1+IF(OR($H316="",'NEW DEAL'!$B$7=""),0,MAX(0,1-ABS(LOG10($H316/'NEW DEAL'!$B$7))/W_SIZEHW)))+ROW()/1000000</f>
        <v/>
      </c>
    </row>
    <row r="317">
      <c r="A317" s="23" t="inlineStr">
        <is>
          <t>2625</t>
        </is>
      </c>
      <c r="B317" s="22" t="inlineStr">
        <is>
          <t>JIANGSU HORIZON</t>
        </is>
      </c>
      <c r="C317" s="22" t="n"/>
      <c r="D317" s="24" t="inlineStr">
        <is>
          <t>Consumer</t>
        </is>
      </c>
      <c r="E317" s="24" t="inlineStr">
        <is>
          <t>Retail / distribution</t>
        </is>
      </c>
      <c r="F317" s="22" t="inlineStr">
        <is>
          <t>Standard</t>
        </is>
      </c>
      <c r="G317" s="39" t="n">
        <v>45747</v>
      </c>
      <c r="H317" s="26" t="n">
        <v>133.91</v>
      </c>
      <c r="I317" s="22" t="inlineStr">
        <is>
          <t>gross (stated)</t>
        </is>
      </c>
      <c r="J317" s="27" t="n">
        <v>2.5</v>
      </c>
      <c r="K317" s="27" t="n">
        <v>3</v>
      </c>
      <c r="L317" s="44" t="n">
        <v>2.5</v>
      </c>
      <c r="M317" s="28" t="n">
        <v>0</v>
      </c>
      <c r="N317" s="29" t="inlineStr">
        <is>
          <t>N</t>
        </is>
      </c>
      <c r="O317" s="26" t="n">
        <v>535.6</v>
      </c>
      <c r="P317" s="46" t="n">
        <v>46.96</v>
      </c>
      <c r="Q317" s="31" t="n">
        <v>0.93</v>
      </c>
      <c r="R317" s="45" t="n">
        <v>0</v>
      </c>
      <c r="S317" s="33" t="n">
        <v>28.83</v>
      </c>
      <c r="T317" s="32" t="n">
        <v>7.65</v>
      </c>
      <c r="U317" s="22" t="inlineStr">
        <is>
          <t>not-yet (at allotment)</t>
        </is>
      </c>
      <c r="V317" s="29" t="inlineStr">
        <is>
          <t>Y</t>
        </is>
      </c>
      <c r="W317" s="34" t="n">
        <v>9.4</v>
      </c>
      <c r="X317" s="34" t="n">
        <v>0.3</v>
      </c>
      <c r="Y317" s="36" t="n">
        <v>1542.2</v>
      </c>
      <c r="Z317" s="36" t="n">
        <v>56.8</v>
      </c>
      <c r="AA317" s="22" t="n"/>
      <c r="AB317" s="22" t="n"/>
      <c r="AC317" s="22" t="inlineStr">
        <is>
          <t>Red Solar Capital Limited</t>
        </is>
      </c>
      <c r="AD317" s="22" t="inlineStr">
        <is>
          <t>Red Solar Capital Limited; CCB International Capital Limited</t>
        </is>
      </c>
      <c r="AE317" s="22" t="n"/>
      <c r="AK317">
        <f>IF(AND(Screener!$B$7&lt;&gt;"",$E317=Screener!$B$7),1,0)</f>
        <v/>
      </c>
      <c r="AL317">
        <f>IF(AND(Screener!$B$6&lt;&gt;"",$D317=Screener!$B$6),1,0)</f>
        <v/>
      </c>
      <c r="AM317">
        <f>IF(OR($H317="",Screener!$B$8=""),0,MAX(0,1-ABS(LOG10($H317/Screener!$B$8))/W_SIZEHW))</f>
        <v/>
      </c>
      <c r="AN317">
        <f>IF(OR($V317="",Screener!$B$9=""),0,IF($V317=Screener!$B$9,1,0))</f>
        <v/>
      </c>
      <c r="AO317">
        <f>IF(OR($AA317="",Screener!$B$10=""),0,IF($AA317=Screener!$B$10,1,0))</f>
        <v/>
      </c>
      <c r="AP317">
        <f>IF($G317="",0,MAX(0,1-(Screener!$B$12-$G317)/W_RECD))</f>
        <v/>
      </c>
      <c r="AQ317">
        <f>IF($B317=Screener!$B$3,-999999,W_SUB*AK317+W_SEC*AL317*(1-AK317)+W_SIZE*AM317+W_PROF*AN317+W_AH*AO317+W_REC*AP317)+ROW()/1000000</f>
        <v/>
      </c>
      <c r="AR317">
        <f>IF(OR('NEW DEAL'!$B$6="",$E317&lt;&gt;'NEW DEAL'!$B$6),-1,1+IF(OR($H317="",'NEW DEAL'!$B$7=""),0,MAX(0,1-ABS(LOG10($H317/'NEW DEAL'!$B$7))/W_SIZEHW)))+ROW()/1000000</f>
        <v/>
      </c>
    </row>
    <row r="318">
      <c r="A318" s="23" t="inlineStr">
        <is>
          <t>3677</t>
        </is>
      </c>
      <c r="B318" s="22" t="inlineStr">
        <is>
          <t>ZENERGY</t>
        </is>
      </c>
      <c r="C318" s="22" t="inlineStr">
        <is>
          <t>江蘇正力新能電池技術股份有限公司</t>
        </is>
      </c>
      <c r="D318" s="24" t="inlineStr">
        <is>
          <t>Industrials</t>
        </is>
      </c>
      <c r="E318" s="24" t="inlineStr">
        <is>
          <t>Batteries / energy storage</t>
        </is>
      </c>
      <c r="F318" s="22" t="inlineStr">
        <is>
          <t>Standard</t>
        </is>
      </c>
      <c r="G318" s="43" t="n">
        <v>45761</v>
      </c>
      <c r="H318" s="26" t="n">
        <v>1005.1</v>
      </c>
      <c r="I318" s="22" t="inlineStr">
        <is>
          <t>gross (stated)</t>
        </is>
      </c>
      <c r="J318" s="27" t="n"/>
      <c r="K318" s="27" t="n">
        <v>8.27</v>
      </c>
      <c r="L318" s="44" t="n">
        <v>8.27</v>
      </c>
      <c r="M318" s="32" t="n"/>
      <c r="N318" s="29" t="inlineStr">
        <is>
          <t>Y</t>
        </is>
      </c>
      <c r="O318" s="26" t="n">
        <v>20745.3</v>
      </c>
      <c r="P318" s="46" t="n">
        <v>3.51</v>
      </c>
      <c r="Q318" s="31" t="n">
        <v>1.13</v>
      </c>
      <c r="R318" s="45" t="n">
        <v>1.45</v>
      </c>
      <c r="S318" s="42" t="n">
        <v>62</v>
      </c>
      <c r="T318" s="32" t="n">
        <v>15</v>
      </c>
      <c r="U318" s="22" t="inlineStr">
        <is>
          <t>not-yet (at allotment)</t>
        </is>
      </c>
      <c r="V318" s="29" t="inlineStr">
        <is>
          <t>N</t>
        </is>
      </c>
      <c r="W318" s="31" t="n"/>
      <c r="X318" s="34" t="n">
        <v>4.5</v>
      </c>
      <c r="Y318" s="36" t="n">
        <v>4577.8</v>
      </c>
      <c r="Z318" s="36" t="n">
        <v>-648.9</v>
      </c>
      <c r="AA318" s="22" t="n"/>
      <c r="AB318" s="22" t="n"/>
      <c r="AC318" s="22" t="n"/>
      <c r="AD318" s="22" t="inlineStr">
        <is>
          <t>China International Capital Corporation Hong Kong Securities Limited; CMB International Capital Limited; CCB International Capital Limited; China Industrial Securities International Capital Limited; Huafu International Securities Limited; ICBC International Securities Limited; CEB International Capital Corporation Limited; ABCI Capital Limited; Patrons Securities Limited</t>
        </is>
      </c>
      <c r="AE318" s="22" t="n"/>
      <c r="AK318">
        <f>IF(AND(Screener!$B$7&lt;&gt;"",$E318=Screener!$B$7),1,0)</f>
        <v/>
      </c>
      <c r="AL318">
        <f>IF(AND(Screener!$B$6&lt;&gt;"",$D318=Screener!$B$6),1,0)</f>
        <v/>
      </c>
      <c r="AM318">
        <f>IF(OR($H318="",Screener!$B$8=""),0,MAX(0,1-ABS(LOG10($H318/Screener!$B$8))/W_SIZEHW))</f>
        <v/>
      </c>
      <c r="AN318">
        <f>IF(OR($V318="",Screener!$B$9=""),0,IF($V318=Screener!$B$9,1,0))</f>
        <v/>
      </c>
      <c r="AO318">
        <f>IF(OR($AA318="",Screener!$B$10=""),0,IF($AA318=Screener!$B$10,1,0))</f>
        <v/>
      </c>
      <c r="AP318">
        <f>IF($G318="",0,MAX(0,1-(Screener!$B$12-$G318)/W_RECD))</f>
        <v/>
      </c>
      <c r="AQ318">
        <f>IF($B318=Screener!$B$3,-999999,W_SUB*AK318+W_SEC*AL318*(1-AK318)+W_SIZE*AM318+W_PROF*AN318+W_AH*AO318+W_REC*AP318)+ROW()/1000000</f>
        <v/>
      </c>
      <c r="AR318">
        <f>IF(OR('NEW DEAL'!$B$6="",$E318&lt;&gt;'NEW DEAL'!$B$6),-1,1+IF(OR($H318="",'NEW DEAL'!$B$7=""),0,MAX(0,1-ABS(LOG10($H318/'NEW DEAL'!$B$7))/W_SIZEHW)))+ROW()/1000000</f>
        <v/>
      </c>
    </row>
    <row r="319">
      <c r="A319" s="23" t="inlineStr">
        <is>
          <t>9606</t>
        </is>
      </c>
      <c r="B319" s="22" t="inlineStr">
        <is>
          <t>DUALITYBIO-B</t>
        </is>
      </c>
      <c r="C319" s="22" t="n"/>
      <c r="D319" s="24" t="inlineStr">
        <is>
          <t>Healthcare</t>
        </is>
      </c>
      <c r="E319" s="24" t="inlineStr">
        <is>
          <t>Biotech pre-revenue (18A)</t>
        </is>
      </c>
      <c r="F319" s="38" t="inlineStr">
        <is>
          <t>18A</t>
        </is>
      </c>
      <c r="G319" s="43" t="n">
        <v>45762</v>
      </c>
      <c r="H319" s="26" t="n">
        <v>1639.64</v>
      </c>
      <c r="I319" s="22" t="inlineStr">
        <is>
          <t>gross (stated)</t>
        </is>
      </c>
      <c r="J319" s="27" t="n">
        <v>94.59999999999999</v>
      </c>
      <c r="K319" s="27" t="n">
        <v>103.2</v>
      </c>
      <c r="L319" s="44" t="n">
        <v>94.59999999999999</v>
      </c>
      <c r="M319" s="28" t="n">
        <v>0</v>
      </c>
      <c r="N319" s="29" t="inlineStr">
        <is>
          <t>N</t>
        </is>
      </c>
      <c r="O319" s="36" t="n">
        <v>7868.4</v>
      </c>
      <c r="P319" s="46" t="n">
        <v>115.14</v>
      </c>
      <c r="Q319" s="31" t="n">
        <v>13.52</v>
      </c>
      <c r="R319" s="45" t="n">
        <v>116.7</v>
      </c>
      <c r="S319" s="33" t="n">
        <v>30.82</v>
      </c>
      <c r="T319" s="32" t="n">
        <v>15</v>
      </c>
      <c r="U319" s="22" t="n"/>
      <c r="V319" s="29" t="inlineStr">
        <is>
          <t>N</t>
        </is>
      </c>
      <c r="W319" s="31" t="n"/>
      <c r="X319" s="34" t="n">
        <v>3.7</v>
      </c>
      <c r="Y319" s="36" t="n">
        <v>2135.4</v>
      </c>
      <c r="Z319" s="36" t="n">
        <v>-1155.5</v>
      </c>
      <c r="AA319" s="22" t="n"/>
      <c r="AB319" s="22" t="n"/>
      <c r="AC319" s="22" t="inlineStr">
        <is>
          <t>Morgan Stanley Asia Limited</t>
        </is>
      </c>
      <c r="AD319" s="22" t="inlineStr">
        <is>
          <t>Morgan Stanley Asia Limited; China International Capital Corporation Hong Kong Securities Limited; CMB International Capital Limited; ICBC International Securities Limited; BOCI Asia Limited; GF Securities (Hong Kong) Brokerage Limited; DIRECTORS AND PARTIES INVOLVED IN THE GLOBAL OFFERING – 152 – ABCI Capital Limited</t>
        </is>
      </c>
      <c r="AE319" s="22" t="n"/>
      <c r="AK319">
        <f>IF(AND(Screener!$B$7&lt;&gt;"",$E319=Screener!$B$7),1,0)</f>
        <v/>
      </c>
      <c r="AL319">
        <f>IF(AND(Screener!$B$6&lt;&gt;"",$D319=Screener!$B$6),1,0)</f>
        <v/>
      </c>
      <c r="AM319">
        <f>IF(OR($H319="",Screener!$B$8=""),0,MAX(0,1-ABS(LOG10($H319/Screener!$B$8))/W_SIZEHW))</f>
        <v/>
      </c>
      <c r="AN319">
        <f>IF(OR($V319="",Screener!$B$9=""),0,IF($V319=Screener!$B$9,1,0))</f>
        <v/>
      </c>
      <c r="AO319">
        <f>IF(OR($AA319="",Screener!$B$10=""),0,IF($AA319=Screener!$B$10,1,0))</f>
        <v/>
      </c>
      <c r="AP319">
        <f>IF($G319="",0,MAX(0,1-(Screener!$B$12-$G319)/W_RECD))</f>
        <v/>
      </c>
      <c r="AQ319">
        <f>IF($B319=Screener!$B$3,-999999,W_SUB*AK319+W_SEC*AL319*(1-AK319)+W_SIZE*AM319+W_PROF*AN319+W_AH*AO319+W_REC*AP319)+ROW()/1000000</f>
        <v/>
      </c>
      <c r="AR319">
        <f>IF(OR('NEW DEAL'!$B$6="",$E319&lt;&gt;'NEW DEAL'!$B$6),-1,1+IF(OR($H319="",'NEW DEAL'!$B$7=""),0,MAX(0,1-ABS(LOG10($H319/'NEW DEAL'!$B$7))/W_SIZEHW)))+ROW()/1000000</f>
        <v/>
      </c>
    </row>
    <row r="320">
      <c r="A320" s="23" t="inlineStr">
        <is>
          <t>1333</t>
        </is>
      </c>
      <c r="B320" s="22" t="inlineStr">
        <is>
          <t>BRETON</t>
        </is>
      </c>
      <c r="C320" s="22" t="n"/>
      <c r="D320" s="24" t="inlineStr">
        <is>
          <t>Industrials</t>
        </is>
      </c>
      <c r="E320" s="24" t="inlineStr">
        <is>
          <t>Capital goods / machinery</t>
        </is>
      </c>
      <c r="F320" s="22" t="inlineStr">
        <is>
          <t>Standard</t>
        </is>
      </c>
      <c r="G320" s="43" t="n">
        <v>45784</v>
      </c>
      <c r="H320" s="26" t="n">
        <v>234</v>
      </c>
      <c r="I320" s="22" t="inlineStr">
        <is>
          <t>gross (stated)</t>
        </is>
      </c>
      <c r="J320" s="27" t="n"/>
      <c r="K320" s="27" t="n"/>
      <c r="L320" s="44" t="n">
        <v>18</v>
      </c>
      <c r="M320" s="32" t="n"/>
      <c r="N320" s="22" t="n"/>
      <c r="O320" s="26" t="n">
        <v>6833.7</v>
      </c>
      <c r="P320" s="46" t="n">
        <v>198.72</v>
      </c>
      <c r="Q320" s="31" t="n">
        <v>0.92</v>
      </c>
      <c r="R320" s="45" t="n">
        <v>38.33</v>
      </c>
      <c r="S320" s="33" t="n">
        <v>22.7</v>
      </c>
      <c r="T320" s="32" t="n"/>
      <c r="U320" s="22" t="inlineStr">
        <is>
          <t>not-yet (at allotment)</t>
        </is>
      </c>
      <c r="V320" s="22" t="n"/>
      <c r="W320" s="31" t="n"/>
      <c r="X320" s="31" t="n"/>
      <c r="Y320" s="35" t="n"/>
      <c r="Z320" s="35" t="n"/>
      <c r="AA320" s="22" t="n"/>
      <c r="AB320" s="22" t="n"/>
      <c r="AC320" s="22" t="n"/>
      <c r="AD320" s="22" t="n"/>
      <c r="AE320" s="22" t="n"/>
      <c r="AK320">
        <f>IF(AND(Screener!$B$7&lt;&gt;"",$E320=Screener!$B$7),1,0)</f>
        <v/>
      </c>
      <c r="AL320">
        <f>IF(AND(Screener!$B$6&lt;&gt;"",$D320=Screener!$B$6),1,0)</f>
        <v/>
      </c>
      <c r="AM320">
        <f>IF(OR($H320="",Screener!$B$8=""),0,MAX(0,1-ABS(LOG10($H320/Screener!$B$8))/W_SIZEHW))</f>
        <v/>
      </c>
      <c r="AN320">
        <f>IF(OR($V320="",Screener!$B$9=""),0,IF($V320=Screener!$B$9,1,0))</f>
        <v/>
      </c>
      <c r="AO320">
        <f>IF(OR($AA320="",Screener!$B$10=""),0,IF($AA320=Screener!$B$10,1,0))</f>
        <v/>
      </c>
      <c r="AP320">
        <f>IF($G320="",0,MAX(0,1-(Screener!$B$12-$G320)/W_RECD))</f>
        <v/>
      </c>
      <c r="AQ320">
        <f>IF($B320=Screener!$B$3,-999999,W_SUB*AK320+W_SEC*AL320*(1-AK320)+W_SIZE*AM320+W_PROF*AN320+W_AH*AO320+W_REC*AP320)+ROW()/1000000</f>
        <v/>
      </c>
      <c r="AR320">
        <f>IF(OR('NEW DEAL'!$B$6="",$E320&lt;&gt;'NEW DEAL'!$B$6),-1,1+IF(OR($H320="",'NEW DEAL'!$B$7=""),0,MAX(0,1-ABS(LOG10($H320/'NEW DEAL'!$B$7))/W_SIZEHW)))+ROW()/1000000</f>
        <v/>
      </c>
    </row>
    <row r="321">
      <c r="A321" s="23" t="inlineStr">
        <is>
          <t>2865</t>
        </is>
      </c>
      <c r="B321" s="22" t="inlineStr">
        <is>
          <t>DRINDA</t>
        </is>
      </c>
      <c r="C321" s="22" t="inlineStr">
        <is>
          <t>海南鈞達新能源科技股份有限公司</t>
        </is>
      </c>
      <c r="D321" s="24" t="inlineStr">
        <is>
          <t>Industrials</t>
        </is>
      </c>
      <c r="E321" s="24" t="inlineStr">
        <is>
          <t>Solar / wind supply chain</t>
        </is>
      </c>
      <c r="F321" s="22" t="inlineStr">
        <is>
          <t>Standard</t>
        </is>
      </c>
      <c r="G321" s="39" t="n">
        <v>45785</v>
      </c>
      <c r="H321" s="26" t="n">
        <v>1405</v>
      </c>
      <c r="I321" s="22" t="inlineStr">
        <is>
          <t>gross (price x shares)</t>
        </is>
      </c>
      <c r="J321" s="27" t="n">
        <v>20.4</v>
      </c>
      <c r="K321" s="27" t="n">
        <v>28.6</v>
      </c>
      <c r="L321" s="44" t="n">
        <v>22.15</v>
      </c>
      <c r="M321" s="28" t="n">
        <v>21.3</v>
      </c>
      <c r="N321" s="29" t="inlineStr">
        <is>
          <t>N</t>
        </is>
      </c>
      <c r="O321" s="26" t="n">
        <v>6480.7</v>
      </c>
      <c r="P321" s="46" t="n">
        <v>3.5</v>
      </c>
      <c r="Q321" s="31" t="n">
        <v>1.08</v>
      </c>
      <c r="R321" s="45" t="n">
        <v>20.09</v>
      </c>
      <c r="S321" s="33" t="n">
        <v>37.8</v>
      </c>
      <c r="T321" s="32" t="n">
        <v>7.6</v>
      </c>
      <c r="U321" s="22" t="inlineStr">
        <is>
          <t>not-yet (at allotment)</t>
        </is>
      </c>
      <c r="V321" s="29" t="inlineStr">
        <is>
          <t>N</t>
        </is>
      </c>
      <c r="W321" s="31" t="n"/>
      <c r="X321" s="34" t="n">
        <v>3240.3</v>
      </c>
      <c r="Y321" s="36" t="n">
        <v>2</v>
      </c>
      <c r="Z321" s="36" t="n">
        <v>-0.3</v>
      </c>
      <c r="AA321" s="22" t="inlineStr">
        <is>
          <t>Y</t>
        </is>
      </c>
      <c r="AB321" s="22" t="inlineStr">
        <is>
          <t>002865.SZ</t>
        </is>
      </c>
      <c r="AC321" s="22" t="inlineStr">
        <is>
          <t>Huatai Financial Holdings (Hong Kong) Limited; CMB International Capital Limited; Deutsche Securities Asia Limited</t>
        </is>
      </c>
      <c r="AD321" s="22" t="inlineStr">
        <is>
          <t>Huatai Financial Holdings (Hong Kong) Limited; CMB International Capital Limited; Deutsche Bank AG, Hong Kong Branch; CLSA Limited; China International Capital Corporation Hong Kong Securities Limited; SDICS International Securities (Hong Kong) Limited; Patrons Securities Limited; Futu Securities International (Hong Kong) Limited; Fosun International Securities Limited; BOCI Asia Limited; CCB International Capital Limited; ICBC International Securities Limited</t>
        </is>
      </c>
      <c r="AE321" s="22" t="n"/>
      <c r="AK321">
        <f>IF(AND(Screener!$B$7&lt;&gt;"",$E321=Screener!$B$7),1,0)</f>
        <v/>
      </c>
      <c r="AL321">
        <f>IF(AND(Screener!$B$6&lt;&gt;"",$D321=Screener!$B$6),1,0)</f>
        <v/>
      </c>
      <c r="AM321">
        <f>IF(OR($H321="",Screener!$B$8=""),0,MAX(0,1-ABS(LOG10($H321/Screener!$B$8))/W_SIZEHW))</f>
        <v/>
      </c>
      <c r="AN321">
        <f>IF(OR($V321="",Screener!$B$9=""),0,IF($V321=Screener!$B$9,1,0))</f>
        <v/>
      </c>
      <c r="AO321">
        <f>IF(OR($AA321="",Screener!$B$10=""),0,IF($AA321=Screener!$B$10,1,0))</f>
        <v/>
      </c>
      <c r="AP321">
        <f>IF($G321="",0,MAX(0,1-(Screener!$B$12-$G321)/W_RECD))</f>
        <v/>
      </c>
      <c r="AQ321">
        <f>IF($B321=Screener!$B$3,-999999,W_SUB*AK321+W_SEC*AL321*(1-AK321)+W_SIZE*AM321+W_PROF*AN321+W_AH*AO321+W_REC*AP321)+ROW()/1000000</f>
        <v/>
      </c>
      <c r="AR321">
        <f>IF(OR('NEW DEAL'!$B$6="",$E321&lt;&gt;'NEW DEAL'!$B$6),-1,1+IF(OR($H321="",'NEW DEAL'!$B$7=""),0,MAX(0,1-ABS(LOG10($H321/'NEW DEAL'!$B$7))/W_SIZEHW)))+ROW()/1000000</f>
        <v/>
      </c>
    </row>
    <row r="322">
      <c r="A322" s="23" t="inlineStr">
        <is>
          <t>2589</t>
        </is>
      </c>
      <c r="B322" s="22" t="inlineStr">
        <is>
          <t>AUNTEA JENNY</t>
        </is>
      </c>
      <c r="C322" s="22" t="n"/>
      <c r="D322" s="24" t="inlineStr">
        <is>
          <t>Consumer</t>
        </is>
      </c>
      <c r="E322" s="24" t="inlineStr">
        <is>
          <t>F&amp;B chains / restaurants</t>
        </is>
      </c>
      <c r="F322" s="22" t="inlineStr">
        <is>
          <t>Standard</t>
        </is>
      </c>
      <c r="G322" s="39" t="n">
        <v>45785</v>
      </c>
      <c r="H322" s="26" t="n">
        <v>272.8</v>
      </c>
      <c r="I322" s="22" t="inlineStr">
        <is>
          <t>gross (stated)</t>
        </is>
      </c>
      <c r="J322" s="27" t="n"/>
      <c r="K322" s="27" t="n">
        <v>113.12</v>
      </c>
      <c r="L322" s="44" t="n">
        <v>113.12</v>
      </c>
      <c r="M322" s="32" t="n"/>
      <c r="N322" s="29" t="inlineStr">
        <is>
          <t>Y</t>
        </is>
      </c>
      <c r="O322" s="26" t="n">
        <v>10492.3</v>
      </c>
      <c r="P322" s="46" t="n">
        <v>3616.83</v>
      </c>
      <c r="Q322" s="31" t="n">
        <v>2.57</v>
      </c>
      <c r="R322" s="45" t="n">
        <v>40.03</v>
      </c>
      <c r="S322" s="33" t="n">
        <v>30.73</v>
      </c>
      <c r="T322" s="28" t="n">
        <v>15</v>
      </c>
      <c r="U322" s="22" t="n"/>
      <c r="V322" s="29" t="inlineStr">
        <is>
          <t>Y</t>
        </is>
      </c>
      <c r="W322" s="34" t="n">
        <v>29</v>
      </c>
      <c r="X322" s="34" t="n">
        <v>2.9</v>
      </c>
      <c r="Y322" s="36" t="n">
        <v>3613</v>
      </c>
      <c r="Z322" s="36" t="n">
        <v>361.8</v>
      </c>
      <c r="AA322" s="22" t="n"/>
      <c r="AB322" s="22" t="n"/>
      <c r="AC322" s="22" t="inlineStr">
        <is>
          <t>CITIC Securities (Hong Kong) Limited; Haitong International Capital Limited; Central, Hong Kong Orient Capital (Hong Kong) Limited</t>
        </is>
      </c>
      <c r="AD322" s="22" t="inlineStr">
        <is>
          <t>CLSA Limited; Orient Securities (Hong Kong) Limited; Managers and Capital Market Intermediaries ICBC International Securities Limited; China Merchants Securities (HK) Co., Limited; Central, Hong Kong CMBC Securities Company Limited; Central, Hong Kong Morton Securities Limited; Wanchai, Hong Kong Soochow Securities International Brokerage Limited; Tiger Brokers (HK) Global Limited</t>
        </is>
      </c>
      <c r="AE322" s="22" t="n"/>
      <c r="AK322">
        <f>IF(AND(Screener!$B$7&lt;&gt;"",$E322=Screener!$B$7),1,0)</f>
        <v/>
      </c>
      <c r="AL322">
        <f>IF(AND(Screener!$B$6&lt;&gt;"",$D322=Screener!$B$6),1,0)</f>
        <v/>
      </c>
      <c r="AM322">
        <f>IF(OR($H322="",Screener!$B$8=""),0,MAX(0,1-ABS(LOG10($H322/Screener!$B$8))/W_SIZEHW))</f>
        <v/>
      </c>
      <c r="AN322">
        <f>IF(OR($V322="",Screener!$B$9=""),0,IF($V322=Screener!$B$9,1,0))</f>
        <v/>
      </c>
      <c r="AO322">
        <f>IF(OR($AA322="",Screener!$B$10=""),0,IF($AA322=Screener!$B$10,1,0))</f>
        <v/>
      </c>
      <c r="AP322">
        <f>IF($G322="",0,MAX(0,1-(Screener!$B$12-$G322)/W_RECD))</f>
        <v/>
      </c>
      <c r="AQ322">
        <f>IF($B322=Screener!$B$3,-999999,W_SUB*AK322+W_SEC*AL322*(1-AK322)+W_SIZE*AM322+W_PROF*AN322+W_AH*AO322+W_REC*AP322)+ROW()/1000000</f>
        <v/>
      </c>
      <c r="AR322">
        <f>IF(OR('NEW DEAL'!$B$6="",$E322&lt;&gt;'NEW DEAL'!$B$6),-1,1+IF(OR($H322="",'NEW DEAL'!$B$7=""),0,MAX(0,1-ABS(LOG10($H322/'NEW DEAL'!$B$7))/W_SIZEHW)))+ROW()/1000000</f>
        <v/>
      </c>
    </row>
    <row r="323">
      <c r="A323" s="23" t="inlineStr">
        <is>
          <t>6831</t>
        </is>
      </c>
      <c r="B323" s="22" t="inlineStr">
        <is>
          <t>GREEN TEA GROUP</t>
        </is>
      </c>
      <c r="C323" s="22" t="inlineStr">
        <is>
          <t>綠茶集團有限公司</t>
        </is>
      </c>
      <c r="D323" s="24" t="inlineStr">
        <is>
          <t>Consumer</t>
        </is>
      </c>
      <c r="E323" s="24" t="inlineStr">
        <is>
          <t>F&amp;B chains / restaurants</t>
        </is>
      </c>
      <c r="F323" s="22" t="inlineStr">
        <is>
          <t>Standard</t>
        </is>
      </c>
      <c r="G323" s="39" t="n">
        <v>45793</v>
      </c>
      <c r="H323" s="26" t="n">
        <v>847.38</v>
      </c>
      <c r="I323" s="22" t="inlineStr">
        <is>
          <t>gross (stated)</t>
        </is>
      </c>
      <c r="J323" s="27" t="n"/>
      <c r="K323" s="27" t="n">
        <v>7.19</v>
      </c>
      <c r="L323" s="44" t="n">
        <v>7.19</v>
      </c>
      <c r="M323" s="32" t="n"/>
      <c r="N323" s="29" t="inlineStr">
        <is>
          <t>Y</t>
        </is>
      </c>
      <c r="O323" s="26" t="n">
        <v>3013.4</v>
      </c>
      <c r="P323" s="46" t="n">
        <v>317.54</v>
      </c>
      <c r="Q323" s="31" t="n">
        <v>7.2</v>
      </c>
      <c r="R323" s="45" t="n">
        <v>-12.52</v>
      </c>
      <c r="S323" s="33" t="n">
        <v>5.71</v>
      </c>
      <c r="T323" s="32" t="n">
        <v>15.76</v>
      </c>
      <c r="U323" s="22" t="n"/>
      <c r="V323" s="29" t="inlineStr">
        <is>
          <t>Y</t>
        </is>
      </c>
      <c r="W323" s="34" t="n">
        <v>7.8</v>
      </c>
      <c r="X323" s="31" t="n"/>
      <c r="Y323" s="36" t="n">
        <v>-0</v>
      </c>
      <c r="Z323" s="36" t="n">
        <v>385.2</v>
      </c>
      <c r="AA323" s="22" t="n"/>
      <c r="AB323" s="22" t="n"/>
      <c r="AC323" s="22" t="inlineStr">
        <is>
          <t>Citigroup Global Markets Asia Limited; Hong Kong SAR CMB International Capital Limited</t>
        </is>
      </c>
      <c r="AD323" s="22" t="inlineStr">
        <is>
          <t>Citigroup Global Markets Asia Limited; Hong Kong SAR Citigroup Global Markets Limited; –8 7– CMB International Capital Limited; GF Securities (Hong Kong) Brokerage Limited; Wan Chai Hong Kong SAR Guoyuan Securities Brokerage (Hong Kong) Limited; ABCI CAPITAL LIMITED; Hong Kong SAR ABCI SECURITIES COMPANY LIMITED; Hong Kong SAR Celestial Securities Limited; (Hong Kong) Co., Ltd; Hong Kong SAR CMBC Securities Company Limited; Hong Kong SAR First Shanghai Securities Limited; Hong Kong SAR Futu Securities International (Hong Kong) Limited</t>
        </is>
      </c>
      <c r="AE323" s="22" t="n"/>
      <c r="AK323">
        <f>IF(AND(Screener!$B$7&lt;&gt;"",$E323=Screener!$B$7),1,0)</f>
        <v/>
      </c>
      <c r="AL323">
        <f>IF(AND(Screener!$B$6&lt;&gt;"",$D323=Screener!$B$6),1,0)</f>
        <v/>
      </c>
      <c r="AM323">
        <f>IF(OR($H323="",Screener!$B$8=""),0,MAX(0,1-ABS(LOG10($H323/Screener!$B$8))/W_SIZEHW))</f>
        <v/>
      </c>
      <c r="AN323">
        <f>IF(OR($V323="",Screener!$B$9=""),0,IF($V323=Screener!$B$9,1,0))</f>
        <v/>
      </c>
      <c r="AO323">
        <f>IF(OR($AA323="",Screener!$B$10=""),0,IF($AA323=Screener!$B$10,1,0))</f>
        <v/>
      </c>
      <c r="AP323">
        <f>IF($G323="",0,MAX(0,1-(Screener!$B$12-$G323)/W_RECD))</f>
        <v/>
      </c>
      <c r="AQ323">
        <f>IF($B323=Screener!$B$3,-999999,W_SUB*AK323+W_SEC*AL323*(1-AK323)+W_SIZE*AM323+W_PROF*AN323+W_AH*AO323+W_REC*AP323)+ROW()/1000000</f>
        <v/>
      </c>
      <c r="AR323">
        <f>IF(OR('NEW DEAL'!$B$6="",$E323&lt;&gt;'NEW DEAL'!$B$6),-1,1+IF(OR($H323="",'NEW DEAL'!$B$7=""),0,MAX(0,1-ABS(LOG10($H323/'NEW DEAL'!$B$7))/W_SIZEHW)))+ROW()/1000000</f>
        <v/>
      </c>
    </row>
    <row r="324">
      <c r="A324" s="23" t="inlineStr">
        <is>
          <t>3750</t>
        </is>
      </c>
      <c r="B324" s="22" t="inlineStr">
        <is>
          <t>CATL</t>
        </is>
      </c>
      <c r="C324" s="22" t="inlineStr">
        <is>
          <t>寧德時代新能源科技股份有限公司</t>
        </is>
      </c>
      <c r="D324" s="24" t="inlineStr">
        <is>
          <t>Industrials</t>
        </is>
      </c>
      <c r="E324" s="24" t="inlineStr">
        <is>
          <t>Batteries / energy storage</t>
        </is>
      </c>
      <c r="F324" s="22" t="inlineStr">
        <is>
          <t>Standard</t>
        </is>
      </c>
      <c r="G324" s="43" t="n">
        <v>45797</v>
      </c>
      <c r="H324" s="26" t="n">
        <v>35657.2</v>
      </c>
      <c r="I324" s="22" t="inlineStr">
        <is>
          <t>gross (stated)</t>
        </is>
      </c>
      <c r="J324" s="27" t="n"/>
      <c r="K324" s="27" t="n">
        <v>263</v>
      </c>
      <c r="L324" s="44" t="n">
        <v>263</v>
      </c>
      <c r="M324" s="32" t="n"/>
      <c r="N324" s="29" t="inlineStr">
        <is>
          <t>Y</t>
        </is>
      </c>
      <c r="O324" s="26" t="n">
        <v>1193750</v>
      </c>
      <c r="P324" s="40" t="n">
        <v>151.2</v>
      </c>
      <c r="Q324" s="31" t="n"/>
      <c r="R324" s="45" t="n">
        <v>16.43</v>
      </c>
      <c r="S324" s="42" t="n">
        <v>57.5</v>
      </c>
      <c r="T324" s="28" t="n">
        <v>15</v>
      </c>
      <c r="U324" s="22" t="n"/>
      <c r="V324" s="29" t="inlineStr">
        <is>
          <t>Y</t>
        </is>
      </c>
      <c r="W324" s="34" t="n">
        <v>19.6</v>
      </c>
      <c r="X324" s="34" t="n">
        <v>3</v>
      </c>
      <c r="Y324" s="36" t="n">
        <v>398213.8</v>
      </c>
      <c r="Z324" s="36" t="n">
        <v>60824.5</v>
      </c>
      <c r="AA324" s="22" t="inlineStr">
        <is>
          <t>Y</t>
        </is>
      </c>
      <c r="AB324" s="38" t="inlineStr">
        <is>
          <t>300750.SZ</t>
        </is>
      </c>
      <c r="AC324" s="22" t="inlineStr">
        <is>
          <t>China International Capital Corporation Hong Kong Securities Limited; China Securities (International) Corporate Finance Company Limited; J.P. Morgan Securities (Far East) Limited; Merrill Lynch (Asia Pacific) Limited</t>
        </is>
      </c>
      <c r="AD324" s="22" t="n"/>
      <c r="AE324" s="22" t="n"/>
      <c r="AK324">
        <f>IF(AND(Screener!$B$7&lt;&gt;"",$E324=Screener!$B$7),1,0)</f>
        <v/>
      </c>
      <c r="AL324">
        <f>IF(AND(Screener!$B$6&lt;&gt;"",$D324=Screener!$B$6),1,0)</f>
        <v/>
      </c>
      <c r="AM324">
        <f>IF(OR($H324="",Screener!$B$8=""),0,MAX(0,1-ABS(LOG10($H324/Screener!$B$8))/W_SIZEHW))</f>
        <v/>
      </c>
      <c r="AN324">
        <f>IF(OR($V324="",Screener!$B$9=""),0,IF($V324=Screener!$B$9,1,0))</f>
        <v/>
      </c>
      <c r="AO324">
        <f>IF(OR($AA324="",Screener!$B$10=""),0,IF($AA324=Screener!$B$10,1,0))</f>
        <v/>
      </c>
      <c r="AP324">
        <f>IF($G324="",0,MAX(0,1-(Screener!$B$12-$G324)/W_RECD))</f>
        <v/>
      </c>
      <c r="AQ324">
        <f>IF($B324=Screener!$B$3,-999999,W_SUB*AK324+W_SEC*AL324*(1-AK324)+W_SIZE*AM324+W_PROF*AN324+W_AH*AO324+W_REC*AP324)+ROW()/1000000</f>
        <v/>
      </c>
      <c r="AR324">
        <f>IF(OR('NEW DEAL'!$B$6="",$E324&lt;&gt;'NEW DEAL'!$B$6),-1,1+IF(OR($H324="",'NEW DEAL'!$B$7=""),0,MAX(0,1-ABS(LOG10($H324/'NEW DEAL'!$B$7))/W_SIZEHW)))+ROW()/1000000</f>
        <v/>
      </c>
    </row>
    <row r="325">
      <c r="A325" s="23" t="inlineStr">
        <is>
          <t>2629</t>
        </is>
      </c>
      <c r="B325" s="22" t="inlineStr">
        <is>
          <t>MIRXES-B</t>
        </is>
      </c>
      <c r="C325" s="22" t="n"/>
      <c r="D325" s="24" t="inlineStr">
        <is>
          <t>Healthcare</t>
        </is>
      </c>
      <c r="E325" s="24" t="inlineStr">
        <is>
          <t>Biotech pre-revenue (18A)</t>
        </is>
      </c>
      <c r="F325" s="38" t="inlineStr">
        <is>
          <t>18A</t>
        </is>
      </c>
      <c r="G325" s="43" t="n">
        <v>45800</v>
      </c>
      <c r="H325" s="26" t="n">
        <v>1086.2</v>
      </c>
      <c r="I325" s="22" t="inlineStr">
        <is>
          <t>gross (stated)</t>
        </is>
      </c>
      <c r="J325" s="27" t="n"/>
      <c r="K325" s="27" t="n">
        <v>23.3</v>
      </c>
      <c r="L325" s="44" t="n">
        <v>23.3</v>
      </c>
      <c r="M325" s="32" t="n"/>
      <c r="N325" s="29" t="inlineStr">
        <is>
          <t>Y</t>
        </is>
      </c>
      <c r="O325" s="26" t="n">
        <v>6438.8</v>
      </c>
      <c r="P325" s="46" t="n">
        <v>25.51</v>
      </c>
      <c r="Q325" s="31" t="n">
        <v>0.98</v>
      </c>
      <c r="R325" s="45" t="n">
        <v>28.76</v>
      </c>
      <c r="S325" s="33" t="n">
        <v>41.37</v>
      </c>
      <c r="T325" s="32" t="n"/>
      <c r="U325" s="22" t="n"/>
      <c r="V325" s="22" t="n"/>
      <c r="W325" s="31" t="n"/>
      <c r="X325" s="31" t="n"/>
      <c r="Y325" s="35" t="n"/>
      <c r="Z325" s="35" t="n"/>
      <c r="AA325" s="22" t="n"/>
      <c r="AB325" s="22" t="n"/>
      <c r="AC325" s="22" t="inlineStr">
        <is>
          <t>China International Capital Corporation Hong Kong Securities Limited; CCB International Capital Limited</t>
        </is>
      </c>
      <c r="AD325" s="22" t="inlineStr">
        <is>
          <t>Managers CMB International Capital Limited; Livermore Holdings Limited; BOCOM International Securities Limited; Platinum Broking Company Limited</t>
        </is>
      </c>
      <c r="AE325" s="22" t="n"/>
      <c r="AK325">
        <f>IF(AND(Screener!$B$7&lt;&gt;"",$E325=Screener!$B$7),1,0)</f>
        <v/>
      </c>
      <c r="AL325">
        <f>IF(AND(Screener!$B$6&lt;&gt;"",$D325=Screener!$B$6),1,0)</f>
        <v/>
      </c>
      <c r="AM325">
        <f>IF(OR($H325="",Screener!$B$8=""),0,MAX(0,1-ABS(LOG10($H325/Screener!$B$8))/W_SIZEHW))</f>
        <v/>
      </c>
      <c r="AN325">
        <f>IF(OR($V325="",Screener!$B$9=""),0,IF($V325=Screener!$B$9,1,0))</f>
        <v/>
      </c>
      <c r="AO325">
        <f>IF(OR($AA325="",Screener!$B$10=""),0,IF($AA325=Screener!$B$10,1,0))</f>
        <v/>
      </c>
      <c r="AP325">
        <f>IF($G325="",0,MAX(0,1-(Screener!$B$12-$G325)/W_RECD))</f>
        <v/>
      </c>
      <c r="AQ325">
        <f>IF($B325=Screener!$B$3,-999999,W_SUB*AK325+W_SEC*AL325*(1-AK325)+W_SIZE*AM325+W_PROF*AN325+W_AH*AO325+W_REC*AP325)+ROW()/1000000</f>
        <v/>
      </c>
      <c r="AR325">
        <f>IF(OR('NEW DEAL'!$B$6="",$E325&lt;&gt;'NEW DEAL'!$B$6),-1,1+IF(OR($H325="",'NEW DEAL'!$B$7=""),0,MAX(0,1-ABS(LOG10($H325/'NEW DEAL'!$B$7))/W_SIZEHW)))+ROW()/1000000</f>
        <v/>
      </c>
    </row>
    <row r="326">
      <c r="A326" s="23" t="inlineStr">
        <is>
          <t>1276</t>
        </is>
      </c>
      <c r="B326" s="22" t="inlineStr">
        <is>
          <t>HENGRUI PHARMA</t>
        </is>
      </c>
      <c r="C326" s="22" t="inlineStr">
        <is>
          <t>江蘇恒瑞醫藥股份有限公司</t>
        </is>
      </c>
      <c r="D326" s="24" t="inlineStr">
        <is>
          <t>Healthcare</t>
        </is>
      </c>
      <c r="E326" s="24" t="inlineStr">
        <is>
          <t>Biopharma commercial</t>
        </is>
      </c>
      <c r="F326" s="22" t="inlineStr">
        <is>
          <t>Standard</t>
        </is>
      </c>
      <c r="G326" s="43" t="n">
        <v>45800</v>
      </c>
      <c r="H326" s="26" t="n">
        <v>9890.1</v>
      </c>
      <c r="I326" s="22" t="inlineStr">
        <is>
          <t>gross (stated)</t>
        </is>
      </c>
      <c r="J326" s="27" t="n"/>
      <c r="K326" s="27" t="n">
        <v>44.05</v>
      </c>
      <c r="L326" s="44" t="n">
        <v>44.05</v>
      </c>
      <c r="M326" s="32" t="n"/>
      <c r="N326" s="29" t="inlineStr">
        <is>
          <t>Y</t>
        </is>
      </c>
      <c r="O326" s="36" t="n">
        <v>351900</v>
      </c>
      <c r="P326" s="46" t="n">
        <v>454.85</v>
      </c>
      <c r="Q326" s="31" t="n">
        <v>17.09</v>
      </c>
      <c r="R326" s="45" t="n">
        <v>25.2</v>
      </c>
      <c r="S326" s="42" t="n">
        <v>42</v>
      </c>
      <c r="T326" s="28" t="n">
        <v>15</v>
      </c>
      <c r="U326" s="22" t="n"/>
      <c r="V326" s="29" t="inlineStr">
        <is>
          <t>Y</t>
        </is>
      </c>
      <c r="W326" s="34" t="n">
        <v>50.5</v>
      </c>
      <c r="X326" s="34" t="n">
        <v>11.4</v>
      </c>
      <c r="Y326" s="36" t="n">
        <v>30783.1</v>
      </c>
      <c r="Z326" s="36" t="n">
        <v>6970.7</v>
      </c>
      <c r="AA326" s="22" t="inlineStr">
        <is>
          <t>Y</t>
        </is>
      </c>
      <c r="AB326" s="38" t="inlineStr">
        <is>
          <t>600276.SS</t>
        </is>
      </c>
      <c r="AC326" s="22" t="inlineStr">
        <is>
          <t>Morgan Stanley Asia Limited; Citigroup Global Markets Asia Limited; Huatai Financial Holdings (Hong Kong) Limited</t>
        </is>
      </c>
      <c r="AD326" s="22" t="inlineStr">
        <is>
          <t>Morgan Stanley Asia Limited; Citigroup Global Markets Asia Limited; Huatai Financial Holdings (Hong Kong) Limited; UBS AG Hong Kong Branch; Citigroup Global Markets Limited; – 132 – Huatai Financial Holdings (Hong Kong) Limited; (Below in alphabetical order) BOCI Asia Limited; CLSA Limited; GF Securities (Hong Kong) Brokerage Limited</t>
        </is>
      </c>
      <c r="AE326" s="22" t="n"/>
      <c r="AK326">
        <f>IF(AND(Screener!$B$7&lt;&gt;"",$E326=Screener!$B$7),1,0)</f>
        <v/>
      </c>
      <c r="AL326">
        <f>IF(AND(Screener!$B$6&lt;&gt;"",$D326=Screener!$B$6),1,0)</f>
        <v/>
      </c>
      <c r="AM326">
        <f>IF(OR($H326="",Screener!$B$8=""),0,MAX(0,1-ABS(LOG10($H326/Screener!$B$8))/W_SIZEHW))</f>
        <v/>
      </c>
      <c r="AN326">
        <f>IF(OR($V326="",Screener!$B$9=""),0,IF($V326=Screener!$B$9,1,0))</f>
        <v/>
      </c>
      <c r="AO326">
        <f>IF(OR($AA326="",Screener!$B$10=""),0,IF($AA326=Screener!$B$10,1,0))</f>
        <v/>
      </c>
      <c r="AP326">
        <f>IF($G326="",0,MAX(0,1-(Screener!$B$12-$G326)/W_RECD))</f>
        <v/>
      </c>
      <c r="AQ326">
        <f>IF($B326=Screener!$B$3,-999999,W_SUB*AK326+W_SEC*AL326*(1-AK326)+W_SIZE*AM326+W_PROF*AN326+W_AH*AO326+W_REC*AP326)+ROW()/1000000</f>
        <v/>
      </c>
      <c r="AR326">
        <f>IF(OR('NEW DEAL'!$B$6="",$E326&lt;&gt;'NEW DEAL'!$B$6),-1,1+IF(OR($H326="",'NEW DEAL'!$B$7=""),0,MAX(0,1-ABS(LOG10($H326/'NEW DEAL'!$B$7))/W_SIZEHW)))+ROW()/1000000</f>
        <v/>
      </c>
    </row>
    <row r="327">
      <c r="A327" s="23" t="inlineStr">
        <is>
          <t>2565</t>
        </is>
      </c>
      <c r="B327" s="22" t="inlineStr">
        <is>
          <t>PEGBIO CO-B</t>
        </is>
      </c>
      <c r="C327" s="22" t="inlineStr">
        <is>
          <t>派格生物醫藥</t>
        </is>
      </c>
      <c r="D327" s="24" t="inlineStr">
        <is>
          <t>Healthcare</t>
        </is>
      </c>
      <c r="E327" s="24" t="inlineStr">
        <is>
          <t>Biotech pre-revenue (18A)</t>
        </is>
      </c>
      <c r="F327" s="38" t="inlineStr">
        <is>
          <t>18A</t>
        </is>
      </c>
      <c r="G327" s="43" t="n">
        <v>45804</v>
      </c>
      <c r="H327" s="26" t="n">
        <v>300.8</v>
      </c>
      <c r="I327" s="22" t="inlineStr">
        <is>
          <t>gross (stated)</t>
        </is>
      </c>
      <c r="J327" s="27" t="n"/>
      <c r="K327" s="27" t="n">
        <v>15.6</v>
      </c>
      <c r="L327" s="44" t="n">
        <v>15.6</v>
      </c>
      <c r="M327" s="32" t="n"/>
      <c r="N327" s="29" t="inlineStr">
        <is>
          <t>Y</t>
        </is>
      </c>
      <c r="O327" s="26" t="n">
        <v>6020.9</v>
      </c>
      <c r="P327" s="46" t="n">
        <v>743.78</v>
      </c>
      <c r="Q327" s="31" t="n">
        <v>1.13</v>
      </c>
      <c r="R327" s="45" t="n">
        <v>-25.9</v>
      </c>
      <c r="S327" s="33" t="n">
        <v>10</v>
      </c>
      <c r="T327" s="32" t="n"/>
      <c r="U327" s="22" t="n"/>
      <c r="V327" s="29" t="inlineStr">
        <is>
          <t>N</t>
        </is>
      </c>
      <c r="W327" s="31" t="n"/>
      <c r="X327" s="31" t="n"/>
      <c r="Y327" s="35" t="n"/>
      <c r="Z327" s="36" t="n">
        <v>-311.7</v>
      </c>
      <c r="AA327" s="22" t="n"/>
      <c r="AB327" s="22" t="n"/>
      <c r="AC327" s="22" t="inlineStr">
        <is>
          <t>China International Capital Corporation Hong Kong Securities Limited</t>
        </is>
      </c>
      <c r="AD327" s="22" t="inlineStr">
        <is>
          <t>China International Capital Corporation Hong Kong Securities Limited; CMBC Securities Company Limited; ABCI Capital Limited; CCB International Capital Limited; BOCI Asia Limited; Zhongtai International Securities Limited; SPDB International Capital Limited; Eddid Securities and Futures Limited; Sinolink Securities (Hong Kong) Company Limited; China Everbright Securities (HK) Limited; GF Securities (Hong Kong) Brokerage Limited; CEB International Capital Corporation Limited</t>
        </is>
      </c>
      <c r="AE327" s="22" t="n"/>
      <c r="AK327">
        <f>IF(AND(Screener!$B$7&lt;&gt;"",$E327=Screener!$B$7),1,0)</f>
        <v/>
      </c>
      <c r="AL327">
        <f>IF(AND(Screener!$B$6&lt;&gt;"",$D327=Screener!$B$6),1,0)</f>
        <v/>
      </c>
      <c r="AM327">
        <f>IF(OR($H327="",Screener!$B$8=""),0,MAX(0,1-ABS(LOG10($H327/Screener!$B$8))/W_SIZEHW))</f>
        <v/>
      </c>
      <c r="AN327">
        <f>IF(OR($V327="",Screener!$B$9=""),0,IF($V327=Screener!$B$9,1,0))</f>
        <v/>
      </c>
      <c r="AO327">
        <f>IF(OR($AA327="",Screener!$B$10=""),0,IF($AA327=Screener!$B$10,1,0))</f>
        <v/>
      </c>
      <c r="AP327">
        <f>IF($G327="",0,MAX(0,1-(Screener!$B$12-$G327)/W_RECD))</f>
        <v/>
      </c>
      <c r="AQ327">
        <f>IF($B327=Screener!$B$3,-999999,W_SUB*AK327+W_SEC*AL327*(1-AK327)+W_SIZE*AM327+W_PROF*AN327+W_AH*AO327+W_REC*AP327)+ROW()/1000000</f>
        <v/>
      </c>
      <c r="AR327">
        <f>IF(OR('NEW DEAL'!$B$6="",$E327&lt;&gt;'NEW DEAL'!$B$6),-1,1+IF(OR($H327="",'NEW DEAL'!$B$7=""),0,MAX(0,1-ABS(LOG10($H327/'NEW DEAL'!$B$7))/W_SIZEHW)))+ROW()/1000000</f>
        <v/>
      </c>
    </row>
    <row r="328">
      <c r="A328" s="23" t="inlineStr">
        <is>
          <t>2603</t>
        </is>
      </c>
      <c r="B328" s="22" t="inlineStr">
        <is>
          <t>JIHONG CO</t>
        </is>
      </c>
      <c r="C328" s="22" t="n"/>
      <c r="D328" s="24" t="inlineStr">
        <is>
          <t>Tech/AI</t>
        </is>
      </c>
      <c r="E328" s="24" t="inlineStr">
        <is>
          <t>Internet platform / e-commerce</t>
        </is>
      </c>
      <c r="F328" s="22" t="inlineStr">
        <is>
          <t>Standard</t>
        </is>
      </c>
      <c r="G328" s="43" t="n">
        <v>45804</v>
      </c>
      <c r="H328" s="26" t="n">
        <v>521.5</v>
      </c>
      <c r="I328" s="22" t="inlineStr">
        <is>
          <t>gross (stated)</t>
        </is>
      </c>
      <c r="J328" s="27" t="n">
        <v>7.48</v>
      </c>
      <c r="K328" s="27" t="n">
        <v>10.68</v>
      </c>
      <c r="L328" s="44" t="n">
        <v>7.68</v>
      </c>
      <c r="M328" s="28" t="n">
        <v>6.2</v>
      </c>
      <c r="N328" s="29" t="inlineStr">
        <is>
          <t>N</t>
        </is>
      </c>
      <c r="O328" s="26" t="n">
        <v>3476.6</v>
      </c>
      <c r="P328" s="46" t="n">
        <v>49.39</v>
      </c>
      <c r="Q328" s="31" t="n">
        <v>1.62</v>
      </c>
      <c r="R328" s="45" t="n">
        <v>39.06</v>
      </c>
      <c r="S328" s="33" t="n">
        <v>10</v>
      </c>
      <c r="T328" s="32" t="n"/>
      <c r="U328" s="22" t="n"/>
      <c r="V328" s="29" t="inlineStr">
        <is>
          <t>Y</t>
        </is>
      </c>
      <c r="W328" s="34" t="n">
        <v>17.1</v>
      </c>
      <c r="X328" s="34" t="n">
        <v>0.6</v>
      </c>
      <c r="Y328" s="36" t="n">
        <v>5913.5</v>
      </c>
      <c r="Z328" s="36" t="n">
        <v>202.9</v>
      </c>
      <c r="AA328" s="22" t="inlineStr">
        <is>
          <t>Y</t>
        </is>
      </c>
      <c r="AB328" s="22" t="inlineStr">
        <is>
          <t>002803.SZ</t>
        </is>
      </c>
      <c r="AC328" s="22" t="inlineStr">
        <is>
          <t>Hong Kong Securities Limited; Hong Kong SAR CMB International Capital Limited</t>
        </is>
      </c>
      <c r="AD328" s="22" t="inlineStr">
        <is>
          <t>China International Capital Corporation Hong Kong Securities Limited; Hong Kong SAR CMB International Capital Limited; BOCI Asia Limited; Hong Kong SAR China Galaxy International Securities (Hong Kong) Co., Limited; Hong Kong SAR ICBC International Securities Limited; Hong Kong SAR CCB International Capital Limited; Hong Kong SAR Quam Securities Limited; Hong Kong SAR SDHG International Securities Limited; Hong Kong SAR Fosun International Securities Limited; Hong Kong SAR Long Bridge HK Limited; Hong Kong SAR Sinolink Securities (Hong Kong) Company Limited; Sheung Wan Hong Kong SAR Huafu International Securities Limited</t>
        </is>
      </c>
      <c r="AE328" s="22" t="n"/>
      <c r="AK328">
        <f>IF(AND(Screener!$B$7&lt;&gt;"",$E328=Screener!$B$7),1,0)</f>
        <v/>
      </c>
      <c r="AL328">
        <f>IF(AND(Screener!$B$6&lt;&gt;"",$D328=Screener!$B$6),1,0)</f>
        <v/>
      </c>
      <c r="AM328">
        <f>IF(OR($H328="",Screener!$B$8=""),0,MAX(0,1-ABS(LOG10($H328/Screener!$B$8))/W_SIZEHW))</f>
        <v/>
      </c>
      <c r="AN328">
        <f>IF(OR($V328="",Screener!$B$9=""),0,IF($V328=Screener!$B$9,1,0))</f>
        <v/>
      </c>
      <c r="AO328">
        <f>IF(OR($AA328="",Screener!$B$10=""),0,IF($AA328=Screener!$B$10,1,0))</f>
        <v/>
      </c>
      <c r="AP328">
        <f>IF($G328="",0,MAX(0,1-(Screener!$B$12-$G328)/W_RECD))</f>
        <v/>
      </c>
      <c r="AQ328">
        <f>IF($B328=Screener!$B$3,-999999,W_SUB*AK328+W_SEC*AL328*(1-AK328)+W_SIZE*AM328+W_PROF*AN328+W_AH*AO328+W_REC*AP328)+ROW()/1000000</f>
        <v/>
      </c>
      <c r="AR328">
        <f>IF(OR('NEW DEAL'!$B$6="",$E328&lt;&gt;'NEW DEAL'!$B$6),-1,1+IF(OR($H328="",'NEW DEAL'!$B$7=""),0,MAX(0,1-ABS(LOG10($H328/'NEW DEAL'!$B$7))/W_SIZEHW)))+ROW()/1000000</f>
        <v/>
      </c>
    </row>
    <row r="329">
      <c r="A329" s="23" t="inlineStr">
        <is>
          <t>2621</t>
        </is>
      </c>
      <c r="B329" s="22" t="inlineStr">
        <is>
          <t>SHOUHUI GROUP</t>
        </is>
      </c>
      <c r="C329" s="22" t="n"/>
      <c r="D329" s="24" t="inlineStr">
        <is>
          <t>Financials</t>
        </is>
      </c>
      <c r="E329" s="24" t="inlineStr">
        <is>
          <t>Insurance</t>
        </is>
      </c>
      <c r="F329" s="22" t="inlineStr">
        <is>
          <t>Standard</t>
        </is>
      </c>
      <c r="G329" s="43" t="n">
        <v>45807</v>
      </c>
      <c r="H329" s="26" t="n">
        <v>196.82</v>
      </c>
      <c r="I329" s="22" t="inlineStr">
        <is>
          <t>gross (stated)</t>
        </is>
      </c>
      <c r="J329" s="27" t="n">
        <v>6.48</v>
      </c>
      <c r="K329" s="27" t="n">
        <v>8.08</v>
      </c>
      <c r="L329" s="44" t="n">
        <v>8.08</v>
      </c>
      <c r="M329" s="28" t="n">
        <v>100</v>
      </c>
      <c r="N329" s="22" t="inlineStr">
        <is>
          <t>Y</t>
        </is>
      </c>
      <c r="O329" s="26" t="n">
        <v>1615.9</v>
      </c>
      <c r="P329" s="46" t="n">
        <v>990</v>
      </c>
      <c r="Q329" s="31" t="n">
        <v>1.13</v>
      </c>
      <c r="R329" s="45" t="n">
        <v>-18.19</v>
      </c>
      <c r="S329" s="33" t="n">
        <v>31.08</v>
      </c>
      <c r="T329" s="28" t="n">
        <v>10</v>
      </c>
      <c r="U329" s="22" t="n"/>
      <c r="V329" s="29" t="inlineStr">
        <is>
          <t>N</t>
        </is>
      </c>
      <c r="W329" s="31" t="n"/>
      <c r="X329" s="31" t="n"/>
      <c r="Y329" s="35" t="n"/>
      <c r="Z329" s="36" t="n">
        <v>-99.2</v>
      </c>
      <c r="AA329" s="22" t="n"/>
      <c r="AB329" s="22" t="n"/>
      <c r="AC329" s="22" t="inlineStr">
        <is>
          <t>Huatai Financial Holdings (Hong Kong) Limited</t>
        </is>
      </c>
      <c r="AD329" s="22" t="inlineStr">
        <is>
          <t>China International Capital Corporation Hong Kong Securities Limited; Huatai Financial Holdings (Hong Kong) Limited; CCB International Capital Limited; CLSA Limited; CMB International Capital Limited; Futu Securities International (Hong Kong) Limited; Patrons Securities Limited; TradeGo Markets Limited; Tiger Brokers (HK) Global Limited; Maxa Capital Limited</t>
        </is>
      </c>
      <c r="AE329" s="22" t="n"/>
      <c r="AK329">
        <f>IF(AND(Screener!$B$7&lt;&gt;"",$E329=Screener!$B$7),1,0)</f>
        <v/>
      </c>
      <c r="AL329">
        <f>IF(AND(Screener!$B$6&lt;&gt;"",$D329=Screener!$B$6),1,0)</f>
        <v/>
      </c>
      <c r="AM329">
        <f>IF(OR($H329="",Screener!$B$8=""),0,MAX(0,1-ABS(LOG10($H329/Screener!$B$8))/W_SIZEHW))</f>
        <v/>
      </c>
      <c r="AN329">
        <f>IF(OR($V329="",Screener!$B$9=""),0,IF($V329=Screener!$B$9,1,0))</f>
        <v/>
      </c>
      <c r="AO329">
        <f>IF(OR($AA329="",Screener!$B$10=""),0,IF($AA329=Screener!$B$10,1,0))</f>
        <v/>
      </c>
      <c r="AP329">
        <f>IF($G329="",0,MAX(0,1-(Screener!$B$12-$G329)/W_RECD))</f>
        <v/>
      </c>
      <c r="AQ329">
        <f>IF($B329=Screener!$B$3,-999999,W_SUB*AK329+W_SEC*AL329*(1-AK329)+W_SIZE*AM329+W_PROF*AN329+W_AH*AO329+W_REC*AP329)+ROW()/1000000</f>
        <v/>
      </c>
      <c r="AR329">
        <f>IF(OR('NEW DEAL'!$B$6="",$E329&lt;&gt;'NEW DEAL'!$B$6),-1,1+IF(OR($H329="",'NEW DEAL'!$B$7=""),0,MAX(0,1-ABS(LOG10($H329/'NEW DEAL'!$B$7))/W_SIZEHW)))+ROW()/1000000</f>
        <v/>
      </c>
    </row>
    <row r="330">
      <c r="A330" s="23" t="inlineStr">
        <is>
          <t>9881</t>
        </is>
      </c>
      <c r="B330" s="22" t="inlineStr">
        <is>
          <t>RONGTA TECH</t>
        </is>
      </c>
      <c r="C330" s="22" t="n"/>
      <c r="D330" s="24" t="inlineStr">
        <is>
          <t>Tech/AI</t>
        </is>
      </c>
      <c r="E330" s="24" t="inlineStr">
        <is>
          <t>Smart hardware / consumer electronics</t>
        </is>
      </c>
      <c r="F330" s="22" t="inlineStr">
        <is>
          <t>Standard</t>
        </is>
      </c>
      <c r="G330" s="39" t="n">
        <v>45818</v>
      </c>
      <c r="H330" s="26" t="n">
        <v>184</v>
      </c>
      <c r="I330" s="22" t="inlineStr">
        <is>
          <t>gross (stated)</t>
        </is>
      </c>
      <c r="J330" s="27" t="n"/>
      <c r="K330" s="27" t="n">
        <v>12</v>
      </c>
      <c r="L330" s="44" t="n">
        <v>10</v>
      </c>
      <c r="M330" s="32" t="n"/>
      <c r="N330" s="29" t="inlineStr">
        <is>
          <t>N</t>
        </is>
      </c>
      <c r="O330" s="26" t="n">
        <v>947.3</v>
      </c>
      <c r="P330" s="46" t="n">
        <v>275.96</v>
      </c>
      <c r="Q330" s="31" t="n">
        <v>0.96</v>
      </c>
      <c r="R330" s="45" t="n">
        <v>42</v>
      </c>
      <c r="S330" s="33" t="n">
        <v>43.64</v>
      </c>
      <c r="T330" s="32" t="n">
        <v>7.06</v>
      </c>
      <c r="U330" s="22" t="inlineStr">
        <is>
          <t>not-yet (at allotment)</t>
        </is>
      </c>
      <c r="V330" s="29" t="inlineStr">
        <is>
          <t>Y</t>
        </is>
      </c>
      <c r="W330" s="34" t="n">
        <v>20.8</v>
      </c>
      <c r="X330" s="34" t="n">
        <v>2.5</v>
      </c>
      <c r="Y330" s="36" t="n">
        <v>385.1</v>
      </c>
      <c r="Z330" s="36" t="n">
        <v>45.5</v>
      </c>
      <c r="AA330" s="22" t="n"/>
      <c r="AB330" s="22" t="n"/>
      <c r="AC330" s="22" t="inlineStr">
        <is>
          <t>Yue Xiu Capital Limited</t>
        </is>
      </c>
      <c r="AD330" s="22" t="inlineStr">
        <is>
          <t>Yue Xiu Securities Company Limited; Managers Yue Xiu Securities Company Limited; ABCI CAPITAL LIMITED; ABCI SECURITIES COMPANY LIMITED</t>
        </is>
      </c>
      <c r="AE330" s="22" t="n"/>
      <c r="AK330">
        <f>IF(AND(Screener!$B$7&lt;&gt;"",$E330=Screener!$B$7),1,0)</f>
        <v/>
      </c>
      <c r="AL330">
        <f>IF(AND(Screener!$B$6&lt;&gt;"",$D330=Screener!$B$6),1,0)</f>
        <v/>
      </c>
      <c r="AM330">
        <f>IF(OR($H330="",Screener!$B$8=""),0,MAX(0,1-ABS(LOG10($H330/Screener!$B$8))/W_SIZEHW))</f>
        <v/>
      </c>
      <c r="AN330">
        <f>IF(OR($V330="",Screener!$B$9=""),0,IF($V330=Screener!$B$9,1,0))</f>
        <v/>
      </c>
      <c r="AO330">
        <f>IF(OR($AA330="",Screener!$B$10=""),0,IF($AA330=Screener!$B$10,1,0))</f>
        <v/>
      </c>
      <c r="AP330">
        <f>IF($G330="",0,MAX(0,1-(Screener!$B$12-$G330)/W_RECD))</f>
        <v/>
      </c>
      <c r="AQ330">
        <f>IF($B330=Screener!$B$3,-999999,W_SUB*AK330+W_SEC*AL330*(1-AK330)+W_SIZE*AM330+W_PROF*AN330+W_AH*AO330+W_REC*AP330)+ROW()/1000000</f>
        <v/>
      </c>
      <c r="AR330">
        <f>IF(OR('NEW DEAL'!$B$6="",$E330&lt;&gt;'NEW DEAL'!$B$6),-1,1+IF(OR($H330="",'NEW DEAL'!$B$7=""),0,MAX(0,1-ABS(LOG10($H330/'NEW DEAL'!$B$7))/W_SIZEHW)))+ROW()/1000000</f>
        <v/>
      </c>
    </row>
    <row r="331">
      <c r="A331" s="23" t="inlineStr">
        <is>
          <t>2573</t>
        </is>
      </c>
      <c r="B331" s="22" t="inlineStr">
        <is>
          <t>NEWTREND GROUP</t>
        </is>
      </c>
      <c r="C331" s="22" t="inlineStr">
        <is>
          <t>安集團股</t>
        </is>
      </c>
      <c r="D331" s="24" t="inlineStr">
        <is>
          <t>Consumer</t>
        </is>
      </c>
      <c r="E331" s="24" t="inlineStr">
        <is>
          <t>Beverages / packaged food</t>
        </is>
      </c>
      <c r="F331" s="22" t="inlineStr">
        <is>
          <t>Standard</t>
        </is>
      </c>
      <c r="G331" s="39" t="n">
        <v>45818</v>
      </c>
      <c r="H331" s="26" t="n">
        <v>200.1</v>
      </c>
      <c r="I331" s="22" t="inlineStr">
        <is>
          <t>gross (price x shares)</t>
        </is>
      </c>
      <c r="J331" s="27" t="n"/>
      <c r="K331" s="27" t="n">
        <v>20.9</v>
      </c>
      <c r="L331" s="44" t="n">
        <v>18.9</v>
      </c>
      <c r="M331" s="32" t="n"/>
      <c r="N331" s="29" t="inlineStr">
        <is>
          <t>N</t>
        </is>
      </c>
      <c r="O331" s="26" t="n">
        <v>1818.8</v>
      </c>
      <c r="P331" s="46" t="n">
        <v>149.37</v>
      </c>
      <c r="Q331" s="31" t="n">
        <v>0.93</v>
      </c>
      <c r="R331" s="45" t="n">
        <v>21.43</v>
      </c>
      <c r="S331" s="33" t="n">
        <v>15.7</v>
      </c>
      <c r="T331" s="32" t="n">
        <v>10.2</v>
      </c>
      <c r="U331" s="22" t="inlineStr">
        <is>
          <t>not-yet (at allotment)</t>
        </is>
      </c>
      <c r="V331" s="29" t="inlineStr">
        <is>
          <t>Y</t>
        </is>
      </c>
      <c r="W331" s="34" t="n">
        <v>38.1</v>
      </c>
      <c r="X331" s="34" t="n">
        <v>2.9</v>
      </c>
      <c r="Y331" s="36" t="n">
        <v>625.8</v>
      </c>
      <c r="Z331" s="36" t="n">
        <v>47.7</v>
      </c>
      <c r="AA331" s="22" t="n"/>
      <c r="AB331" s="22" t="n"/>
      <c r="AC331" s="22" t="inlineStr">
        <is>
          <t>CMBC International Capital Limited</t>
        </is>
      </c>
      <c r="AD331" s="22" t="inlineStr">
        <is>
          <t>China Industrial Securities International Capital Limited; Guosen Securities (HK) Capital Company Limited; ABCI Capital Limited</t>
        </is>
      </c>
      <c r="AE331" s="22" t="n"/>
      <c r="AK331">
        <f>IF(AND(Screener!$B$7&lt;&gt;"",$E331=Screener!$B$7),1,0)</f>
        <v/>
      </c>
      <c r="AL331">
        <f>IF(AND(Screener!$B$6&lt;&gt;"",$D331=Screener!$B$6),1,0)</f>
        <v/>
      </c>
      <c r="AM331">
        <f>IF(OR($H331="",Screener!$B$8=""),0,MAX(0,1-ABS(LOG10($H331/Screener!$B$8))/W_SIZEHW))</f>
        <v/>
      </c>
      <c r="AN331">
        <f>IF(OR($V331="",Screener!$B$9=""),0,IF($V331=Screener!$B$9,1,0))</f>
        <v/>
      </c>
      <c r="AO331">
        <f>IF(OR($AA331="",Screener!$B$10=""),0,IF($AA331=Screener!$B$10,1,0))</f>
        <v/>
      </c>
      <c r="AP331">
        <f>IF($G331="",0,MAX(0,1-(Screener!$B$12-$G331)/W_RECD))</f>
        <v/>
      </c>
      <c r="AQ331">
        <f>IF($B331=Screener!$B$3,-999999,W_SUB*AK331+W_SEC*AL331*(1-AK331)+W_SIZE*AM331+W_PROF*AN331+W_AH*AO331+W_REC*AP331)+ROW()/1000000</f>
        <v/>
      </c>
      <c r="AR331">
        <f>IF(OR('NEW DEAL'!$B$6="",$E331&lt;&gt;'NEW DEAL'!$B$6),-1,1+IF(OR($H331="",'NEW DEAL'!$B$7=""),0,MAX(0,1-ABS(LOG10($H331/'NEW DEAL'!$B$7))/W_SIZEHW)))+ROW()/1000000</f>
        <v/>
      </c>
    </row>
    <row r="332">
      <c r="A332" s="23" t="inlineStr">
        <is>
          <t>2605</t>
        </is>
      </c>
      <c r="B332" s="22" t="inlineStr">
        <is>
          <t>METALIGHT</t>
        </is>
      </c>
      <c r="C332" s="22" t="n"/>
      <c r="D332" s="24" t="inlineStr">
        <is>
          <t>Tech/AI</t>
        </is>
      </c>
      <c r="E332" s="24" t="inlineStr">
        <is>
          <t>Internet platform / e-commerce</t>
        </is>
      </c>
      <c r="F332" s="22" t="inlineStr">
        <is>
          <t>Standard</t>
        </is>
      </c>
      <c r="G332" s="43" t="n">
        <v>45818</v>
      </c>
      <c r="H332" s="26" t="n">
        <v>242.35</v>
      </c>
      <c r="I332" s="22" t="inlineStr">
        <is>
          <t>gross (stated)</t>
        </is>
      </c>
      <c r="J332" s="27" t="n"/>
      <c r="K332" s="27" t="n">
        <v>9.75</v>
      </c>
      <c r="L332" s="44" t="n">
        <v>9.75</v>
      </c>
      <c r="M332" s="32" t="n"/>
      <c r="N332" s="29" t="inlineStr">
        <is>
          <t>Y</t>
        </is>
      </c>
      <c r="O332" s="26" t="n">
        <v>1504.2</v>
      </c>
      <c r="P332" s="46" t="n">
        <v>274.44</v>
      </c>
      <c r="Q332" s="31" t="n">
        <v>2.49</v>
      </c>
      <c r="R332" s="45" t="n">
        <v>-30.26</v>
      </c>
      <c r="S332" s="33" t="n">
        <v>0</v>
      </c>
      <c r="T332" s="32" t="n"/>
      <c r="U332" s="22" t="n"/>
      <c r="V332" s="29" t="inlineStr">
        <is>
          <t>N</t>
        </is>
      </c>
      <c r="W332" s="31" t="n"/>
      <c r="X332" s="31" t="n"/>
      <c r="Y332" s="35" t="n"/>
      <c r="Z332" s="36" t="n">
        <v>-28.8</v>
      </c>
      <c r="AA332" s="22" t="n"/>
      <c r="AB332" s="22" t="n"/>
      <c r="AC332" s="22" t="inlineStr">
        <is>
          <t>China International Capital Corporation Hong Kong Securities Limited; -Overall Coordinator China International Capital Corporation Hong Kong Securities Limited</t>
        </is>
      </c>
      <c r="AD332" s="22" t="inlineStr">
        <is>
          <t>China International Capital Corporation Hong Kong Securities Limited; CMBC Securities Company Limited; ABCI Capital Limited; CCB International Capital Limited; Patrons Securities Limited; SBI China Capital Financial Services Limited; Fosun International Securities Limited; BOCI Asia Limited; Futu Securities International (Hong Kong) Limited; Tiger Brokers (HK) Global Limited; Long Bridge HK Limited</t>
        </is>
      </c>
      <c r="AE332" s="22" t="n"/>
      <c r="AK332">
        <f>IF(AND(Screener!$B$7&lt;&gt;"",$E332=Screener!$B$7),1,0)</f>
        <v/>
      </c>
      <c r="AL332">
        <f>IF(AND(Screener!$B$6&lt;&gt;"",$D332=Screener!$B$6),1,0)</f>
        <v/>
      </c>
      <c r="AM332">
        <f>IF(OR($H332="",Screener!$B$8=""),0,MAX(0,1-ABS(LOG10($H332/Screener!$B$8))/W_SIZEHW))</f>
        <v/>
      </c>
      <c r="AN332">
        <f>IF(OR($V332="",Screener!$B$9=""),0,IF($V332=Screener!$B$9,1,0))</f>
        <v/>
      </c>
      <c r="AO332">
        <f>IF(OR($AA332="",Screener!$B$10=""),0,IF($AA332=Screener!$B$10,1,0))</f>
        <v/>
      </c>
      <c r="AP332">
        <f>IF($G332="",0,MAX(0,1-(Screener!$B$12-$G332)/W_RECD))</f>
        <v/>
      </c>
      <c r="AQ332">
        <f>IF($B332=Screener!$B$3,-999999,W_SUB*AK332+W_SEC*AL332*(1-AK332)+W_SIZE*AM332+W_PROF*AN332+W_AH*AO332+W_REC*AP332)+ROW()/1000000</f>
        <v/>
      </c>
      <c r="AR332">
        <f>IF(OR('NEW DEAL'!$B$6="",$E332&lt;&gt;'NEW DEAL'!$B$6),-1,1+IF(OR($H332="",'NEW DEAL'!$B$7=""),0,MAX(0,1-ABS(LOG10($H332/'NEW DEAL'!$B$7))/W_SIZEHW)))+ROW()/1000000</f>
        <v/>
      </c>
    </row>
    <row r="333">
      <c r="A333" s="23" t="inlineStr">
        <is>
          <t>3288</t>
        </is>
      </c>
      <c r="B333" s="22" t="inlineStr">
        <is>
          <t>HAITIAN FLAV</t>
        </is>
      </c>
      <c r="C333" s="22" t="inlineStr">
        <is>
          <t>佛山市海天調味食品股份有限公司</t>
        </is>
      </c>
      <c r="D333" s="24" t="inlineStr">
        <is>
          <t>Consumer</t>
        </is>
      </c>
      <c r="E333" s="24" t="inlineStr">
        <is>
          <t>Beverages / packaged food</t>
        </is>
      </c>
      <c r="F333" s="22" t="inlineStr">
        <is>
          <t>Standard</t>
        </is>
      </c>
      <c r="G333" s="43" t="n">
        <v>45827</v>
      </c>
      <c r="H333" s="26" t="n">
        <v>10128.9</v>
      </c>
      <c r="I333" s="22" t="inlineStr">
        <is>
          <t>gross (stated)</t>
        </is>
      </c>
      <c r="J333" s="27" t="n">
        <v>35</v>
      </c>
      <c r="K333" s="27" t="n">
        <v>36.3</v>
      </c>
      <c r="L333" s="44" t="n">
        <v>36.3</v>
      </c>
      <c r="M333" s="28" t="n">
        <v>100</v>
      </c>
      <c r="N333" s="29" t="inlineStr">
        <is>
          <t>Y</t>
        </is>
      </c>
      <c r="O333" s="26" t="n">
        <v>185511</v>
      </c>
      <c r="P333" s="46" t="n">
        <v>918.15</v>
      </c>
      <c r="Q333" s="31" t="n"/>
      <c r="R333" s="45" t="n">
        <v>0.55</v>
      </c>
      <c r="S333" s="33" t="n">
        <v>10</v>
      </c>
      <c r="T333" s="28" t="n">
        <v>15</v>
      </c>
      <c r="U333" s="22" t="n"/>
      <c r="V333" s="29" t="inlineStr">
        <is>
          <t>Y</t>
        </is>
      </c>
      <c r="W333" s="34" t="n">
        <v>26.5</v>
      </c>
      <c r="X333" s="34" t="n">
        <v>6.3</v>
      </c>
      <c r="Y333" s="36" t="n">
        <v>29591.1</v>
      </c>
      <c r="Z333" s="36" t="n">
        <v>6991.4</v>
      </c>
      <c r="AA333" s="22" t="inlineStr">
        <is>
          <t>Y</t>
        </is>
      </c>
      <c r="AB333" s="38" t="inlineStr">
        <is>
          <t>603288.SS</t>
        </is>
      </c>
      <c r="AC333" s="22" t="inlineStr">
        <is>
          <t>China International Capital Corporation Hong Kong Securities Limited; Goldman Sachs (Asia) L.L.C; Morgan Stanley Asia Limited</t>
        </is>
      </c>
      <c r="AD333" s="22" t="inlineStr">
        <is>
          <t>ABCI Securities Company Limited</t>
        </is>
      </c>
      <c r="AE333" s="22" t="n"/>
      <c r="AK333">
        <f>IF(AND(Screener!$B$7&lt;&gt;"",$E333=Screener!$B$7),1,0)</f>
        <v/>
      </c>
      <c r="AL333">
        <f>IF(AND(Screener!$B$6&lt;&gt;"",$D333=Screener!$B$6),1,0)</f>
        <v/>
      </c>
      <c r="AM333">
        <f>IF(OR($H333="",Screener!$B$8=""),0,MAX(0,1-ABS(LOG10($H333/Screener!$B$8))/W_SIZEHW))</f>
        <v/>
      </c>
      <c r="AN333">
        <f>IF(OR($V333="",Screener!$B$9=""),0,IF($V333=Screener!$B$9,1,0))</f>
        <v/>
      </c>
      <c r="AO333">
        <f>IF(OR($AA333="",Screener!$B$10=""),0,IF($AA333=Screener!$B$10,1,0))</f>
        <v/>
      </c>
      <c r="AP333">
        <f>IF($G333="",0,MAX(0,1-(Screener!$B$12-$G333)/W_RECD))</f>
        <v/>
      </c>
      <c r="AQ333">
        <f>IF($B333=Screener!$B$3,-999999,W_SUB*AK333+W_SEC*AL333*(1-AK333)+W_SIZE*AM333+W_PROF*AN333+W_AH*AO333+W_REC*AP333)+ROW()/1000000</f>
        <v/>
      </c>
      <c r="AR333">
        <f>IF(OR('NEW DEAL'!$B$6="",$E333&lt;&gt;'NEW DEAL'!$B$6),-1,1+IF(OR($H333="",'NEW DEAL'!$B$7=""),0,MAX(0,1-ABS(LOG10($H333/'NEW DEAL'!$B$7))/W_SIZEHW)))+ROW()/1000000</f>
        <v/>
      </c>
    </row>
    <row r="334">
      <c r="A334" s="23" t="inlineStr">
        <is>
          <t>2609</t>
        </is>
      </c>
      <c r="B334" s="22" t="inlineStr">
        <is>
          <t>BAYZED HEALTH</t>
        </is>
      </c>
      <c r="C334" s="22" t="inlineStr">
        <is>
          <t>佰澤醫療集團</t>
        </is>
      </c>
      <c r="D334" s="24" t="inlineStr">
        <is>
          <t>Healthcare</t>
        </is>
      </c>
      <c r="E334" s="24" t="inlineStr">
        <is>
          <t>Digital health</t>
        </is>
      </c>
      <c r="F334" s="22" t="inlineStr">
        <is>
          <t>Standard</t>
        </is>
      </c>
      <c r="G334" s="43" t="n">
        <v>45831</v>
      </c>
      <c r="H334" s="26" t="n">
        <v>561.7</v>
      </c>
      <c r="I334" s="22" t="inlineStr">
        <is>
          <t>gross (stated)</t>
        </is>
      </c>
      <c r="J334" s="27" t="n">
        <v>4.22</v>
      </c>
      <c r="K334" s="27" t="n">
        <v>6.75</v>
      </c>
      <c r="L334" s="44" t="n">
        <v>4.22</v>
      </c>
      <c r="M334" s="28" t="n">
        <v>0</v>
      </c>
      <c r="N334" s="29" t="inlineStr">
        <is>
          <t>N</t>
        </is>
      </c>
      <c r="O334" s="26" t="n">
        <v>5563.9</v>
      </c>
      <c r="P334" s="46" t="n">
        <v>25.92</v>
      </c>
      <c r="Q334" s="31" t="n">
        <v>0.98</v>
      </c>
      <c r="R334" s="32" t="n">
        <v>42.18</v>
      </c>
      <c r="S334" s="33" t="n">
        <v>26.5</v>
      </c>
      <c r="T334" s="32" t="n"/>
      <c r="U334" s="22" t="n"/>
      <c r="V334" s="29" t="inlineStr">
        <is>
          <t>N</t>
        </is>
      </c>
      <c r="W334" s="31" t="n"/>
      <c r="X334" s="34" t="n">
        <v>4.3</v>
      </c>
      <c r="Y334" s="36" t="n">
        <v>1307.7</v>
      </c>
      <c r="Z334" s="36" t="n">
        <v>-3.9</v>
      </c>
      <c r="AA334" s="22" t="n"/>
      <c r="AB334" s="22" t="n"/>
      <c r="AC334" s="22" t="n"/>
      <c r="AD334" s="22" t="n"/>
      <c r="AE334" s="22" t="n"/>
      <c r="AK334">
        <f>IF(AND(Screener!$B$7&lt;&gt;"",$E334=Screener!$B$7),1,0)</f>
        <v/>
      </c>
      <c r="AL334">
        <f>IF(AND(Screener!$B$6&lt;&gt;"",$D334=Screener!$B$6),1,0)</f>
        <v/>
      </c>
      <c r="AM334">
        <f>IF(OR($H334="",Screener!$B$8=""),0,MAX(0,1-ABS(LOG10($H334/Screener!$B$8))/W_SIZEHW))</f>
        <v/>
      </c>
      <c r="AN334">
        <f>IF(OR($V334="",Screener!$B$9=""),0,IF($V334=Screener!$B$9,1,0))</f>
        <v/>
      </c>
      <c r="AO334">
        <f>IF(OR($AA334="",Screener!$B$10=""),0,IF($AA334=Screener!$B$10,1,0))</f>
        <v/>
      </c>
      <c r="AP334">
        <f>IF($G334="",0,MAX(0,1-(Screener!$B$12-$G334)/W_RECD))</f>
        <v/>
      </c>
      <c r="AQ334">
        <f>IF($B334=Screener!$B$3,-999999,W_SUB*AK334+W_SEC*AL334*(1-AK334)+W_SIZE*AM334+W_PROF*AN334+W_AH*AO334+W_REC*AP334)+ROW()/1000000</f>
        <v/>
      </c>
      <c r="AR334">
        <f>IF(OR('NEW DEAL'!$B$6="",$E334&lt;&gt;'NEW DEAL'!$B$6),-1,1+IF(OR($H334="",'NEW DEAL'!$B$7=""),0,MAX(0,1-ABS(LOG10($H334/'NEW DEAL'!$B$7))/W_SIZEHW)))+ROW()/1000000</f>
        <v/>
      </c>
    </row>
    <row r="335">
      <c r="A335" s="23" t="inlineStr">
        <is>
          <t>2050</t>
        </is>
      </c>
      <c r="B335" s="22" t="inlineStr">
        <is>
          <t>SANHUA</t>
        </is>
      </c>
      <c r="C335" s="22" t="n"/>
      <c r="D335" s="24" t="inlineStr">
        <is>
          <t>Consumer</t>
        </is>
      </c>
      <c r="E335" s="24" t="inlineStr">
        <is>
          <t>Auto parts / supply chain</t>
        </is>
      </c>
      <c r="F335" s="22" t="inlineStr">
        <is>
          <t>Standard</t>
        </is>
      </c>
      <c r="G335" s="43" t="n">
        <v>45831</v>
      </c>
      <c r="H335" s="26" t="n">
        <v>9336</v>
      </c>
      <c r="I335" s="22" t="inlineStr">
        <is>
          <t>gross (stated)</t>
        </is>
      </c>
      <c r="J335" s="27" t="n"/>
      <c r="K335" s="27" t="n">
        <v>22.53</v>
      </c>
      <c r="L335" s="44" t="n">
        <v>22.53</v>
      </c>
      <c r="M335" s="32" t="n"/>
      <c r="N335" s="29" t="inlineStr">
        <is>
          <t>Y</t>
        </is>
      </c>
      <c r="O335" s="26" t="n">
        <v>93426.7</v>
      </c>
      <c r="P335" s="40" t="n">
        <v>747.9</v>
      </c>
      <c r="Q335" s="31" t="n"/>
      <c r="R335" s="45" t="n">
        <v>-0.13</v>
      </c>
      <c r="S335" s="33" t="n">
        <v>10</v>
      </c>
      <c r="T335" s="28" t="n">
        <v>15</v>
      </c>
      <c r="U335" s="22" t="n"/>
      <c r="V335" s="29" t="inlineStr">
        <is>
          <t>Y</t>
        </is>
      </c>
      <c r="W335" s="34" t="n">
        <v>27.3</v>
      </c>
      <c r="X335" s="34" t="n">
        <v>3</v>
      </c>
      <c r="Y335" s="36" t="n">
        <v>30741.9</v>
      </c>
      <c r="Z335" s="36" t="n">
        <v>3422.9</v>
      </c>
      <c r="AA335" s="22" t="inlineStr">
        <is>
          <t>Y</t>
        </is>
      </c>
      <c r="AB335" s="38" t="inlineStr">
        <is>
          <t>002050.SZ</t>
        </is>
      </c>
      <c r="AC335" s="22" t="inlineStr">
        <is>
          <t>China International Capital Corporation Hong Kong Securities Limited; Huatai Financial Holdings (Hong Kong) Limited</t>
        </is>
      </c>
      <c r="AD335" s="22" t="inlineStr">
        <is>
          <t>China International Capital Corporation Hong Kong Securities Limited; Huatai Financial Holdings (Hong Kong) Limited; ABCI Capital Limited; Caitong International Securities Co., Limited; GF Securities (Hong Kong) Brokerage Limited; Zheshang International Financial Holdings Co., Limited</t>
        </is>
      </c>
      <c r="AE335" s="22" t="n"/>
      <c r="AK335">
        <f>IF(AND(Screener!$B$7&lt;&gt;"",$E335=Screener!$B$7),1,0)</f>
        <v/>
      </c>
      <c r="AL335">
        <f>IF(AND(Screener!$B$6&lt;&gt;"",$D335=Screener!$B$6),1,0)</f>
        <v/>
      </c>
      <c r="AM335">
        <f>IF(OR($H335="",Screener!$B$8=""),0,MAX(0,1-ABS(LOG10($H335/Screener!$B$8))/W_SIZEHW))</f>
        <v/>
      </c>
      <c r="AN335">
        <f>IF(OR($V335="",Screener!$B$9=""),0,IF($V335=Screener!$B$9,1,0))</f>
        <v/>
      </c>
      <c r="AO335">
        <f>IF(OR($AA335="",Screener!$B$10=""),0,IF($AA335=Screener!$B$10,1,0))</f>
        <v/>
      </c>
      <c r="AP335">
        <f>IF($G335="",0,MAX(0,1-(Screener!$B$12-$G335)/W_RECD))</f>
        <v/>
      </c>
      <c r="AQ335">
        <f>IF($B335=Screener!$B$3,-999999,W_SUB*AK335+W_SEC*AL335*(1-AK335)+W_SIZE*AM335+W_PROF*AN335+W_AH*AO335+W_REC*AP335)+ROW()/1000000</f>
        <v/>
      </c>
      <c r="AR335">
        <f>IF(OR('NEW DEAL'!$B$6="",$E335&lt;&gt;'NEW DEAL'!$B$6),-1,1+IF(OR($H335="",'NEW DEAL'!$B$7=""),0,MAX(0,1-ABS(LOG10($H335/'NEW DEAL'!$B$7))/W_SIZEHW)))+ROW()/1000000</f>
        <v/>
      </c>
    </row>
    <row r="336">
      <c r="A336" s="23" t="inlineStr">
        <is>
          <t>2617</t>
        </is>
      </c>
      <c r="B336" s="22" t="inlineStr">
        <is>
          <t>TRANSTHERA-B</t>
        </is>
      </c>
      <c r="C336" s="22" t="inlineStr">
        <is>
          <t>藥捷安康</t>
        </is>
      </c>
      <c r="D336" s="24" t="inlineStr">
        <is>
          <t>Healthcare</t>
        </is>
      </c>
      <c r="E336" s="24" t="inlineStr">
        <is>
          <t>Biotech pre-revenue (18A)</t>
        </is>
      </c>
      <c r="F336" s="38" t="inlineStr">
        <is>
          <t>18A</t>
        </is>
      </c>
      <c r="G336" s="39" t="n">
        <v>45831</v>
      </c>
      <c r="H336" s="26" t="n">
        <v>200.9</v>
      </c>
      <c r="I336" s="22" t="inlineStr">
        <is>
          <t>gross (price x shares)</t>
        </is>
      </c>
      <c r="J336" s="27" t="n"/>
      <c r="K336" s="27" t="n">
        <v>13.15</v>
      </c>
      <c r="L336" s="44" t="n">
        <v>13.15</v>
      </c>
      <c r="M336" s="32" t="n"/>
      <c r="N336" s="29" t="inlineStr">
        <is>
          <t>Y</t>
        </is>
      </c>
      <c r="O336" s="26" t="n">
        <v>5219.2</v>
      </c>
      <c r="P336" s="46" t="n">
        <v>3419.87</v>
      </c>
      <c r="Q336" s="31" t="n">
        <v>0.97</v>
      </c>
      <c r="R336" s="32" t="n">
        <v>78.70999999999999</v>
      </c>
      <c r="S336" s="33" t="n">
        <v>64.06</v>
      </c>
      <c r="T336" s="32" t="n">
        <v>8.390000000000001</v>
      </c>
      <c r="U336" s="22" t="n"/>
      <c r="V336" s="29" t="inlineStr">
        <is>
          <t>N</t>
        </is>
      </c>
      <c r="W336" s="31" t="n"/>
      <c r="X336" s="34" t="n">
        <v>4014.8</v>
      </c>
      <c r="Y336" s="36" t="n">
        <v>1.3</v>
      </c>
      <c r="Z336" s="36" t="n">
        <v>-377.7</v>
      </c>
      <c r="AA336" s="22" t="n"/>
      <c r="AB336" s="22" t="n"/>
      <c r="AC336" s="22" t="inlineStr">
        <is>
          <t>(In no particular order) CITIC Securities (Hong Kong) Limited; Huatai Financial Holdings (Hong Kong) Limited</t>
        </is>
      </c>
      <c r="AD336" s="22" t="inlineStr">
        <is>
          <t>CLSA Limited; Huatai Financial Holdings (Hong Kong) Limited; BOCI Asia Limited; CMB International Capital Limited; SPDB International Capital Limited; TradeGo Markets Limited</t>
        </is>
      </c>
      <c r="AE336" s="22" t="n"/>
      <c r="AK336">
        <f>IF(AND(Screener!$B$7&lt;&gt;"",$E336=Screener!$B$7),1,0)</f>
        <v/>
      </c>
      <c r="AL336">
        <f>IF(AND(Screener!$B$6&lt;&gt;"",$D336=Screener!$B$6),1,0)</f>
        <v/>
      </c>
      <c r="AM336">
        <f>IF(OR($H336="",Screener!$B$8=""),0,MAX(0,1-ABS(LOG10($H336/Screener!$B$8))/W_SIZEHW))</f>
        <v/>
      </c>
      <c r="AN336">
        <f>IF(OR($V336="",Screener!$B$9=""),0,IF($V336=Screener!$B$9,1,0))</f>
        <v/>
      </c>
      <c r="AO336">
        <f>IF(OR($AA336="",Screener!$B$10=""),0,IF($AA336=Screener!$B$10,1,0))</f>
        <v/>
      </c>
      <c r="AP336">
        <f>IF($G336="",0,MAX(0,1-(Screener!$B$12-$G336)/W_RECD))</f>
        <v/>
      </c>
      <c r="AQ336">
        <f>IF($B336=Screener!$B$3,-999999,W_SUB*AK336+W_SEC*AL336*(1-AK336)+W_SIZE*AM336+W_PROF*AN336+W_AH*AO336+W_REC*AP336)+ROW()/1000000</f>
        <v/>
      </c>
      <c r="AR336">
        <f>IF(OR('NEW DEAL'!$B$6="",$E336&lt;&gt;'NEW DEAL'!$B$6),-1,1+IF(OR($H336="",'NEW DEAL'!$B$7=""),0,MAX(0,1-ABS(LOG10($H336/'NEW DEAL'!$B$7))/W_SIZEHW)))+ROW()/1000000</f>
        <v/>
      </c>
    </row>
    <row r="337">
      <c r="A337" s="23" t="inlineStr">
        <is>
          <t>2619</t>
        </is>
      </c>
      <c r="B337" s="22" t="inlineStr">
        <is>
          <t>XJ ELECTRICS</t>
        </is>
      </c>
      <c r="C337" s="22" t="n"/>
      <c r="D337" s="24" t="inlineStr">
        <is>
          <t>Tech/AI</t>
        </is>
      </c>
      <c r="E337" s="24" t="inlineStr">
        <is>
          <t>Smart hardware / consumer electronics</t>
        </is>
      </c>
      <c r="F337" s="22" t="inlineStr">
        <is>
          <t>Standard</t>
        </is>
      </c>
      <c r="G337" s="39" t="n">
        <v>45833</v>
      </c>
      <c r="H337" s="26" t="n">
        <v>195.11</v>
      </c>
      <c r="I337" s="22" t="inlineStr">
        <is>
          <t>gross (stated)</t>
        </is>
      </c>
      <c r="J337" s="27" t="n"/>
      <c r="K337" s="27" t="n">
        <v>3.35</v>
      </c>
      <c r="L337" s="44" t="n">
        <v>2.86</v>
      </c>
      <c r="M337" s="32" t="n"/>
      <c r="N337" s="29" t="inlineStr">
        <is>
          <t>N</t>
        </is>
      </c>
      <c r="O337" s="26" t="n">
        <v>780.4</v>
      </c>
      <c r="P337" s="46" t="n">
        <v>852.38</v>
      </c>
      <c r="Q337" s="31" t="n">
        <v>1.08</v>
      </c>
      <c r="R337" s="47" t="n">
        <v>-38.81</v>
      </c>
      <c r="S337" s="33" t="n">
        <v>50</v>
      </c>
      <c r="T337" s="32" t="n">
        <v>19</v>
      </c>
      <c r="U337" s="22" t="inlineStr">
        <is>
          <t>not-yet (at allotment)</t>
        </is>
      </c>
      <c r="V337" s="29" t="inlineStr">
        <is>
          <t>Y</t>
        </is>
      </c>
      <c r="W337" s="34" t="n">
        <v>5.1</v>
      </c>
      <c r="X337" s="34" t="n">
        <v>0.5</v>
      </c>
      <c r="Y337" s="36" t="n">
        <v>1651.7</v>
      </c>
      <c r="Z337" s="36" t="n">
        <v>154.5</v>
      </c>
      <c r="AA337" s="22" t="n"/>
      <c r="AB337" s="22" t="n"/>
      <c r="AC337" s="22" t="n"/>
      <c r="AD337" s="22" t="n"/>
      <c r="AE337" s="22" t="n"/>
      <c r="AK337">
        <f>IF(AND(Screener!$B$7&lt;&gt;"",$E337=Screener!$B$7),1,0)</f>
        <v/>
      </c>
      <c r="AL337">
        <f>IF(AND(Screener!$B$6&lt;&gt;"",$D337=Screener!$B$6),1,0)</f>
        <v/>
      </c>
      <c r="AM337">
        <f>IF(OR($H337="",Screener!$B$8=""),0,MAX(0,1-ABS(LOG10($H337/Screener!$B$8))/W_SIZEHW))</f>
        <v/>
      </c>
      <c r="AN337">
        <f>IF(OR($V337="",Screener!$B$9=""),0,IF($V337=Screener!$B$9,1,0))</f>
        <v/>
      </c>
      <c r="AO337">
        <f>IF(OR($AA337="",Screener!$B$10=""),0,IF($AA337=Screener!$B$10,1,0))</f>
        <v/>
      </c>
      <c r="AP337">
        <f>IF($G337="",0,MAX(0,1-(Screener!$B$12-$G337)/W_RECD))</f>
        <v/>
      </c>
      <c r="AQ337">
        <f>IF($B337=Screener!$B$3,-999999,W_SUB*AK337+W_SEC*AL337*(1-AK337)+W_SIZE*AM337+W_PROF*AN337+W_AH*AO337+W_REC*AP337)+ROW()/1000000</f>
        <v/>
      </c>
      <c r="AR337">
        <f>IF(OR('NEW DEAL'!$B$6="",$E337&lt;&gt;'NEW DEAL'!$B$6),-1,1+IF(OR($H337="",'NEW DEAL'!$B$7=""),0,MAX(0,1-ABS(LOG10($H337/'NEW DEAL'!$B$7))/W_SIZEHW)))+ROW()/1000000</f>
        <v/>
      </c>
    </row>
    <row r="338">
      <c r="A338" s="23" t="inlineStr">
        <is>
          <t>2643</t>
        </is>
      </c>
      <c r="B338" s="22" t="inlineStr">
        <is>
          <t>CAOCAO INC</t>
        </is>
      </c>
      <c r="C338" s="22" t="n"/>
      <c r="D338" s="24" t="inlineStr">
        <is>
          <t>Tech/AI</t>
        </is>
      </c>
      <c r="E338" s="24" t="inlineStr">
        <is>
          <t>Internet platform / e-commerce</t>
        </is>
      </c>
      <c r="F338" s="22" t="inlineStr">
        <is>
          <t>Standard</t>
        </is>
      </c>
      <c r="G338" s="39" t="n">
        <v>45833</v>
      </c>
      <c r="H338" s="26" t="n">
        <v>1852.85</v>
      </c>
      <c r="I338" s="22" t="inlineStr">
        <is>
          <t>gross (stated)</t>
        </is>
      </c>
      <c r="J338" s="27" t="n"/>
      <c r="K338" s="27" t="n">
        <v>41.94</v>
      </c>
      <c r="L338" s="44" t="n">
        <v>41.94</v>
      </c>
      <c r="M338" s="32" t="n"/>
      <c r="N338" s="29" t="inlineStr">
        <is>
          <t>Y</t>
        </is>
      </c>
      <c r="O338" s="26" t="n">
        <v>22822.9</v>
      </c>
      <c r="P338" s="46" t="n">
        <v>21.14</v>
      </c>
      <c r="Q338" s="31" t="n">
        <v>2.78</v>
      </c>
      <c r="R338" s="45" t="n">
        <v>-14.16</v>
      </c>
      <c r="S338" s="33" t="n">
        <v>23.2</v>
      </c>
      <c r="T338" s="28" t="n">
        <v>15</v>
      </c>
      <c r="U338" s="22" t="inlineStr">
        <is>
          <t>partial</t>
        </is>
      </c>
      <c r="V338" s="29" t="inlineStr">
        <is>
          <t>N</t>
        </is>
      </c>
      <c r="W338" s="31" t="n"/>
      <c r="X338" s="34" t="n">
        <v>1.4</v>
      </c>
      <c r="Y338" s="36" t="n">
        <v>16123.2</v>
      </c>
      <c r="Z338" s="36" t="n">
        <v>-1371</v>
      </c>
      <c r="AA338" s="22" t="n"/>
      <c r="AB338" s="22" t="n"/>
      <c r="AC338" s="22" t="inlineStr">
        <is>
          <t>Huatai Financial Holdings (Hong Kong) Limited; ABCI Capital Limited; GF Capital (Hong Kong) Limited</t>
        </is>
      </c>
      <c r="AD338" s="22" t="inlineStr">
        <is>
          <t>Huatai Financial Holdings (Hong Kong) Limited; ABCI Capital Limited; GF Securities (Hong Kong) Brokerage Limited; China International Capital Corporation Hong Kong Securities Limited; China Galaxy International Securities (Hong Kong) Co., Limited; DIRECTORS AND PARTIES INVOLVED IN THE GLOBAL OFFERING –1 1 6– ABCI Capital Limited; CEB International Capital Corporation Limited; BOCI Asia Limited; Soochow Securities International Brokerage Limited</t>
        </is>
      </c>
      <c r="AE338" s="22" t="n"/>
      <c r="AK338">
        <f>IF(AND(Screener!$B$7&lt;&gt;"",$E338=Screener!$B$7),1,0)</f>
        <v/>
      </c>
      <c r="AL338">
        <f>IF(AND(Screener!$B$6&lt;&gt;"",$D338=Screener!$B$6),1,0)</f>
        <v/>
      </c>
      <c r="AM338">
        <f>IF(OR($H338="",Screener!$B$8=""),0,MAX(0,1-ABS(LOG10($H338/Screener!$B$8))/W_SIZEHW))</f>
        <v/>
      </c>
      <c r="AN338">
        <f>IF(OR($V338="",Screener!$B$9=""),0,IF($V338=Screener!$B$9,1,0))</f>
        <v/>
      </c>
      <c r="AO338">
        <f>IF(OR($AA338="",Screener!$B$10=""),0,IF($AA338=Screener!$B$10,1,0))</f>
        <v/>
      </c>
      <c r="AP338">
        <f>IF($G338="",0,MAX(0,1-(Screener!$B$12-$G338)/W_RECD))</f>
        <v/>
      </c>
      <c r="AQ338">
        <f>IF($B338=Screener!$B$3,-999999,W_SUB*AK338+W_SEC*AL338*(1-AK338)+W_SIZE*AM338+W_PROF*AN338+W_AH*AO338+W_REC*AP338)+ROW()/1000000</f>
        <v/>
      </c>
      <c r="AR338">
        <f>IF(OR('NEW DEAL'!$B$6="",$E338&lt;&gt;'NEW DEAL'!$B$6),-1,1+IF(OR($H338="",'NEW DEAL'!$B$7=""),0,MAX(0,1-ABS(LOG10($H338/'NEW DEAL'!$B$7))/W_SIZEHW)))+ROW()/1000000</f>
        <v/>
      </c>
    </row>
    <row r="339">
      <c r="A339" s="23" t="inlineStr">
        <is>
          <t>6168</t>
        </is>
      </c>
      <c r="B339" s="22" t="inlineStr">
        <is>
          <t>ZHOU LIU FU</t>
        </is>
      </c>
      <c r="C339" s="22" t="n"/>
      <c r="D339" s="24" t="inlineStr">
        <is>
          <t>Consumer</t>
        </is>
      </c>
      <c r="E339" s="24" t="inlineStr">
        <is>
          <t>Apparel / luxury</t>
        </is>
      </c>
      <c r="F339" s="22" t="inlineStr">
        <is>
          <t>Standard</t>
        </is>
      </c>
      <c r="G339" s="39" t="n">
        <v>45834</v>
      </c>
      <c r="H339" s="26" t="n">
        <v>1291.9</v>
      </c>
      <c r="I339" s="22" t="inlineStr">
        <is>
          <t>gross (stated)</t>
        </is>
      </c>
      <c r="J339" s="27" t="n"/>
      <c r="K339" s="27" t="n"/>
      <c r="L339" s="44" t="n">
        <v>24</v>
      </c>
      <c r="M339" s="32" t="n"/>
      <c r="N339" s="22" t="n"/>
      <c r="O339" s="26" t="n">
        <v>10381</v>
      </c>
      <c r="P339" s="46" t="n">
        <v>711.11</v>
      </c>
      <c r="Q339" s="31" t="n">
        <v>13.55</v>
      </c>
      <c r="R339" s="45" t="n">
        <v>25</v>
      </c>
      <c r="S339" s="33" t="n"/>
      <c r="T339" s="28" t="n">
        <v>15</v>
      </c>
      <c r="U339" s="22" t="n"/>
      <c r="V339" s="22" t="n"/>
      <c r="W339" s="31" t="n"/>
      <c r="X339" s="31" t="n"/>
      <c r="Y339" s="35" t="n"/>
      <c r="Z339" s="35" t="n"/>
      <c r="AA339" s="22" t="n"/>
      <c r="AB339" s="22" t="n"/>
      <c r="AC339" s="22" t="n"/>
      <c r="AD339" s="22" t="n"/>
      <c r="AE339" s="22" t="n"/>
      <c r="AK339">
        <f>IF(AND(Screener!$B$7&lt;&gt;"",$E339=Screener!$B$7),1,0)</f>
        <v/>
      </c>
      <c r="AL339">
        <f>IF(AND(Screener!$B$6&lt;&gt;"",$D339=Screener!$B$6),1,0)</f>
        <v/>
      </c>
      <c r="AM339">
        <f>IF(OR($H339="",Screener!$B$8=""),0,MAX(0,1-ABS(LOG10($H339/Screener!$B$8))/W_SIZEHW))</f>
        <v/>
      </c>
      <c r="AN339">
        <f>IF(OR($V339="",Screener!$B$9=""),0,IF($V339=Screener!$B$9,1,0))</f>
        <v/>
      </c>
      <c r="AO339">
        <f>IF(OR($AA339="",Screener!$B$10=""),0,IF($AA339=Screener!$B$10,1,0))</f>
        <v/>
      </c>
      <c r="AP339">
        <f>IF($G339="",0,MAX(0,1-(Screener!$B$12-$G339)/W_RECD))</f>
        <v/>
      </c>
      <c r="AQ339">
        <f>IF($B339=Screener!$B$3,-999999,W_SUB*AK339+W_SEC*AL339*(1-AK339)+W_SIZE*AM339+W_PROF*AN339+W_AH*AO339+W_REC*AP339)+ROW()/1000000</f>
        <v/>
      </c>
      <c r="AR339">
        <f>IF(OR('NEW DEAL'!$B$6="",$E339&lt;&gt;'NEW DEAL'!$B$6),-1,1+IF(OR($H339="",'NEW DEAL'!$B$7=""),0,MAX(0,1-ABS(LOG10($H339/'NEW DEAL'!$B$7))/W_SIZEHW)))+ROW()/1000000</f>
        <v/>
      </c>
    </row>
    <row r="340">
      <c r="A340" s="23" t="inlineStr">
        <is>
          <t>2508</t>
        </is>
      </c>
      <c r="B340" s="22" t="inlineStr">
        <is>
          <t>SAINT BELLA</t>
        </is>
      </c>
      <c r="C340" s="22" t="n"/>
      <c r="D340" s="24" t="inlineStr">
        <is>
          <t>Healthcare</t>
        </is>
      </c>
      <c r="E340" s="24" t="inlineStr">
        <is>
          <t>Hospitals / clinics</t>
        </is>
      </c>
      <c r="F340" s="22" t="inlineStr">
        <is>
          <t>Standard</t>
        </is>
      </c>
      <c r="G340" s="43" t="n">
        <v>45834</v>
      </c>
      <c r="H340" s="26" t="n">
        <v>722</v>
      </c>
      <c r="I340" s="22" t="inlineStr">
        <is>
          <t>gross (price x shares)</t>
        </is>
      </c>
      <c r="J340" s="27" t="n"/>
      <c r="K340" s="27" t="n">
        <v>6.58</v>
      </c>
      <c r="L340" s="44" t="n">
        <v>6.58</v>
      </c>
      <c r="M340" s="32" t="n"/>
      <c r="N340" s="29" t="inlineStr">
        <is>
          <t>Y</t>
        </is>
      </c>
      <c r="O340" s="26" t="n">
        <v>4012</v>
      </c>
      <c r="P340" s="46" t="n">
        <v>193</v>
      </c>
      <c r="Q340" s="31" t="n">
        <v>15.59</v>
      </c>
      <c r="R340" s="45" t="n">
        <v>33.74</v>
      </c>
      <c r="S340" s="33" t="n">
        <v>10.8</v>
      </c>
      <c r="T340" s="28" t="n">
        <v>15</v>
      </c>
      <c r="U340" s="22" t="n"/>
      <c r="V340" s="29" t="inlineStr">
        <is>
          <t>N</t>
        </is>
      </c>
      <c r="W340" s="31" t="n"/>
      <c r="X340" s="34" t="n">
        <v>4.6</v>
      </c>
      <c r="Y340" s="36" t="n">
        <v>878.5</v>
      </c>
      <c r="Z340" s="36" t="n">
        <v>-597.6</v>
      </c>
      <c r="AA340" s="22" t="n"/>
      <c r="AB340" s="22" t="n"/>
      <c r="AC340" s="22" t="inlineStr">
        <is>
          <t>UBS Securities Hong Kong Limited; CITIC Securities (Hong Kong) Limited</t>
        </is>
      </c>
      <c r="AD340" s="22" t="inlineStr">
        <is>
          <t>UBS AG Hong Kong Branch; CLSA Limited; Huatai Financial Holdings (Hong Kong) Limited; GF Securities (Hong Kong) Brokerage Limited; CMB International Capital Limited; CCB International Capital Limited; Caitong International Securities Co., Limited; Futu Securities International (Hong Kong) Limited</t>
        </is>
      </c>
      <c r="AE340" s="22" t="n"/>
      <c r="AK340">
        <f>IF(AND(Screener!$B$7&lt;&gt;"",$E340=Screener!$B$7),1,0)</f>
        <v/>
      </c>
      <c r="AL340">
        <f>IF(AND(Screener!$B$6&lt;&gt;"",$D340=Screener!$B$6),1,0)</f>
        <v/>
      </c>
      <c r="AM340">
        <f>IF(OR($H340="",Screener!$B$8=""),0,MAX(0,1-ABS(LOG10($H340/Screener!$B$8))/W_SIZEHW))</f>
        <v/>
      </c>
      <c r="AN340">
        <f>IF(OR($V340="",Screener!$B$9=""),0,IF($V340=Screener!$B$9,1,0))</f>
        <v/>
      </c>
      <c r="AO340">
        <f>IF(OR($AA340="",Screener!$B$10=""),0,IF($AA340=Screener!$B$10,1,0))</f>
        <v/>
      </c>
      <c r="AP340">
        <f>IF($G340="",0,MAX(0,1-(Screener!$B$12-$G340)/W_RECD))</f>
        <v/>
      </c>
      <c r="AQ340">
        <f>IF($B340=Screener!$B$3,-999999,W_SUB*AK340+W_SEC*AL340*(1-AK340)+W_SIZE*AM340+W_PROF*AN340+W_AH*AO340+W_REC*AP340)+ROW()/1000000</f>
        <v/>
      </c>
      <c r="AR340">
        <f>IF(OR('NEW DEAL'!$B$6="",$E340&lt;&gt;'NEW DEAL'!$B$6),-1,1+IF(OR($H340="",'NEW DEAL'!$B$7=""),0,MAX(0,1-ABS(LOG10($H340/'NEW DEAL'!$B$7))/W_SIZEHW)))+ROW()/1000000</f>
        <v/>
      </c>
    </row>
    <row r="341">
      <c r="A341" s="23" t="inlineStr">
        <is>
          <t>6883</t>
        </is>
      </c>
      <c r="B341" s="22" t="inlineStr">
        <is>
          <t>ETERNAL BEAUTY</t>
        </is>
      </c>
      <c r="C341" s="22" t="n"/>
      <c r="D341" s="24" t="inlineStr">
        <is>
          <t>Consumer</t>
        </is>
      </c>
      <c r="E341" s="24" t="inlineStr">
        <is>
          <t>Beauty / personal care</t>
        </is>
      </c>
      <c r="F341" s="22" t="inlineStr">
        <is>
          <t>Standard</t>
        </is>
      </c>
      <c r="G341" s="43" t="n">
        <v>45834</v>
      </c>
      <c r="H341" s="26" t="n">
        <v>960.1900000000001</v>
      </c>
      <c r="I341" s="22" t="inlineStr">
        <is>
          <t>gross (stated)</t>
        </is>
      </c>
      <c r="J341" s="27" t="n"/>
      <c r="K341" s="27" t="n"/>
      <c r="L341" s="44" t="n">
        <v>2.88</v>
      </c>
      <c r="M341" s="32" t="n"/>
      <c r="N341" s="22" t="n"/>
      <c r="O341" s="26" t="n">
        <v>3840.2</v>
      </c>
      <c r="P341" s="46" t="n">
        <v>35.84</v>
      </c>
      <c r="Q341" s="31" t="n">
        <v>3.5</v>
      </c>
      <c r="R341" s="45" t="n">
        <v>-16.67</v>
      </c>
      <c r="S341" s="33" t="n"/>
      <c r="T341" s="28" t="n">
        <v>15</v>
      </c>
      <c r="U341" s="22" t="n"/>
      <c r="V341" s="22" t="n"/>
      <c r="W341" s="31" t="n"/>
      <c r="X341" s="31" t="n"/>
      <c r="Y341" s="35" t="n"/>
      <c r="Z341" s="35" t="n"/>
      <c r="AA341" s="22" t="n"/>
      <c r="AB341" s="22" t="n"/>
      <c r="AC341" s="22" t="n"/>
      <c r="AD341" s="22" t="n"/>
      <c r="AE341" s="22" t="n"/>
      <c r="AK341">
        <f>IF(AND(Screener!$B$7&lt;&gt;"",$E341=Screener!$B$7),1,0)</f>
        <v/>
      </c>
      <c r="AL341">
        <f>IF(AND(Screener!$B$6&lt;&gt;"",$D341=Screener!$B$6),1,0)</f>
        <v/>
      </c>
      <c r="AM341">
        <f>IF(OR($H341="",Screener!$B$8=""),0,MAX(0,1-ABS(LOG10($H341/Screener!$B$8))/W_SIZEHW))</f>
        <v/>
      </c>
      <c r="AN341">
        <f>IF(OR($V341="",Screener!$B$9=""),0,IF($V341=Screener!$B$9,1,0))</f>
        <v/>
      </c>
      <c r="AO341">
        <f>IF(OR($AA341="",Screener!$B$10=""),0,IF($AA341=Screener!$B$10,1,0))</f>
        <v/>
      </c>
      <c r="AP341">
        <f>IF($G341="",0,MAX(0,1-(Screener!$B$12-$G341)/W_RECD))</f>
        <v/>
      </c>
      <c r="AQ341">
        <f>IF($B341=Screener!$B$3,-999999,W_SUB*AK341+W_SEC*AL341*(1-AK341)+W_SIZE*AM341+W_PROF*AN341+W_AH*AO341+W_REC*AP341)+ROW()/1000000</f>
        <v/>
      </c>
      <c r="AR341">
        <f>IF(OR('NEW DEAL'!$B$6="",$E341&lt;&gt;'NEW DEAL'!$B$6),-1,1+IF(OR($H341="",'NEW DEAL'!$B$7=""),0,MAX(0,1-ABS(LOG10($H341/'NEW DEAL'!$B$7))/W_SIZEHW)))+ROW()/1000000</f>
        <v/>
      </c>
    </row>
    <row r="342">
      <c r="A342" s="23" t="inlineStr">
        <is>
          <t>9678</t>
        </is>
      </c>
      <c r="B342" s="22" t="inlineStr">
        <is>
          <t>UNISOUND</t>
        </is>
      </c>
      <c r="C342" s="22" t="inlineStr">
        <is>
          <t>雲知聲智能科技股份有限公司</t>
        </is>
      </c>
      <c r="D342" s="24" t="inlineStr">
        <is>
          <t>Tech/AI</t>
        </is>
      </c>
      <c r="E342" s="24" t="inlineStr">
        <is>
          <t>AI application / agent software</t>
        </is>
      </c>
      <c r="F342" s="22" t="inlineStr">
        <is>
          <t>Standard</t>
        </is>
      </c>
      <c r="G342" s="43" t="n">
        <v>45838</v>
      </c>
      <c r="H342" s="26" t="n">
        <v>320</v>
      </c>
      <c r="I342" s="22" t="inlineStr">
        <is>
          <t>gross (stated)</t>
        </is>
      </c>
      <c r="J342" s="27" t="n">
        <v>165</v>
      </c>
      <c r="K342" s="27" t="n">
        <v>205</v>
      </c>
      <c r="L342" s="44" t="n">
        <v>205</v>
      </c>
      <c r="M342" s="28" t="n">
        <v>100</v>
      </c>
      <c r="N342" s="29" t="inlineStr">
        <is>
          <t>Y</t>
        </is>
      </c>
      <c r="O342" s="26" t="n">
        <v>14545.5</v>
      </c>
      <c r="P342" s="46" t="n">
        <v>91.66</v>
      </c>
      <c r="Q342" s="31" t="n">
        <v>1.7</v>
      </c>
      <c r="R342" s="45" t="n">
        <v>44.59</v>
      </c>
      <c r="S342" s="33" t="n">
        <v>29.65</v>
      </c>
      <c r="T342" s="32" t="n">
        <v>10.17</v>
      </c>
      <c r="U342" s="22" t="n"/>
      <c r="V342" s="29" t="inlineStr">
        <is>
          <t>N</t>
        </is>
      </c>
      <c r="W342" s="31" t="n"/>
      <c r="X342" s="34" t="n">
        <v>14.1</v>
      </c>
      <c r="Y342" s="36" t="n">
        <v>1032.9</v>
      </c>
      <c r="Z342" s="36" t="n">
        <v>-499.6</v>
      </c>
      <c r="AA342" s="22" t="n"/>
      <c r="AB342" s="22" t="n"/>
      <c r="AC342" s="22" t="inlineStr">
        <is>
          <t>China International Capital Corporation Hong Kong Securities Limited; Haitong International Capital Limited</t>
        </is>
      </c>
      <c r="AD342" s="22" t="inlineStr">
        <is>
          <t>China International Capital Corporation Hong Kong Securities Limited; Haitong International Securities Company Limited; ABCI Capital Limited; Orient Securities (Hong Kong) Limited; CMBC Securities Company Limited; Tiger Brokers (HK) Global Limited</t>
        </is>
      </c>
      <c r="AE342" s="22" t="n"/>
      <c r="AK342">
        <f>IF(AND(Screener!$B$7&lt;&gt;"",$E342=Screener!$B$7),1,0)</f>
        <v/>
      </c>
      <c r="AL342">
        <f>IF(AND(Screener!$B$6&lt;&gt;"",$D342=Screener!$B$6),1,0)</f>
        <v/>
      </c>
      <c r="AM342">
        <f>IF(OR($H342="",Screener!$B$8=""),0,MAX(0,1-ABS(LOG10($H342/Screener!$B$8))/W_SIZEHW))</f>
        <v/>
      </c>
      <c r="AN342">
        <f>IF(OR($V342="",Screener!$B$9=""),0,IF($V342=Screener!$B$9,1,0))</f>
        <v/>
      </c>
      <c r="AO342">
        <f>IF(OR($AA342="",Screener!$B$10=""),0,IF($AA342=Screener!$B$10,1,0))</f>
        <v/>
      </c>
      <c r="AP342">
        <f>IF($G342="",0,MAX(0,1-(Screener!$B$12-$G342)/W_RECD))</f>
        <v/>
      </c>
      <c r="AQ342">
        <f>IF($B342=Screener!$B$3,-999999,W_SUB*AK342+W_SEC*AL342*(1-AK342)+W_SIZE*AM342+W_PROF*AN342+W_AH*AO342+W_REC*AP342)+ROW()/1000000</f>
        <v/>
      </c>
      <c r="AR342">
        <f>IF(OR('NEW DEAL'!$B$6="",$E342&lt;&gt;'NEW DEAL'!$B$6),-1,1+IF(OR($H342="",'NEW DEAL'!$B$7=""),0,MAX(0,1-ABS(LOG10($H342/'NEW DEAL'!$B$7))/W_SIZEHW)))+ROW()/1000000</f>
        <v/>
      </c>
    </row>
    <row r="343">
      <c r="A343" s="23" t="inlineStr">
        <is>
          <t>3880</t>
        </is>
      </c>
      <c r="B343" s="22" t="inlineStr">
        <is>
          <t>MEDTIDE</t>
        </is>
      </c>
      <c r="C343" s="22" t="inlineStr">
        <is>
          <t>泰德醫藥</t>
        </is>
      </c>
      <c r="D343" s="24" t="inlineStr">
        <is>
          <t>Healthcare</t>
        </is>
      </c>
      <c r="E343" s="24" t="inlineStr">
        <is>
          <t>CXO / pharma services</t>
        </is>
      </c>
      <c r="F343" s="22" t="inlineStr">
        <is>
          <t>Standard</t>
        </is>
      </c>
      <c r="G343" s="43" t="n">
        <v>45838</v>
      </c>
      <c r="H343" s="26" t="n">
        <v>514.08</v>
      </c>
      <c r="I343" s="22" t="inlineStr">
        <is>
          <t>gross (stated)</t>
        </is>
      </c>
      <c r="J343" s="27" t="n">
        <v>28.4</v>
      </c>
      <c r="K343" s="27" t="n">
        <v>30.6</v>
      </c>
      <c r="L343" s="44" t="n">
        <v>30.6</v>
      </c>
      <c r="M343" s="28" t="n">
        <v>100</v>
      </c>
      <c r="N343" s="29" t="inlineStr">
        <is>
          <t>Y</t>
        </is>
      </c>
      <c r="O343" s="26" t="n">
        <v>4339.1</v>
      </c>
      <c r="P343" s="46" t="n">
        <v>301.15</v>
      </c>
      <c r="Q343" s="31" t="n">
        <v>2.43</v>
      </c>
      <c r="R343" s="45" t="n">
        <v>0.65</v>
      </c>
      <c r="S343" s="33" t="n">
        <v>15.27</v>
      </c>
      <c r="T343" s="32" t="n"/>
      <c r="U343" s="22" t="n"/>
      <c r="V343" s="29" t="inlineStr">
        <is>
          <t>Y</t>
        </is>
      </c>
      <c r="W343" s="34" t="n">
        <v>66.7</v>
      </c>
      <c r="X343" s="34" t="n">
        <v>8.9</v>
      </c>
      <c r="Y343" s="36" t="n">
        <v>486.4</v>
      </c>
      <c r="Z343" s="36" t="n">
        <v>65.09999999999999</v>
      </c>
      <c r="AA343" s="22" t="n"/>
      <c r="AB343" s="22" t="n"/>
      <c r="AC343" s="22" t="inlineStr">
        <is>
          <t>Morgan Stanley Asia Limited; CITIC Securities (Hong Kong) Limited</t>
        </is>
      </c>
      <c r="AD343" s="22" t="n"/>
      <c r="AE343" s="22" t="n"/>
      <c r="AK343">
        <f>IF(AND(Screener!$B$7&lt;&gt;"",$E343=Screener!$B$7),1,0)</f>
        <v/>
      </c>
      <c r="AL343">
        <f>IF(AND(Screener!$B$6&lt;&gt;"",$D343=Screener!$B$6),1,0)</f>
        <v/>
      </c>
      <c r="AM343">
        <f>IF(OR($H343="",Screener!$B$8=""),0,MAX(0,1-ABS(LOG10($H343/Screener!$B$8))/W_SIZEHW))</f>
        <v/>
      </c>
      <c r="AN343">
        <f>IF(OR($V343="",Screener!$B$9=""),0,IF($V343=Screener!$B$9,1,0))</f>
        <v/>
      </c>
      <c r="AO343">
        <f>IF(OR($AA343="",Screener!$B$10=""),0,IF($AA343=Screener!$B$10,1,0))</f>
        <v/>
      </c>
      <c r="AP343">
        <f>IF($G343="",0,MAX(0,1-(Screener!$B$12-$G343)/W_RECD))</f>
        <v/>
      </c>
      <c r="AQ343">
        <f>IF($B343=Screener!$B$3,-999999,W_SUB*AK343+W_SEC*AL343*(1-AK343)+W_SIZE*AM343+W_PROF*AN343+W_AH*AO343+W_REC*AP343)+ROW()/1000000</f>
        <v/>
      </c>
      <c r="AR343">
        <f>IF(OR('NEW DEAL'!$B$6="",$E343&lt;&gt;'NEW DEAL'!$B$6),-1,1+IF(OR($H343="",'NEW DEAL'!$B$7=""),0,MAX(0,1-ABS(LOG10($H343/'NEW DEAL'!$B$7))/W_SIZEHW)))+ROW()/1000000</f>
        <v/>
      </c>
    </row>
    <row r="344">
      <c r="A344" s="23" t="inlineStr">
        <is>
          <t>6603</t>
        </is>
      </c>
      <c r="B344" s="22" t="inlineStr">
        <is>
          <t>IFBH</t>
        </is>
      </c>
      <c r="C344" s="22" t="n"/>
      <c r="D344" s="24" t="inlineStr">
        <is>
          <t>Consumer</t>
        </is>
      </c>
      <c r="E344" s="24" t="inlineStr">
        <is>
          <t>Beverages / packaged food</t>
        </is>
      </c>
      <c r="F344" s="22" t="inlineStr">
        <is>
          <t>Standard</t>
        </is>
      </c>
      <c r="G344" s="43" t="n">
        <v>45838</v>
      </c>
      <c r="H344" s="26" t="n">
        <v>1158.3</v>
      </c>
      <c r="I344" s="22" t="inlineStr">
        <is>
          <t>gross (price x shares)</t>
        </is>
      </c>
      <c r="J344" s="27" t="n">
        <v>25.3</v>
      </c>
      <c r="K344" s="27" t="n">
        <v>27.8</v>
      </c>
      <c r="L344" s="44" t="n">
        <v>27.8</v>
      </c>
      <c r="M344" s="28" t="n">
        <v>100</v>
      </c>
      <c r="N344" s="29" t="inlineStr">
        <is>
          <t>Y</t>
        </is>
      </c>
      <c r="O344" s="26" t="n">
        <v>7410.7</v>
      </c>
      <c r="P344" s="46" t="n">
        <v>2682.35</v>
      </c>
      <c r="Q344" s="31" t="n">
        <v>22.93</v>
      </c>
      <c r="R344" s="45" t="n">
        <v>42.09</v>
      </c>
      <c r="S344" s="33" t="n">
        <v>78.3</v>
      </c>
      <c r="T344" s="28" t="n">
        <v>15</v>
      </c>
      <c r="U344" s="22" t="n"/>
      <c r="V344" s="29" t="inlineStr">
        <is>
          <t>Y</t>
        </is>
      </c>
      <c r="W344" s="34" t="n">
        <v>28.5</v>
      </c>
      <c r="X344" s="34" t="n">
        <v>6</v>
      </c>
      <c r="Y344" s="36" t="n">
        <v>1229.7</v>
      </c>
      <c r="Z344" s="36" t="n">
        <v>259.9</v>
      </c>
      <c r="AA344" s="22" t="n"/>
      <c r="AB344" s="22" t="n"/>
      <c r="AC344" s="22" t="inlineStr">
        <is>
          <t>CITIC Securities (Hong Kong) Limited; -Overall Coordinator CLSA Limited</t>
        </is>
      </c>
      <c r="AD344" s="22" t="n"/>
      <c r="AE344" s="22" t="n"/>
      <c r="AK344">
        <f>IF(AND(Screener!$B$7&lt;&gt;"",$E344=Screener!$B$7),1,0)</f>
        <v/>
      </c>
      <c r="AL344">
        <f>IF(AND(Screener!$B$6&lt;&gt;"",$D344=Screener!$B$6),1,0)</f>
        <v/>
      </c>
      <c r="AM344">
        <f>IF(OR($H344="",Screener!$B$8=""),0,MAX(0,1-ABS(LOG10($H344/Screener!$B$8))/W_SIZEHW))</f>
        <v/>
      </c>
      <c r="AN344">
        <f>IF(OR($V344="",Screener!$B$9=""),0,IF($V344=Screener!$B$9,1,0))</f>
        <v/>
      </c>
      <c r="AO344">
        <f>IF(OR($AA344="",Screener!$B$10=""),0,IF($AA344=Screener!$B$10,1,0))</f>
        <v/>
      </c>
      <c r="AP344">
        <f>IF($G344="",0,MAX(0,1-(Screener!$B$12-$G344)/W_RECD))</f>
        <v/>
      </c>
      <c r="AQ344">
        <f>IF($B344=Screener!$B$3,-999999,W_SUB*AK344+W_SEC*AL344*(1-AK344)+W_SIZE*AM344+W_PROF*AN344+W_AH*AO344+W_REC*AP344)+ROW()/1000000</f>
        <v/>
      </c>
      <c r="AR344">
        <f>IF(OR('NEW DEAL'!$B$6="",$E344&lt;&gt;'NEW DEAL'!$B$6),-1,1+IF(OR($H344="",'NEW DEAL'!$B$7=""),0,MAX(0,1-ABS(LOG10($H344/'NEW DEAL'!$B$7))/W_SIZEHW)))+ROW()/1000000</f>
        <v/>
      </c>
    </row>
    <row r="345">
      <c r="A345" s="23" t="inlineStr">
        <is>
          <t>2592</t>
        </is>
      </c>
      <c r="B345" s="22" t="inlineStr">
        <is>
          <t>CLOUDBREAK-B</t>
        </is>
      </c>
      <c r="C345" s="22" t="inlineStr">
        <is>
          <t>撥康視雲製藥有限公司</t>
        </is>
      </c>
      <c r="D345" s="24" t="inlineStr">
        <is>
          <t>Healthcare</t>
        </is>
      </c>
      <c r="E345" s="24" t="inlineStr">
        <is>
          <t>Biotech pre-revenue (18A)</t>
        </is>
      </c>
      <c r="F345" s="38" t="inlineStr">
        <is>
          <t>18A</t>
        </is>
      </c>
      <c r="G345" s="39" t="n">
        <v>45841</v>
      </c>
      <c r="H345" s="26" t="n">
        <v>611.88</v>
      </c>
      <c r="I345" s="22" t="inlineStr">
        <is>
          <t>gross (stated)</t>
        </is>
      </c>
      <c r="J345" s="27" t="n"/>
      <c r="K345" s="27" t="n">
        <v>10.1</v>
      </c>
      <c r="L345" s="44" t="n">
        <v>10.1</v>
      </c>
      <c r="M345" s="32" t="n"/>
      <c r="N345" s="29" t="inlineStr">
        <is>
          <t>Y</t>
        </is>
      </c>
      <c r="O345" s="26" t="n">
        <v>8472.799999999999</v>
      </c>
      <c r="P345" s="46" t="n">
        <v>78.78</v>
      </c>
      <c r="Q345" s="31" t="n">
        <v>0.89</v>
      </c>
      <c r="R345" s="45" t="n">
        <v>-38.61</v>
      </c>
      <c r="S345" s="33" t="n">
        <v>29.25</v>
      </c>
      <c r="T345" s="32" t="n"/>
      <c r="U345" s="22" t="n"/>
      <c r="V345" s="29" t="inlineStr">
        <is>
          <t>N</t>
        </is>
      </c>
      <c r="W345" s="31" t="n"/>
      <c r="X345" s="34" t="n">
        <v>108.6</v>
      </c>
      <c r="Y345" s="36" t="n">
        <v>78</v>
      </c>
      <c r="Z345" s="36" t="n">
        <v>-773.2</v>
      </c>
      <c r="AA345" s="22" t="n"/>
      <c r="AB345" s="22" t="n"/>
      <c r="AC345" s="22" t="inlineStr">
        <is>
          <t>CCB International Capital Limited; Central, Hong Kong Huatai Financial Holdings (Hong Kong) Limited</t>
        </is>
      </c>
      <c r="AD345" s="22" t="inlineStr">
        <is>
          <t>respectively) CCB International Capital Limited; Central, Hong Kong Huatai Financial Holdings (Hong Kong) Limited; CMB International Capital Limited; Central, Hong Kong Quam Securities Limited; BOCI Asia Limited; Central, Hong Kong BOCOM International Securities Limited; China Galaxy International Securities (Hong Kong) Co., Limited; Sheung Wan, Hong Kong CMBC Securities Company Limited; Central, Hong Kong CMB International Capital Limited; Central, Hong Kong First Shanghai Securities Limited; Fosun International Securities Limited; Central, Hong Kong Huafu International Securities Limited</t>
        </is>
      </c>
      <c r="AE345" s="22" t="n"/>
      <c r="AK345">
        <f>IF(AND(Screener!$B$7&lt;&gt;"",$E345=Screener!$B$7),1,0)</f>
        <v/>
      </c>
      <c r="AL345">
        <f>IF(AND(Screener!$B$6&lt;&gt;"",$D345=Screener!$B$6),1,0)</f>
        <v/>
      </c>
      <c r="AM345">
        <f>IF(OR($H345="",Screener!$B$8=""),0,MAX(0,1-ABS(LOG10($H345/Screener!$B$8))/W_SIZEHW))</f>
        <v/>
      </c>
      <c r="AN345">
        <f>IF(OR($V345="",Screener!$B$9=""),0,IF($V345=Screener!$B$9,1,0))</f>
        <v/>
      </c>
      <c r="AO345">
        <f>IF(OR($AA345="",Screener!$B$10=""),0,IF($AA345=Screener!$B$10,1,0))</f>
        <v/>
      </c>
      <c r="AP345">
        <f>IF($G345="",0,MAX(0,1-(Screener!$B$12-$G345)/W_RECD))</f>
        <v/>
      </c>
      <c r="AQ345">
        <f>IF($B345=Screener!$B$3,-999999,W_SUB*AK345+W_SEC*AL345*(1-AK345)+W_SIZE*AM345+W_PROF*AN345+W_AH*AO345+W_REC*AP345)+ROW()/1000000</f>
        <v/>
      </c>
      <c r="AR345">
        <f>IF(OR('NEW DEAL'!$B$6="",$E345&lt;&gt;'NEW DEAL'!$B$6),-1,1+IF(OR($H345="",'NEW DEAL'!$B$7=""),0,MAX(0,1-ABS(LOG10($H345/'NEW DEAL'!$B$7))/W_SIZEHW)))+ROW()/1000000</f>
        <v/>
      </c>
    </row>
    <row r="346">
      <c r="A346" s="23" t="inlineStr">
        <is>
          <t>2648</t>
        </is>
      </c>
      <c r="B346" s="22" t="inlineStr">
        <is>
          <t>ANJOY FOOD</t>
        </is>
      </c>
      <c r="C346" s="22" t="inlineStr">
        <is>
          <t>安井食品集團股份有限公司</t>
        </is>
      </c>
      <c r="D346" s="24" t="inlineStr">
        <is>
          <t>Consumer</t>
        </is>
      </c>
      <c r="E346" s="24" t="inlineStr">
        <is>
          <t>Beverages / packaged food</t>
        </is>
      </c>
      <c r="F346" s="22" t="inlineStr">
        <is>
          <t>Standard</t>
        </is>
      </c>
      <c r="G346" s="43" t="n">
        <v>45842</v>
      </c>
      <c r="H346" s="26" t="n">
        <v>2400</v>
      </c>
      <c r="I346" s="22" t="inlineStr">
        <is>
          <t>gross (stated)</t>
        </is>
      </c>
      <c r="J346" s="27" t="n"/>
      <c r="K346" s="27" t="n">
        <v>66</v>
      </c>
      <c r="L346" s="44" t="n">
        <v>60</v>
      </c>
      <c r="M346" s="32" t="n"/>
      <c r="N346" s="29" t="inlineStr">
        <is>
          <t>N</t>
        </is>
      </c>
      <c r="O346" s="36" t="n">
        <v>27945.4</v>
      </c>
      <c r="P346" s="46" t="n">
        <v>44.2</v>
      </c>
      <c r="Q346" s="31" t="n">
        <v>5.85</v>
      </c>
      <c r="R346" s="45" t="n">
        <v>-5</v>
      </c>
      <c r="S346" s="33" t="n">
        <v>26.76</v>
      </c>
      <c r="T346" s="28" t="n">
        <v>15</v>
      </c>
      <c r="U346" s="22" t="n"/>
      <c r="V346" s="29" t="inlineStr">
        <is>
          <t>Y</t>
        </is>
      </c>
      <c r="W346" s="34" t="n">
        <v>16.8</v>
      </c>
      <c r="X346" s="34" t="n">
        <v>1.7</v>
      </c>
      <c r="Y346" s="36" t="n">
        <v>16532.5</v>
      </c>
      <c r="Z346" s="36" t="n">
        <v>1665</v>
      </c>
      <c r="AA346" s="22" t="inlineStr">
        <is>
          <t>Y</t>
        </is>
      </c>
      <c r="AB346" s="22" t="inlineStr">
        <is>
          <t>603345.SS</t>
        </is>
      </c>
      <c r="AC346" s="22" t="inlineStr">
        <is>
          <t>Goldman Sachs (Asia) L.L.C; China International Capital Corporation Hong Kong Securities Limited</t>
        </is>
      </c>
      <c r="AD346" s="22" t="inlineStr">
        <is>
          <t>Managers China Galaxy International Securities (Hong Kong) Co., Limited; UOB Kay Hian (Hong Kong) Limited; GF Securities (Hong Kong) Brokerage Limited; CCB International Capital Limited; China Industrial Securities International Capital Limited; Goldman Sachs (Asia) L.L.C; Ping An Securities (Hong Kong) Company Limited; CMB International Capital Limited; China Securities (International) Corporate Finance Company Limited; Huatai Financial Holdings (Hong Kong) Limited; China Galaxy International Securities (Hong Kong) Co., Limited</t>
        </is>
      </c>
      <c r="AE346" s="22" t="n"/>
      <c r="AK346">
        <f>IF(AND(Screener!$B$7&lt;&gt;"",$E346=Screener!$B$7),1,0)</f>
        <v/>
      </c>
      <c r="AL346">
        <f>IF(AND(Screener!$B$6&lt;&gt;"",$D346=Screener!$B$6),1,0)</f>
        <v/>
      </c>
      <c r="AM346">
        <f>IF(OR($H346="",Screener!$B$8=""),0,MAX(0,1-ABS(LOG10($H346/Screener!$B$8))/W_SIZEHW))</f>
        <v/>
      </c>
      <c r="AN346">
        <f>IF(OR($V346="",Screener!$B$9=""),0,IF($V346=Screener!$B$9,1,0))</f>
        <v/>
      </c>
      <c r="AO346">
        <f>IF(OR($AA346="",Screener!$B$10=""),0,IF($AA346=Screener!$B$10,1,0))</f>
        <v/>
      </c>
      <c r="AP346">
        <f>IF($G346="",0,MAX(0,1-(Screener!$B$12-$G346)/W_RECD))</f>
        <v/>
      </c>
      <c r="AQ346">
        <f>IF($B346=Screener!$B$3,-999999,W_SUB*AK346+W_SEC*AL346*(1-AK346)+W_SIZE*AM346+W_PROF*AN346+W_AH*AO346+W_REC*AP346)+ROW()/1000000</f>
        <v/>
      </c>
      <c r="AR346">
        <f>IF(OR('NEW DEAL'!$B$6="",$E346&lt;&gt;'NEW DEAL'!$B$6),-1,1+IF(OR($H346="",'NEW DEAL'!$B$7=""),0,MAX(0,1-ABS(LOG10($H346/'NEW DEAL'!$B$7))/W_SIZEHW)))+ROW()/1000000</f>
        <v/>
      </c>
    </row>
    <row r="347">
      <c r="A347" s="23" t="inlineStr">
        <is>
          <t>2076</t>
        </is>
      </c>
      <c r="B347" s="22" t="inlineStr">
        <is>
          <t>BOSS ZHIPIN-W</t>
        </is>
      </c>
      <c r="C347" s="22" t="n"/>
      <c r="D347" s="24" t="inlineStr">
        <is>
          <t>Tech/AI</t>
        </is>
      </c>
      <c r="E347" s="24" t="inlineStr">
        <is>
          <t>Internet platform / e-commerce</t>
        </is>
      </c>
      <c r="F347" s="38" t="inlineStr">
        <is>
          <t>WVR</t>
        </is>
      </c>
      <c r="G347" s="43" t="n">
        <v>45842</v>
      </c>
      <c r="H347" s="26" t="n">
        <v>2277</v>
      </c>
      <c r="I347" s="22" t="inlineStr">
        <is>
          <t>gross (stated)</t>
        </is>
      </c>
      <c r="J347" s="27" t="n"/>
      <c r="K347" s="27" t="n">
        <v>78</v>
      </c>
      <c r="L347" s="44" t="n">
        <v>66</v>
      </c>
      <c r="M347" s="32" t="n"/>
      <c r="N347" s="29" t="inlineStr">
        <is>
          <t>N</t>
        </is>
      </c>
      <c r="O347" s="35" t="n"/>
      <c r="P347" s="46" t="n">
        <v>12.04</v>
      </c>
      <c r="Q347" s="31" t="n">
        <v>12.46</v>
      </c>
      <c r="R347" s="45" t="n">
        <v>0.76</v>
      </c>
      <c r="S347" s="33" t="n">
        <v>0</v>
      </c>
      <c r="T347" s="32" t="n"/>
      <c r="U347" s="22" t="n"/>
      <c r="V347" s="22" t="n"/>
      <c r="W347" s="31" t="n"/>
      <c r="X347" s="31" t="n"/>
      <c r="Y347" s="35" t="n"/>
      <c r="Z347" s="35" t="n"/>
      <c r="AA347" s="22" t="n"/>
      <c r="AB347" s="22" t="n"/>
      <c r="AC347" s="22" t="n"/>
      <c r="AD347" s="22" t="n"/>
      <c r="AE347" s="22" t="n"/>
      <c r="AK347">
        <f>IF(AND(Screener!$B$7&lt;&gt;"",$E347=Screener!$B$7),1,0)</f>
        <v/>
      </c>
      <c r="AL347">
        <f>IF(AND(Screener!$B$6&lt;&gt;"",$D347=Screener!$B$6),1,0)</f>
        <v/>
      </c>
      <c r="AM347">
        <f>IF(OR($H347="",Screener!$B$8=""),0,MAX(0,1-ABS(LOG10($H347/Screener!$B$8))/W_SIZEHW))</f>
        <v/>
      </c>
      <c r="AN347">
        <f>IF(OR($V347="",Screener!$B$9=""),0,IF($V347=Screener!$B$9,1,0))</f>
        <v/>
      </c>
      <c r="AO347">
        <f>IF(OR($AA347="",Screener!$B$10=""),0,IF($AA347=Screener!$B$10,1,0))</f>
        <v/>
      </c>
      <c r="AP347">
        <f>IF($G347="",0,MAX(0,1-(Screener!$B$12-$G347)/W_RECD))</f>
        <v/>
      </c>
      <c r="AQ347">
        <f>IF($B347=Screener!$B$3,-999999,W_SUB*AK347+W_SEC*AL347*(1-AK347)+W_SIZE*AM347+W_PROF*AN347+W_AH*AO347+W_REC*AP347)+ROW()/1000000</f>
        <v/>
      </c>
      <c r="AR347">
        <f>IF(OR('NEW DEAL'!$B$6="",$E347&lt;&gt;'NEW DEAL'!$B$6),-1,1+IF(OR($H347="",'NEW DEAL'!$B$7=""),0,MAX(0,1-ABS(LOG10($H347/'NEW DEAL'!$B$7))/W_SIZEHW)))+ROW()/1000000</f>
        <v/>
      </c>
    </row>
    <row r="348">
      <c r="A348" s="23" t="inlineStr">
        <is>
          <t>1828</t>
        </is>
      </c>
      <c r="B348" s="22" t="inlineStr">
        <is>
          <t>FWD</t>
        </is>
      </c>
      <c r="C348" s="22" t="n"/>
      <c r="D348" s="24" t="inlineStr">
        <is>
          <t>Financials</t>
        </is>
      </c>
      <c r="E348" s="24" t="inlineStr">
        <is>
          <t>Insurance</t>
        </is>
      </c>
      <c r="F348" s="22" t="inlineStr">
        <is>
          <t>Standard</t>
        </is>
      </c>
      <c r="G348" s="39" t="n">
        <v>45845</v>
      </c>
      <c r="H348" s="26" t="n">
        <v>3471</v>
      </c>
      <c r="I348" s="22" t="inlineStr">
        <is>
          <t>gross (price x shares)</t>
        </is>
      </c>
      <c r="J348" s="27" t="n"/>
      <c r="K348" s="27" t="n"/>
      <c r="L348" s="44" t="n">
        <v>38</v>
      </c>
      <c r="M348" s="32" t="n"/>
      <c r="N348" s="22" t="n"/>
      <c r="O348" s="35" t="n"/>
      <c r="P348" s="46" t="n">
        <v>37.13</v>
      </c>
      <c r="Q348" s="31" t="n">
        <v>2.32</v>
      </c>
      <c r="R348" s="45" t="n">
        <v>1.05</v>
      </c>
      <c r="S348" s="33" t="n">
        <v>56.2</v>
      </c>
      <c r="T348" s="28" t="n">
        <v>15</v>
      </c>
      <c r="U348" s="22" t="n"/>
      <c r="V348" s="22" t="n"/>
      <c r="W348" s="31" t="n"/>
      <c r="X348" s="31" t="n"/>
      <c r="Y348" s="35" t="n"/>
      <c r="Z348" s="35" t="n"/>
      <c r="AA348" s="22" t="n"/>
      <c r="AB348" s="22" t="n"/>
      <c r="AC348" s="22" t="n"/>
      <c r="AD348" s="22" t="n"/>
      <c r="AE348" s="22" t="n"/>
      <c r="AK348">
        <f>IF(AND(Screener!$B$7&lt;&gt;"",$E348=Screener!$B$7),1,0)</f>
        <v/>
      </c>
      <c r="AL348">
        <f>IF(AND(Screener!$B$6&lt;&gt;"",$D348=Screener!$B$6),1,0)</f>
        <v/>
      </c>
      <c r="AM348">
        <f>IF(OR($H348="",Screener!$B$8=""),0,MAX(0,1-ABS(LOG10($H348/Screener!$B$8))/W_SIZEHW))</f>
        <v/>
      </c>
      <c r="AN348">
        <f>IF(OR($V348="",Screener!$B$9=""),0,IF($V348=Screener!$B$9,1,0))</f>
        <v/>
      </c>
      <c r="AO348">
        <f>IF(OR($AA348="",Screener!$B$10=""),0,IF($AA348=Screener!$B$10,1,0))</f>
        <v/>
      </c>
      <c r="AP348">
        <f>IF($G348="",0,MAX(0,1-(Screener!$B$12-$G348)/W_RECD))</f>
        <v/>
      </c>
      <c r="AQ348">
        <f>IF($B348=Screener!$B$3,-999999,W_SUB*AK348+W_SEC*AL348*(1-AK348)+W_SIZE*AM348+W_PROF*AN348+W_AH*AO348+W_REC*AP348)+ROW()/1000000</f>
        <v/>
      </c>
      <c r="AR348">
        <f>IF(OR('NEW DEAL'!$B$6="",$E348&lt;&gt;'NEW DEAL'!$B$6),-1,1+IF(OR($H348="",'NEW DEAL'!$B$7=""),0,MAX(0,1-ABS(LOG10($H348/'NEW DEAL'!$B$7))/W_SIZEHW)))+ROW()/1000000</f>
        <v/>
      </c>
    </row>
    <row r="349">
      <c r="A349" s="23" t="inlineStr">
        <is>
          <t>2651</t>
        </is>
      </c>
      <c r="B349" s="22" t="inlineStr">
        <is>
          <t>DAZHONG DENTAL</t>
        </is>
      </c>
      <c r="C349" s="22" t="inlineStr">
        <is>
          <t>武漢大眾口腔醫療股份有限公司</t>
        </is>
      </c>
      <c r="D349" s="24" t="inlineStr">
        <is>
          <t>Healthcare</t>
        </is>
      </c>
      <c r="E349" s="24" t="inlineStr">
        <is>
          <t>Hospitals / clinics</t>
        </is>
      </c>
      <c r="F349" s="22" t="inlineStr">
        <is>
          <t>Standard</t>
        </is>
      </c>
      <c r="G349" s="43" t="n">
        <v>45847</v>
      </c>
      <c r="H349" s="26" t="n">
        <v>217.24</v>
      </c>
      <c r="I349" s="22" t="inlineStr">
        <is>
          <t>gross (stated)</t>
        </is>
      </c>
      <c r="J349" s="27" t="n"/>
      <c r="K349" s="27" t="n">
        <v>21.4</v>
      </c>
      <c r="L349" s="44" t="n">
        <v>20</v>
      </c>
      <c r="M349" s="32" t="n"/>
      <c r="N349" s="29" t="inlineStr">
        <is>
          <t>N</t>
        </is>
      </c>
      <c r="O349" s="26" t="n">
        <v>987.6</v>
      </c>
      <c r="P349" s="46" t="n">
        <v>108.25</v>
      </c>
      <c r="Q349" s="31" t="n">
        <v>0.96</v>
      </c>
      <c r="R349" s="45" t="n">
        <v>3.5</v>
      </c>
      <c r="S349" s="33" t="n">
        <v>0</v>
      </c>
      <c r="T349" s="32" t="n">
        <v>11.65</v>
      </c>
      <c r="U349" s="22" t="n"/>
      <c r="V349" s="29" t="inlineStr">
        <is>
          <t>Y</t>
        </is>
      </c>
      <c r="W349" s="34" t="n">
        <v>14.4</v>
      </c>
      <c r="X349" s="34" t="n">
        <v>2.2</v>
      </c>
      <c r="Y349" s="36" t="n">
        <v>447.8</v>
      </c>
      <c r="Z349" s="36" t="n">
        <v>68.8</v>
      </c>
      <c r="AA349" s="22" t="n"/>
      <c r="AB349" s="22" t="n"/>
      <c r="AC349" s="22" t="inlineStr">
        <is>
          <t>Haitong International Capital Limited</t>
        </is>
      </c>
      <c r="AD349" s="22" t="inlineStr">
        <is>
          <t>Haitong International Securities Company Limited</t>
        </is>
      </c>
      <c r="AE349" s="22" t="n"/>
      <c r="AK349">
        <f>IF(AND(Screener!$B$7&lt;&gt;"",$E349=Screener!$B$7),1,0)</f>
        <v/>
      </c>
      <c r="AL349">
        <f>IF(AND(Screener!$B$6&lt;&gt;"",$D349=Screener!$B$6),1,0)</f>
        <v/>
      </c>
      <c r="AM349">
        <f>IF(OR($H349="",Screener!$B$8=""),0,MAX(0,1-ABS(LOG10($H349/Screener!$B$8))/W_SIZEHW))</f>
        <v/>
      </c>
      <c r="AN349">
        <f>IF(OR($V349="",Screener!$B$9=""),0,IF($V349=Screener!$B$9,1,0))</f>
        <v/>
      </c>
      <c r="AO349">
        <f>IF(OR($AA349="",Screener!$B$10=""),0,IF($AA349=Screener!$B$10,1,0))</f>
        <v/>
      </c>
      <c r="AP349">
        <f>IF($G349="",0,MAX(0,1-(Screener!$B$12-$G349)/W_RECD))</f>
        <v/>
      </c>
      <c r="AQ349">
        <f>IF($B349=Screener!$B$3,-999999,W_SUB*AK349+W_SEC*AL349*(1-AK349)+W_SIZE*AM349+W_PROF*AN349+W_AH*AO349+W_REC*AP349)+ROW()/1000000</f>
        <v/>
      </c>
      <c r="AR349">
        <f>IF(OR('NEW DEAL'!$B$6="",$E349&lt;&gt;'NEW DEAL'!$B$6),-1,1+IF(OR($H349="",'NEW DEAL'!$B$7=""),0,MAX(0,1-ABS(LOG10($H349/'NEW DEAL'!$B$7))/W_SIZEHW)))+ROW()/1000000</f>
        <v/>
      </c>
    </row>
    <row r="350">
      <c r="A350" s="23" t="inlineStr">
        <is>
          <t>2590</t>
        </is>
      </c>
      <c r="B350" s="22" t="inlineStr">
        <is>
          <t>GEEKPLUS-W</t>
        </is>
      </c>
      <c r="C350" s="22" t="inlineStr">
        <is>
          <t>北京極智嘉科技股份有限公司</t>
        </is>
      </c>
      <c r="D350" s="24" t="inlineStr">
        <is>
          <t>Tech/AI</t>
        </is>
      </c>
      <c r="E350" s="24" t="inlineStr">
        <is>
          <t>Robotics &amp; autonomous driving</t>
        </is>
      </c>
      <c r="F350" s="38" t="inlineStr">
        <is>
          <t>WVR</t>
        </is>
      </c>
      <c r="G350" s="39" t="n">
        <v>45847</v>
      </c>
      <c r="H350" s="26" t="n">
        <v>2711.62</v>
      </c>
      <c r="I350" s="22" t="inlineStr">
        <is>
          <t>gross (stated)</t>
        </is>
      </c>
      <c r="J350" s="27" t="n"/>
      <c r="K350" s="27" t="n">
        <v>16.8</v>
      </c>
      <c r="L350" s="44" t="n">
        <v>16.8</v>
      </c>
      <c r="M350" s="32" t="n"/>
      <c r="N350" s="29" t="inlineStr">
        <is>
          <t>Y</t>
        </is>
      </c>
      <c r="O350" s="36" t="n">
        <v>21832.7</v>
      </c>
      <c r="P350" s="40" t="n">
        <v>133.6</v>
      </c>
      <c r="Q350" s="31" t="n"/>
      <c r="R350" s="45" t="n">
        <v>5.36</v>
      </c>
      <c r="S350" s="42" t="n">
        <v>26.3</v>
      </c>
      <c r="T350" s="32" t="n">
        <v>15</v>
      </c>
      <c r="U350" s="22" t="n"/>
      <c r="V350" s="29" t="inlineStr">
        <is>
          <t>N</t>
        </is>
      </c>
      <c r="W350" s="31" t="n"/>
      <c r="X350" s="31" t="n"/>
      <c r="Y350" s="35" t="n"/>
      <c r="Z350" s="36" t="n">
        <v>-1239.4</v>
      </c>
      <c r="AA350" s="22" t="n"/>
      <c r="AB350" s="22" t="n"/>
      <c r="AC350" s="22" t="inlineStr">
        <is>
          <t>Morgan Stanley Asia Limited; China International Capital Corporation Hong Kong Securities Limited</t>
        </is>
      </c>
      <c r="AD350" s="22" t="n"/>
      <c r="AE350" s="22" t="n"/>
      <c r="AK350">
        <f>IF(AND(Screener!$B$7&lt;&gt;"",$E350=Screener!$B$7),1,0)</f>
        <v/>
      </c>
      <c r="AL350">
        <f>IF(AND(Screener!$B$6&lt;&gt;"",$D350=Screener!$B$6),1,0)</f>
        <v/>
      </c>
      <c r="AM350">
        <f>IF(OR($H350="",Screener!$B$8=""),0,MAX(0,1-ABS(LOG10($H350/Screener!$B$8))/W_SIZEHW))</f>
        <v/>
      </c>
      <c r="AN350">
        <f>IF(OR($V350="",Screener!$B$9=""),0,IF($V350=Screener!$B$9,1,0))</f>
        <v/>
      </c>
      <c r="AO350">
        <f>IF(OR($AA350="",Screener!$B$10=""),0,IF($AA350=Screener!$B$10,1,0))</f>
        <v/>
      </c>
      <c r="AP350">
        <f>IF($G350="",0,MAX(0,1-(Screener!$B$12-$G350)/W_RECD))</f>
        <v/>
      </c>
      <c r="AQ350">
        <f>IF($B350=Screener!$B$3,-999999,W_SUB*AK350+W_SEC*AL350*(1-AK350)+W_SIZE*AM350+W_PROF*AN350+W_AH*AO350+W_REC*AP350)+ROW()/1000000</f>
        <v/>
      </c>
      <c r="AR350">
        <f>IF(OR('NEW DEAL'!$B$6="",$E350&lt;&gt;'NEW DEAL'!$B$6),-1,1+IF(OR($H350="",'NEW DEAL'!$B$7=""),0,MAX(0,1-ABS(LOG10($H350/'NEW DEAL'!$B$7))/W_SIZEHW)))+ROW()/1000000</f>
        <v/>
      </c>
    </row>
    <row r="351">
      <c r="A351" s="23" t="inlineStr">
        <is>
          <t>2597</t>
        </is>
      </c>
      <c r="B351" s="22" t="inlineStr">
        <is>
          <t>XUNZHONG</t>
        </is>
      </c>
      <c r="C351" s="22" t="inlineStr">
        <is>
          <t>北京訊眾通信技術股份有限公司</t>
        </is>
      </c>
      <c r="D351" s="24" t="inlineStr">
        <is>
          <t>Tech/AI</t>
        </is>
      </c>
      <c r="E351" s="24" t="inlineStr">
        <is>
          <t>SaaS / enterprise software</t>
        </is>
      </c>
      <c r="F351" s="22" t="inlineStr">
        <is>
          <t>Standard</t>
        </is>
      </c>
      <c r="G351" s="43" t="n">
        <v>45847</v>
      </c>
      <c r="H351" s="26" t="n">
        <v>412.5</v>
      </c>
      <c r="I351" s="22" t="inlineStr">
        <is>
          <t>gross (stated)</t>
        </is>
      </c>
      <c r="J351" s="27" t="n"/>
      <c r="K351" s="27" t="n">
        <v>15.15</v>
      </c>
      <c r="L351" s="44" t="n">
        <v>13.55</v>
      </c>
      <c r="M351" s="32" t="n"/>
      <c r="N351" s="29" t="inlineStr">
        <is>
          <t>N</t>
        </is>
      </c>
      <c r="O351" s="26" t="n">
        <v>1649.8</v>
      </c>
      <c r="P351" s="46" t="n">
        <v>12.79</v>
      </c>
      <c r="Q351" s="31" t="n">
        <v>1.01</v>
      </c>
      <c r="R351" s="45" t="n">
        <v>0.22</v>
      </c>
      <c r="S351" s="33" t="n">
        <v>31.54</v>
      </c>
      <c r="T351" s="32" t="n">
        <v>7.88</v>
      </c>
      <c r="U351" s="22" t="inlineStr">
        <is>
          <t>not-yet (at allotment)</t>
        </is>
      </c>
      <c r="V351" s="29" t="inlineStr">
        <is>
          <t>Y</t>
        </is>
      </c>
      <c r="W351" s="34" t="n">
        <v>29.6</v>
      </c>
      <c r="X351" s="34" t="n">
        <v>1.6</v>
      </c>
      <c r="Y351" s="36" t="n">
        <v>1009.4</v>
      </c>
      <c r="Z351" s="36" t="n">
        <v>55.7</v>
      </c>
      <c r="AA351" s="22" t="n"/>
      <c r="AB351" s="22" t="n"/>
      <c r="AC351" s="22" t="n"/>
      <c r="AD351" s="22" t="inlineStr">
        <is>
          <t>Manager and Capital Market Intermediary DBS Asia Capital Limited; Managers and Capital Market Intermediaries Fosun International Securities Limited; Central, Hong Kong ICBC International Securities Limited; Zinvest Global Limited; Huafu International Securities Limited; Sheung Wan, Hong Kong Winbull Securities International (Hong Kong) Limited; Wan Chai, Hong Kong Long Bridge HK Limited; Central, Hong Kong ZH Securities Limited</t>
        </is>
      </c>
      <c r="AE351" s="22" t="n"/>
      <c r="AK351">
        <f>IF(AND(Screener!$B$7&lt;&gt;"",$E351=Screener!$B$7),1,0)</f>
        <v/>
      </c>
      <c r="AL351">
        <f>IF(AND(Screener!$B$6&lt;&gt;"",$D351=Screener!$B$6),1,0)</f>
        <v/>
      </c>
      <c r="AM351">
        <f>IF(OR($H351="",Screener!$B$8=""),0,MAX(0,1-ABS(LOG10($H351/Screener!$B$8))/W_SIZEHW))</f>
        <v/>
      </c>
      <c r="AN351">
        <f>IF(OR($V351="",Screener!$B$9=""),0,IF($V351=Screener!$B$9,1,0))</f>
        <v/>
      </c>
      <c r="AO351">
        <f>IF(OR($AA351="",Screener!$B$10=""),0,IF($AA351=Screener!$B$10,1,0))</f>
        <v/>
      </c>
      <c r="AP351">
        <f>IF($G351="",0,MAX(0,1-(Screener!$B$12-$G351)/W_RECD))</f>
        <v/>
      </c>
      <c r="AQ351">
        <f>IF($B351=Screener!$B$3,-999999,W_SUB*AK351+W_SEC*AL351*(1-AK351)+W_SIZE*AM351+W_PROF*AN351+W_AH*AO351+W_REC*AP351)+ROW()/1000000</f>
        <v/>
      </c>
      <c r="AR351">
        <f>IF(OR('NEW DEAL'!$B$6="",$E351&lt;&gt;'NEW DEAL'!$B$6),-1,1+IF(OR($H351="",'NEW DEAL'!$B$7=""),0,MAX(0,1-ABS(LOG10($H351/'NEW DEAL'!$B$7))/W_SIZEHW)))+ROW()/1000000</f>
        <v/>
      </c>
    </row>
    <row r="352">
      <c r="A352" s="23" t="inlineStr">
        <is>
          <t>1304</t>
        </is>
      </c>
      <c r="B352" s="22" t="inlineStr">
        <is>
          <t>FORTIOR</t>
        </is>
      </c>
      <c r="C352" s="22" t="inlineStr">
        <is>
          <t>峰岹科技(深圳)股份有限公司</t>
        </is>
      </c>
      <c r="D352" s="24" t="inlineStr">
        <is>
          <t>Tech/AI</t>
        </is>
      </c>
      <c r="E352" s="24" t="inlineStr">
        <is>
          <t>AI chips &amp; semis</t>
        </is>
      </c>
      <c r="F352" s="22" t="inlineStr">
        <is>
          <t>Standard</t>
        </is>
      </c>
      <c r="G352" s="43" t="n">
        <v>45847</v>
      </c>
      <c r="H352" s="26" t="n">
        <v>2258.7</v>
      </c>
      <c r="I352" s="22" t="inlineStr">
        <is>
          <t>gross (stated)</t>
        </is>
      </c>
      <c r="J352" s="27" t="n"/>
      <c r="K352" s="27" t="n">
        <v>120.5</v>
      </c>
      <c r="L352" s="44" t="n">
        <v>120.5</v>
      </c>
      <c r="M352" s="32" t="n"/>
      <c r="N352" s="29" t="inlineStr">
        <is>
          <t>Y</t>
        </is>
      </c>
      <c r="O352" s="36" t="n">
        <v>13070.6</v>
      </c>
      <c r="P352" s="46" t="n">
        <v>138.26</v>
      </c>
      <c r="Q352" s="31" t="n">
        <v>8.609999999999999</v>
      </c>
      <c r="R352" s="45" t="n">
        <v>16.02</v>
      </c>
      <c r="S352" s="33" t="n">
        <v>44.76</v>
      </c>
      <c r="T352" s="28" t="n">
        <v>15</v>
      </c>
      <c r="U352" s="22" t="n"/>
      <c r="V352" s="29" t="inlineStr">
        <is>
          <t>Y</t>
        </is>
      </c>
      <c r="W352" s="34" t="n">
        <v>83.7</v>
      </c>
      <c r="X352" s="31" t="n"/>
      <c r="Y352" s="35" t="n"/>
      <c r="Z352" s="36" t="n">
        <v>156.2</v>
      </c>
      <c r="AA352" s="22" t="inlineStr">
        <is>
          <t>Y</t>
        </is>
      </c>
      <c r="AB352" s="22" t="inlineStr">
        <is>
          <t>688279.SS</t>
        </is>
      </c>
      <c r="AC352" s="22" t="inlineStr">
        <is>
          <t>China International Capital Corporation Hong Kong Securities Limited</t>
        </is>
      </c>
      <c r="AD352" s="22" t="inlineStr">
        <is>
          <t>China International Capital Corporation Hong Kong Securities Limited; BOCI Asia Limited; GF Securities (Hong Kong) Brokerage Limited</t>
        </is>
      </c>
      <c r="AE352" s="22" t="n"/>
      <c r="AK352">
        <f>IF(AND(Screener!$B$7&lt;&gt;"",$E352=Screener!$B$7),1,0)</f>
        <v/>
      </c>
      <c r="AL352">
        <f>IF(AND(Screener!$B$6&lt;&gt;"",$D352=Screener!$B$6),1,0)</f>
        <v/>
      </c>
      <c r="AM352">
        <f>IF(OR($H352="",Screener!$B$8=""),0,MAX(0,1-ABS(LOG10($H352/Screener!$B$8))/W_SIZEHW))</f>
        <v/>
      </c>
      <c r="AN352">
        <f>IF(OR($V352="",Screener!$B$9=""),0,IF($V352=Screener!$B$9,1,0))</f>
        <v/>
      </c>
      <c r="AO352">
        <f>IF(OR($AA352="",Screener!$B$10=""),0,IF($AA352=Screener!$B$10,1,0))</f>
        <v/>
      </c>
      <c r="AP352">
        <f>IF($G352="",0,MAX(0,1-(Screener!$B$12-$G352)/W_RECD))</f>
        <v/>
      </c>
      <c r="AQ352">
        <f>IF($B352=Screener!$B$3,-999999,W_SUB*AK352+W_SEC*AL352*(1-AK352)+W_SIZE*AM352+W_PROF*AN352+W_AH*AO352+W_REC*AP352)+ROW()/1000000</f>
        <v/>
      </c>
      <c r="AR352">
        <f>IF(OR('NEW DEAL'!$B$6="",$E352&lt;&gt;'NEW DEAL'!$B$6),-1,1+IF(OR($H352="",'NEW DEAL'!$B$7=""),0,MAX(0,1-ABS(LOG10($H352/'NEW DEAL'!$B$7))/W_SIZEHW)))+ROW()/1000000</f>
        <v/>
      </c>
    </row>
    <row r="353">
      <c r="A353" s="23" t="inlineStr">
        <is>
          <t>6613</t>
        </is>
      </c>
      <c r="B353" s="22" t="inlineStr">
        <is>
          <t>LENS</t>
        </is>
      </c>
      <c r="C353" s="22" t="inlineStr">
        <is>
          <t>藍思科技股份有限公司</t>
        </is>
      </c>
      <c r="D353" s="24" t="inlineStr">
        <is>
          <t>Tech/AI</t>
        </is>
      </c>
      <c r="E353" s="24" t="inlineStr">
        <is>
          <t>Smart hardware / consumer electronics</t>
        </is>
      </c>
      <c r="F353" s="22" t="inlineStr">
        <is>
          <t>Standard</t>
        </is>
      </c>
      <c r="G353" s="43" t="n">
        <v>45847</v>
      </c>
      <c r="H353" s="26" t="n">
        <v>4767.83</v>
      </c>
      <c r="I353" s="22" t="inlineStr">
        <is>
          <t>gross (stated)</t>
        </is>
      </c>
      <c r="J353" s="27" t="n"/>
      <c r="K353" s="27" t="n">
        <v>18.18</v>
      </c>
      <c r="L353" s="44" t="n">
        <v>18.18</v>
      </c>
      <c r="M353" s="32" t="n"/>
      <c r="N353" s="29" t="inlineStr">
        <is>
          <t>Y</t>
        </is>
      </c>
      <c r="O353" s="36" t="n">
        <v>93955</v>
      </c>
      <c r="P353" s="46" t="n">
        <v>462.76</v>
      </c>
      <c r="Q353" s="31" t="n">
        <v>16.68</v>
      </c>
      <c r="R353" s="45" t="n">
        <v>9.130000000000001</v>
      </c>
      <c r="S353" s="33" t="n"/>
      <c r="T353" s="28" t="n">
        <v>15</v>
      </c>
      <c r="U353" s="22" t="n"/>
      <c r="V353" s="29" t="inlineStr">
        <is>
          <t>Y</t>
        </is>
      </c>
      <c r="W353" s="34" t="n">
        <v>23.2</v>
      </c>
      <c r="X353" s="34" t="n">
        <v>42706.8</v>
      </c>
      <c r="Y353" s="36" t="n">
        <v>2.2</v>
      </c>
      <c r="Z353" s="36" t="n">
        <v>4044.5</v>
      </c>
      <c r="AA353" s="22" t="inlineStr">
        <is>
          <t>Y</t>
        </is>
      </c>
      <c r="AB353" s="22" t="inlineStr">
        <is>
          <t>300433.SZ</t>
        </is>
      </c>
      <c r="AC353" s="22" t="inlineStr">
        <is>
          <t>CITIC Securities (Hong Kong) Limited</t>
        </is>
      </c>
      <c r="AD353" s="22" t="inlineStr">
        <is>
          <t>CLSA Limited; Merrill Lynch (Asia Pacific) Limited; ABCI Capital Limited; BOCI Asia Limited; Futu Securities International (Hong Kong) Limited; AVICT Global Asset Management Limited</t>
        </is>
      </c>
      <c r="AE353" s="22" t="n"/>
      <c r="AK353">
        <f>IF(AND(Screener!$B$7&lt;&gt;"",$E353=Screener!$B$7),1,0)</f>
        <v/>
      </c>
      <c r="AL353">
        <f>IF(AND(Screener!$B$6&lt;&gt;"",$D353=Screener!$B$6),1,0)</f>
        <v/>
      </c>
      <c r="AM353">
        <f>IF(OR($H353="",Screener!$B$8=""),0,MAX(0,1-ABS(LOG10($H353/Screener!$B$8))/W_SIZEHW))</f>
        <v/>
      </c>
      <c r="AN353">
        <f>IF(OR($V353="",Screener!$B$9=""),0,IF($V353=Screener!$B$9,1,0))</f>
        <v/>
      </c>
      <c r="AO353">
        <f>IF(OR($AA353="",Screener!$B$10=""),0,IF($AA353=Screener!$B$10,1,0))</f>
        <v/>
      </c>
      <c r="AP353">
        <f>IF($G353="",0,MAX(0,1-(Screener!$B$12-$G353)/W_RECD))</f>
        <v/>
      </c>
      <c r="AQ353">
        <f>IF($B353=Screener!$B$3,-999999,W_SUB*AK353+W_SEC*AL353*(1-AK353)+W_SIZE*AM353+W_PROF*AN353+W_AH*AO353+W_REC*AP353)+ROW()/1000000</f>
        <v/>
      </c>
      <c r="AR353">
        <f>IF(OR('NEW DEAL'!$B$6="",$E353&lt;&gt;'NEW DEAL'!$B$6),-1,1+IF(OR($H353="",'NEW DEAL'!$B$7=""),0,MAX(0,1-ABS(LOG10($H353/'NEW DEAL'!$B$7))/W_SIZEHW)))+ROW()/1000000</f>
        <v/>
      </c>
    </row>
    <row r="354">
      <c r="A354" s="23" t="inlineStr">
        <is>
          <t>9887</t>
        </is>
      </c>
      <c r="B354" s="22" t="inlineStr">
        <is>
          <t>LEADS BIOLABS-B</t>
        </is>
      </c>
      <c r="C354" s="22" t="n"/>
      <c r="D354" s="24" t="inlineStr">
        <is>
          <t>Healthcare</t>
        </is>
      </c>
      <c r="E354" s="24" t="inlineStr">
        <is>
          <t>Biotech pre-revenue (18A)</t>
        </is>
      </c>
      <c r="F354" s="38" t="inlineStr">
        <is>
          <t>18A</t>
        </is>
      </c>
      <c r="G354" s="43" t="n">
        <v>45863</v>
      </c>
      <c r="H354" s="26" t="n">
        <v>1290.2</v>
      </c>
      <c r="I354" s="22" t="inlineStr">
        <is>
          <t>gross (stated)</t>
        </is>
      </c>
      <c r="J354" s="27" t="n">
        <v>31.6</v>
      </c>
      <c r="K354" s="27" t="n">
        <v>35</v>
      </c>
      <c r="L354" s="44" t="n">
        <v>35</v>
      </c>
      <c r="M354" s="28" t="n">
        <v>100</v>
      </c>
      <c r="N354" s="29" t="inlineStr">
        <is>
          <t>Y</t>
        </is>
      </c>
      <c r="O354" s="36" t="n">
        <v>5958.3</v>
      </c>
      <c r="P354" s="46" t="n">
        <v>3494.78</v>
      </c>
      <c r="Q354" s="31" t="n">
        <v>40.78</v>
      </c>
      <c r="R354" s="45" t="n">
        <v>91.70999999999999</v>
      </c>
      <c r="S354" s="33" t="n">
        <v>10.63</v>
      </c>
      <c r="T354" s="32" t="n">
        <v>15</v>
      </c>
      <c r="U354" s="22" t="n"/>
      <c r="V354" s="29" t="inlineStr">
        <is>
          <t>N</t>
        </is>
      </c>
      <c r="W354" s="31" t="n"/>
      <c r="X354" s="34" t="n">
        <v>608</v>
      </c>
      <c r="Y354" s="36" t="n">
        <v>9.800000000000001</v>
      </c>
      <c r="Z354" s="36" t="n">
        <v>-95.2</v>
      </c>
      <c r="AA354" s="22" t="n"/>
      <c r="AB354" s="22" t="n"/>
      <c r="AC354" s="22" t="inlineStr">
        <is>
          <t>Morgan StanleyAsia Limited; CITIC Securities (Hong Kong) Limited; Sponsor — Overall Coordinators Morgan StanleyAsia Limited; CLSA Limited</t>
        </is>
      </c>
      <c r="AD354" s="22" t="n"/>
      <c r="AE354" s="22" t="n"/>
      <c r="AK354">
        <f>IF(AND(Screener!$B$7&lt;&gt;"",$E354=Screener!$B$7),1,0)</f>
        <v/>
      </c>
      <c r="AL354">
        <f>IF(AND(Screener!$B$6&lt;&gt;"",$D354=Screener!$B$6),1,0)</f>
        <v/>
      </c>
      <c r="AM354">
        <f>IF(OR($H354="",Screener!$B$8=""),0,MAX(0,1-ABS(LOG10($H354/Screener!$B$8))/W_SIZEHW))</f>
        <v/>
      </c>
      <c r="AN354">
        <f>IF(OR($V354="",Screener!$B$9=""),0,IF($V354=Screener!$B$9,1,0))</f>
        <v/>
      </c>
      <c r="AO354">
        <f>IF(OR($AA354="",Screener!$B$10=""),0,IF($AA354=Screener!$B$10,1,0))</f>
        <v/>
      </c>
      <c r="AP354">
        <f>IF($G354="",0,MAX(0,1-(Screener!$B$12-$G354)/W_RECD))</f>
        <v/>
      </c>
      <c r="AQ354">
        <f>IF($B354=Screener!$B$3,-999999,W_SUB*AK354+W_SEC*AL354*(1-AK354)+W_SIZE*AM354+W_PROF*AN354+W_AH*AO354+W_REC*AP354)+ROW()/1000000</f>
        <v/>
      </c>
      <c r="AR354">
        <f>IF(OR('NEW DEAL'!$B$6="",$E354&lt;&gt;'NEW DEAL'!$B$6),-1,1+IF(OR($H354="",'NEW DEAL'!$B$7=""),0,MAX(0,1-ABS(LOG10($H354/'NEW DEAL'!$B$7))/W_SIZEHW)))+ROW()/1000000</f>
        <v/>
      </c>
    </row>
    <row r="355">
      <c r="A355" s="23" t="inlineStr">
        <is>
          <t>2627</t>
        </is>
      </c>
      <c r="B355" s="22" t="inlineStr">
        <is>
          <t>AB&amp;B BIO-TECH-B</t>
        </is>
      </c>
      <c r="C355" s="22" t="inlineStr">
        <is>
          <t>江蘇中慧元通生物科技股份有限公司</t>
        </is>
      </c>
      <c r="D355" s="24" t="inlineStr">
        <is>
          <t>Healthcare</t>
        </is>
      </c>
      <c r="E355" s="24" t="inlineStr">
        <is>
          <t>Biotech pre-revenue (18A)</t>
        </is>
      </c>
      <c r="F355" s="38" t="inlineStr">
        <is>
          <t>18A</t>
        </is>
      </c>
      <c r="G355" s="43" t="n">
        <v>45880</v>
      </c>
      <c r="H355" s="26" t="n">
        <v>431.4</v>
      </c>
      <c r="I355" s="22" t="inlineStr">
        <is>
          <t>gross (stated)</t>
        </is>
      </c>
      <c r="J355" s="27" t="n"/>
      <c r="K355" s="27" t="n">
        <v>15.5</v>
      </c>
      <c r="L355" s="44" t="n">
        <v>12.9</v>
      </c>
      <c r="M355" s="32" t="n"/>
      <c r="N355" s="29" t="inlineStr">
        <is>
          <t>N</t>
        </is>
      </c>
      <c r="O355" s="26" t="n">
        <v>5075.4</v>
      </c>
      <c r="P355" s="46" t="n">
        <v>4007.64</v>
      </c>
      <c r="Q355" s="31" t="n">
        <v>0.99</v>
      </c>
      <c r="R355" s="45" t="n">
        <v>157.98</v>
      </c>
      <c r="S355" s="33" t="n">
        <v>33.3</v>
      </c>
      <c r="T355" s="32" t="n"/>
      <c r="U355" s="22" t="n"/>
      <c r="V355" s="29" t="inlineStr">
        <is>
          <t>N</t>
        </is>
      </c>
      <c r="W355" s="31" t="n"/>
      <c r="X355" s="34" t="n">
        <v>16918</v>
      </c>
      <c r="Y355" s="36" t="n">
        <v>0.3</v>
      </c>
      <c r="Z355" s="36" t="n">
        <v>0</v>
      </c>
      <c r="AA355" s="22" t="n"/>
      <c r="AB355" s="22" t="n"/>
      <c r="AC355" s="22" t="inlineStr">
        <is>
          <t>CITIC Securities (Hong Kong) Limited; CMB International Capital Limited</t>
        </is>
      </c>
      <c r="AD355" s="22" t="inlineStr">
        <is>
          <t>CLSA Limited; CMB International Capital Limited; Livermore Holdings Limited; Funde Securities Limited; Aristo Securities Limited; BOCI Asia Limited; ICBC International Securities Limited</t>
        </is>
      </c>
      <c r="AE355" s="22" t="n"/>
      <c r="AK355">
        <f>IF(AND(Screener!$B$7&lt;&gt;"",$E355=Screener!$B$7),1,0)</f>
        <v/>
      </c>
      <c r="AL355">
        <f>IF(AND(Screener!$B$6&lt;&gt;"",$D355=Screener!$B$6),1,0)</f>
        <v/>
      </c>
      <c r="AM355">
        <f>IF(OR($H355="",Screener!$B$8=""),0,MAX(0,1-ABS(LOG10($H355/Screener!$B$8))/W_SIZEHW))</f>
        <v/>
      </c>
      <c r="AN355">
        <f>IF(OR($V355="",Screener!$B$9=""),0,IF($V355=Screener!$B$9,1,0))</f>
        <v/>
      </c>
      <c r="AO355">
        <f>IF(OR($AA355="",Screener!$B$10=""),0,IF($AA355=Screener!$B$10,1,0))</f>
        <v/>
      </c>
      <c r="AP355">
        <f>IF($G355="",0,MAX(0,1-(Screener!$B$12-$G355)/W_RECD))</f>
        <v/>
      </c>
      <c r="AQ355">
        <f>IF($B355=Screener!$B$3,-999999,W_SUB*AK355+W_SEC*AL355*(1-AK355)+W_SIZE*AM355+W_PROF*AN355+W_AH*AO355+W_REC*AP355)+ROW()/1000000</f>
        <v/>
      </c>
      <c r="AR355">
        <f>IF(OR('NEW DEAL'!$B$6="",$E355&lt;&gt;'NEW DEAL'!$B$6),-1,1+IF(OR($H355="",'NEW DEAL'!$B$7=""),0,MAX(0,1-ABS(LOG10($H355/'NEW DEAL'!$B$7))/W_SIZEHW)))+ROW()/1000000</f>
        <v/>
      </c>
    </row>
    <row r="356">
      <c r="A356" s="23" t="inlineStr">
        <is>
          <t>2591</t>
        </is>
      </c>
      <c r="B356" s="22" t="inlineStr">
        <is>
          <t>INNOGEN-B</t>
        </is>
      </c>
      <c r="C356" s="22" t="inlineStr">
        <is>
          <t>廣州銀諾醫藥集團股份有限公司</t>
        </is>
      </c>
      <c r="D356" s="24" t="inlineStr">
        <is>
          <t>Healthcare</t>
        </is>
      </c>
      <c r="E356" s="24" t="inlineStr">
        <is>
          <t>Biotech pre-revenue (18A)</t>
        </is>
      </c>
      <c r="F356" s="38" t="inlineStr">
        <is>
          <t>18A</t>
        </is>
      </c>
      <c r="G356" s="43" t="n">
        <v>45884</v>
      </c>
      <c r="H356" s="26" t="n">
        <v>682.9</v>
      </c>
      <c r="I356" s="22" t="inlineStr">
        <is>
          <t>gross (stated)</t>
        </is>
      </c>
      <c r="J356" s="27" t="n"/>
      <c r="K356" s="27" t="n">
        <v>18.68</v>
      </c>
      <c r="L356" s="44" t="n">
        <v>18.68</v>
      </c>
      <c r="M356" s="32" t="n"/>
      <c r="N356" s="29" t="inlineStr">
        <is>
          <t>Y</t>
        </is>
      </c>
      <c r="O356" s="26" t="n">
        <v>8533.4</v>
      </c>
      <c r="P356" s="46" t="n">
        <v>5341.66</v>
      </c>
      <c r="Q356" s="31" t="n">
        <v>10.67</v>
      </c>
      <c r="R356" s="45" t="n">
        <v>206.48</v>
      </c>
      <c r="S356" s="33" t="n">
        <v>11.49</v>
      </c>
      <c r="T356" s="32" t="n">
        <v>11.19</v>
      </c>
      <c r="U356" s="22" t="inlineStr">
        <is>
          <t>not-yet (at allotment)</t>
        </is>
      </c>
      <c r="V356" s="29" t="inlineStr">
        <is>
          <t>N</t>
        </is>
      </c>
      <c r="W356" s="31" t="n"/>
      <c r="X356" s="34" t="n">
        <v>203.2</v>
      </c>
      <c r="Y356" s="36" t="n">
        <v>42</v>
      </c>
      <c r="Z356" s="36" t="n">
        <v>-68.09999999999999</v>
      </c>
      <c r="AA356" s="22" t="n"/>
      <c r="AB356" s="22" t="n"/>
      <c r="AC356" s="22" t="inlineStr">
        <is>
          <t>CITIC Securities (Hong Kong) Limited; China International Capital Corporation Hong Kong Securities Limited</t>
        </is>
      </c>
      <c r="AD356" s="22" t="inlineStr">
        <is>
          <t>CLSA Limited; China International Capital Corporation Hong Kong Securities Limited; (in no particular order ) Deutsche Bank AG, Hong Kong Branch; Macquarie Capital Limited; China Galaxy International Securities (Hong Kong) Co., Limited; ABCI Capital Limited; BOCOM International Securities Limited; CMB International Capital Limited; Futu Securities International (Hong Kong) Limited; FUZE SECURITIES (INTERNATIONAL) LIMITED; Hafoo Securities Limited; Tiger Brokers (HK) Global Limited</t>
        </is>
      </c>
      <c r="AE356" s="22" t="n"/>
      <c r="AK356">
        <f>IF(AND(Screener!$B$7&lt;&gt;"",$E356=Screener!$B$7),1,0)</f>
        <v/>
      </c>
      <c r="AL356">
        <f>IF(AND(Screener!$B$6&lt;&gt;"",$D356=Screener!$B$6),1,0)</f>
        <v/>
      </c>
      <c r="AM356">
        <f>IF(OR($H356="",Screener!$B$8=""),0,MAX(0,1-ABS(LOG10($H356/Screener!$B$8))/W_SIZEHW))</f>
        <v/>
      </c>
      <c r="AN356">
        <f>IF(OR($V356="",Screener!$B$9=""),0,IF($V356=Screener!$B$9,1,0))</f>
        <v/>
      </c>
      <c r="AO356">
        <f>IF(OR($AA356="",Screener!$B$10=""),0,IF($AA356=Screener!$B$10,1,0))</f>
        <v/>
      </c>
      <c r="AP356">
        <f>IF($G356="",0,MAX(0,1-(Screener!$B$12-$G356)/W_RECD))</f>
        <v/>
      </c>
      <c r="AQ356">
        <f>IF($B356=Screener!$B$3,-999999,W_SUB*AK356+W_SEC*AL356*(1-AK356)+W_SIZE*AM356+W_PROF*AN356+W_AH*AO356+W_REC*AP356)+ROW()/1000000</f>
        <v/>
      </c>
      <c r="AR356">
        <f>IF(OR('NEW DEAL'!$B$6="",$E356&lt;&gt;'NEW DEAL'!$B$6),-1,1+IF(OR($H356="",'NEW DEAL'!$B$7=""),0,MAX(0,1-ABS(LOG10($H356/'NEW DEAL'!$B$7))/W_SIZEHW)))+ROW()/1000000</f>
        <v/>
      </c>
    </row>
    <row r="357">
      <c r="A357" s="23" t="inlineStr">
        <is>
          <t>2631</t>
        </is>
      </c>
      <c r="B357" s="22" t="inlineStr">
        <is>
          <t>SICC</t>
        </is>
      </c>
      <c r="C357" s="22" t="inlineStr">
        <is>
          <t>山東天岳先進科技股份有限公司</t>
        </is>
      </c>
      <c r="D357" s="24" t="inlineStr">
        <is>
          <t>Tech/AI</t>
        </is>
      </c>
      <c r="E357" s="24" t="inlineStr">
        <is>
          <t>AI chips &amp; semis</t>
        </is>
      </c>
      <c r="F357" s="22" t="inlineStr">
        <is>
          <t>Standard</t>
        </is>
      </c>
      <c r="G357" s="43" t="n">
        <v>45889</v>
      </c>
      <c r="H357" s="26" t="n">
        <v>2043.5</v>
      </c>
      <c r="I357" s="22" t="inlineStr">
        <is>
          <t>gross (stated)</t>
        </is>
      </c>
      <c r="J357" s="27" t="n"/>
      <c r="K357" s="27" t="n">
        <v>42.8</v>
      </c>
      <c r="L357" s="44" t="n">
        <v>42.8</v>
      </c>
      <c r="M357" s="32" t="n"/>
      <c r="N357" s="29" t="inlineStr">
        <is>
          <t>Y</t>
        </is>
      </c>
      <c r="O357" s="26" t="n">
        <v>18084.1</v>
      </c>
      <c r="P357" s="46" t="n">
        <v>2809.19</v>
      </c>
      <c r="Q357" s="31" t="n">
        <v>9.039999999999999</v>
      </c>
      <c r="R357" s="45" t="n">
        <v>6.4</v>
      </c>
      <c r="S357" s="33" t="n">
        <v>36.2</v>
      </c>
      <c r="T357" s="28" t="n">
        <v>15</v>
      </c>
      <c r="U357" s="22" t="n"/>
      <c r="V357" s="29" t="inlineStr">
        <is>
          <t>Y</t>
        </is>
      </c>
      <c r="W357" s="34" t="n">
        <v>91.8</v>
      </c>
      <c r="X357" s="34" t="n">
        <v>9.300000000000001</v>
      </c>
      <c r="Y357" s="36" t="n">
        <v>1945</v>
      </c>
      <c r="Z357" s="36" t="n">
        <v>196.9</v>
      </c>
      <c r="AA357" s="22" t="inlineStr">
        <is>
          <t>Y</t>
        </is>
      </c>
      <c r="AB357" s="22" t="inlineStr">
        <is>
          <t>688234.SS</t>
        </is>
      </c>
      <c r="AC357" s="22" t="inlineStr">
        <is>
          <t>China International Capital Corporation Hong Kong Securities Limited; CITIC Securities (Hong Kong) Limited; Sponsor-OC China International Capital Corporation Hong Kong Securities Limited; CLSA Limited</t>
        </is>
      </c>
      <c r="AD357" s="22" t="inlineStr">
        <is>
          <t>China International Capital Corporation Hong Kong Securities Limited; CLSA Limited; Haitong International Securities Company Limited; BOCI Asia Limited; The Hongkong and Shanghai Banking Corporation Limited; Zhongtai International Securities Limited; ICBC International Securities Limited; CMB International Capital Limited; CCB International Capital Limited; ABCI Capital Limited; China Galaxy International Securities (Hong Kong) Co., Limited; Shenwan Hongyuan Securities (H.K.) Limited</t>
        </is>
      </c>
      <c r="AE357" s="22" t="n"/>
      <c r="AK357">
        <f>IF(AND(Screener!$B$7&lt;&gt;"",$E357=Screener!$B$7),1,0)</f>
        <v/>
      </c>
      <c r="AL357">
        <f>IF(AND(Screener!$B$6&lt;&gt;"",$D357=Screener!$B$6),1,0)</f>
        <v/>
      </c>
      <c r="AM357">
        <f>IF(OR($H357="",Screener!$B$8=""),0,MAX(0,1-ABS(LOG10($H357/Screener!$B$8))/W_SIZEHW))</f>
        <v/>
      </c>
      <c r="AN357">
        <f>IF(OR($V357="",Screener!$B$9=""),0,IF($V357=Screener!$B$9,1,0))</f>
        <v/>
      </c>
      <c r="AO357">
        <f>IF(OR($AA357="",Screener!$B$10=""),0,IF($AA357=Screener!$B$10,1,0))</f>
        <v/>
      </c>
      <c r="AP357">
        <f>IF($G357="",0,MAX(0,1-(Screener!$B$12-$G357)/W_RECD))</f>
        <v/>
      </c>
      <c r="AQ357">
        <f>IF($B357=Screener!$B$3,-999999,W_SUB*AK357+W_SEC*AL357*(1-AK357)+W_SIZE*AM357+W_PROF*AN357+W_AH*AO357+W_REC*AP357)+ROW()/1000000</f>
        <v/>
      </c>
      <c r="AR357">
        <f>IF(OR('NEW DEAL'!$B$6="",$E357&lt;&gt;'NEW DEAL'!$B$6),-1,1+IF(OR($H357="",'NEW DEAL'!$B$7=""),0,MAX(0,1-ABS(LOG10($H357/'NEW DEAL'!$B$7))/W_SIZEHW)))+ROW()/1000000</f>
        <v/>
      </c>
    </row>
    <row r="358">
      <c r="A358" s="23" t="inlineStr">
        <is>
          <t>6960</t>
        </is>
      </c>
      <c r="B358" s="22" t="inlineStr">
        <is>
          <t>SHUANGDENG</t>
        </is>
      </c>
      <c r="C358" s="22" t="inlineStr">
        <is>
          <t>雙登集團股份有限公司</t>
        </is>
      </c>
      <c r="D358" s="24" t="inlineStr">
        <is>
          <t>Industrials</t>
        </is>
      </c>
      <c r="E358" s="24" t="inlineStr">
        <is>
          <t>Batteries / energy storage</t>
        </is>
      </c>
      <c r="F358" s="22" t="inlineStr">
        <is>
          <t>Standard</t>
        </is>
      </c>
      <c r="G358" s="39" t="n">
        <v>45895</v>
      </c>
      <c r="H358" s="26" t="n">
        <v>849.66</v>
      </c>
      <c r="I358" s="22" t="inlineStr">
        <is>
          <t>gross (stated)</t>
        </is>
      </c>
      <c r="J358" s="27" t="n"/>
      <c r="K358" s="27" t="n">
        <v>14.51</v>
      </c>
      <c r="L358" s="44" t="n">
        <v>14.51</v>
      </c>
      <c r="M358" s="32" t="n"/>
      <c r="N358" s="29" t="inlineStr">
        <is>
          <t>Y</t>
        </is>
      </c>
      <c r="O358" s="36" t="n">
        <v>6048.1</v>
      </c>
      <c r="P358" s="46" t="n">
        <v>3876.25</v>
      </c>
      <c r="Q358" s="31" t="n">
        <v>18.75</v>
      </c>
      <c r="R358" s="45" t="n">
        <v>31.29</v>
      </c>
      <c r="S358" s="33" t="n">
        <v>28.47</v>
      </c>
      <c r="T358" s="32" t="n">
        <v>5.51</v>
      </c>
      <c r="U358" s="22" t="n"/>
      <c r="V358" s="29" t="inlineStr">
        <is>
          <t>Y</t>
        </is>
      </c>
      <c r="W358" s="34" t="n">
        <v>15.6</v>
      </c>
      <c r="X358" s="34" t="n">
        <v>1.2</v>
      </c>
      <c r="Y358" s="36" t="n">
        <v>4948.4</v>
      </c>
      <c r="Z358" s="36" t="n">
        <v>388.7</v>
      </c>
      <c r="AA358" s="22" t="n"/>
      <c r="AB358" s="22" t="n"/>
      <c r="AC358" s="22" t="inlineStr">
        <is>
          <t>China International Capital Corporation Hong Kong Securities Limited; Central, Hong Kong Huatai Financial Holdings (Hong Kong) Limited; CCB International Capital Limited</t>
        </is>
      </c>
      <c r="AD358" s="22" t="inlineStr">
        <is>
          <t>China International Capital Corporation Hong Kong Securities Limited; Central, Hong Kong Huatai Financial Holdings (Hong Kong) Limited; CCB International Capital Limited; China Internatio nal Capital Corporation Hong Kong Securities Limited; ICBC International Securities Limited; ABCI Capital Limited; Livermore Holdings Limited; C h i n aG a l a x yI n t e r n a t i o n a lSecurities (Hong Kong) Co., Limited; ABCI Securities Company Limited</t>
        </is>
      </c>
      <c r="AE358" s="22" t="n"/>
      <c r="AK358">
        <f>IF(AND(Screener!$B$7&lt;&gt;"",$E358=Screener!$B$7),1,0)</f>
        <v/>
      </c>
      <c r="AL358">
        <f>IF(AND(Screener!$B$6&lt;&gt;"",$D358=Screener!$B$6),1,0)</f>
        <v/>
      </c>
      <c r="AM358">
        <f>IF(OR($H358="",Screener!$B$8=""),0,MAX(0,1-ABS(LOG10($H358/Screener!$B$8))/W_SIZEHW))</f>
        <v/>
      </c>
      <c r="AN358">
        <f>IF(OR($V358="",Screener!$B$9=""),0,IF($V358=Screener!$B$9,1,0))</f>
        <v/>
      </c>
      <c r="AO358">
        <f>IF(OR($AA358="",Screener!$B$10=""),0,IF($AA358=Screener!$B$10,1,0))</f>
        <v/>
      </c>
      <c r="AP358">
        <f>IF($G358="",0,MAX(0,1-(Screener!$B$12-$G358)/W_RECD))</f>
        <v/>
      </c>
      <c r="AQ358">
        <f>IF($B358=Screener!$B$3,-999999,W_SUB*AK358+W_SEC*AL358*(1-AK358)+W_SIZE*AM358+W_PROF*AN358+W_AH*AO358+W_REC*AP358)+ROW()/1000000</f>
        <v/>
      </c>
      <c r="AR358">
        <f>IF(OR('NEW DEAL'!$B$6="",$E358&lt;&gt;'NEW DEAL'!$B$6),-1,1+IF(OR($H358="",'NEW DEAL'!$B$7=""),0,MAX(0,1-ABS(LOG10($H358/'NEW DEAL'!$B$7))/W_SIZEHW)))+ROW()/1000000</f>
        <v/>
      </c>
    </row>
    <row r="359">
      <c r="A359" s="23" t="inlineStr">
        <is>
          <t>3858</t>
        </is>
      </c>
      <c r="B359" s="22" t="inlineStr">
        <is>
          <t>JIAXIN INTL RES</t>
        </is>
      </c>
      <c r="C359" s="22" t="inlineStr">
        <is>
          <t>佳鑫國際資源投資有限公司</t>
        </is>
      </c>
      <c r="D359" s="24" t="inlineStr">
        <is>
          <t>Materials/Energy</t>
        </is>
      </c>
      <c r="E359" s="24" t="inlineStr">
        <is>
          <t>Mining / metals</t>
        </is>
      </c>
      <c r="F359" s="22" t="inlineStr">
        <is>
          <t>Standard</t>
        </is>
      </c>
      <c r="G359" s="43" t="n">
        <v>45897</v>
      </c>
      <c r="H359" s="26" t="n">
        <v>1199.1</v>
      </c>
      <c r="I359" s="22" t="inlineStr">
        <is>
          <t>gross (stated)</t>
        </is>
      </c>
      <c r="J359" s="27" t="n"/>
      <c r="K359" s="27" t="n">
        <v>10.92</v>
      </c>
      <c r="L359" s="44" t="n">
        <v>10.92</v>
      </c>
      <c r="M359" s="32" t="n"/>
      <c r="N359" s="29" t="inlineStr">
        <is>
          <t>Y</t>
        </is>
      </c>
      <c r="O359" s="36" t="n">
        <v>4796.4</v>
      </c>
      <c r="P359" s="46" t="n">
        <v>2041.62</v>
      </c>
      <c r="Q359" s="31" t="n">
        <v>21.11</v>
      </c>
      <c r="R359" s="45" t="n">
        <v>177.84</v>
      </c>
      <c r="S359" s="33" t="n">
        <v>31.7</v>
      </c>
      <c r="T359" s="32" t="n">
        <v>15</v>
      </c>
      <c r="U359" s="22" t="n"/>
      <c r="V359" s="29" t="inlineStr">
        <is>
          <t>N</t>
        </is>
      </c>
      <c r="W359" s="31" t="n"/>
      <c r="X359" s="34" t="n">
        <v>38</v>
      </c>
      <c r="Y359" s="36" t="n">
        <v>126.3</v>
      </c>
      <c r="Z359" s="36" t="n">
        <v>-176.5</v>
      </c>
      <c r="AA359" s="22" t="n"/>
      <c r="AB359" s="22" t="n"/>
      <c r="AC359" s="22" t="inlineStr">
        <is>
          <t>-Overall Coordinator China International Capital Corporation Hong Kong Securities Limited</t>
        </is>
      </c>
      <c r="AD359" s="22" t="inlineStr">
        <is>
          <t>China International Capital Corporation Hong Kong Securities Limited; China Galaxy International Securities (Hong Kong) Co., Limited; CMB International Capital Limited; Central, Hong Kong Celestial Securities Limited; ABCI Capital Limited; Central, Hong Kong Tiger Brokers (HK) Global Limited</t>
        </is>
      </c>
      <c r="AE359" s="22" t="n"/>
      <c r="AK359">
        <f>IF(AND(Screener!$B$7&lt;&gt;"",$E359=Screener!$B$7),1,0)</f>
        <v/>
      </c>
      <c r="AL359">
        <f>IF(AND(Screener!$B$6&lt;&gt;"",$D359=Screener!$B$6),1,0)</f>
        <v/>
      </c>
      <c r="AM359">
        <f>IF(OR($H359="",Screener!$B$8=""),0,MAX(0,1-ABS(LOG10($H359/Screener!$B$8))/W_SIZEHW))</f>
        <v/>
      </c>
      <c r="AN359">
        <f>IF(OR($V359="",Screener!$B$9=""),0,IF($V359=Screener!$B$9,1,0))</f>
        <v/>
      </c>
      <c r="AO359">
        <f>IF(OR($AA359="",Screener!$B$10=""),0,IF($AA359=Screener!$B$10,1,0))</f>
        <v/>
      </c>
      <c r="AP359">
        <f>IF($G359="",0,MAX(0,1-(Screener!$B$12-$G359)/W_RECD))</f>
        <v/>
      </c>
      <c r="AQ359">
        <f>IF($B359=Screener!$B$3,-999999,W_SUB*AK359+W_SEC*AL359*(1-AK359)+W_SIZE*AM359+W_PROF*AN359+W_AH*AO359+W_REC*AP359)+ROW()/1000000</f>
        <v/>
      </c>
      <c r="AR359">
        <f>IF(OR('NEW DEAL'!$B$6="",$E359&lt;&gt;'NEW DEAL'!$B$6),-1,1+IF(OR($H359="",'NEW DEAL'!$B$7=""),0,MAX(0,1-ABS(LOG10($H359/'NEW DEAL'!$B$7))/W_SIZEHW)))+ROW()/1000000</f>
        <v/>
      </c>
    </row>
    <row r="360">
      <c r="A360" s="23" t="inlineStr">
        <is>
          <t>2580</t>
        </is>
      </c>
      <c r="B360" s="22" t="inlineStr">
        <is>
          <t>AUX ELECTRIC</t>
        </is>
      </c>
      <c r="C360" s="22" t="inlineStr">
        <is>
          <t>奧克斯電氣有限公司奧克斯電氣有限公司</t>
        </is>
      </c>
      <c r="D360" s="24" t="inlineStr">
        <is>
          <t>Tech/AI</t>
        </is>
      </c>
      <c r="E360" s="24" t="inlineStr">
        <is>
          <t>Smart hardware / consumer electronics</t>
        </is>
      </c>
      <c r="F360" s="22" t="inlineStr">
        <is>
          <t>Standard</t>
        </is>
      </c>
      <c r="G360" s="43" t="n">
        <v>45902</v>
      </c>
      <c r="H360" s="26" t="n">
        <v>4150.1</v>
      </c>
      <c r="I360" s="22" t="inlineStr">
        <is>
          <t>gross (stated)</t>
        </is>
      </c>
      <c r="J360" s="27" t="n">
        <v>16</v>
      </c>
      <c r="K360" s="27" t="n">
        <v>17.42</v>
      </c>
      <c r="L360" s="44" t="n">
        <v>17.42</v>
      </c>
      <c r="M360" s="28" t="n">
        <v>100</v>
      </c>
      <c r="N360" s="29" t="inlineStr">
        <is>
          <t>Y</t>
        </is>
      </c>
      <c r="O360" s="26" t="n">
        <v>27667.3</v>
      </c>
      <c r="P360" s="48" t="n">
        <v>557.2</v>
      </c>
      <c r="Q360" s="31" t="n"/>
      <c r="R360" s="45" t="n">
        <v>-5.4</v>
      </c>
      <c r="S360" s="33" t="n">
        <v>33.9</v>
      </c>
      <c r="T360" s="28" t="n">
        <v>15</v>
      </c>
      <c r="U360" s="22" t="n"/>
      <c r="V360" s="29" t="inlineStr">
        <is>
          <t>Y</t>
        </is>
      </c>
      <c r="W360" s="34" t="n">
        <v>8.6</v>
      </c>
      <c r="X360" s="34" t="n">
        <v>0.8</v>
      </c>
      <c r="Y360" s="36" t="n">
        <v>32735.3</v>
      </c>
      <c r="Z360" s="36" t="n">
        <v>3201.2</v>
      </c>
      <c r="AA360" s="22" t="n"/>
      <c r="AB360" s="22" t="n"/>
      <c r="AC360" s="22" t="n"/>
      <c r="AD360" s="22" t="inlineStr">
        <is>
          <t>China International Capital Corporation Hong Kong Securities Limited; Orient Securities (Hong Kong) Limited; ABCI Capital Limited; ICBC International Securities Limited; Futu Securities International (Hong Kong) Limited</t>
        </is>
      </c>
      <c r="AE360" s="22" t="n"/>
      <c r="AK360">
        <f>IF(AND(Screener!$B$7&lt;&gt;"",$E360=Screener!$B$7),1,0)</f>
        <v/>
      </c>
      <c r="AL360">
        <f>IF(AND(Screener!$B$6&lt;&gt;"",$D360=Screener!$B$6),1,0)</f>
        <v/>
      </c>
      <c r="AM360">
        <f>IF(OR($H360="",Screener!$B$8=""),0,MAX(0,1-ABS(LOG10($H360/Screener!$B$8))/W_SIZEHW))</f>
        <v/>
      </c>
      <c r="AN360">
        <f>IF(OR($V360="",Screener!$B$9=""),0,IF($V360=Screener!$B$9,1,0))</f>
        <v/>
      </c>
      <c r="AO360">
        <f>IF(OR($AA360="",Screener!$B$10=""),0,IF($AA360=Screener!$B$10,1,0))</f>
        <v/>
      </c>
      <c r="AP360">
        <f>IF($G360="",0,MAX(0,1-(Screener!$B$12-$G360)/W_RECD))</f>
        <v/>
      </c>
      <c r="AQ360">
        <f>IF($B360=Screener!$B$3,-999999,W_SUB*AK360+W_SEC*AL360*(1-AK360)+W_SIZE*AM360+W_PROF*AN360+W_AH*AO360+W_REC*AP360)+ROW()/1000000</f>
        <v/>
      </c>
      <c r="AR360">
        <f>IF(OR('NEW DEAL'!$B$6="",$E360&lt;&gt;'NEW DEAL'!$B$6),-1,1+IF(OR($H360="",'NEW DEAL'!$B$7=""),0,MAX(0,1-ABS(LOG10($H360/'NEW DEAL'!$B$7))/W_SIZEHW)))+ROW()/1000000</f>
        <v/>
      </c>
    </row>
    <row r="361">
      <c r="A361" s="23" t="inlineStr">
        <is>
          <t>2543</t>
        </is>
      </c>
      <c r="B361" s="22" t="inlineStr">
        <is>
          <t>DAHON TECH</t>
        </is>
      </c>
      <c r="C361" s="22" t="n"/>
      <c r="D361" s="24" t="inlineStr">
        <is>
          <t>Tech/AI</t>
        </is>
      </c>
      <c r="E361" s="24" t="inlineStr">
        <is>
          <t>Smart hardware / consumer electronics</t>
        </is>
      </c>
      <c r="F361" s="22" t="inlineStr">
        <is>
          <t>Standard</t>
        </is>
      </c>
      <c r="G361" s="43" t="n">
        <v>45909</v>
      </c>
      <c r="H361" s="26" t="n">
        <v>392.04</v>
      </c>
      <c r="I361" s="22" t="inlineStr">
        <is>
          <t>gross (stated)</t>
        </is>
      </c>
      <c r="J361" s="27" t="n"/>
      <c r="K361" s="27" t="n">
        <v>49.5</v>
      </c>
      <c r="L361" s="44" t="n">
        <v>49.5</v>
      </c>
      <c r="M361" s="32" t="n"/>
      <c r="N361" s="29" t="inlineStr">
        <is>
          <t>Y</t>
        </is>
      </c>
      <c r="O361" s="36" t="n">
        <v>1567.6</v>
      </c>
      <c r="P361" s="46" t="n">
        <v>7558.4</v>
      </c>
      <c r="Q361" s="31" t="n">
        <v>21.65</v>
      </c>
      <c r="R361" s="45" t="n">
        <v>14.95</v>
      </c>
      <c r="S361" s="33" t="n">
        <v>25.43</v>
      </c>
      <c r="T361" s="28" t="n">
        <v>14.9</v>
      </c>
      <c r="U361" s="22" t="n"/>
      <c r="V361" s="29" t="inlineStr">
        <is>
          <t>Y</t>
        </is>
      </c>
      <c r="W361" s="34" t="n">
        <v>27.3</v>
      </c>
      <c r="X361" s="34" t="n">
        <v>3.2</v>
      </c>
      <c r="Y361" s="36" t="n">
        <v>495.8</v>
      </c>
      <c r="Z361" s="36" t="n">
        <v>57.5</v>
      </c>
      <c r="AA361" s="22" t="n"/>
      <c r="AB361" s="22" t="n"/>
      <c r="AC361" s="22" t="inlineStr">
        <is>
          <t>China Securities (International) Corporate Finance Company Limited</t>
        </is>
      </c>
      <c r="AD361" s="22" t="inlineStr">
        <is>
          <t>China Securities (International) Corporate Finance Company Limited; ABCI Capital Limited; BOCI Asia Limited; CCB International Capital Limited; CMB International Capital Limited; Futu Securities International (Hong Kong) Limited</t>
        </is>
      </c>
      <c r="AE361" s="22" t="n"/>
      <c r="AK361">
        <f>IF(AND(Screener!$B$7&lt;&gt;"",$E361=Screener!$B$7),1,0)</f>
        <v/>
      </c>
      <c r="AL361">
        <f>IF(AND(Screener!$B$6&lt;&gt;"",$D361=Screener!$B$6),1,0)</f>
        <v/>
      </c>
      <c r="AM361">
        <f>IF(OR($H361="",Screener!$B$8=""),0,MAX(0,1-ABS(LOG10($H361/Screener!$B$8))/W_SIZEHW))</f>
        <v/>
      </c>
      <c r="AN361">
        <f>IF(OR($V361="",Screener!$B$9=""),0,IF($V361=Screener!$B$9,1,0))</f>
        <v/>
      </c>
      <c r="AO361">
        <f>IF(OR($AA361="",Screener!$B$10=""),0,IF($AA361=Screener!$B$10,1,0))</f>
        <v/>
      </c>
      <c r="AP361">
        <f>IF($G361="",0,MAX(0,1-(Screener!$B$12-$G361)/W_RECD))</f>
        <v/>
      </c>
      <c r="AQ361">
        <f>IF($B361=Screener!$B$3,-999999,W_SUB*AK361+W_SEC*AL361*(1-AK361)+W_SIZE*AM361+W_PROF*AN361+W_AH*AO361+W_REC*AP361)+ROW()/1000000</f>
        <v/>
      </c>
      <c r="AR361">
        <f>IF(OR('NEW DEAL'!$B$6="",$E361&lt;&gt;'NEW DEAL'!$B$6),-1,1+IF(OR($H361="",'NEW DEAL'!$B$7=""),0,MAX(0,1-ABS(LOG10($H361/'NEW DEAL'!$B$7))/W_SIZEHW)))+ROW()/1000000</f>
        <v/>
      </c>
    </row>
    <row r="362">
      <c r="A362" s="23" t="inlineStr">
        <is>
          <t>2525</t>
        </is>
      </c>
      <c r="B362" s="22" t="inlineStr">
        <is>
          <t>HESAI-W</t>
        </is>
      </c>
      <c r="C362" s="22" t="inlineStr">
        <is>
          <t>禾賽科技</t>
        </is>
      </c>
      <c r="D362" s="24" t="inlineStr">
        <is>
          <t>Tech/AI</t>
        </is>
      </c>
      <c r="E362" s="24" t="inlineStr">
        <is>
          <t>Robotics &amp; autonomous driving</t>
        </is>
      </c>
      <c r="F362" s="38" t="inlineStr">
        <is>
          <t>WVR</t>
        </is>
      </c>
      <c r="G362" s="43" t="n">
        <v>45916</v>
      </c>
      <c r="H362" s="26" t="n">
        <v>4160.24</v>
      </c>
      <c r="I362" s="22" t="inlineStr">
        <is>
          <t>gross (stated)</t>
        </is>
      </c>
      <c r="J362" s="27" t="n"/>
      <c r="K362" s="27" t="n">
        <v>228</v>
      </c>
      <c r="L362" s="44" t="n">
        <v>212.8</v>
      </c>
      <c r="M362" s="32" t="n"/>
      <c r="N362" s="29" t="inlineStr">
        <is>
          <t>N</t>
        </is>
      </c>
      <c r="O362" s="26" t="n">
        <v>244720</v>
      </c>
      <c r="P362" s="40" t="n">
        <v>168.7</v>
      </c>
      <c r="Q362" s="31" t="n"/>
      <c r="R362" s="45" t="n">
        <v>9.960000000000001</v>
      </c>
      <c r="S362" s="33" t="n">
        <v>4.3</v>
      </c>
      <c r="T362" s="32" t="n">
        <v>12.8</v>
      </c>
      <c r="U362" s="22" t="n"/>
      <c r="V362" s="29" t="inlineStr">
        <is>
          <t>N</t>
        </is>
      </c>
      <c r="W362" s="31" t="n"/>
      <c r="X362" s="31" t="n"/>
      <c r="Y362" s="35" t="n"/>
      <c r="Z362" s="36" t="n">
        <v>-112.6</v>
      </c>
      <c r="AA362" s="22" t="n"/>
      <c r="AB362" s="22" t="n"/>
      <c r="AC362" s="22" t="inlineStr">
        <is>
          <t>China International Capital Corporation Hong Kong Securities Limited; Guotai Junan Capital Limited; CMB International Capital Limited; Sponsor-OCs China International Capital Corporation Hong Kong Securities Limited; Guotai Junan Securities (Hong Kong) Limited</t>
        </is>
      </c>
      <c r="AD362" s="22" t="inlineStr">
        <is>
          <t>China International Capital Corporation Hong Kong Securities Limited; Guotai Junan Securities (Hong Kong) Limited; CMB International Capital Limited; Haitong International Securities Company Limited; BOCI Asia Limited; Futu Securities International (Hong Kong) Limited; DIRECTORS AND PARTIES INVOLVED IN THE GLOBAL OFFERING – 179 – DBS Asia Capital Limited; ICBC International Securities Limited; DBS Asia Capital Limited; ABCI Capital Limited; CCB International Capital Limited</t>
        </is>
      </c>
      <c r="AE362" s="22" t="n"/>
      <c r="AK362">
        <f>IF(AND(Screener!$B$7&lt;&gt;"",$E362=Screener!$B$7),1,0)</f>
        <v/>
      </c>
      <c r="AL362">
        <f>IF(AND(Screener!$B$6&lt;&gt;"",$D362=Screener!$B$6),1,0)</f>
        <v/>
      </c>
      <c r="AM362">
        <f>IF(OR($H362="",Screener!$B$8=""),0,MAX(0,1-ABS(LOG10($H362/Screener!$B$8))/W_SIZEHW))</f>
        <v/>
      </c>
      <c r="AN362">
        <f>IF(OR($V362="",Screener!$B$9=""),0,IF($V362=Screener!$B$9,1,0))</f>
        <v/>
      </c>
      <c r="AO362">
        <f>IF(OR($AA362="",Screener!$B$10=""),0,IF($AA362=Screener!$B$10,1,0))</f>
        <v/>
      </c>
      <c r="AP362">
        <f>IF($G362="",0,MAX(0,1-(Screener!$B$12-$G362)/W_RECD))</f>
        <v/>
      </c>
      <c r="AQ362">
        <f>IF($B362=Screener!$B$3,-999999,W_SUB*AK362+W_SEC*AL362*(1-AK362)+W_SIZE*AM362+W_PROF*AN362+W_AH*AO362+W_REC*AP362)+ROW()/1000000</f>
        <v/>
      </c>
      <c r="AR362">
        <f>IF(OR('NEW DEAL'!$B$6="",$E362&lt;&gt;'NEW DEAL'!$B$6),-1,1+IF(OR($H362="",'NEW DEAL'!$B$7=""),0,MAX(0,1-ABS(LOG10($H362/'NEW DEAL'!$B$7))/W_SIZEHW)))+ROW()/1000000</f>
        <v/>
      </c>
    </row>
    <row r="363">
      <c r="A363" s="23" t="inlineStr">
        <is>
          <t>2656</t>
        </is>
      </c>
      <c r="B363" s="22" t="inlineStr">
        <is>
          <t>160 HEALTH</t>
        </is>
      </c>
      <c r="C363" s="22" t="inlineStr">
        <is>
          <t>国际有限公司</t>
        </is>
      </c>
      <c r="D363" s="24" t="inlineStr">
        <is>
          <t>Healthcare</t>
        </is>
      </c>
      <c r="E363" s="24" t="inlineStr">
        <is>
          <t>Digital health</t>
        </is>
      </c>
      <c r="F363" s="22" t="inlineStr">
        <is>
          <t>Standard</t>
        </is>
      </c>
      <c r="G363" s="43" t="n">
        <v>45917</v>
      </c>
      <c r="H363" s="26" t="n">
        <v>400</v>
      </c>
      <c r="I363" s="22" t="inlineStr">
        <is>
          <t>gross (stated)</t>
        </is>
      </c>
      <c r="J363" s="27" t="n"/>
      <c r="K363" s="27" t="n">
        <v>14.86</v>
      </c>
      <c r="L363" s="44" t="n">
        <v>11.89</v>
      </c>
      <c r="M363" s="32" t="n"/>
      <c r="N363" s="29" t="inlineStr">
        <is>
          <t>N</t>
        </is>
      </c>
      <c r="O363" s="26" t="n">
        <v>4000.4</v>
      </c>
      <c r="P363" s="46" t="n">
        <v>751.77</v>
      </c>
      <c r="Q363" s="31" t="n">
        <v>1.92</v>
      </c>
      <c r="R363" s="45" t="n">
        <v>137.34</v>
      </c>
      <c r="S363" s="33" t="n">
        <v>0</v>
      </c>
      <c r="T363" s="32" t="n">
        <v>11.33</v>
      </c>
      <c r="U363" s="22" t="inlineStr">
        <is>
          <t>not-yet (at allotment)</t>
        </is>
      </c>
      <c r="V363" s="29" t="inlineStr">
        <is>
          <t>N</t>
        </is>
      </c>
      <c r="W363" s="31" t="n"/>
      <c r="X363" s="34" t="n">
        <v>5.9</v>
      </c>
      <c r="Y363" s="36" t="n">
        <v>682.8</v>
      </c>
      <c r="Z363" s="36" t="n">
        <v>-119.1</v>
      </c>
      <c r="AA363" s="22" t="n"/>
      <c r="AB363" s="22" t="n"/>
      <c r="AC363" s="22" t="inlineStr">
        <is>
          <t>Shenwan Hongyuan Capital (H.K.) Limited; Zero2IPO Capital Limited</t>
        </is>
      </c>
      <c r="AD363" s="22" t="inlineStr">
        <is>
          <t>Shenwan Hongyuan Securities (H.K.) Limited; Zero2IPO Securities Limited; ABCI Capital Limited; BOCI Asia Limited; Eddid Securities and Futures Limited; Innovation Securities Co., Limited; Sun Securities Limited; South China Securities Limited; Livermore Holdings Limited; uSMART Securities Limited; Valuable Capital Limited; ABCI Securities Company Limited</t>
        </is>
      </c>
      <c r="AE363" s="22" t="n"/>
      <c r="AK363">
        <f>IF(AND(Screener!$B$7&lt;&gt;"",$E363=Screener!$B$7),1,0)</f>
        <v/>
      </c>
      <c r="AL363">
        <f>IF(AND(Screener!$B$6&lt;&gt;"",$D363=Screener!$B$6),1,0)</f>
        <v/>
      </c>
      <c r="AM363">
        <f>IF(OR($H363="",Screener!$B$8=""),0,MAX(0,1-ABS(LOG10($H363/Screener!$B$8))/W_SIZEHW))</f>
        <v/>
      </c>
      <c r="AN363">
        <f>IF(OR($V363="",Screener!$B$9=""),0,IF($V363=Screener!$B$9,1,0))</f>
        <v/>
      </c>
      <c r="AO363">
        <f>IF(OR($AA363="",Screener!$B$10=""),0,IF($AA363=Screener!$B$10,1,0))</f>
        <v/>
      </c>
      <c r="AP363">
        <f>IF($G363="",0,MAX(0,1-(Screener!$B$12-$G363)/W_RECD))</f>
        <v/>
      </c>
      <c r="AQ363">
        <f>IF($B363=Screener!$B$3,-999999,W_SUB*AK363+W_SEC*AL363*(1-AK363)+W_SIZE*AM363+W_PROF*AN363+W_AH*AO363+W_REC*AP363)+ROW()/1000000</f>
        <v/>
      </c>
      <c r="AR363">
        <f>IF(OR('NEW DEAL'!$B$6="",$E363&lt;&gt;'NEW DEAL'!$B$6),-1,1+IF(OR($H363="",'NEW DEAL'!$B$7=""),0,MAX(0,1-ABS(LOG10($H363/'NEW DEAL'!$B$7))/W_SIZEHW)))+ROW()/1000000</f>
        <v/>
      </c>
    </row>
    <row r="364">
      <c r="A364" s="23" t="inlineStr">
        <is>
          <t>2595</t>
        </is>
      </c>
      <c r="B364" s="22" t="inlineStr">
        <is>
          <t>GENFLEET-B</t>
        </is>
      </c>
      <c r="C364" s="22" t="inlineStr">
        <is>
          <t>勁方醫藥科技</t>
        </is>
      </c>
      <c r="D364" s="24" t="inlineStr">
        <is>
          <t>Healthcare</t>
        </is>
      </c>
      <c r="E364" s="24" t="inlineStr">
        <is>
          <t>Biotech pre-revenue (18A)</t>
        </is>
      </c>
      <c r="F364" s="38" t="inlineStr">
        <is>
          <t>18A</t>
        </is>
      </c>
      <c r="G364" s="43" t="n">
        <v>45919</v>
      </c>
      <c r="H364" s="26" t="n">
        <v>1819.6</v>
      </c>
      <c r="I364" s="22" t="inlineStr">
        <is>
          <t>gross (stated)</t>
        </is>
      </c>
      <c r="J364" s="27" t="n"/>
      <c r="K364" s="27" t="n">
        <v>20.39</v>
      </c>
      <c r="L364" s="44" t="n">
        <v>20.39</v>
      </c>
      <c r="M364" s="32" t="n"/>
      <c r="N364" s="29" t="inlineStr">
        <is>
          <t>Y</t>
        </is>
      </c>
      <c r="O364" s="36" t="n">
        <v>7041.5</v>
      </c>
      <c r="P364" s="46" t="n">
        <v>2662.79</v>
      </c>
      <c r="Q364" s="31" t="n">
        <v>39.05</v>
      </c>
      <c r="R364" s="45" t="n">
        <v>106.47</v>
      </c>
      <c r="S364" s="33" t="n">
        <v>42.84</v>
      </c>
      <c r="T364" s="28" t="n">
        <v>15</v>
      </c>
      <c r="U364" s="22" t="n"/>
      <c r="V364" s="29" t="inlineStr">
        <is>
          <t>N</t>
        </is>
      </c>
      <c r="W364" s="31" t="n"/>
      <c r="X364" s="31" t="n"/>
      <c r="Y364" s="35" t="n"/>
      <c r="Z364" s="36" t="n">
        <v>-559.2</v>
      </c>
      <c r="AA364" s="22" t="n"/>
      <c r="AB364" s="22" t="n"/>
      <c r="AC364" s="22" t="inlineStr">
        <is>
          <t>CITIC Securities (Hong Kong) Limited; -Overall Coordinator CLSA Limited</t>
        </is>
      </c>
      <c r="AD364" s="22" t="inlineStr">
        <is>
          <t>CLSA Limited; Fosun International Securities Limited; ABCI Capital Limited; CCB International Capital Limited; BOCOM International Securities Limited; China Renaissance Securities (Hong Kong) Limited; Central, Hong Kong GF Securities (Hong Kong) Brokerage Limited</t>
        </is>
      </c>
      <c r="AE364" s="22" t="n"/>
      <c r="AK364">
        <f>IF(AND(Screener!$B$7&lt;&gt;"",$E364=Screener!$B$7),1,0)</f>
        <v/>
      </c>
      <c r="AL364">
        <f>IF(AND(Screener!$B$6&lt;&gt;"",$D364=Screener!$B$6),1,0)</f>
        <v/>
      </c>
      <c r="AM364">
        <f>IF(OR($H364="",Screener!$B$8=""),0,MAX(0,1-ABS(LOG10($H364/Screener!$B$8))/W_SIZEHW))</f>
        <v/>
      </c>
      <c r="AN364">
        <f>IF(OR($V364="",Screener!$B$9=""),0,IF($V364=Screener!$B$9,1,0))</f>
        <v/>
      </c>
      <c r="AO364">
        <f>IF(OR($AA364="",Screener!$B$10=""),0,IF($AA364=Screener!$B$10,1,0))</f>
        <v/>
      </c>
      <c r="AP364">
        <f>IF($G364="",0,MAX(0,1-(Screener!$B$12-$G364)/W_RECD))</f>
        <v/>
      </c>
      <c r="AQ364">
        <f>IF($B364=Screener!$B$3,-999999,W_SUB*AK364+W_SEC*AL364*(1-AK364)+W_SIZE*AM364+W_PROF*AN364+W_AH*AO364+W_REC*AP364)+ROW()/1000000</f>
        <v/>
      </c>
      <c r="AR364">
        <f>IF(OR('NEW DEAL'!$B$6="",$E364&lt;&gt;'NEW DEAL'!$B$6),-1,1+IF(OR($H364="",'NEW DEAL'!$B$7=""),0,MAX(0,1-ABS(LOG10($H364/'NEW DEAL'!$B$7))/W_SIZEHW)))+ROW()/1000000</f>
        <v/>
      </c>
    </row>
    <row r="365">
      <c r="A365" s="23" t="inlineStr">
        <is>
          <t>6090</t>
        </is>
      </c>
      <c r="B365" s="22" t="inlineStr">
        <is>
          <t>BUTONG GROUP</t>
        </is>
      </c>
      <c r="C365" s="22" t="n"/>
      <c r="D365" s="24" t="inlineStr">
        <is>
          <t>Other</t>
        </is>
      </c>
      <c r="E365" s="24" t="inlineStr">
        <is>
          <t>Other / unclassified</t>
        </is>
      </c>
      <c r="F365" s="22" t="inlineStr">
        <is>
          <t>Standard</t>
        </is>
      </c>
      <c r="G365" s="43" t="n">
        <v>45923</v>
      </c>
      <c r="H365" s="26" t="n">
        <v>781.84</v>
      </c>
      <c r="I365" s="22" t="inlineStr">
        <is>
          <t>gross (stated)</t>
        </is>
      </c>
      <c r="J365" s="27" t="n"/>
      <c r="K365" s="27" t="n"/>
      <c r="L365" s="44" t="n">
        <v>71.2</v>
      </c>
      <c r="M365" s="32" t="n"/>
      <c r="N365" s="22" t="n"/>
      <c r="O365" s="26" t="n">
        <v>6461.5</v>
      </c>
      <c r="P365" s="46" t="n">
        <v>3317.47</v>
      </c>
      <c r="Q365" s="31" t="n">
        <v>7.37</v>
      </c>
      <c r="R365" s="45" t="n">
        <v>43.96</v>
      </c>
      <c r="S365" s="33" t="n">
        <v>14.96</v>
      </c>
      <c r="T365" s="32" t="n"/>
      <c r="U365" s="22" t="inlineStr">
        <is>
          <t>not-yet (at allotment)</t>
        </is>
      </c>
      <c r="V365" s="22" t="n"/>
      <c r="W365" s="31" t="n"/>
      <c r="X365" s="31" t="n"/>
      <c r="Y365" s="35" t="n"/>
      <c r="Z365" s="35" t="n"/>
      <c r="AA365" s="22" t="n"/>
      <c r="AB365" s="22" t="n"/>
      <c r="AC365" s="22" t="n"/>
      <c r="AD365" s="22" t="n"/>
      <c r="AE365" s="22" t="n"/>
      <c r="AK365">
        <f>IF(AND(Screener!$B$7&lt;&gt;"",$E365=Screener!$B$7),1,0)</f>
        <v/>
      </c>
      <c r="AL365">
        <f>IF(AND(Screener!$B$6&lt;&gt;"",$D365=Screener!$B$6),1,0)</f>
        <v/>
      </c>
      <c r="AM365">
        <f>IF(OR($H365="",Screener!$B$8=""),0,MAX(0,1-ABS(LOG10($H365/Screener!$B$8))/W_SIZEHW))</f>
        <v/>
      </c>
      <c r="AN365">
        <f>IF(OR($V365="",Screener!$B$9=""),0,IF($V365=Screener!$B$9,1,0))</f>
        <v/>
      </c>
      <c r="AO365">
        <f>IF(OR($AA365="",Screener!$B$10=""),0,IF($AA365=Screener!$B$10,1,0))</f>
        <v/>
      </c>
      <c r="AP365">
        <f>IF($G365="",0,MAX(0,1-(Screener!$B$12-$G365)/W_RECD))</f>
        <v/>
      </c>
      <c r="AQ365">
        <f>IF($B365=Screener!$B$3,-999999,W_SUB*AK365+W_SEC*AL365*(1-AK365)+W_SIZE*AM365+W_PROF*AN365+W_AH*AO365+W_REC*AP365)+ROW()/1000000</f>
        <v/>
      </c>
      <c r="AR365">
        <f>IF(OR('NEW DEAL'!$B$6="",$E365&lt;&gt;'NEW DEAL'!$B$6),-1,1+IF(OR($H365="",'NEW DEAL'!$B$7=""),0,MAX(0,1-ABS(LOG10($H365/'NEW DEAL'!$B$7))/W_SIZEHW)))+ROW()/1000000</f>
        <v/>
      </c>
    </row>
    <row r="366">
      <c r="A366" s="23" t="inlineStr">
        <is>
          <t>9973</t>
        </is>
      </c>
      <c r="B366" s="22" t="inlineStr">
        <is>
          <t>CHERY AUTO</t>
        </is>
      </c>
      <c r="C366" s="22" t="n"/>
      <c r="D366" s="24" t="inlineStr">
        <is>
          <t>Consumer</t>
        </is>
      </c>
      <c r="E366" s="24" t="inlineStr">
        <is>
          <t>Autos (NEV OEM)</t>
        </is>
      </c>
      <c r="F366" s="22" t="inlineStr">
        <is>
          <t>Standard</t>
        </is>
      </c>
      <c r="G366" s="43" t="n">
        <v>45925</v>
      </c>
      <c r="H366" s="26" t="n">
        <v>9145</v>
      </c>
      <c r="I366" s="22" t="inlineStr">
        <is>
          <t>gross (stated)</t>
        </is>
      </c>
      <c r="J366" s="27" t="n"/>
      <c r="K366" s="27" t="n">
        <v>30.75</v>
      </c>
      <c r="L366" s="44" t="n">
        <v>30.75</v>
      </c>
      <c r="M366" s="32" t="n"/>
      <c r="N366" s="29" t="inlineStr">
        <is>
          <t>Y</t>
        </is>
      </c>
      <c r="O366" s="26" t="n">
        <v>177342.3</v>
      </c>
      <c r="P366" s="46" t="n">
        <v>308.18</v>
      </c>
      <c r="Q366" s="31" t="n">
        <v>11.61</v>
      </c>
      <c r="R366" s="45" t="n">
        <v>3.8</v>
      </c>
      <c r="S366" s="42" t="n">
        <v>50.1</v>
      </c>
      <c r="T366" s="28" t="n">
        <v>15</v>
      </c>
      <c r="U366" s="22" t="n"/>
      <c r="V366" s="22" t="n"/>
      <c r="W366" s="31" t="n"/>
      <c r="X366" s="31" t="n"/>
      <c r="Y366" s="35" t="n"/>
      <c r="Z366" s="35" t="n"/>
      <c r="AA366" s="22" t="n"/>
      <c r="AB366" s="22" t="n"/>
      <c r="AC366" s="22" t="inlineStr">
        <is>
          <t>China International Capital Corporation Hong Kong Securities Limited; Huatai Financial Holdings (Hong Kong) Limited; GF Capital (Hong Kong) Limited</t>
        </is>
      </c>
      <c r="AD366" s="22" t="inlineStr">
        <is>
          <t>China International Capital Corporation Hong Kong Securities Limited; Huatai Financial Holdings (Hong Kong) Limited; GF Securities (Hong Kong) Brokerage Limited; DIRECTORS, SUPERVISORS AND PARTIES INVOLVED IN THE GLOBAL OFFERING – 106 – CLSA Limited; CLSA Limited; BOCI Asia Limited; CMB International Capital Limited; Futu Securities International (Hong Kong) Limited</t>
        </is>
      </c>
      <c r="AE366" s="22" t="n"/>
      <c r="AK366">
        <f>IF(AND(Screener!$B$7&lt;&gt;"",$E366=Screener!$B$7),1,0)</f>
        <v/>
      </c>
      <c r="AL366">
        <f>IF(AND(Screener!$B$6&lt;&gt;"",$D366=Screener!$B$6),1,0)</f>
        <v/>
      </c>
      <c r="AM366">
        <f>IF(OR($H366="",Screener!$B$8=""),0,MAX(0,1-ABS(LOG10($H366/Screener!$B$8))/W_SIZEHW))</f>
        <v/>
      </c>
      <c r="AN366">
        <f>IF(OR($V366="",Screener!$B$9=""),0,IF($V366=Screener!$B$9,1,0))</f>
        <v/>
      </c>
      <c r="AO366">
        <f>IF(OR($AA366="",Screener!$B$10=""),0,IF($AA366=Screener!$B$10,1,0))</f>
        <v/>
      </c>
      <c r="AP366">
        <f>IF($G366="",0,MAX(0,1-(Screener!$B$12-$G366)/W_RECD))</f>
        <v/>
      </c>
      <c r="AQ366">
        <f>IF($B366=Screener!$B$3,-999999,W_SUB*AK366+W_SEC*AL366*(1-AK366)+W_SIZE*AM366+W_PROF*AN366+W_AH*AO366+W_REC*AP366)+ROW()/1000000</f>
        <v/>
      </c>
      <c r="AR366">
        <f>IF(OR('NEW DEAL'!$B$6="",$E366&lt;&gt;'NEW DEAL'!$B$6),-1,1+IF(OR($H366="",'NEW DEAL'!$B$7=""),0,MAX(0,1-ABS(LOG10($H366/'NEW DEAL'!$B$7))/W_SIZEHW)))+ROW()/1000000</f>
        <v/>
      </c>
    </row>
    <row r="367">
      <c r="A367" s="23" t="inlineStr">
        <is>
          <t>2583</t>
        </is>
      </c>
      <c r="B367" s="22" t="inlineStr">
        <is>
          <t>HIPINE</t>
        </is>
      </c>
      <c r="C367" s="22" t="n"/>
      <c r="D367" s="24" t="inlineStr">
        <is>
          <t>Consumer</t>
        </is>
      </c>
      <c r="E367" s="24" t="inlineStr">
        <is>
          <t>Apparel / luxury</t>
        </is>
      </c>
      <c r="F367" s="22" t="inlineStr">
        <is>
          <t>Standard</t>
        </is>
      </c>
      <c r="G367" s="43" t="n">
        <v>45930</v>
      </c>
      <c r="H367" s="26" t="n">
        <v>313.76</v>
      </c>
      <c r="I367" s="22" t="inlineStr">
        <is>
          <t>gross (stated)</t>
        </is>
      </c>
      <c r="J367" s="27" t="n"/>
      <c r="K367" s="27" t="n">
        <v>29.6</v>
      </c>
      <c r="L367" s="44" t="n">
        <v>29.6</v>
      </c>
      <c r="M367" s="32" t="n"/>
      <c r="N367" s="29" t="inlineStr">
        <is>
          <t>Y</t>
        </is>
      </c>
      <c r="O367" s="26" t="n">
        <v>1741.2</v>
      </c>
      <c r="P367" s="46" t="n">
        <v>2505.9</v>
      </c>
      <c r="Q367" s="31" t="n">
        <v>3.9</v>
      </c>
      <c r="R367" s="45" t="n">
        <v>258.11</v>
      </c>
      <c r="S367" s="33" t="n"/>
      <c r="T367" s="32" t="n"/>
      <c r="U367" s="22" t="n"/>
      <c r="V367" s="29" t="inlineStr">
        <is>
          <t>Y</t>
        </is>
      </c>
      <c r="W367" s="34" t="n">
        <v>32.1</v>
      </c>
      <c r="X367" s="34" t="n">
        <v>3.5</v>
      </c>
      <c r="Y367" s="36" t="n">
        <v>502.2</v>
      </c>
      <c r="Z367" s="36" t="n">
        <v>54.3</v>
      </c>
      <c r="AA367" s="22" t="n"/>
      <c r="AB367" s="22" t="n"/>
      <c r="AC367" s="22" t="inlineStr">
        <is>
          <t>Ping An of China Capital (Hong Kong) Company Limited</t>
        </is>
      </c>
      <c r="AD367" s="22" t="inlineStr">
        <is>
          <t>Ping An Securities (Hong Kong) Company Limited; Managers Ping An Securities (Hong Kong) Company Limited; A VICT Global Asset Management Limited; uSMART Securities Limited; ABCI Capital Limited</t>
        </is>
      </c>
      <c r="AE367" s="22" t="n"/>
      <c r="AK367">
        <f>IF(AND(Screener!$B$7&lt;&gt;"",$E367=Screener!$B$7),1,0)</f>
        <v/>
      </c>
      <c r="AL367">
        <f>IF(AND(Screener!$B$6&lt;&gt;"",$D367=Screener!$B$6),1,0)</f>
        <v/>
      </c>
      <c r="AM367">
        <f>IF(OR($H367="",Screener!$B$8=""),0,MAX(0,1-ABS(LOG10($H367/Screener!$B$8))/W_SIZEHW))</f>
        <v/>
      </c>
      <c r="AN367">
        <f>IF(OR($V367="",Screener!$B$9=""),0,IF($V367=Screener!$B$9,1,0))</f>
        <v/>
      </c>
      <c r="AO367">
        <f>IF(OR($AA367="",Screener!$B$10=""),0,IF($AA367=Screener!$B$10,1,0))</f>
        <v/>
      </c>
      <c r="AP367">
        <f>IF($G367="",0,MAX(0,1-(Screener!$B$12-$G367)/W_RECD))</f>
        <v/>
      </c>
      <c r="AQ367">
        <f>IF($B367=Screener!$B$3,-999999,W_SUB*AK367+W_SEC*AL367*(1-AK367)+W_SIZE*AM367+W_PROF*AN367+W_AH*AO367+W_REC*AP367)+ROW()/1000000</f>
        <v/>
      </c>
      <c r="AR367">
        <f>IF(OR('NEW DEAL'!$B$6="",$E367&lt;&gt;'NEW DEAL'!$B$6),-1,1+IF(OR($H367="",'NEW DEAL'!$B$7=""),0,MAX(0,1-ABS(LOG10($H367/'NEW DEAL'!$B$7))/W_SIZEHW)))+ROW()/1000000</f>
        <v/>
      </c>
    </row>
    <row r="368">
      <c r="A368" s="23" t="inlineStr">
        <is>
          <t>2889</t>
        </is>
      </c>
      <c r="B368" s="22" t="inlineStr">
        <is>
          <t>PATEO</t>
        </is>
      </c>
      <c r="C368" s="22" t="n"/>
      <c r="D368" s="24" t="inlineStr">
        <is>
          <t>Consumer</t>
        </is>
      </c>
      <c r="E368" s="24" t="inlineStr">
        <is>
          <t>Auto parts / supply chain</t>
        </is>
      </c>
      <c r="F368" s="22" t="inlineStr">
        <is>
          <t>Standard</t>
        </is>
      </c>
      <c r="G368" s="43" t="n">
        <v>45930</v>
      </c>
      <c r="H368" s="26" t="n">
        <v>1066.96</v>
      </c>
      <c r="I368" s="22" t="inlineStr">
        <is>
          <t>gross (stated)</t>
        </is>
      </c>
      <c r="J368" s="27" t="n"/>
      <c r="K368" s="27" t="n"/>
      <c r="L368" s="44" t="n">
        <v>102.23</v>
      </c>
      <c r="M368" s="32" t="n"/>
      <c r="N368" s="22" t="n"/>
      <c r="O368" s="35" t="n"/>
      <c r="P368" s="46" t="n">
        <v>529.79</v>
      </c>
      <c r="Q368" s="31" t="n">
        <v>3.72</v>
      </c>
      <c r="R368" s="45" t="n">
        <v>53.58</v>
      </c>
      <c r="S368" s="33" t="n">
        <v>22.8</v>
      </c>
      <c r="T368" s="32" t="n"/>
      <c r="U368" s="22" t="inlineStr">
        <is>
          <t>not-yet (at allotment)</t>
        </is>
      </c>
      <c r="V368" s="22" t="n"/>
      <c r="W368" s="31" t="n"/>
      <c r="X368" s="31" t="n"/>
      <c r="Y368" s="35" t="n"/>
      <c r="Z368" s="35" t="n"/>
      <c r="AA368" s="22" t="n"/>
      <c r="AB368" s="22" t="n"/>
      <c r="AC368" s="22" t="n"/>
      <c r="AD368" s="22" t="n"/>
      <c r="AE368" s="22" t="n"/>
      <c r="AK368">
        <f>IF(AND(Screener!$B$7&lt;&gt;"",$E368=Screener!$B$7),1,0)</f>
        <v/>
      </c>
      <c r="AL368">
        <f>IF(AND(Screener!$B$6&lt;&gt;"",$D368=Screener!$B$6),1,0)</f>
        <v/>
      </c>
      <c r="AM368">
        <f>IF(OR($H368="",Screener!$B$8=""),0,MAX(0,1-ABS(LOG10($H368/Screener!$B$8))/W_SIZEHW))</f>
        <v/>
      </c>
      <c r="AN368">
        <f>IF(OR($V368="",Screener!$B$9=""),0,IF($V368=Screener!$B$9,1,0))</f>
        <v/>
      </c>
      <c r="AO368">
        <f>IF(OR($AA368="",Screener!$B$10=""),0,IF($AA368=Screener!$B$10,1,0))</f>
        <v/>
      </c>
      <c r="AP368">
        <f>IF($G368="",0,MAX(0,1-(Screener!$B$12-$G368)/W_RECD))</f>
        <v/>
      </c>
      <c r="AQ368">
        <f>IF($B368=Screener!$B$3,-999999,W_SUB*AK368+W_SEC*AL368*(1-AK368)+W_SIZE*AM368+W_PROF*AN368+W_AH*AO368+W_REC*AP368)+ROW()/1000000</f>
        <v/>
      </c>
      <c r="AR368">
        <f>IF(OR('NEW DEAL'!$B$6="",$E368&lt;&gt;'NEW DEAL'!$B$6),-1,1+IF(OR($H368="",'NEW DEAL'!$B$7=""),0,MAX(0,1-ABS(LOG10($H368/'NEW DEAL'!$B$7))/W_SIZEHW)))+ROW()/1000000</f>
        <v/>
      </c>
    </row>
    <row r="369">
      <c r="A369" s="23" t="inlineStr">
        <is>
          <t>2259</t>
        </is>
      </c>
      <c r="B369" s="22" t="inlineStr">
        <is>
          <t>ZIJIN GOLD INTL</t>
        </is>
      </c>
      <c r="C369" s="22" t="n"/>
      <c r="D369" s="24" t="inlineStr">
        <is>
          <t>Materials/Energy</t>
        </is>
      </c>
      <c r="E369" s="24" t="inlineStr">
        <is>
          <t>Mining / metals</t>
        </is>
      </c>
      <c r="F369" s="22" t="inlineStr">
        <is>
          <t>Standard</t>
        </is>
      </c>
      <c r="G369" s="39" t="n">
        <v>45930</v>
      </c>
      <c r="H369" s="26" t="n">
        <v>24984.2</v>
      </c>
      <c r="I369" s="22" t="inlineStr">
        <is>
          <t>gross (stated)</t>
        </is>
      </c>
      <c r="J369" s="27" t="n"/>
      <c r="K369" s="27" t="n">
        <v>71.59</v>
      </c>
      <c r="L369" s="44" t="n">
        <v>71.59</v>
      </c>
      <c r="M369" s="32" t="n"/>
      <c r="N369" s="29" t="inlineStr">
        <is>
          <t>Y</t>
        </is>
      </c>
      <c r="O369" s="36" t="n">
        <v>187900</v>
      </c>
      <c r="P369" s="46" t="n">
        <v>240.74</v>
      </c>
      <c r="Q369" s="31" t="n">
        <v>22.36</v>
      </c>
      <c r="R369" s="45" t="n">
        <v>68.45999999999999</v>
      </c>
      <c r="S369" s="33" t="n">
        <v>1.6</v>
      </c>
      <c r="T369" s="32" t="n">
        <v>5</v>
      </c>
      <c r="U369" s="22" t="n"/>
      <c r="V369" s="29" t="inlineStr">
        <is>
          <t>Y</t>
        </is>
      </c>
      <c r="W369" s="34" t="n">
        <v>39145.8</v>
      </c>
      <c r="X369" s="31" t="n"/>
      <c r="Y369" s="35" t="n"/>
      <c r="Z369" s="36" t="n">
        <v>4.8</v>
      </c>
      <c r="AA369" s="22" t="n"/>
      <c r="AB369" s="22" t="n"/>
      <c r="AC369" s="22" t="n"/>
      <c r="AD369" s="22" t="n"/>
      <c r="AE369" s="22" t="n"/>
      <c r="AK369">
        <f>IF(AND(Screener!$B$7&lt;&gt;"",$E369=Screener!$B$7),1,0)</f>
        <v/>
      </c>
      <c r="AL369">
        <f>IF(AND(Screener!$B$6&lt;&gt;"",$D369=Screener!$B$6),1,0)</f>
        <v/>
      </c>
      <c r="AM369">
        <f>IF(OR($H369="",Screener!$B$8=""),0,MAX(0,1-ABS(LOG10($H369/Screener!$B$8))/W_SIZEHW))</f>
        <v/>
      </c>
      <c r="AN369">
        <f>IF(OR($V369="",Screener!$B$9=""),0,IF($V369=Screener!$B$9,1,0))</f>
        <v/>
      </c>
      <c r="AO369">
        <f>IF(OR($AA369="",Screener!$B$10=""),0,IF($AA369=Screener!$B$10,1,0))</f>
        <v/>
      </c>
      <c r="AP369">
        <f>IF($G369="",0,MAX(0,1-(Screener!$B$12-$G369)/W_RECD))</f>
        <v/>
      </c>
      <c r="AQ369">
        <f>IF($B369=Screener!$B$3,-999999,W_SUB*AK369+W_SEC*AL369*(1-AK369)+W_SIZE*AM369+W_PROF*AN369+W_AH*AO369+W_REC*AP369)+ROW()/1000000</f>
        <v/>
      </c>
      <c r="AR369">
        <f>IF(OR('NEW DEAL'!$B$6="",$E369&lt;&gt;'NEW DEAL'!$B$6),-1,1+IF(OR($H369="",'NEW DEAL'!$B$7=""),0,MAX(0,1-ABS(LOG10($H369/'NEW DEAL'!$B$7))/W_SIZEHW)))+ROW()/1000000</f>
        <v/>
      </c>
    </row>
    <row r="370">
      <c r="A370" s="23" t="inlineStr">
        <is>
          <t>2652</t>
        </is>
      </c>
      <c r="B370" s="22" t="inlineStr">
        <is>
          <t>CF PHARMTECH</t>
        </is>
      </c>
      <c r="C370" s="22" t="inlineStr">
        <is>
          <t>長風藥業股份有限公司</t>
        </is>
      </c>
      <c r="D370" s="24" t="inlineStr">
        <is>
          <t>Healthcare</t>
        </is>
      </c>
      <c r="E370" s="24" t="inlineStr">
        <is>
          <t>Biopharma commercial</t>
        </is>
      </c>
      <c r="F370" s="22" t="inlineStr">
        <is>
          <t>Standard</t>
        </is>
      </c>
      <c r="G370" s="43" t="n">
        <v>45938</v>
      </c>
      <c r="H370" s="26" t="n">
        <v>607.7</v>
      </c>
      <c r="I370" s="22" t="inlineStr">
        <is>
          <t>gross (price x shares)</t>
        </is>
      </c>
      <c r="J370" s="27" t="n"/>
      <c r="K370" s="27" t="n">
        <v>14.75</v>
      </c>
      <c r="L370" s="44" t="n">
        <v>14.75</v>
      </c>
      <c r="M370" s="32" t="n"/>
      <c r="N370" s="29" t="inlineStr">
        <is>
          <t>Y</t>
        </is>
      </c>
      <c r="O370" s="26" t="n">
        <v>6076.7</v>
      </c>
      <c r="P370" s="46" t="n">
        <v>6697.8</v>
      </c>
      <c r="Q370" s="31" t="n">
        <v>12.74</v>
      </c>
      <c r="R370" s="45" t="n">
        <v>161.02</v>
      </c>
      <c r="S370" s="33" t="n">
        <v>10</v>
      </c>
      <c r="T370" s="32" t="n"/>
      <c r="U370" s="22" t="n"/>
      <c r="V370" s="29" t="inlineStr">
        <is>
          <t>N</t>
        </is>
      </c>
      <c r="W370" s="31" t="n"/>
      <c r="X370" s="34" t="n">
        <v>9.1</v>
      </c>
      <c r="Y370" s="36" t="n">
        <v>668.5</v>
      </c>
      <c r="Z370" s="36" t="n">
        <v>0</v>
      </c>
      <c r="AA370" s="22" t="n"/>
      <c r="AB370" s="22" t="n"/>
      <c r="AC370" s="22" t="inlineStr">
        <is>
          <t>CITIC Securities (Hong Kong) Limited; CMB International Capital Limited</t>
        </is>
      </c>
      <c r="AD370" s="22" t="inlineStr">
        <is>
          <t>CLSA Limited; CMB International Capital Limited; CCB International Capital Limited; Shenwan Hongyuan Securities (H.K.) Limited; SPDB International Capital Limited; SDICS International Securities (Hong Kong) Limited; ICBC International Securities Limited; Central China International Securities Co., Limited; BOCOM International Securities Limited; Guosen Securities (HK) Brokerage Company, Limited</t>
        </is>
      </c>
      <c r="AE370" s="22" t="n"/>
      <c r="AK370">
        <f>IF(AND(Screener!$B$7&lt;&gt;"",$E370=Screener!$B$7),1,0)</f>
        <v/>
      </c>
      <c r="AL370">
        <f>IF(AND(Screener!$B$6&lt;&gt;"",$D370=Screener!$B$6),1,0)</f>
        <v/>
      </c>
      <c r="AM370">
        <f>IF(OR($H370="",Screener!$B$8=""),0,MAX(0,1-ABS(LOG10($H370/Screener!$B$8))/W_SIZEHW))</f>
        <v/>
      </c>
      <c r="AN370">
        <f>IF(OR($V370="",Screener!$B$9=""),0,IF($V370=Screener!$B$9,1,0))</f>
        <v/>
      </c>
      <c r="AO370">
        <f>IF(OR($AA370="",Screener!$B$10=""),0,IF($AA370=Screener!$B$10,1,0))</f>
        <v/>
      </c>
      <c r="AP370">
        <f>IF($G370="",0,MAX(0,1-(Screener!$B$12-$G370)/W_RECD))</f>
        <v/>
      </c>
      <c r="AQ370">
        <f>IF($B370=Screener!$B$3,-999999,W_SUB*AK370+W_SEC*AL370*(1-AK370)+W_SIZE*AM370+W_PROF*AN370+W_AH*AO370+W_REC*AP370)+ROW()/1000000</f>
        <v/>
      </c>
      <c r="AR370">
        <f>IF(OR('NEW DEAL'!$B$6="",$E370&lt;&gt;'NEW DEAL'!$B$6),-1,1+IF(OR($H370="",'NEW DEAL'!$B$7=""),0,MAX(0,1-ABS(LOG10($H370/'NEW DEAL'!$B$7))/W_SIZEHW)))+ROW()/1000000</f>
        <v/>
      </c>
    </row>
    <row r="371">
      <c r="A371" s="23" t="inlineStr">
        <is>
          <t>2650</t>
        </is>
      </c>
      <c r="B371" s="22" t="inlineStr">
        <is>
          <t>ZHIDA TECH</t>
        </is>
      </c>
      <c r="C371" s="22" t="inlineStr">
        <is>
          <t>上海摯達科技發展股份有限公司</t>
        </is>
      </c>
      <c r="D371" s="24" t="inlineStr">
        <is>
          <t>Consumer</t>
        </is>
      </c>
      <c r="E371" s="24" t="inlineStr">
        <is>
          <t>Auto parts / supply chain</t>
        </is>
      </c>
      <c r="F371" s="22" t="inlineStr">
        <is>
          <t>Standard</t>
        </is>
      </c>
      <c r="G371" s="43" t="n">
        <v>45940</v>
      </c>
      <c r="H371" s="26" t="n">
        <v>400.12</v>
      </c>
      <c r="I371" s="22" t="inlineStr">
        <is>
          <t>gross (stated)</t>
        </is>
      </c>
      <c r="J371" s="27" t="n"/>
      <c r="K371" s="27" t="n">
        <v>83.63</v>
      </c>
      <c r="L371" s="44" t="n">
        <v>66.92</v>
      </c>
      <c r="M371" s="32" t="n"/>
      <c r="N371" s="29" t="inlineStr">
        <is>
          <t>N</t>
        </is>
      </c>
      <c r="O371" s="26" t="n">
        <v>4001.1</v>
      </c>
      <c r="P371" s="46" t="n">
        <v>5440.8</v>
      </c>
      <c r="Q371" s="31" t="n">
        <v>2.37</v>
      </c>
      <c r="R371" s="47" t="n">
        <v>1360.7</v>
      </c>
      <c r="S371" s="33" t="n">
        <v>0</v>
      </c>
      <c r="T371" s="32" t="n">
        <v>11.33</v>
      </c>
      <c r="U371" s="22" t="inlineStr">
        <is>
          <t>not-yet (at allotment)</t>
        </is>
      </c>
      <c r="V371" s="29" t="inlineStr">
        <is>
          <t>N</t>
        </is>
      </c>
      <c r="W371" s="31" t="n"/>
      <c r="X371" s="34" t="n">
        <v>6.1</v>
      </c>
      <c r="Y371" s="36" t="n">
        <v>652.7</v>
      </c>
      <c r="Z371" s="36" t="n">
        <v>-259.5</v>
      </c>
      <c r="AA371" s="22" t="n"/>
      <c r="AB371" s="22" t="n"/>
      <c r="AC371" s="22" t="inlineStr">
        <is>
          <t>Shenwan Hongyuan Capital (H.K.) Limited</t>
        </is>
      </c>
      <c r="AD371" s="22" t="inlineStr">
        <is>
          <t>Shenwan Hongyuan Securities (H.K.) Limited; BOCOM International Securities Limited; First Shanghai Securities Limited; China Industrial Securities International Capital Limited; Livermore Holdings Limited; SPDB International Capital Limited</t>
        </is>
      </c>
      <c r="AE371" s="22" t="n"/>
      <c r="AK371">
        <f>IF(AND(Screener!$B$7&lt;&gt;"",$E371=Screener!$B$7),1,0)</f>
        <v/>
      </c>
      <c r="AL371">
        <f>IF(AND(Screener!$B$6&lt;&gt;"",$D371=Screener!$B$6),1,0)</f>
        <v/>
      </c>
      <c r="AM371">
        <f>IF(OR($H371="",Screener!$B$8=""),0,MAX(0,1-ABS(LOG10($H371/Screener!$B$8))/W_SIZEHW))</f>
        <v/>
      </c>
      <c r="AN371">
        <f>IF(OR($V371="",Screener!$B$9=""),0,IF($V371=Screener!$B$9,1,0))</f>
        <v/>
      </c>
      <c r="AO371">
        <f>IF(OR($AA371="",Screener!$B$10=""),0,IF($AA371=Screener!$B$10,1,0))</f>
        <v/>
      </c>
      <c r="AP371">
        <f>IF($G371="",0,MAX(0,1-(Screener!$B$12-$G371)/W_RECD))</f>
        <v/>
      </c>
      <c r="AQ371">
        <f>IF($B371=Screener!$B$3,-999999,W_SUB*AK371+W_SEC*AL371*(1-AK371)+W_SIZE*AM371+W_PROF*AN371+W_AH*AO371+W_REC*AP371)+ROW()/1000000</f>
        <v/>
      </c>
      <c r="AR371">
        <f>IF(OR('NEW DEAL'!$B$6="",$E371&lt;&gt;'NEW DEAL'!$B$6),-1,1+IF(OR($H371="",'NEW DEAL'!$B$7=""),0,MAX(0,1-ABS(LOG10($H371/'NEW DEAL'!$B$7))/W_SIZEHW)))+ROW()/1000000</f>
        <v/>
      </c>
    </row>
    <row r="372">
      <c r="A372" s="23" t="inlineStr">
        <is>
          <t>2575</t>
        </is>
      </c>
      <c r="B372" s="22" t="inlineStr">
        <is>
          <t>XUANZHUBIO-B</t>
        </is>
      </c>
      <c r="C372" s="22" t="n"/>
      <c r="D372" s="24" t="inlineStr">
        <is>
          <t>Healthcare</t>
        </is>
      </c>
      <c r="E372" s="24" t="inlineStr">
        <is>
          <t>Biotech pre-revenue (18A)</t>
        </is>
      </c>
      <c r="F372" s="38" t="inlineStr">
        <is>
          <t>18A</t>
        </is>
      </c>
      <c r="G372" s="43" t="n">
        <v>45945</v>
      </c>
      <c r="H372" s="26" t="n">
        <v>781.1</v>
      </c>
      <c r="I372" s="22" t="inlineStr">
        <is>
          <t>gross (stated)</t>
        </is>
      </c>
      <c r="J372" s="27" t="n"/>
      <c r="K372" s="27" t="n">
        <v>11.6</v>
      </c>
      <c r="L372" s="44" t="n">
        <v>11.6</v>
      </c>
      <c r="M372" s="32" t="n"/>
      <c r="N372" s="29" t="inlineStr">
        <is>
          <t>Y</t>
        </is>
      </c>
      <c r="O372" s="26" t="n">
        <v>6008.2</v>
      </c>
      <c r="P372" s="46" t="n">
        <v>4908.33</v>
      </c>
      <c r="Q372" s="31" t="n">
        <v>72.48999999999999</v>
      </c>
      <c r="R372" s="45" t="n">
        <v>126.72</v>
      </c>
      <c r="S372" s="33" t="n">
        <v>78</v>
      </c>
      <c r="T372" s="32" t="n">
        <v>15</v>
      </c>
      <c r="U372" s="22" t="n"/>
      <c r="V372" s="22" t="n"/>
      <c r="W372" s="31" t="n"/>
      <c r="X372" s="34" t="n">
        <v>341.4</v>
      </c>
      <c r="Y372" s="36" t="n">
        <v>17.6</v>
      </c>
      <c r="Z372" s="35" t="n"/>
      <c r="AA372" s="22" t="n"/>
      <c r="AB372" s="22" t="n"/>
      <c r="AC372" s="22" t="n"/>
      <c r="AD372" s="22" t="n"/>
      <c r="AE372" s="22" t="n"/>
      <c r="AK372">
        <f>IF(AND(Screener!$B$7&lt;&gt;"",$E372=Screener!$B$7),1,0)</f>
        <v/>
      </c>
      <c r="AL372">
        <f>IF(AND(Screener!$B$6&lt;&gt;"",$D372=Screener!$B$6),1,0)</f>
        <v/>
      </c>
      <c r="AM372">
        <f>IF(OR($H372="",Screener!$B$8=""),0,MAX(0,1-ABS(LOG10($H372/Screener!$B$8))/W_SIZEHW))</f>
        <v/>
      </c>
      <c r="AN372">
        <f>IF(OR($V372="",Screener!$B$9=""),0,IF($V372=Screener!$B$9,1,0))</f>
        <v/>
      </c>
      <c r="AO372">
        <f>IF(OR($AA372="",Screener!$B$10=""),0,IF($AA372=Screener!$B$10,1,0))</f>
        <v/>
      </c>
      <c r="AP372">
        <f>IF($G372="",0,MAX(0,1-(Screener!$B$12-$G372)/W_RECD))</f>
        <v/>
      </c>
      <c r="AQ372">
        <f>IF($B372=Screener!$B$3,-999999,W_SUB*AK372+W_SEC*AL372*(1-AK372)+W_SIZE*AM372+W_PROF*AN372+W_AH*AO372+W_REC*AP372)+ROW()/1000000</f>
        <v/>
      </c>
      <c r="AR372">
        <f>IF(OR('NEW DEAL'!$B$6="",$E372&lt;&gt;'NEW DEAL'!$B$6),-1,1+IF(OR($H372="",'NEW DEAL'!$B$7=""),0,MAX(0,1-ABS(LOG10($H372/'NEW DEAL'!$B$7))/W_SIZEHW)))+ROW()/1000000</f>
        <v/>
      </c>
    </row>
    <row r="373">
      <c r="A373" s="23" t="inlineStr">
        <is>
          <t>2670</t>
        </is>
      </c>
      <c r="B373" s="22" t="inlineStr">
        <is>
          <t>YUNJI</t>
        </is>
      </c>
      <c r="C373" s="22" t="inlineStr">
        <is>
          <t>北京雲迹科技股份有限公司</t>
        </is>
      </c>
      <c r="D373" s="24" t="inlineStr">
        <is>
          <t>Tech/AI</t>
        </is>
      </c>
      <c r="E373" s="24" t="inlineStr">
        <is>
          <t>Robotics &amp; autonomous driving</t>
        </is>
      </c>
      <c r="F373" s="22" t="inlineStr">
        <is>
          <t>Standard</t>
        </is>
      </c>
      <c r="G373" s="43" t="n">
        <v>45946</v>
      </c>
      <c r="H373" s="26" t="n">
        <v>659.6</v>
      </c>
      <c r="I373" s="22" t="inlineStr">
        <is>
          <t>gross (stated)</t>
        </is>
      </c>
      <c r="J373" s="27" t="n"/>
      <c r="K373" s="27" t="n">
        <v>95.59999999999999</v>
      </c>
      <c r="L373" s="44" t="n">
        <v>95.59999999999999</v>
      </c>
      <c r="M373" s="32" t="n"/>
      <c r="N373" s="29" t="inlineStr">
        <is>
          <t>Y</t>
        </is>
      </c>
      <c r="O373" s="36" t="n">
        <v>6569</v>
      </c>
      <c r="P373" s="46" t="n">
        <v>5657.2</v>
      </c>
      <c r="Q373" s="31" t="n">
        <v>18.62</v>
      </c>
      <c r="R373" s="45" t="n">
        <v>26.05</v>
      </c>
      <c r="S373" s="33" t="n">
        <v>10</v>
      </c>
      <c r="T373" s="32" t="n">
        <v>10.6</v>
      </c>
      <c r="U373" s="22" t="n"/>
      <c r="V373" s="22" t="n"/>
      <c r="W373" s="31" t="n"/>
      <c r="X373" s="34" t="n">
        <v>24.4</v>
      </c>
      <c r="Y373" s="36" t="n">
        <v>269.3</v>
      </c>
      <c r="Z373" s="35" t="n"/>
      <c r="AA373" s="22" t="n"/>
      <c r="AB373" s="22" t="n"/>
      <c r="AC373" s="22" t="inlineStr">
        <is>
          <t>CITIC Securities (Hong Kong) Limited; CCB International Capital Limited</t>
        </is>
      </c>
      <c r="AD373" s="22" t="inlineStr">
        <is>
          <t>CLSA Limited; CCB International Capital Limited; SDICS International Securities (Hong Kong) Limited; Futu Securities International (Hong Kong) Limited; Fuze Securities (International) Limited; SPDB International Capital Limited; Tiger Brokers (HK) Global Limited</t>
        </is>
      </c>
      <c r="AE373" s="22" t="n"/>
      <c r="AK373">
        <f>IF(AND(Screener!$B$7&lt;&gt;"",$E373=Screener!$B$7),1,0)</f>
        <v/>
      </c>
      <c r="AL373">
        <f>IF(AND(Screener!$B$6&lt;&gt;"",$D373=Screener!$B$6),1,0)</f>
        <v/>
      </c>
      <c r="AM373">
        <f>IF(OR($H373="",Screener!$B$8=""),0,MAX(0,1-ABS(LOG10($H373/Screener!$B$8))/W_SIZEHW))</f>
        <v/>
      </c>
      <c r="AN373">
        <f>IF(OR($V373="",Screener!$B$9=""),0,IF($V373=Screener!$B$9,1,0))</f>
        <v/>
      </c>
      <c r="AO373">
        <f>IF(OR($AA373="",Screener!$B$10=""),0,IF($AA373=Screener!$B$10,1,0))</f>
        <v/>
      </c>
      <c r="AP373">
        <f>IF($G373="",0,MAX(0,1-(Screener!$B$12-$G373)/W_RECD))</f>
        <v/>
      </c>
      <c r="AQ373">
        <f>IF($B373=Screener!$B$3,-999999,W_SUB*AK373+W_SEC*AL373*(1-AK373)+W_SIZE*AM373+W_PROF*AN373+W_AH*AO373+W_REC*AP373)+ROW()/1000000</f>
        <v/>
      </c>
      <c r="AR373">
        <f>IF(OR('NEW DEAL'!$B$6="",$E373&lt;&gt;'NEW DEAL'!$B$6),-1,1+IF(OR($H373="",'NEW DEAL'!$B$7=""),0,MAX(0,1-ABS(LOG10($H373/'NEW DEAL'!$B$7))/W_SIZEHW)))+ROW()/1000000</f>
        <v/>
      </c>
    </row>
    <row r="374">
      <c r="A374" s="23" t="inlineStr">
        <is>
          <t>2637</t>
        </is>
      </c>
      <c r="B374" s="22" t="inlineStr">
        <is>
          <t>HAIXI PHARMA</t>
        </is>
      </c>
      <c r="C374" s="22" t="n"/>
      <c r="D374" s="24" t="inlineStr">
        <is>
          <t>Healthcare</t>
        </is>
      </c>
      <c r="E374" s="24" t="inlineStr">
        <is>
          <t>Biopharma commercial</t>
        </is>
      </c>
      <c r="F374" s="22" t="inlineStr">
        <is>
          <t>Standard</t>
        </is>
      </c>
      <c r="G374" s="43" t="n">
        <v>45950</v>
      </c>
      <c r="H374" s="26" t="n">
        <v>993.6</v>
      </c>
      <c r="I374" s="22" t="inlineStr">
        <is>
          <t>gross (stated)</t>
        </is>
      </c>
      <c r="J374" s="27" t="n"/>
      <c r="K374" s="27" t="n">
        <v>86.40000000000001</v>
      </c>
      <c r="L374" s="44" t="n">
        <v>86.40000000000001</v>
      </c>
      <c r="M374" s="32" t="n"/>
      <c r="N374" s="29" t="inlineStr">
        <is>
          <t>Y</t>
        </is>
      </c>
      <c r="O374" s="26" t="n">
        <v>6800.3</v>
      </c>
      <c r="P374" s="46" t="n">
        <v>3165.1</v>
      </c>
      <c r="Q374" s="31" t="n">
        <v>6.3</v>
      </c>
      <c r="R374" s="47" t="n">
        <v>50.93</v>
      </c>
      <c r="S374" s="33" t="n">
        <v>21.79</v>
      </c>
      <c r="T374" s="32" t="n"/>
      <c r="U374" s="22" t="n"/>
      <c r="V374" s="29" t="inlineStr">
        <is>
          <t>Y</t>
        </is>
      </c>
      <c r="W374" s="34" t="n">
        <v>45.4</v>
      </c>
      <c r="X374" s="34" t="n">
        <v>13.2</v>
      </c>
      <c r="Y374" s="36" t="n">
        <v>513.4</v>
      </c>
      <c r="Z374" s="36" t="n">
        <v>149.7</v>
      </c>
      <c r="AA374" s="22" t="n"/>
      <c r="AB374" s="22" t="n"/>
      <c r="AC374" s="22" t="inlineStr">
        <is>
          <t>Huatai Financial Holdings (Hong Kong) Limited; CMB International Capital Limited</t>
        </is>
      </c>
      <c r="AD374" s="22" t="inlineStr">
        <is>
          <t>Managers and Capital Market Intermediaries Huatai Financial Holdings (Hong Kong) Limited; SDICS International Securities (Hong Kong) Limited; Huatai Financial Holdings (Hong Kong) Limited; CMB International Capital Limited; Guosen Securities (HK) Brokerage Company, Limited; Futu Securities International (Hong Kong) Limited; China Industrial Securities International Capital Limited; Central, Hong Kong Zhongtai International Securities Limited</t>
        </is>
      </c>
      <c r="AE374" s="22" t="n"/>
      <c r="AK374">
        <f>IF(AND(Screener!$B$7&lt;&gt;"",$E374=Screener!$B$7),1,0)</f>
        <v/>
      </c>
      <c r="AL374">
        <f>IF(AND(Screener!$B$6&lt;&gt;"",$D374=Screener!$B$6),1,0)</f>
        <v/>
      </c>
      <c r="AM374">
        <f>IF(OR($H374="",Screener!$B$8=""),0,MAX(0,1-ABS(LOG10($H374/Screener!$B$8))/W_SIZEHW))</f>
        <v/>
      </c>
      <c r="AN374">
        <f>IF(OR($V374="",Screener!$B$9=""),0,IF($V374=Screener!$B$9,1,0))</f>
        <v/>
      </c>
      <c r="AO374">
        <f>IF(OR($AA374="",Screener!$B$10=""),0,IF($AA374=Screener!$B$10,1,0))</f>
        <v/>
      </c>
      <c r="AP374">
        <f>IF($G374="",0,MAX(0,1-(Screener!$B$12-$G374)/W_RECD))</f>
        <v/>
      </c>
      <c r="AQ374">
        <f>IF($B374=Screener!$B$3,-999999,W_SUB*AK374+W_SEC*AL374*(1-AK374)+W_SIZE*AM374+W_PROF*AN374+W_AH*AO374+W_REC*AP374)+ROW()/1000000</f>
        <v/>
      </c>
      <c r="AR374">
        <f>IF(OR('NEW DEAL'!$B$6="",$E374&lt;&gt;'NEW DEAL'!$B$6),-1,1+IF(OR($H374="",'NEW DEAL'!$B$7=""),0,MAX(0,1-ABS(LOG10($H374/'NEW DEAL'!$B$7))/W_SIZEHW)))+ROW()/1000000</f>
        <v/>
      </c>
    </row>
    <row r="375">
      <c r="A375" s="23" t="inlineStr">
        <is>
          <t>6687</t>
        </is>
      </c>
      <c r="B375" s="22" t="inlineStr">
        <is>
          <t>JST GROUP</t>
        </is>
      </c>
      <c r="C375" s="22" t="inlineStr">
        <is>
          <t>聚水潭集團股份有限公司</t>
        </is>
      </c>
      <c r="D375" s="24" t="inlineStr">
        <is>
          <t>Other</t>
        </is>
      </c>
      <c r="E375" s="24" t="inlineStr">
        <is>
          <t>Other / unclassified</t>
        </is>
      </c>
      <c r="F375" s="22" t="inlineStr">
        <is>
          <t>Standard</t>
        </is>
      </c>
      <c r="G375" s="43" t="n">
        <v>45951</v>
      </c>
      <c r="H375" s="26" t="n">
        <v>2085.89</v>
      </c>
      <c r="I375" s="22" t="inlineStr">
        <is>
          <t>gross (stated)</t>
        </is>
      </c>
      <c r="J375" s="27" t="n"/>
      <c r="K375" s="27" t="n">
        <v>30.6</v>
      </c>
      <c r="L375" s="44" t="n">
        <v>30.6</v>
      </c>
      <c r="M375" s="32" t="n"/>
      <c r="N375" s="29" t="inlineStr">
        <is>
          <t>Y</t>
        </is>
      </c>
      <c r="O375" s="26" t="n">
        <v>13036.8</v>
      </c>
      <c r="P375" s="46" t="n">
        <v>1952.95</v>
      </c>
      <c r="Q375" s="31" t="n">
        <v>22.89</v>
      </c>
      <c r="R375" s="45" t="n">
        <v>23.86</v>
      </c>
      <c r="S375" s="33" t="n">
        <v>48.5</v>
      </c>
      <c r="T375" s="28" t="n">
        <v>15</v>
      </c>
      <c r="U375" s="22" t="n"/>
      <c r="V375" s="29" t="inlineStr">
        <is>
          <t>Y</t>
        </is>
      </c>
      <c r="W375" s="34" t="n">
        <v>1123.9</v>
      </c>
      <c r="X375" s="34" t="n">
        <v>13</v>
      </c>
      <c r="Y375" s="36" t="n">
        <v>1000.7</v>
      </c>
      <c r="Z375" s="36" t="n">
        <v>11.6</v>
      </c>
      <c r="AA375" s="22" t="n"/>
      <c r="AB375" s="22" t="n"/>
      <c r="AC375" s="22" t="inlineStr">
        <is>
          <t>China International Capital Corporation Hong Kong Securities Limited; J.P. Morgan Securities (Far East) Limited</t>
        </is>
      </c>
      <c r="AD375" s="22" t="inlineStr">
        <is>
          <t>China International Capital Corporation Hong Kong Securities Limited; J.P. Morgan Securities (Asia Pacific) Limited</t>
        </is>
      </c>
      <c r="AE375" s="22" t="n"/>
      <c r="AK375">
        <f>IF(AND(Screener!$B$7&lt;&gt;"",$E375=Screener!$B$7),1,0)</f>
        <v/>
      </c>
      <c r="AL375">
        <f>IF(AND(Screener!$B$6&lt;&gt;"",$D375=Screener!$B$6),1,0)</f>
        <v/>
      </c>
      <c r="AM375">
        <f>IF(OR($H375="",Screener!$B$8=""),0,MAX(0,1-ABS(LOG10($H375/Screener!$B$8))/W_SIZEHW))</f>
        <v/>
      </c>
      <c r="AN375">
        <f>IF(OR($V375="",Screener!$B$9=""),0,IF($V375=Screener!$B$9,1,0))</f>
        <v/>
      </c>
      <c r="AO375">
        <f>IF(OR($AA375="",Screener!$B$10=""),0,IF($AA375=Screener!$B$10,1,0))</f>
        <v/>
      </c>
      <c r="AP375">
        <f>IF($G375="",0,MAX(0,1-(Screener!$B$12-$G375)/W_RECD))</f>
        <v/>
      </c>
      <c r="AQ375">
        <f>IF($B375=Screener!$B$3,-999999,W_SUB*AK375+W_SEC*AL375*(1-AK375)+W_SIZE*AM375+W_PROF*AN375+W_AH*AO375+W_REC*AP375)+ROW()/1000000</f>
        <v/>
      </c>
      <c r="AR375">
        <f>IF(OR('NEW DEAL'!$B$6="",$E375&lt;&gt;'NEW DEAL'!$B$6),-1,1+IF(OR($H375="",'NEW DEAL'!$B$7=""),0,MAX(0,1-ABS(LOG10($H375/'NEW DEAL'!$B$7))/W_SIZEHW)))+ROW()/1000000</f>
        <v/>
      </c>
    </row>
    <row r="376">
      <c r="A376" s="23" t="inlineStr">
        <is>
          <t>0638</t>
        </is>
      </c>
      <c r="B376" s="22" t="inlineStr">
        <is>
          <t>FIBOCOM</t>
        </is>
      </c>
      <c r="C376" s="22" t="n"/>
      <c r="D376" s="24" t="inlineStr">
        <is>
          <t>Tech/AI</t>
        </is>
      </c>
      <c r="E376" s="24" t="inlineStr">
        <is>
          <t>Smart hardware / consumer electronics</t>
        </is>
      </c>
      <c r="F376" s="22" t="inlineStr">
        <is>
          <t>Standard</t>
        </is>
      </c>
      <c r="G376" s="43" t="n">
        <v>45952</v>
      </c>
      <c r="H376" s="26" t="n">
        <v>2904.2</v>
      </c>
      <c r="I376" s="22" t="inlineStr">
        <is>
          <t>gross (stated)</t>
        </is>
      </c>
      <c r="J376" s="27" t="n"/>
      <c r="K376" s="27" t="n"/>
      <c r="L376" s="44" t="n">
        <v>21.5</v>
      </c>
      <c r="M376" s="32" t="n"/>
      <c r="N376" s="22" t="n"/>
      <c r="O376" s="36" t="n">
        <v>18630</v>
      </c>
      <c r="P376" s="46" t="n">
        <v>550.99</v>
      </c>
      <c r="Q376" s="31" t="n">
        <v>9.16</v>
      </c>
      <c r="R376" s="47" t="n">
        <v>-63.35</v>
      </c>
      <c r="S376" s="33" t="n">
        <v>43.04</v>
      </c>
      <c r="T376" s="32" t="n"/>
      <c r="U376" s="22" t="n"/>
      <c r="V376" s="22" t="n"/>
      <c r="W376" s="31" t="n"/>
      <c r="X376" s="31" t="n"/>
      <c r="Y376" s="35" t="n"/>
      <c r="Z376" s="35" t="n"/>
      <c r="AA376" s="22" t="inlineStr">
        <is>
          <t>Y</t>
        </is>
      </c>
      <c r="AB376" s="22" t="inlineStr">
        <is>
          <t>300638.SZ</t>
        </is>
      </c>
      <c r="AC376" s="22" t="n"/>
      <c r="AD376" s="22" t="n"/>
      <c r="AE376" s="22" t="n"/>
      <c r="AK376">
        <f>IF(AND(Screener!$B$7&lt;&gt;"",$E376=Screener!$B$7),1,0)</f>
        <v/>
      </c>
      <c r="AL376">
        <f>IF(AND(Screener!$B$6&lt;&gt;"",$D376=Screener!$B$6),1,0)</f>
        <v/>
      </c>
      <c r="AM376">
        <f>IF(OR($H376="",Screener!$B$8=""),0,MAX(0,1-ABS(LOG10($H376/Screener!$B$8))/W_SIZEHW))</f>
        <v/>
      </c>
      <c r="AN376">
        <f>IF(OR($V376="",Screener!$B$9=""),0,IF($V376=Screener!$B$9,1,0))</f>
        <v/>
      </c>
      <c r="AO376">
        <f>IF(OR($AA376="",Screener!$B$10=""),0,IF($AA376=Screener!$B$10,1,0))</f>
        <v/>
      </c>
      <c r="AP376">
        <f>IF($G376="",0,MAX(0,1-(Screener!$B$12-$G376)/W_RECD))</f>
        <v/>
      </c>
      <c r="AQ376">
        <f>IF($B376=Screener!$B$3,-999999,W_SUB*AK376+W_SEC*AL376*(1-AK376)+W_SIZE*AM376+W_PROF*AN376+W_AH*AO376+W_REC*AP376)+ROW()/1000000</f>
        <v/>
      </c>
      <c r="AR376">
        <f>IF(OR('NEW DEAL'!$B$6="",$E376&lt;&gt;'NEW DEAL'!$B$6),-1,1+IF(OR($H376="",'NEW DEAL'!$B$7=""),0,MAX(0,1-ABS(LOG10($H376/'NEW DEAL'!$B$7))/W_SIZEHW)))+ROW()/1000000</f>
        <v/>
      </c>
    </row>
    <row r="377">
      <c r="A377" s="23" t="inlineStr">
        <is>
          <t>1384</t>
        </is>
      </c>
      <c r="B377" s="22" t="inlineStr">
        <is>
          <t>DEEPEXI TECH</t>
        </is>
      </c>
      <c r="C377" s="22" t="inlineStr">
        <is>
          <t>滴普科技股份有限公司</t>
        </is>
      </c>
      <c r="D377" s="24" t="inlineStr">
        <is>
          <t>Tech/AI</t>
        </is>
      </c>
      <c r="E377" s="24" t="inlineStr">
        <is>
          <t>AI application / agent software</t>
        </is>
      </c>
      <c r="F377" s="22" t="inlineStr">
        <is>
          <t>Standard</t>
        </is>
      </c>
      <c r="G377" s="43" t="n">
        <v>45958</v>
      </c>
      <c r="H377" s="26" t="n">
        <v>710.01</v>
      </c>
      <c r="I377" s="22" t="inlineStr">
        <is>
          <t>gross (stated)</t>
        </is>
      </c>
      <c r="J377" s="27" t="n"/>
      <c r="K377" s="27" t="n">
        <v>26.66</v>
      </c>
      <c r="L377" s="44" t="n">
        <v>26.66</v>
      </c>
      <c r="M377" s="32" t="n"/>
      <c r="N377" s="29" t="inlineStr">
        <is>
          <t>Y</t>
        </is>
      </c>
      <c r="O377" s="26" t="n">
        <v>8708</v>
      </c>
      <c r="P377" s="46" t="n">
        <v>7569.83</v>
      </c>
      <c r="Q377" s="31" t="n">
        <v>16.61</v>
      </c>
      <c r="R377" s="45" t="n">
        <v>150.56</v>
      </c>
      <c r="S377" s="33" t="n">
        <v>0</v>
      </c>
      <c r="T377" s="32" t="n"/>
      <c r="U377" s="22" t="n"/>
      <c r="V377" s="22" t="n"/>
      <c r="W377" s="31" t="n"/>
      <c r="X377" s="31" t="n"/>
      <c r="Y377" s="35" t="n"/>
      <c r="Z377" s="35" t="n"/>
      <c r="AA377" s="22" t="n"/>
      <c r="AB377" s="22" t="n"/>
      <c r="AC377" s="22" t="inlineStr">
        <is>
          <t>CITIC Securities (Hong Kong) Limited; CMBC International Capital Limited; Guotai Junan Capital Limited; SPDB International Capital Limited; BOCOM International (Asia) Limited</t>
        </is>
      </c>
      <c r="AD377" s="22" t="n"/>
      <c r="AE377" s="22" t="n"/>
      <c r="AK377">
        <f>IF(AND(Screener!$B$7&lt;&gt;"",$E377=Screener!$B$7),1,0)</f>
        <v/>
      </c>
      <c r="AL377">
        <f>IF(AND(Screener!$B$6&lt;&gt;"",$D377=Screener!$B$6),1,0)</f>
        <v/>
      </c>
      <c r="AM377">
        <f>IF(OR($H377="",Screener!$B$8=""),0,MAX(0,1-ABS(LOG10($H377/Screener!$B$8))/W_SIZEHW))</f>
        <v/>
      </c>
      <c r="AN377">
        <f>IF(OR($V377="",Screener!$B$9=""),0,IF($V377=Screener!$B$9,1,0))</f>
        <v/>
      </c>
      <c r="AO377">
        <f>IF(OR($AA377="",Screener!$B$10=""),0,IF($AA377=Screener!$B$10,1,0))</f>
        <v/>
      </c>
      <c r="AP377">
        <f>IF($G377="",0,MAX(0,1-(Screener!$B$12-$G377)/W_RECD))</f>
        <v/>
      </c>
      <c r="AQ377">
        <f>IF($B377=Screener!$B$3,-999999,W_SUB*AK377+W_SEC*AL377*(1-AK377)+W_SIZE*AM377+W_PROF*AN377+W_AH*AO377+W_REC*AP377)+ROW()/1000000</f>
        <v/>
      </c>
      <c r="AR377">
        <f>IF(OR('NEW DEAL'!$B$6="",$E377&lt;&gt;'NEW DEAL'!$B$6),-1,1+IF(OR($H377="",'NEW DEAL'!$B$7=""),0,MAX(0,1-ABS(LOG10($H377/'NEW DEAL'!$B$7))/W_SIZEHW)))+ROW()/1000000</f>
        <v/>
      </c>
    </row>
    <row r="378">
      <c r="A378" s="23" t="inlineStr">
        <is>
          <t>6031</t>
        </is>
      </c>
      <c r="B378" s="22" t="inlineStr">
        <is>
          <t>SANY HEAVY IND</t>
        </is>
      </c>
      <c r="C378" s="22" t="inlineStr">
        <is>
          <t>三一重工股份有限公司</t>
        </is>
      </c>
      <c r="D378" s="24" t="inlineStr">
        <is>
          <t>Industrials</t>
        </is>
      </c>
      <c r="E378" s="24" t="inlineStr">
        <is>
          <t>Capital goods / machinery</t>
        </is>
      </c>
      <c r="F378" s="22" t="inlineStr">
        <is>
          <t>Standard</t>
        </is>
      </c>
      <c r="G378" s="43" t="n">
        <v>45958</v>
      </c>
      <c r="H378" s="26" t="n">
        <v>13453.1</v>
      </c>
      <c r="I378" s="22" t="inlineStr">
        <is>
          <t>gross (stated)</t>
        </is>
      </c>
      <c r="J378" s="27" t="n"/>
      <c r="K378" s="27" t="n">
        <v>21.3</v>
      </c>
      <c r="L378" s="44" t="n">
        <v>21.3</v>
      </c>
      <c r="M378" s="32" t="n"/>
      <c r="N378" s="29" t="inlineStr">
        <is>
          <t>Y</t>
        </is>
      </c>
      <c r="O378" s="26" t="n">
        <v>184289</v>
      </c>
      <c r="P378" s="46" t="n">
        <v>52.93</v>
      </c>
      <c r="Q378" s="31" t="n">
        <v>13.96</v>
      </c>
      <c r="R378" s="45" t="n">
        <v>2.82</v>
      </c>
      <c r="S378" s="33" t="n"/>
      <c r="T378" s="28" t="n">
        <v>15</v>
      </c>
      <c r="U378" s="22" t="inlineStr">
        <is>
          <t>partial</t>
        </is>
      </c>
      <c r="V378" s="29" t="inlineStr">
        <is>
          <t>Y</t>
        </is>
      </c>
      <c r="W378" s="34" t="n">
        <v>27.5</v>
      </c>
      <c r="X378" s="31" t="n"/>
      <c r="Y378" s="36" t="n">
        <v>-2.2</v>
      </c>
      <c r="Z378" s="36" t="n">
        <v>6701.8</v>
      </c>
      <c r="AA378" s="22" t="inlineStr">
        <is>
          <t>Y</t>
        </is>
      </c>
      <c r="AB378" s="38" t="inlineStr">
        <is>
          <t>600031.SS</t>
        </is>
      </c>
      <c r="AC378" s="22" t="inlineStr">
        <is>
          <t>CITIC Securities (Hong Kong) Limited</t>
        </is>
      </c>
      <c r="AD378" s="22" t="inlineStr">
        <is>
          <t>CLSA Limited; China International Capital Corporation Hong Kong Securities Limited; BOCI Asia Limited; Central, Hong Kong ABCI Capital Limited; ICBC International Securities Limited; China Merchants Securities (HK) Co., Limited</t>
        </is>
      </c>
      <c r="AE378" s="22" t="n"/>
      <c r="AK378">
        <f>IF(AND(Screener!$B$7&lt;&gt;"",$E378=Screener!$B$7),1,0)</f>
        <v/>
      </c>
      <c r="AL378">
        <f>IF(AND(Screener!$B$6&lt;&gt;"",$D378=Screener!$B$6),1,0)</f>
        <v/>
      </c>
      <c r="AM378">
        <f>IF(OR($H378="",Screener!$B$8=""),0,MAX(0,1-ABS(LOG10($H378/Screener!$B$8))/W_SIZEHW))</f>
        <v/>
      </c>
      <c r="AN378">
        <f>IF(OR($V378="",Screener!$B$9=""),0,IF($V378=Screener!$B$9,1,0))</f>
        <v/>
      </c>
      <c r="AO378">
        <f>IF(OR($AA378="",Screener!$B$10=""),0,IF($AA378=Screener!$B$10,1,0))</f>
        <v/>
      </c>
      <c r="AP378">
        <f>IF($G378="",0,MAX(0,1-(Screener!$B$12-$G378)/W_RECD))</f>
        <v/>
      </c>
      <c r="AQ378">
        <f>IF($B378=Screener!$B$3,-999999,W_SUB*AK378+W_SEC*AL378*(1-AK378)+W_SIZE*AM378+W_PROF*AN378+W_AH*AO378+W_REC*AP378)+ROW()/1000000</f>
        <v/>
      </c>
      <c r="AR378">
        <f>IF(OR('NEW DEAL'!$B$6="",$E378&lt;&gt;'NEW DEAL'!$B$6),-1,1+IF(OR($H378="",'NEW DEAL'!$B$7=""),0,MAX(0,1-ABS(LOG10($H378/'NEW DEAL'!$B$7))/W_SIZEHW)))+ROW()/1000000</f>
        <v/>
      </c>
    </row>
    <row r="379">
      <c r="A379" s="23" t="inlineStr">
        <is>
          <t>6166</t>
        </is>
      </c>
      <c r="B379" s="22" t="inlineStr">
        <is>
          <t>CIG</t>
        </is>
      </c>
      <c r="C379" s="22" t="n"/>
      <c r="D379" s="24" t="inlineStr">
        <is>
          <t>Tech/AI</t>
        </is>
      </c>
      <c r="E379" s="24" t="inlineStr">
        <is>
          <t>Smart hardware / consumer electronics</t>
        </is>
      </c>
      <c r="F379" s="22" t="inlineStr">
        <is>
          <t>Standard</t>
        </is>
      </c>
      <c r="G379" s="43" t="n">
        <v>45958</v>
      </c>
      <c r="H379" s="26" t="n">
        <v>4615.7</v>
      </c>
      <c r="I379" s="22" t="inlineStr">
        <is>
          <t>gross (stated)</t>
        </is>
      </c>
      <c r="J379" s="27" t="n"/>
      <c r="K379" s="27" t="n">
        <v>68.88</v>
      </c>
      <c r="L379" s="44" t="n">
        <v>68.88</v>
      </c>
      <c r="M379" s="32" t="n"/>
      <c r="N379" s="29" t="inlineStr">
        <is>
          <t>Y</t>
        </is>
      </c>
      <c r="O379" s="35" t="n"/>
      <c r="P379" s="46" t="n">
        <v>338.7</v>
      </c>
      <c r="Q379" s="31" t="n">
        <v>16.5</v>
      </c>
      <c r="R379" s="45" t="n">
        <v>33.86</v>
      </c>
      <c r="S379" s="33" t="n"/>
      <c r="T379" s="28" t="n">
        <v>15</v>
      </c>
      <c r="U379" s="22" t="n"/>
      <c r="V379" s="22" t="n"/>
      <c r="W379" s="31" t="n"/>
      <c r="X379" s="31" t="n"/>
      <c r="Y379" s="35" t="n"/>
      <c r="Z379" s="35" t="n"/>
      <c r="AA379" s="22" t="inlineStr">
        <is>
          <t>Y</t>
        </is>
      </c>
      <c r="AB379" s="22" t="inlineStr">
        <is>
          <t>603083.SS</t>
        </is>
      </c>
      <c r="AC379" s="22" t="n"/>
      <c r="AD379" s="22" t="n"/>
      <c r="AE379" s="22" t="n"/>
      <c r="AK379">
        <f>IF(AND(Screener!$B$7&lt;&gt;"",$E379=Screener!$B$7),1,0)</f>
        <v/>
      </c>
      <c r="AL379">
        <f>IF(AND(Screener!$B$6&lt;&gt;"",$D379=Screener!$B$6),1,0)</f>
        <v/>
      </c>
      <c r="AM379">
        <f>IF(OR($H379="",Screener!$B$8=""),0,MAX(0,1-ABS(LOG10($H379/Screener!$B$8))/W_SIZEHW))</f>
        <v/>
      </c>
      <c r="AN379">
        <f>IF(OR($V379="",Screener!$B$9=""),0,IF($V379=Screener!$B$9,1,0))</f>
        <v/>
      </c>
      <c r="AO379">
        <f>IF(OR($AA379="",Screener!$B$10=""),0,IF($AA379=Screener!$B$10,1,0))</f>
        <v/>
      </c>
      <c r="AP379">
        <f>IF($G379="",0,MAX(0,1-(Screener!$B$12-$G379)/W_RECD))</f>
        <v/>
      </c>
      <c r="AQ379">
        <f>IF($B379=Screener!$B$3,-999999,W_SUB*AK379+W_SEC*AL379*(1-AK379)+W_SIZE*AM379+W_PROF*AN379+W_AH*AO379+W_REC*AP379)+ROW()/1000000</f>
        <v/>
      </c>
      <c r="AR379">
        <f>IF(OR('NEW DEAL'!$B$6="",$E379&lt;&gt;'NEW DEAL'!$B$6),-1,1+IF(OR($H379="",'NEW DEAL'!$B$7=""),0,MAX(0,1-ABS(LOG10($H379/'NEW DEAL'!$B$7))/W_SIZEHW)))+ROW()/1000000</f>
        <v/>
      </c>
    </row>
    <row r="380">
      <c r="A380" s="23" t="inlineStr">
        <is>
          <t>6980</t>
        </is>
      </c>
      <c r="B380" s="22" t="inlineStr">
        <is>
          <t>BAMA TEA</t>
        </is>
      </c>
      <c r="C380" s="22" t="inlineStr">
        <is>
          <t>八馬茶業股份有限公司</t>
        </is>
      </c>
      <c r="D380" s="24" t="inlineStr">
        <is>
          <t>Consumer</t>
        </is>
      </c>
      <c r="E380" s="24" t="inlineStr">
        <is>
          <t>Beverages / packaged food</t>
        </is>
      </c>
      <c r="F380" s="22" t="inlineStr">
        <is>
          <t>Standard</t>
        </is>
      </c>
      <c r="G380" s="43" t="n">
        <v>45958</v>
      </c>
      <c r="H380" s="26" t="n">
        <v>450</v>
      </c>
      <c r="I380" s="22" t="inlineStr">
        <is>
          <t>gross (stated)</t>
        </is>
      </c>
      <c r="J380" s="27" t="n"/>
      <c r="K380" s="27" t="n">
        <v>50</v>
      </c>
      <c r="L380" s="44" t="n">
        <v>50</v>
      </c>
      <c r="M380" s="32" t="n"/>
      <c r="N380" s="29" t="inlineStr">
        <is>
          <t>Y</t>
        </is>
      </c>
      <c r="O380" s="26" t="n">
        <v>4250</v>
      </c>
      <c r="P380" s="46" t="n">
        <v>2680.04</v>
      </c>
      <c r="Q380" s="31" t="n">
        <v>13.58</v>
      </c>
      <c r="R380" s="45" t="n">
        <v>86.7</v>
      </c>
      <c r="S380" s="33" t="n">
        <v>0</v>
      </c>
      <c r="T380" s="32" t="n">
        <v>15</v>
      </c>
      <c r="U380" s="22" t="n"/>
      <c r="V380" s="29" t="inlineStr">
        <is>
          <t>Y</t>
        </is>
      </c>
      <c r="W380" s="34" t="n">
        <v>17.2</v>
      </c>
      <c r="X380" s="34" t="n">
        <v>1.8</v>
      </c>
      <c r="Y380" s="36" t="n">
        <v>2357.6</v>
      </c>
      <c r="Z380" s="36" t="n">
        <v>246.6</v>
      </c>
      <c r="AA380" s="22" t="n"/>
      <c r="AB380" s="22" t="n"/>
      <c r="AC380" s="22" t="inlineStr">
        <is>
          <t>Huatai Financial Holdings (Hong Kong) Limited; ABCI Capital Limited; TFI Capital Limited</t>
        </is>
      </c>
      <c r="AD380" s="22" t="inlineStr">
        <is>
          <t>Huatai Financial Holdings (Hong Kong) Limited; ABCI Capital Limited; TFI Securities and Futures Limited; DIRECTORS AND PARTIES INVOLVED IN THE GLOBAL OFFERING – 105 – ABCI Capital Limited; CLSA Limited; Shenwan Hongyuan Securities (H.K.) Limited; China Galaxy International Securities (Hong Kong) Co., Limited; UOB Kay Hian (Hong Kong) Limited; SPDB International Capital Limited; CMBC Securities Company Limited; Funde Securities Limited</t>
        </is>
      </c>
      <c r="AE380" s="22" t="n"/>
      <c r="AK380">
        <f>IF(AND(Screener!$B$7&lt;&gt;"",$E380=Screener!$B$7),1,0)</f>
        <v/>
      </c>
      <c r="AL380">
        <f>IF(AND(Screener!$B$6&lt;&gt;"",$D380=Screener!$B$6),1,0)</f>
        <v/>
      </c>
      <c r="AM380">
        <f>IF(OR($H380="",Screener!$B$8=""),0,MAX(0,1-ABS(LOG10($H380/Screener!$B$8))/W_SIZEHW))</f>
        <v/>
      </c>
      <c r="AN380">
        <f>IF(OR($V380="",Screener!$B$9=""),0,IF($V380=Screener!$B$9,1,0))</f>
        <v/>
      </c>
      <c r="AO380">
        <f>IF(OR($AA380="",Screener!$B$10=""),0,IF($AA380=Screener!$B$10,1,0))</f>
        <v/>
      </c>
      <c r="AP380">
        <f>IF($G380="",0,MAX(0,1-(Screener!$B$12-$G380)/W_RECD))</f>
        <v/>
      </c>
      <c r="AQ380">
        <f>IF($B380=Screener!$B$3,-999999,W_SUB*AK380+W_SEC*AL380*(1-AK380)+W_SIZE*AM380+W_PROF*AN380+W_AH*AO380+W_REC*AP380)+ROW()/1000000</f>
        <v/>
      </c>
      <c r="AR380">
        <f>IF(OR('NEW DEAL'!$B$6="",$E380&lt;&gt;'NEW DEAL'!$B$6),-1,1+IF(OR($H380="",'NEW DEAL'!$B$7=""),0,MAX(0,1-ABS(LOG10($H380/'NEW DEAL'!$B$7))/W_SIZEHW)))+ROW()/1000000</f>
        <v/>
      </c>
    </row>
    <row r="381">
      <c r="A381" s="23" t="inlineStr">
        <is>
          <t>2718</t>
        </is>
      </c>
      <c r="B381" s="22" t="inlineStr">
        <is>
          <t>MININGLAMP-W</t>
        </is>
      </c>
      <c r="C381" s="22" t="n"/>
      <c r="D381" s="24" t="inlineStr">
        <is>
          <t>Tech/AI</t>
        </is>
      </c>
      <c r="E381" s="24" t="inlineStr">
        <is>
          <t>AI application / agent software</t>
        </is>
      </c>
      <c r="F381" s="38" t="inlineStr">
        <is>
          <t>WVR</t>
        </is>
      </c>
      <c r="G381" s="43" t="n">
        <v>45964</v>
      </c>
      <c r="H381" s="26" t="n">
        <v>1017.9</v>
      </c>
      <c r="I381" s="22" t="inlineStr">
        <is>
          <t>gross (stated)</t>
        </is>
      </c>
      <c r="J381" s="27" t="n"/>
      <c r="K381" s="27" t="n"/>
      <c r="L381" s="44" t="n">
        <v>141</v>
      </c>
      <c r="M381" s="32" t="n"/>
      <c r="N381" s="22" t="n"/>
      <c r="O381" s="35" t="n"/>
      <c r="P381" s="46" t="n">
        <v>4452.86</v>
      </c>
      <c r="Q381" s="31" t="n">
        <v>13.93</v>
      </c>
      <c r="R381" s="45" t="n">
        <v>106.1</v>
      </c>
      <c r="S381" s="33" t="n">
        <v>45.1</v>
      </c>
      <c r="T381" s="32" t="n"/>
      <c r="U381" s="22" t="n"/>
      <c r="V381" s="22" t="n"/>
      <c r="W381" s="31" t="n"/>
      <c r="X381" s="31" t="n"/>
      <c r="Y381" s="35" t="n"/>
      <c r="Z381" s="35" t="n"/>
      <c r="AA381" s="22" t="n"/>
      <c r="AB381" s="22" t="n"/>
      <c r="AC381" s="22" t="n"/>
      <c r="AD381" s="22" t="n"/>
      <c r="AE381" s="22" t="n"/>
      <c r="AK381">
        <f>IF(AND(Screener!$B$7&lt;&gt;"",$E381=Screener!$B$7),1,0)</f>
        <v/>
      </c>
      <c r="AL381">
        <f>IF(AND(Screener!$B$6&lt;&gt;"",$D381=Screener!$B$6),1,0)</f>
        <v/>
      </c>
      <c r="AM381">
        <f>IF(OR($H381="",Screener!$B$8=""),0,MAX(0,1-ABS(LOG10($H381/Screener!$B$8))/W_SIZEHW))</f>
        <v/>
      </c>
      <c r="AN381">
        <f>IF(OR($V381="",Screener!$B$9=""),0,IF($V381=Screener!$B$9,1,0))</f>
        <v/>
      </c>
      <c r="AO381">
        <f>IF(OR($AA381="",Screener!$B$10=""),0,IF($AA381=Screener!$B$10,1,0))</f>
        <v/>
      </c>
      <c r="AP381">
        <f>IF($G381="",0,MAX(0,1-(Screener!$B$12-$G381)/W_RECD))</f>
        <v/>
      </c>
      <c r="AQ381">
        <f>IF($B381=Screener!$B$3,-999999,W_SUB*AK381+W_SEC*AL381*(1-AK381)+W_SIZE*AM381+W_PROF*AN381+W_AH*AO381+W_REC*AP381)+ROW()/1000000</f>
        <v/>
      </c>
      <c r="AR381">
        <f>IF(OR('NEW DEAL'!$B$6="",$E381&lt;&gt;'NEW DEAL'!$B$6),-1,1+IF(OR($H381="",'NEW DEAL'!$B$7=""),0,MAX(0,1-ABS(LOG10($H381/'NEW DEAL'!$B$7))/W_SIZEHW)))+ROW()/1000000</f>
        <v/>
      </c>
    </row>
    <row r="382">
      <c r="A382" s="23" t="inlineStr">
        <is>
          <t>9927</t>
        </is>
      </c>
      <c r="B382" s="22" t="inlineStr">
        <is>
          <t>SERES</t>
        </is>
      </c>
      <c r="C382" s="22" t="inlineStr">
        <is>
          <t>賽力斯集團股份有限公司</t>
        </is>
      </c>
      <c r="D382" s="24" t="inlineStr">
        <is>
          <t>Consumer</t>
        </is>
      </c>
      <c r="E382" s="24" t="inlineStr">
        <is>
          <t>Autos (NEV OEM)</t>
        </is>
      </c>
      <c r="F382" s="22" t="inlineStr">
        <is>
          <t>Standard</t>
        </is>
      </c>
      <c r="G382" s="43" t="n">
        <v>45966</v>
      </c>
      <c r="H382" s="26" t="n">
        <v>14283.4</v>
      </c>
      <c r="I382" s="22" t="inlineStr">
        <is>
          <t>gross (stated)</t>
        </is>
      </c>
      <c r="J382" s="27" t="n"/>
      <c r="K382" s="27" t="n">
        <v>131.5</v>
      </c>
      <c r="L382" s="44" t="n">
        <v>131.5</v>
      </c>
      <c r="M382" s="32" t="n"/>
      <c r="N382" s="29" t="inlineStr">
        <is>
          <t>Y</t>
        </is>
      </c>
      <c r="O382" s="26" t="n">
        <v>216743.6</v>
      </c>
      <c r="P382" s="46" t="n">
        <v>132.68</v>
      </c>
      <c r="Q382" s="31" t="n">
        <v>8.609999999999999</v>
      </c>
      <c r="R382" s="45" t="n">
        <v>0</v>
      </c>
      <c r="S382" s="33" t="n"/>
      <c r="T382" s="32" t="n">
        <v>5.78</v>
      </c>
      <c r="U382" s="22" t="inlineStr">
        <is>
          <t>partial</t>
        </is>
      </c>
      <c r="V382" s="29" t="inlineStr">
        <is>
          <t>N</t>
        </is>
      </c>
      <c r="W382" s="31" t="n"/>
      <c r="X382" s="31" t="n"/>
      <c r="Y382" s="35" t="n"/>
      <c r="Z382" s="36" t="n">
        <v>-1527.6</v>
      </c>
      <c r="AA382" s="22" t="inlineStr">
        <is>
          <t>Y</t>
        </is>
      </c>
      <c r="AB382" s="38" t="inlineStr">
        <is>
          <t>601127.SS</t>
        </is>
      </c>
      <c r="AC382" s="22" t="n"/>
      <c r="AD382" s="22" t="inlineStr">
        <is>
          <t>China International Capital Corporation Hong Kong Securities Limited; China Galaxy International Securities (Hong Kong) Co., Limited; Huatai Financial Holdings (Hong Kong) Limited</t>
        </is>
      </c>
      <c r="AE382" s="22" t="n"/>
      <c r="AK382">
        <f>IF(AND(Screener!$B$7&lt;&gt;"",$E382=Screener!$B$7),1,0)</f>
        <v/>
      </c>
      <c r="AL382">
        <f>IF(AND(Screener!$B$6&lt;&gt;"",$D382=Screener!$B$6),1,0)</f>
        <v/>
      </c>
      <c r="AM382">
        <f>IF(OR($H382="",Screener!$B$8=""),0,MAX(0,1-ABS(LOG10($H382/Screener!$B$8))/W_SIZEHW))</f>
        <v/>
      </c>
      <c r="AN382">
        <f>IF(OR($V382="",Screener!$B$9=""),0,IF($V382=Screener!$B$9,1,0))</f>
        <v/>
      </c>
      <c r="AO382">
        <f>IF(OR($AA382="",Screener!$B$10=""),0,IF($AA382=Screener!$B$10,1,0))</f>
        <v/>
      </c>
      <c r="AP382">
        <f>IF($G382="",0,MAX(0,1-(Screener!$B$12-$G382)/W_RECD))</f>
        <v/>
      </c>
      <c r="AQ382">
        <f>IF($B382=Screener!$B$3,-999999,W_SUB*AK382+W_SEC*AL382*(1-AK382)+W_SIZE*AM382+W_PROF*AN382+W_AH*AO382+W_REC*AP382)+ROW()/1000000</f>
        <v/>
      </c>
      <c r="AR382">
        <f>IF(OR('NEW DEAL'!$B$6="",$E382&lt;&gt;'NEW DEAL'!$B$6),-1,1+IF(OR($H382="",'NEW DEAL'!$B$7=""),0,MAX(0,1-ABS(LOG10($H382/'NEW DEAL'!$B$7))/W_SIZEHW)))+ROW()/1000000</f>
        <v/>
      </c>
    </row>
    <row r="383">
      <c r="A383" s="23" t="inlineStr">
        <is>
          <t>2630</t>
        </is>
      </c>
      <c r="B383" s="22" t="inlineStr">
        <is>
          <t>VIGONVITA-B</t>
        </is>
      </c>
      <c r="C383" s="22" t="inlineStr">
        <is>
          <t>蘇州旺山旺水生物醫藥股份有限公司</t>
        </is>
      </c>
      <c r="D383" s="24" t="inlineStr">
        <is>
          <t>Healthcare</t>
        </is>
      </c>
      <c r="E383" s="24" t="inlineStr">
        <is>
          <t>Biotech pre-revenue (18A)</t>
        </is>
      </c>
      <c r="F383" s="38" t="inlineStr">
        <is>
          <t>18A</t>
        </is>
      </c>
      <c r="G383" s="43" t="n">
        <v>45967</v>
      </c>
      <c r="H383" s="26" t="n">
        <v>587.24</v>
      </c>
      <c r="I383" s="22" t="inlineStr">
        <is>
          <t>gross (stated)</t>
        </is>
      </c>
      <c r="J383" s="27" t="n"/>
      <c r="K383" s="27" t="n">
        <v>34</v>
      </c>
      <c r="L383" s="44" t="n">
        <v>33.37</v>
      </c>
      <c r="M383" s="32" t="n"/>
      <c r="N383" s="29" t="inlineStr">
        <is>
          <t>N</t>
        </is>
      </c>
      <c r="O383" s="26" t="n">
        <v>5592.7</v>
      </c>
      <c r="P383" s="46" t="n">
        <v>6238.42</v>
      </c>
      <c r="Q383" s="31" t="n">
        <v>16.87</v>
      </c>
      <c r="R383" s="45" t="n">
        <v>145.73</v>
      </c>
      <c r="S383" s="33" t="n"/>
      <c r="T383" s="32" t="n">
        <v>6.24</v>
      </c>
      <c r="U383" s="22" t="n"/>
      <c r="V383" s="29" t="inlineStr">
        <is>
          <t>N</t>
        </is>
      </c>
      <c r="W383" s="31" t="n"/>
      <c r="X383" s="34" t="n">
        <v>1597.9</v>
      </c>
      <c r="Y383" s="36" t="n">
        <v>3.5</v>
      </c>
      <c r="Z383" s="36" t="n">
        <v>-81.2</v>
      </c>
      <c r="AA383" s="22" t="n"/>
      <c r="AB383" s="22" t="n"/>
      <c r="AC383" s="22" t="inlineStr">
        <is>
          <t>CITIC Securities (Hong Kong) Limited</t>
        </is>
      </c>
      <c r="AD383" s="22" t="inlineStr">
        <is>
          <t>CLSA Limited; China International Capital Corporation Hong Kong Securities Limited; ABCI Capital Limited; China Galaxy International Securities (Hong Kong) Co., Limited; CCB International Capital Limited; China Everbright Securities (HK) Limited; Futu Securities International (Hong Kong) Limited; Tiger Brokers (HK) Global Limited; Zhongtai International Securities Limited</t>
        </is>
      </c>
      <c r="AE383" s="22" t="n"/>
      <c r="AK383">
        <f>IF(AND(Screener!$B$7&lt;&gt;"",$E383=Screener!$B$7),1,0)</f>
        <v/>
      </c>
      <c r="AL383">
        <f>IF(AND(Screener!$B$6&lt;&gt;"",$D383=Screener!$B$6),1,0)</f>
        <v/>
      </c>
      <c r="AM383">
        <f>IF(OR($H383="",Screener!$B$8=""),0,MAX(0,1-ABS(LOG10($H383/Screener!$B$8))/W_SIZEHW))</f>
        <v/>
      </c>
      <c r="AN383">
        <f>IF(OR($V383="",Screener!$B$9=""),0,IF($V383=Screener!$B$9,1,0))</f>
        <v/>
      </c>
      <c r="AO383">
        <f>IF(OR($AA383="",Screener!$B$10=""),0,IF($AA383=Screener!$B$10,1,0))</f>
        <v/>
      </c>
      <c r="AP383">
        <f>IF($G383="",0,MAX(0,1-(Screener!$B$12-$G383)/W_RECD))</f>
        <v/>
      </c>
      <c r="AQ383">
        <f>IF($B383=Screener!$B$3,-999999,W_SUB*AK383+W_SEC*AL383*(1-AK383)+W_SIZE*AM383+W_PROF*AN383+W_AH*AO383+W_REC*AP383)+ROW()/1000000</f>
        <v/>
      </c>
      <c r="AR383">
        <f>IF(OR('NEW DEAL'!$B$6="",$E383&lt;&gt;'NEW DEAL'!$B$6),-1,1+IF(OR($H383="",'NEW DEAL'!$B$7=""),0,MAX(0,1-ABS(LOG10($H383/'NEW DEAL'!$B$7))/W_SIZEHW)))+ROW()/1000000</f>
        <v/>
      </c>
    </row>
    <row r="384">
      <c r="A384" s="23" t="inlineStr">
        <is>
          <t>2026</t>
        </is>
      </c>
      <c r="B384" s="22" t="inlineStr">
        <is>
          <t>PONY-W</t>
        </is>
      </c>
      <c r="C384" s="22" t="n"/>
      <c r="D384" s="24" t="inlineStr">
        <is>
          <t>Tech/AI</t>
        </is>
      </c>
      <c r="E384" s="24" t="inlineStr">
        <is>
          <t>Robotics &amp; autonomous driving</t>
        </is>
      </c>
      <c r="F384" s="38" t="inlineStr">
        <is>
          <t>WVR</t>
        </is>
      </c>
      <c r="G384" s="43" t="n">
        <v>45967</v>
      </c>
      <c r="H384" s="26" t="n">
        <v>6706.61</v>
      </c>
      <c r="I384" s="22" t="inlineStr">
        <is>
          <t>gross (stated)</t>
        </is>
      </c>
      <c r="J384" s="27" t="n"/>
      <c r="K384" s="27" t="n">
        <v>180</v>
      </c>
      <c r="L384" s="44" t="n">
        <v>139</v>
      </c>
      <c r="M384" s="32" t="n"/>
      <c r="N384" s="29" t="inlineStr">
        <is>
          <t>N</t>
        </is>
      </c>
      <c r="O384" s="26" t="n">
        <v>60419.9</v>
      </c>
      <c r="P384" s="46" t="n">
        <v>15.88</v>
      </c>
      <c r="Q384" s="31" t="n"/>
      <c r="R384" s="45" t="n">
        <v>-9.279999999999999</v>
      </c>
      <c r="S384" s="33" t="n">
        <v>1.9</v>
      </c>
      <c r="T384" s="32" t="n">
        <v>18.24</v>
      </c>
      <c r="U384" s="22" t="n"/>
      <c r="V384" s="22" t="n"/>
      <c r="W384" s="31" t="n"/>
      <c r="X384" s="34" t="n">
        <v>103.2</v>
      </c>
      <c r="Y384" s="36" t="n">
        <v>585.2</v>
      </c>
      <c r="Z384" s="35" t="n"/>
      <c r="AA384" s="22" t="n"/>
      <c r="AB384" s="22" t="n"/>
      <c r="AC384" s="22" t="inlineStr">
        <is>
          <t>Goldman Sachs (Asia) L.L.C; Central, Hong Kong Merrill Lynch (Asia Pacific) Limited; Central, Hong Kong Deutsche Securities Asia Limited; Huatai Financial Holdings (Hong Kong) Limited</t>
        </is>
      </c>
      <c r="AD384" s="22" t="inlineStr">
        <is>
          <t>Goldman Sachs (Asia) L.L.C; Central, Hong Kong Merrill Lynch (Asia Pacific) Limited; Central, Hong Kong Deutsche Bank AG, Hong Kong Branch; Huatai Financial Holdings (Hong Kong) Limited; Central, Hong Kong CLSA Limited; BOCI Asia Limited</t>
        </is>
      </c>
      <c r="AE384" s="22" t="n"/>
      <c r="AK384">
        <f>IF(AND(Screener!$B$7&lt;&gt;"",$E384=Screener!$B$7),1,0)</f>
        <v/>
      </c>
      <c r="AL384">
        <f>IF(AND(Screener!$B$6&lt;&gt;"",$D384=Screener!$B$6),1,0)</f>
        <v/>
      </c>
      <c r="AM384">
        <f>IF(OR($H384="",Screener!$B$8=""),0,MAX(0,1-ABS(LOG10($H384/Screener!$B$8))/W_SIZEHW))</f>
        <v/>
      </c>
      <c r="AN384">
        <f>IF(OR($V384="",Screener!$B$9=""),0,IF($V384=Screener!$B$9,1,0))</f>
        <v/>
      </c>
      <c r="AO384">
        <f>IF(OR($AA384="",Screener!$B$10=""),0,IF($AA384=Screener!$B$10,1,0))</f>
        <v/>
      </c>
      <c r="AP384">
        <f>IF($G384="",0,MAX(0,1-(Screener!$B$12-$G384)/W_RECD))</f>
        <v/>
      </c>
      <c r="AQ384">
        <f>IF($B384=Screener!$B$3,-999999,W_SUB*AK384+W_SEC*AL384*(1-AK384)+W_SIZE*AM384+W_PROF*AN384+W_AH*AO384+W_REC*AP384)+ROW()/1000000</f>
        <v/>
      </c>
      <c r="AR384">
        <f>IF(OR('NEW DEAL'!$B$6="",$E384&lt;&gt;'NEW DEAL'!$B$6),-1,1+IF(OR($H384="",'NEW DEAL'!$B$7=""),0,MAX(0,1-ABS(LOG10($H384/'NEW DEAL'!$B$7))/W_SIZEHW)))+ROW()/1000000</f>
        <v/>
      </c>
    </row>
    <row r="385">
      <c r="A385" s="23" t="inlineStr">
        <is>
          <t>0699</t>
        </is>
      </c>
      <c r="B385" s="22" t="inlineStr">
        <is>
          <t>JOYSON ELEC</t>
        </is>
      </c>
      <c r="C385" s="22" t="n"/>
      <c r="D385" s="24" t="inlineStr">
        <is>
          <t>Consumer</t>
        </is>
      </c>
      <c r="E385" s="24" t="inlineStr">
        <is>
          <t>Auto parts / supply chain</t>
        </is>
      </c>
      <c r="F385" s="22" t="inlineStr">
        <is>
          <t>Standard</t>
        </is>
      </c>
      <c r="G385" s="43" t="n">
        <v>45967</v>
      </c>
      <c r="H385" s="26" t="n">
        <v>3412.2</v>
      </c>
      <c r="I385" s="22" t="inlineStr">
        <is>
          <t>gross (stated)</t>
        </is>
      </c>
      <c r="J385" s="27" t="n"/>
      <c r="K385" s="27" t="n">
        <v>23.6</v>
      </c>
      <c r="L385" s="44" t="n">
        <v>22</v>
      </c>
      <c r="M385" s="32" t="n"/>
      <c r="N385" s="29" t="inlineStr">
        <is>
          <t>N</t>
        </is>
      </c>
      <c r="O385" s="35" t="n"/>
      <c r="P385" s="46" t="n">
        <v>147.67</v>
      </c>
      <c r="Q385" s="31" t="n">
        <v>9.779999999999999</v>
      </c>
      <c r="R385" s="47" t="n">
        <v>-40.09</v>
      </c>
      <c r="S385" s="33" t="n"/>
      <c r="T385" s="28" t="n">
        <v>15</v>
      </c>
      <c r="U385" s="22" t="n"/>
      <c r="V385" s="22" t="n"/>
      <c r="W385" s="31" t="n"/>
      <c r="X385" s="31" t="n"/>
      <c r="Y385" s="35" t="n"/>
      <c r="Z385" s="35" t="n"/>
      <c r="AA385" s="22" t="inlineStr">
        <is>
          <t>Y</t>
        </is>
      </c>
      <c r="AB385" s="22" t="inlineStr">
        <is>
          <t>600699.SS</t>
        </is>
      </c>
      <c r="AC385" s="22" t="n"/>
      <c r="AD385" s="22" t="n"/>
      <c r="AE385" s="22" t="n"/>
      <c r="AK385">
        <f>IF(AND(Screener!$B$7&lt;&gt;"",$E385=Screener!$B$7),1,0)</f>
        <v/>
      </c>
      <c r="AL385">
        <f>IF(AND(Screener!$B$6&lt;&gt;"",$D385=Screener!$B$6),1,0)</f>
        <v/>
      </c>
      <c r="AM385">
        <f>IF(OR($H385="",Screener!$B$8=""),0,MAX(0,1-ABS(LOG10($H385/Screener!$B$8))/W_SIZEHW))</f>
        <v/>
      </c>
      <c r="AN385">
        <f>IF(OR($V385="",Screener!$B$9=""),0,IF($V385=Screener!$B$9,1,0))</f>
        <v/>
      </c>
      <c r="AO385">
        <f>IF(OR($AA385="",Screener!$B$10=""),0,IF($AA385=Screener!$B$10,1,0))</f>
        <v/>
      </c>
      <c r="AP385">
        <f>IF($G385="",0,MAX(0,1-(Screener!$B$12-$G385)/W_RECD))</f>
        <v/>
      </c>
      <c r="AQ385">
        <f>IF($B385=Screener!$B$3,-999999,W_SUB*AK385+W_SEC*AL385*(1-AK385)+W_SIZE*AM385+W_PROF*AN385+W_AH*AO385+W_REC*AP385)+ROW()/1000000</f>
        <v/>
      </c>
      <c r="AR385">
        <f>IF(OR('NEW DEAL'!$B$6="",$E385&lt;&gt;'NEW DEAL'!$B$6),-1,1+IF(OR($H385="",'NEW DEAL'!$B$7=""),0,MAX(0,1-ABS(LOG10($H385/'NEW DEAL'!$B$7))/W_SIZEHW)))+ROW()/1000000</f>
        <v/>
      </c>
    </row>
    <row r="386">
      <c r="A386" s="23" t="inlineStr">
        <is>
          <t>2698</t>
        </is>
      </c>
      <c r="B386" s="22" t="inlineStr">
        <is>
          <t>SOFTCARE</t>
        </is>
      </c>
      <c r="C386" s="22" t="n"/>
      <c r="D386" s="24" t="inlineStr">
        <is>
          <t>Other</t>
        </is>
      </c>
      <c r="E386" s="24" t="inlineStr">
        <is>
          <t>Other / unclassified</t>
        </is>
      </c>
      <c r="F386" s="22" t="inlineStr">
        <is>
          <t>Standard</t>
        </is>
      </c>
      <c r="G386" s="43" t="n">
        <v>45971</v>
      </c>
      <c r="H386" s="26" t="n">
        <v>2381.16</v>
      </c>
      <c r="I386" s="22" t="inlineStr">
        <is>
          <t>gross (stated)</t>
        </is>
      </c>
      <c r="J386" s="27" t="n"/>
      <c r="K386" s="27" t="n"/>
      <c r="L386" s="44" t="n">
        <v>26.2</v>
      </c>
      <c r="M386" s="32" t="n"/>
      <c r="N386" s="22" t="n"/>
      <c r="O386" s="36" t="n">
        <v>15610</v>
      </c>
      <c r="P386" s="46" t="n">
        <v>1813.77</v>
      </c>
      <c r="Q386" s="31" t="n">
        <v>34.33</v>
      </c>
      <c r="R386" s="45" t="n">
        <v>25.95</v>
      </c>
      <c r="S386" s="33" t="n">
        <v>4.6</v>
      </c>
      <c r="T386" s="28" t="n">
        <v>15</v>
      </c>
      <c r="U386" s="22" t="n"/>
      <c r="V386" s="22" t="n"/>
      <c r="W386" s="31" t="n"/>
      <c r="X386" s="31" t="n"/>
      <c r="Y386" s="35" t="n"/>
      <c r="Z386" s="35" t="n"/>
      <c r="AA386" s="22" t="n"/>
      <c r="AB386" s="22" t="n"/>
      <c r="AC386" s="22" t="n"/>
      <c r="AD386" s="22" t="n"/>
      <c r="AE386" s="22" t="n"/>
      <c r="AK386">
        <f>IF(AND(Screener!$B$7&lt;&gt;"",$E386=Screener!$B$7),1,0)</f>
        <v/>
      </c>
      <c r="AL386">
        <f>IF(AND(Screener!$B$6&lt;&gt;"",$D386=Screener!$B$6),1,0)</f>
        <v/>
      </c>
      <c r="AM386">
        <f>IF(OR($H386="",Screener!$B$8=""),0,MAX(0,1-ABS(LOG10($H386/Screener!$B$8))/W_SIZEHW))</f>
        <v/>
      </c>
      <c r="AN386">
        <f>IF(OR($V386="",Screener!$B$9=""),0,IF($V386=Screener!$B$9,1,0))</f>
        <v/>
      </c>
      <c r="AO386">
        <f>IF(OR($AA386="",Screener!$B$10=""),0,IF($AA386=Screener!$B$10,1,0))</f>
        <v/>
      </c>
      <c r="AP386">
        <f>IF($G386="",0,MAX(0,1-(Screener!$B$12-$G386)/W_RECD))</f>
        <v/>
      </c>
      <c r="AQ386">
        <f>IF($B386=Screener!$B$3,-999999,W_SUB*AK386+W_SEC*AL386*(1-AK386)+W_SIZE*AM386+W_PROF*AN386+W_AH*AO386+W_REC*AP386)+ROW()/1000000</f>
        <v/>
      </c>
      <c r="AR386">
        <f>IF(OR('NEW DEAL'!$B$6="",$E386&lt;&gt;'NEW DEAL'!$B$6),-1,1+IF(OR($H386="",'NEW DEAL'!$B$7=""),0,MAX(0,1-ABS(LOG10($H386/'NEW DEAL'!$B$7))/W_SIZEHW)))+ROW()/1000000</f>
        <v/>
      </c>
    </row>
    <row r="387">
      <c r="A387" s="23" t="inlineStr">
        <is>
          <t>2579</t>
        </is>
      </c>
      <c r="B387" s="22" t="inlineStr">
        <is>
          <t>CNGR</t>
        </is>
      </c>
      <c r="C387" s="22" t="inlineStr">
        <is>
          <t>中偉新材料股份有限公司</t>
        </is>
      </c>
      <c r="D387" s="24" t="inlineStr">
        <is>
          <t>Industrials</t>
        </is>
      </c>
      <c r="E387" s="24" t="inlineStr">
        <is>
          <t>Batteries / energy storage</t>
        </is>
      </c>
      <c r="F387" s="22" t="inlineStr">
        <is>
          <t>Standard</t>
        </is>
      </c>
      <c r="G387" s="43" t="n">
        <v>45978</v>
      </c>
      <c r="H387" s="26" t="n">
        <v>3543.7</v>
      </c>
      <c r="I387" s="22" t="inlineStr">
        <is>
          <t>gross (price x shares)</t>
        </is>
      </c>
      <c r="J387" s="27" t="n"/>
      <c r="K387" s="27" t="n">
        <v>37.8</v>
      </c>
      <c r="L387" s="44" t="n">
        <v>34</v>
      </c>
      <c r="M387" s="32" t="n"/>
      <c r="N387" s="29" t="inlineStr">
        <is>
          <t>N</t>
        </is>
      </c>
      <c r="O387" s="26" t="n">
        <v>31277.1</v>
      </c>
      <c r="P387" s="46" t="n">
        <v>27.9</v>
      </c>
      <c r="Q387" s="31" t="n">
        <v>4.08</v>
      </c>
      <c r="R387" s="45" t="n">
        <v>-0.12</v>
      </c>
      <c r="S387" s="33" t="n"/>
      <c r="T387" s="28" t="n">
        <v>15</v>
      </c>
      <c r="U387" s="22" t="n"/>
      <c r="V387" s="29" t="inlineStr">
        <is>
          <t>Y</t>
        </is>
      </c>
      <c r="W387" s="34" t="n">
        <v>15.9</v>
      </c>
      <c r="X387" s="34" t="n">
        <v>0.7</v>
      </c>
      <c r="Y387" s="36" t="n">
        <v>44245.2</v>
      </c>
      <c r="Z387" s="36" t="n">
        <v>1966.5</v>
      </c>
      <c r="AA387" s="22" t="inlineStr">
        <is>
          <t>Y</t>
        </is>
      </c>
      <c r="AB387" s="22" t="inlineStr">
        <is>
          <t>300919.SZ</t>
        </is>
      </c>
      <c r="AC387" s="22" t="inlineStr">
        <is>
          <t>and Sponsor-overall Coordinators Morgan Stanley Asia Limited; Huatai Financial Holdings (Hong Kong) Limited</t>
        </is>
      </c>
      <c r="AD387" s="22" t="inlineStr">
        <is>
          <t>Morgan Stanley Asia Limited; Huatai Financial Holdings (Hong Kong) Limited; China International Capital Corporation Hong Kong Securities Limited; BNP Paribas Securities (Asia) Limited; ABCI CAPITAL LIMITED; – 91 – DIRECTORS AND PARTIES INVOLVED IN THE GLOBAL OFFERING ABCI CAPITAL LIMITED; BOCI Asia Limited; ICBC International Securities Limited; CCB International Capital Limited; Mizuho Securities Asia Limited; Tiger Brokers (HK) Global Limited</t>
        </is>
      </c>
      <c r="AE387" s="22" t="n"/>
      <c r="AK387">
        <f>IF(AND(Screener!$B$7&lt;&gt;"",$E387=Screener!$B$7),1,0)</f>
        <v/>
      </c>
      <c r="AL387">
        <f>IF(AND(Screener!$B$6&lt;&gt;"",$D387=Screener!$B$6),1,0)</f>
        <v/>
      </c>
      <c r="AM387">
        <f>IF(OR($H387="",Screener!$B$8=""),0,MAX(0,1-ABS(LOG10($H387/Screener!$B$8))/W_SIZEHW))</f>
        <v/>
      </c>
      <c r="AN387">
        <f>IF(OR($V387="",Screener!$B$9=""),0,IF($V387=Screener!$B$9,1,0))</f>
        <v/>
      </c>
      <c r="AO387">
        <f>IF(OR($AA387="",Screener!$B$10=""),0,IF($AA387=Screener!$B$10,1,0))</f>
        <v/>
      </c>
      <c r="AP387">
        <f>IF($G387="",0,MAX(0,1-(Screener!$B$12-$G387)/W_RECD))</f>
        <v/>
      </c>
      <c r="AQ387">
        <f>IF($B387=Screener!$B$3,-999999,W_SUB*AK387+W_SEC*AL387*(1-AK387)+W_SIZE*AM387+W_PROF*AN387+W_AH*AO387+W_REC*AP387)+ROW()/1000000</f>
        <v/>
      </c>
      <c r="AR387">
        <f>IF(OR('NEW DEAL'!$B$6="",$E387&lt;&gt;'NEW DEAL'!$B$6),-1,1+IF(OR($H387="",'NEW DEAL'!$B$7=""),0,MAX(0,1-ABS(LOG10($H387/'NEW DEAL'!$B$7))/W_SIZEHW)))+ROW()/1000000</f>
        <v/>
      </c>
    </row>
    <row r="388">
      <c r="A388" s="23" t="inlineStr">
        <is>
          <t>2788</t>
        </is>
      </c>
      <c r="B388" s="22" t="inlineStr">
        <is>
          <t>CHUANGXIN IND</t>
        </is>
      </c>
      <c r="C388" s="22" t="n"/>
      <c r="D388" s="24" t="inlineStr">
        <is>
          <t>Other</t>
        </is>
      </c>
      <c r="E388" s="24" t="inlineStr">
        <is>
          <t>Other / unclassified</t>
        </is>
      </c>
      <c r="F388" s="22" t="inlineStr">
        <is>
          <t>Standard</t>
        </is>
      </c>
      <c r="G388" s="43" t="n">
        <v>45985</v>
      </c>
      <c r="H388" s="26" t="n">
        <v>5495</v>
      </c>
      <c r="I388" s="22" t="inlineStr">
        <is>
          <t>gross (stated)</t>
        </is>
      </c>
      <c r="J388" s="27" t="n"/>
      <c r="K388" s="27" t="n"/>
      <c r="L388" s="44" t="n">
        <v>10.99</v>
      </c>
      <c r="M388" s="32" t="n"/>
      <c r="N388" s="22" t="n"/>
      <c r="O388" s="36" t="n">
        <v>21960</v>
      </c>
      <c r="P388" s="46" t="n">
        <v>447.2</v>
      </c>
      <c r="Q388" s="31" t="n">
        <v>19.85</v>
      </c>
      <c r="R388" s="45" t="n">
        <v>32.76</v>
      </c>
      <c r="S388" s="33" t="n">
        <v>49.66</v>
      </c>
      <c r="T388" s="28" t="n">
        <v>15</v>
      </c>
      <c r="U388" s="22" t="n"/>
      <c r="V388" s="22" t="n"/>
      <c r="W388" s="31" t="n"/>
      <c r="X388" s="31" t="n"/>
      <c r="Y388" s="35" t="n"/>
      <c r="Z388" s="35" t="n"/>
      <c r="AA388" s="22" t="n"/>
      <c r="AB388" s="22" t="n"/>
      <c r="AC388" s="22" t="n"/>
      <c r="AD388" s="22" t="n"/>
      <c r="AE388" s="22" t="n"/>
      <c r="AK388">
        <f>IF(AND(Screener!$B$7&lt;&gt;"",$E388=Screener!$B$7),1,0)</f>
        <v/>
      </c>
      <c r="AL388">
        <f>IF(AND(Screener!$B$6&lt;&gt;"",$D388=Screener!$B$6),1,0)</f>
        <v/>
      </c>
      <c r="AM388">
        <f>IF(OR($H388="",Screener!$B$8=""),0,MAX(0,1-ABS(LOG10($H388/Screener!$B$8))/W_SIZEHW))</f>
        <v/>
      </c>
      <c r="AN388">
        <f>IF(OR($V388="",Screener!$B$9=""),0,IF($V388=Screener!$B$9,1,0))</f>
        <v/>
      </c>
      <c r="AO388">
        <f>IF(OR($AA388="",Screener!$B$10=""),0,IF($AA388=Screener!$B$10,1,0))</f>
        <v/>
      </c>
      <c r="AP388">
        <f>IF($G388="",0,MAX(0,1-(Screener!$B$12-$G388)/W_RECD))</f>
        <v/>
      </c>
      <c r="AQ388">
        <f>IF($B388=Screener!$B$3,-999999,W_SUB*AK388+W_SEC*AL388*(1-AK388)+W_SIZE*AM388+W_PROF*AN388+W_AH*AO388+W_REC*AP388)+ROW()/1000000</f>
        <v/>
      </c>
      <c r="AR388">
        <f>IF(OR('NEW DEAL'!$B$6="",$E388&lt;&gt;'NEW DEAL'!$B$6),-1,1+IF(OR($H388="",'NEW DEAL'!$B$7=""),0,MAX(0,1-ABS(LOG10($H388/'NEW DEAL'!$B$7))/W_SIZEHW)))+ROW()/1000000</f>
        <v/>
      </c>
    </row>
    <row r="389">
      <c r="A389" s="23" t="inlineStr">
        <is>
          <t>2685</t>
        </is>
      </c>
      <c r="B389" s="22" t="inlineStr">
        <is>
          <t>QUANTGROUP</t>
        </is>
      </c>
      <c r="C389" s="22" t="n"/>
      <c r="D389" s="24" t="inlineStr">
        <is>
          <t>Tech/AI</t>
        </is>
      </c>
      <c r="E389" s="24" t="inlineStr">
        <is>
          <t>Internet platform / e-commerce</t>
        </is>
      </c>
      <c r="F389" s="22" t="inlineStr">
        <is>
          <t>Standard</t>
        </is>
      </c>
      <c r="G389" s="39" t="n">
        <v>45988</v>
      </c>
      <c r="H389" s="26" t="n">
        <v>130.81</v>
      </c>
      <c r="I389" s="22" t="inlineStr">
        <is>
          <t>gross (stated)</t>
        </is>
      </c>
      <c r="J389" s="27" t="n"/>
      <c r="K389" s="27" t="n">
        <v>9.800000000000001</v>
      </c>
      <c r="L389" s="44" t="n">
        <v>9.800000000000001</v>
      </c>
      <c r="M389" s="32" t="n"/>
      <c r="N389" s="29" t="inlineStr">
        <is>
          <t>Y</t>
        </is>
      </c>
      <c r="O389" s="26" t="n">
        <v>5031.2</v>
      </c>
      <c r="P389" s="46" t="n">
        <v>9366.280000000001</v>
      </c>
      <c r="Q389" s="31" t="n">
        <v>15.07</v>
      </c>
      <c r="R389" s="45" t="n">
        <v>88.78</v>
      </c>
      <c r="S389" s="33" t="n">
        <v>0</v>
      </c>
      <c r="T389" s="32" t="n">
        <v>15</v>
      </c>
      <c r="U389" s="22" t="n"/>
      <c r="V389" s="29" t="inlineStr">
        <is>
          <t>Y</t>
        </is>
      </c>
      <c r="W389" s="34" t="n">
        <v>31.1</v>
      </c>
      <c r="X389" s="34" t="n">
        <v>4.6</v>
      </c>
      <c r="Y389" s="36" t="n">
        <v>1092.3</v>
      </c>
      <c r="Z389" s="36" t="n">
        <v>161.8</v>
      </c>
      <c r="AA389" s="22" t="n"/>
      <c r="AB389" s="22" t="n"/>
      <c r="AC389" s="22" t="inlineStr">
        <is>
          <t>China International Capital Corporation Hong Kong Securities Limited; Hong Kong SAR CITIC Securities (Hong Kong) Limited</t>
        </is>
      </c>
      <c r="AD389" s="22" t="inlineStr">
        <is>
          <t>China International Capital Corporation Hong Kong Securities Limited; DIRECTORS AND PARTIES INVOLVED IN THE GLOBAL OFFERING CLSA Limited; Hong Kong SAR Fosun International Securities Limited; Hong Kong SAR CLSA Limited; Hong Kong SAR Futu Securities International (Hong Kong) Limited; No.95 Queensway Admiralty Hong Kong SAR Tiger Brokers (HK) Global Limited</t>
        </is>
      </c>
      <c r="AE389" s="22" t="n"/>
      <c r="AK389">
        <f>IF(AND(Screener!$B$7&lt;&gt;"",$E389=Screener!$B$7),1,0)</f>
        <v/>
      </c>
      <c r="AL389">
        <f>IF(AND(Screener!$B$6&lt;&gt;"",$D389=Screener!$B$6),1,0)</f>
        <v/>
      </c>
      <c r="AM389">
        <f>IF(OR($H389="",Screener!$B$8=""),0,MAX(0,1-ABS(LOG10($H389/Screener!$B$8))/W_SIZEHW))</f>
        <v/>
      </c>
      <c r="AN389">
        <f>IF(OR($V389="",Screener!$B$9=""),0,IF($V389=Screener!$B$9,1,0))</f>
        <v/>
      </c>
      <c r="AO389">
        <f>IF(OR($AA389="",Screener!$B$10=""),0,IF($AA389=Screener!$B$10,1,0))</f>
        <v/>
      </c>
      <c r="AP389">
        <f>IF($G389="",0,MAX(0,1-(Screener!$B$12-$G389)/W_RECD))</f>
        <v/>
      </c>
      <c r="AQ389">
        <f>IF($B389=Screener!$B$3,-999999,W_SUB*AK389+W_SEC*AL389*(1-AK389)+W_SIZE*AM389+W_PROF*AN389+W_AH*AO389+W_REC*AP389)+ROW()/1000000</f>
        <v/>
      </c>
      <c r="AR389">
        <f>IF(OR('NEW DEAL'!$B$6="",$E389&lt;&gt;'NEW DEAL'!$B$6),-1,1+IF(OR($H389="",'NEW DEAL'!$B$7=""),0,MAX(0,1-ABS(LOG10($H389/'NEW DEAL'!$B$7))/W_SIZEHW)))+ROW()/1000000</f>
        <v/>
      </c>
    </row>
    <row r="390">
      <c r="A390" s="23" t="inlineStr">
        <is>
          <t>9609</t>
        </is>
      </c>
      <c r="B390" s="22" t="inlineStr">
        <is>
          <t>HAIWEI ELEC</t>
        </is>
      </c>
      <c r="C390" s="22" t="inlineStr">
        <is>
          <t>河北海偉電子新材料科技股份有限公司</t>
        </is>
      </c>
      <c r="D390" s="24" t="inlineStr">
        <is>
          <t>Materials/Energy</t>
        </is>
      </c>
      <c r="E390" s="24" t="inlineStr">
        <is>
          <t>Chemicals</t>
        </is>
      </c>
      <c r="F390" s="22" t="inlineStr">
        <is>
          <t>Standard</t>
        </is>
      </c>
      <c r="G390" s="43" t="n">
        <v>45989</v>
      </c>
      <c r="H390" s="26" t="n">
        <v>506.31</v>
      </c>
      <c r="I390" s="22" t="inlineStr">
        <is>
          <t>gross (stated)</t>
        </is>
      </c>
      <c r="J390" s="27" t="n"/>
      <c r="K390" s="27" t="n">
        <v>14.28</v>
      </c>
      <c r="L390" s="44" t="n">
        <v>14.28</v>
      </c>
      <c r="M390" s="32" t="n"/>
      <c r="N390" s="29" t="inlineStr">
        <is>
          <t>Y</t>
        </is>
      </c>
      <c r="O390" s="26" t="n">
        <v>2272.9</v>
      </c>
      <c r="P390" s="46" t="n">
        <v>5426.27</v>
      </c>
      <c r="Q390" s="31" t="n"/>
      <c r="R390" s="45" t="n">
        <v>-22.97</v>
      </c>
      <c r="S390" s="42" t="n">
        <v>43.1</v>
      </c>
      <c r="T390" s="28" t="n">
        <v>15</v>
      </c>
      <c r="U390" s="22" t="n"/>
      <c r="V390" s="29" t="inlineStr">
        <is>
          <t>Y</t>
        </is>
      </c>
      <c r="W390" s="34" t="n">
        <v>23.9</v>
      </c>
      <c r="X390" s="34" t="n">
        <v>4.9</v>
      </c>
      <c r="Y390" s="36" t="n">
        <v>463.9</v>
      </c>
      <c r="Z390" s="36" t="n">
        <v>95.09999999999999</v>
      </c>
      <c r="AA390" s="22" t="n"/>
      <c r="AB390" s="22" t="n"/>
      <c r="AC390" s="22" t="inlineStr">
        <is>
          <t>China International Capital Corporation Hong Kong Securities Limited; -Overall Coordinator China International Capital Corporation Hong Kong Securities Limited</t>
        </is>
      </c>
      <c r="AD390" s="22" t="inlineStr">
        <is>
          <t>China International Capital Corporation Hong Kong Securities Limited; China Securities (International) Corporate Finance Company Limited; CLSA Limited; CCB International Capital Limited; DIRECTORS AND PARTIES INVOLVED IN THE GLOBAL OFFERING – 88 – BOCI Asia Limited; Huizhi International Capital Holdings Co., Limited</t>
        </is>
      </c>
      <c r="AE390" s="22" t="n"/>
      <c r="AK390">
        <f>IF(AND(Screener!$B$7&lt;&gt;"",$E390=Screener!$B$7),1,0)</f>
        <v/>
      </c>
      <c r="AL390">
        <f>IF(AND(Screener!$B$6&lt;&gt;"",$D390=Screener!$B$6),1,0)</f>
        <v/>
      </c>
      <c r="AM390">
        <f>IF(OR($H390="",Screener!$B$8=""),0,MAX(0,1-ABS(LOG10($H390/Screener!$B$8))/W_SIZEHW))</f>
        <v/>
      </c>
      <c r="AN390">
        <f>IF(OR($V390="",Screener!$B$9=""),0,IF($V390=Screener!$B$9,1,0))</f>
        <v/>
      </c>
      <c r="AO390">
        <f>IF(OR($AA390="",Screener!$B$10=""),0,IF($AA390=Screener!$B$10,1,0))</f>
        <v/>
      </c>
      <c r="AP390">
        <f>IF($G390="",0,MAX(0,1-(Screener!$B$12-$G390)/W_RECD))</f>
        <v/>
      </c>
      <c r="AQ390">
        <f>IF($B390=Screener!$B$3,-999999,W_SUB*AK390+W_SEC*AL390*(1-AK390)+W_SIZE*AM390+W_PROF*AN390+W_AH*AO390+W_REC*AP390)+ROW()/1000000</f>
        <v/>
      </c>
      <c r="AR390">
        <f>IF(OR('NEW DEAL'!$B$6="",$E390&lt;&gt;'NEW DEAL'!$B$6),-1,1+IF(OR($H390="",'NEW DEAL'!$B$7=""),0,MAX(0,1-ABS(LOG10($H390/'NEW DEAL'!$B$7))/W_SIZEHW)))+ROW()/1000000</f>
        <v/>
      </c>
    </row>
    <row r="391">
      <c r="A391" s="23" t="inlineStr">
        <is>
          <t>2539</t>
        </is>
      </c>
      <c r="B391" s="22" t="inlineStr">
        <is>
          <t>LEMO SERVICES</t>
        </is>
      </c>
      <c r="C391" s="22" t="inlineStr">
        <is>
          <t>樂摩科技服務股份有限公司</t>
        </is>
      </c>
      <c r="D391" s="24" t="inlineStr">
        <is>
          <t>Real Estate</t>
        </is>
      </c>
      <c r="E391" s="24" t="inlineStr">
        <is>
          <t>Property management</t>
        </is>
      </c>
      <c r="F391" s="22" t="inlineStr">
        <is>
          <t>Standard</t>
        </is>
      </c>
      <c r="G391" s="39" t="n">
        <v>45994</v>
      </c>
      <c r="H391" s="26" t="n">
        <v>222.22</v>
      </c>
      <c r="I391" s="22" t="inlineStr">
        <is>
          <t>gross (stated)</t>
        </is>
      </c>
      <c r="J391" s="27" t="n"/>
      <c r="K391" s="27" t="n">
        <v>40</v>
      </c>
      <c r="L391" s="44" t="n">
        <v>40</v>
      </c>
      <c r="M391" s="32" t="n"/>
      <c r="N391" s="29" t="inlineStr">
        <is>
          <t>Y</t>
        </is>
      </c>
      <c r="O391" s="26" t="n">
        <v>2222.2</v>
      </c>
      <c r="P391" s="46" t="n">
        <v>7324.29</v>
      </c>
      <c r="Q391" s="31" t="n">
        <v>6.78</v>
      </c>
      <c r="R391" s="45" t="n">
        <v>36.25</v>
      </c>
      <c r="S391" s="33" t="n">
        <v>0</v>
      </c>
      <c r="T391" s="32" t="n"/>
      <c r="U391" s="22" t="n"/>
      <c r="V391" s="29" t="inlineStr">
        <is>
          <t>Y</t>
        </is>
      </c>
      <c r="W391" s="34" t="n">
        <v>23.5</v>
      </c>
      <c r="X391" s="34" t="n">
        <v>2.5</v>
      </c>
      <c r="Y391" s="36" t="n">
        <v>877.8</v>
      </c>
      <c r="Z391" s="36" t="n">
        <v>94.40000000000001</v>
      </c>
      <c r="AA391" s="22" t="n"/>
      <c r="AB391" s="22" t="n"/>
      <c r="AC391" s="22" t="inlineStr">
        <is>
          <t>China Securities (International) Corporate Finance Company Limited; Shenwan Hongyuan Capital (H.K.) Limited</t>
        </is>
      </c>
      <c r="AD391" s="22" t="inlineStr">
        <is>
          <t>China Securities (International) Corporate Finance Company Limited; Shenwan Hongyuan Securities (H.K.) Limited; SPDB International Capital Limited; CMB International Capital Limited; BOCI Asia Limited; ICBC International Securities Limited; Managers China Securities (International) Corporate Finance Company Limited; CCB International Capital Limited; Guoyuan Securities Brokerage (Hong Kong) Limited; ABCI Capital Limited; ABCI Securities Company Limited</t>
        </is>
      </c>
      <c r="AE391" s="22" t="n"/>
      <c r="AK391">
        <f>IF(AND(Screener!$B$7&lt;&gt;"",$E391=Screener!$B$7),1,0)</f>
        <v/>
      </c>
      <c r="AL391">
        <f>IF(AND(Screener!$B$6&lt;&gt;"",$D391=Screener!$B$6),1,0)</f>
        <v/>
      </c>
      <c r="AM391">
        <f>IF(OR($H391="",Screener!$B$8=""),0,MAX(0,1-ABS(LOG10($H391/Screener!$B$8))/W_SIZEHW))</f>
        <v/>
      </c>
      <c r="AN391">
        <f>IF(OR($V391="",Screener!$B$9=""),0,IF($V391=Screener!$B$9,1,0))</f>
        <v/>
      </c>
      <c r="AO391">
        <f>IF(OR($AA391="",Screener!$B$10=""),0,IF($AA391=Screener!$B$10,1,0))</f>
        <v/>
      </c>
      <c r="AP391">
        <f>IF($G391="",0,MAX(0,1-(Screener!$B$12-$G391)/W_RECD))</f>
        <v/>
      </c>
      <c r="AQ391">
        <f>IF($B391=Screener!$B$3,-999999,W_SUB*AK391+W_SEC*AL391*(1-AK391)+W_SIZE*AM391+W_PROF*AN391+W_AH*AO391+W_REC*AP391)+ROW()/1000000</f>
        <v/>
      </c>
      <c r="AR391">
        <f>IF(OR('NEW DEAL'!$B$6="",$E391&lt;&gt;'NEW DEAL'!$B$6),-1,1+IF(OR($H391="",'NEW DEAL'!$B$7=""),0,MAX(0,1-ABS(LOG10($H391/'NEW DEAL'!$B$7))/W_SIZEHW)))+ROW()/1000000</f>
        <v/>
      </c>
    </row>
    <row r="392">
      <c r="A392" s="23" t="inlineStr">
        <is>
          <t>2693</t>
        </is>
      </c>
      <c r="B392" s="22" t="inlineStr">
        <is>
          <t>JINYAN KAOLIN</t>
        </is>
      </c>
      <c r="C392" s="22" t="inlineStr">
        <is>
          <t>安徽金岩高嶺土新材料股份有限公司</t>
        </is>
      </c>
      <c r="D392" s="24" t="inlineStr">
        <is>
          <t>Materials/Energy</t>
        </is>
      </c>
      <c r="E392" s="24" t="inlineStr">
        <is>
          <t>Mining / metals</t>
        </is>
      </c>
      <c r="F392" s="22" t="inlineStr">
        <is>
          <t>Standard</t>
        </is>
      </c>
      <c r="G392" s="43" t="n">
        <v>45994</v>
      </c>
      <c r="H392" s="26" t="n">
        <v>177.4</v>
      </c>
      <c r="I392" s="22" t="inlineStr">
        <is>
          <t>gross (price x shares)</t>
        </is>
      </c>
      <c r="J392" s="27" t="n">
        <v>7.3</v>
      </c>
      <c r="K392" s="27" t="n">
        <v>7.3</v>
      </c>
      <c r="L392" s="44" t="n">
        <v>7.3</v>
      </c>
      <c r="M392" s="32" t="n"/>
      <c r="N392" s="29" t="inlineStr">
        <is>
          <t>Y</t>
        </is>
      </c>
      <c r="O392" s="26" t="n">
        <v>709.5</v>
      </c>
      <c r="P392" s="48" t="n">
        <v>6876.17</v>
      </c>
      <c r="Q392" s="31" t="n">
        <v>2.01</v>
      </c>
      <c r="R392" s="45" t="n">
        <v>2.19</v>
      </c>
      <c r="S392" s="33" t="n">
        <v>80.2</v>
      </c>
      <c r="T392" s="28" t="n">
        <v>6.1</v>
      </c>
      <c r="U392" s="22" t="n"/>
      <c r="V392" s="29" t="inlineStr">
        <is>
          <t>Y</t>
        </is>
      </c>
      <c r="W392" s="34" t="n">
        <v>12.3</v>
      </c>
      <c r="X392" s="34" t="n">
        <v>2.4</v>
      </c>
      <c r="Y392" s="36" t="n">
        <v>293.9</v>
      </c>
      <c r="Z392" s="36" t="n">
        <v>57.9</v>
      </c>
      <c r="AA392" s="22" t="n"/>
      <c r="AB392" s="22" t="n"/>
      <c r="AC392" s="22" t="inlineStr">
        <is>
          <t>Guoyuan Capital (Hong Kong) Limited; CMBC International Capital Limited</t>
        </is>
      </c>
      <c r="AD392" s="22" t="inlineStr">
        <is>
          <t>Managers China Sunrise Securities (International) Limited; First Shanghai Securities Limited; Futu Securities International (Hong Kong) Limited; ICBC International Securities Limited; Shenwan Hongyuan Securities (H.K.) Limited; uSmart Securities Limited</t>
        </is>
      </c>
      <c r="AE392" s="22" t="n"/>
      <c r="AK392">
        <f>IF(AND(Screener!$B$7&lt;&gt;"",$E392=Screener!$B$7),1,0)</f>
        <v/>
      </c>
      <c r="AL392">
        <f>IF(AND(Screener!$B$6&lt;&gt;"",$D392=Screener!$B$6),1,0)</f>
        <v/>
      </c>
      <c r="AM392">
        <f>IF(OR($H392="",Screener!$B$8=""),0,MAX(0,1-ABS(LOG10($H392/Screener!$B$8))/W_SIZEHW))</f>
        <v/>
      </c>
      <c r="AN392">
        <f>IF(OR($V392="",Screener!$B$9=""),0,IF($V392=Screener!$B$9,1,0))</f>
        <v/>
      </c>
      <c r="AO392">
        <f>IF(OR($AA392="",Screener!$B$10=""),0,IF($AA392=Screener!$B$10,1,0))</f>
        <v/>
      </c>
      <c r="AP392">
        <f>IF($G392="",0,MAX(0,1-(Screener!$B$12-$G392)/W_RECD))</f>
        <v/>
      </c>
      <c r="AQ392">
        <f>IF($B392=Screener!$B$3,-999999,W_SUB*AK392+W_SEC*AL392*(1-AK392)+W_SIZE*AM392+W_PROF*AN392+W_AH*AO392+W_REC*AP392)+ROW()/1000000</f>
        <v/>
      </c>
      <c r="AR392">
        <f>IF(OR('NEW DEAL'!$B$6="",$E392&lt;&gt;'NEW DEAL'!$B$6),-1,1+IF(OR($H392="",'NEW DEAL'!$B$7=""),0,MAX(0,1-ABS(LOG10($H392/'NEW DEAL'!$B$7))/W_SIZEHW)))+ROW()/1000000</f>
        <v/>
      </c>
    </row>
    <row r="393">
      <c r="A393" s="23" t="inlineStr">
        <is>
          <t>2408</t>
        </is>
      </c>
      <c r="B393" s="22" t="inlineStr">
        <is>
          <t>XIAO NOODLES</t>
        </is>
      </c>
      <c r="C393" s="22" t="inlineStr">
        <is>
          <t>廣州遇見小麵餐飲股份有限公司</t>
        </is>
      </c>
      <c r="D393" s="24" t="inlineStr">
        <is>
          <t>Consumer</t>
        </is>
      </c>
      <c r="E393" s="24" t="inlineStr">
        <is>
          <t>F&amp;B chains / restaurants</t>
        </is>
      </c>
      <c r="F393" s="22" t="inlineStr">
        <is>
          <t>Standard</t>
        </is>
      </c>
      <c r="G393" s="43" t="n">
        <v>45996</v>
      </c>
      <c r="H393" s="26" t="n">
        <v>685.4</v>
      </c>
      <c r="I393" s="22" t="inlineStr">
        <is>
          <t>gross (stated)</t>
        </is>
      </c>
      <c r="J393" s="27" t="n"/>
      <c r="K393" s="27" t="n">
        <v>7.04</v>
      </c>
      <c r="L393" s="44" t="n">
        <v>7.04</v>
      </c>
      <c r="M393" s="32" t="n"/>
      <c r="N393" s="29" t="inlineStr">
        <is>
          <t>Y</t>
        </is>
      </c>
      <c r="O393" s="26" t="n">
        <v>4796.4</v>
      </c>
      <c r="P393" s="46" t="n">
        <v>425.97</v>
      </c>
      <c r="Q393" s="31" t="n">
        <v>4.99</v>
      </c>
      <c r="R393" s="45" t="n">
        <v>-27.84</v>
      </c>
      <c r="S393" s="33" t="n">
        <v>24.95</v>
      </c>
      <c r="T393" s="28" t="n">
        <v>5</v>
      </c>
      <c r="U393" s="22" t="n"/>
      <c r="V393" s="29" t="inlineStr">
        <is>
          <t>Y</t>
        </is>
      </c>
      <c r="W393" s="34" t="n">
        <v>58.2</v>
      </c>
      <c r="X393" s="34" t="n">
        <v>3.8</v>
      </c>
      <c r="Y393" s="36" t="n">
        <v>1269.9</v>
      </c>
      <c r="Z393" s="36" t="n">
        <v>82.40000000000001</v>
      </c>
      <c r="AA393" s="22" t="n"/>
      <c r="AB393" s="22" t="n"/>
      <c r="AC393" s="22" t="inlineStr">
        <is>
          <t>and Sole Sponsor-Overall Coordinator CMB International Capital Limited</t>
        </is>
      </c>
      <c r="AD393" s="22" t="inlineStr">
        <is>
          <t>CMB International Capital Limited; CLSA Limited; SDIC Securities (Hong Kong) Limited; Futu Securities International (Hong Kong) Limited; BOCI Asia Limited; China Galaxy International Securities (Hong Kong) Co., Limited; Zhongtai International Securities Limited; Livermore Holdings Limited; ABCI Capital Limited; Tiger Brokers (HK) Global Limited</t>
        </is>
      </c>
      <c r="AE393" s="22" t="n"/>
      <c r="AK393">
        <f>IF(AND(Screener!$B$7&lt;&gt;"",$E393=Screener!$B$7),1,0)</f>
        <v/>
      </c>
      <c r="AL393">
        <f>IF(AND(Screener!$B$6&lt;&gt;"",$D393=Screener!$B$6),1,0)</f>
        <v/>
      </c>
      <c r="AM393">
        <f>IF(OR($H393="",Screener!$B$8=""),0,MAX(0,1-ABS(LOG10($H393/Screener!$B$8))/W_SIZEHW))</f>
        <v/>
      </c>
      <c r="AN393">
        <f>IF(OR($V393="",Screener!$B$9=""),0,IF($V393=Screener!$B$9,1,0))</f>
        <v/>
      </c>
      <c r="AO393">
        <f>IF(OR($AA393="",Screener!$B$10=""),0,IF($AA393=Screener!$B$10,1,0))</f>
        <v/>
      </c>
      <c r="AP393">
        <f>IF($G393="",0,MAX(0,1-(Screener!$B$12-$G393)/W_RECD))</f>
        <v/>
      </c>
      <c r="AQ393">
        <f>IF($B393=Screener!$B$3,-999999,W_SUB*AK393+W_SEC*AL393*(1-AK393)+W_SIZE*AM393+W_PROF*AN393+W_AH*AO393+W_REC*AP393)+ROW()/1000000</f>
        <v/>
      </c>
      <c r="AR393">
        <f>IF(OR('NEW DEAL'!$B$6="",$E393&lt;&gt;'NEW DEAL'!$B$6),-1,1+IF(OR($H393="",'NEW DEAL'!$B$7=""),0,MAX(0,1-ABS(LOG10($H393/'NEW DEAL'!$B$7))/W_SIZEHW)))+ROW()/1000000</f>
        <v/>
      </c>
    </row>
    <row r="394">
      <c r="A394" s="23" t="inlineStr">
        <is>
          <t>2658</t>
        </is>
      </c>
      <c r="B394" s="22" t="inlineStr">
        <is>
          <t>TIANYU SEMI</t>
        </is>
      </c>
      <c r="C394" s="22" t="n"/>
      <c r="D394" s="24" t="inlineStr">
        <is>
          <t>Tech/AI</t>
        </is>
      </c>
      <c r="E394" s="24" t="inlineStr">
        <is>
          <t>AI chips &amp; semis</t>
        </is>
      </c>
      <c r="F394" s="22" t="inlineStr">
        <is>
          <t>Standard</t>
        </is>
      </c>
      <c r="G394" s="43" t="n">
        <v>45996</v>
      </c>
      <c r="H394" s="26" t="n">
        <v>1744.1</v>
      </c>
      <c r="I394" s="22" t="inlineStr">
        <is>
          <t>gross (stated)</t>
        </is>
      </c>
      <c r="J394" s="27" t="n"/>
      <c r="K394" s="27" t="n">
        <v>58</v>
      </c>
      <c r="L394" s="44" t="n">
        <v>58</v>
      </c>
      <c r="M394" s="32" t="n"/>
      <c r="N394" s="29" t="inlineStr">
        <is>
          <t>Y</t>
        </is>
      </c>
      <c r="O394" s="36" t="n">
        <v>22810</v>
      </c>
      <c r="P394" s="46" t="n">
        <v>60.63</v>
      </c>
      <c r="Q394" s="31" t="n">
        <v>2.47</v>
      </c>
      <c r="R394" s="45" t="n">
        <v>-30.17</v>
      </c>
      <c r="S394" s="33" t="n">
        <v>9.26</v>
      </c>
      <c r="T394" s="32" t="n">
        <v>7.3537</v>
      </c>
      <c r="U394" s="22" t="n"/>
      <c r="V394" s="22" t="n"/>
      <c r="W394" s="31" t="n"/>
      <c r="X394" s="31" t="n"/>
      <c r="Y394" s="35" t="n"/>
      <c r="Z394" s="35" t="n"/>
      <c r="AA394" s="22" t="n"/>
      <c r="AB394" s="22" t="n"/>
      <c r="AC394" s="22" t="inlineStr">
        <is>
          <t>CITIC Securities (Hong Kong) Limited</t>
        </is>
      </c>
      <c r="AD394" s="22" t="inlineStr">
        <is>
          <t>CLSA Limited; China International Capital Corporation Hong Kong Securities Limited; GF Securities (Hong Kong) Brokerage Limited; CMB International Capital Limited; ABCI Capital Limited; Cheer Union Securities Limited; Sheung Wan, Hong Kong CNI Securities Group Limited; Futu Securities International (Hong Kong) Limited; ICBC International Securities Limited; Livermore Holdings Limited; Shenwan Hongyuan Securities (H.K.) Limited; Sinolink Securities (Hong Kong) Company Limited</t>
        </is>
      </c>
      <c r="AE394" s="22" t="n"/>
      <c r="AK394">
        <f>IF(AND(Screener!$B$7&lt;&gt;"",$E394=Screener!$B$7),1,0)</f>
        <v/>
      </c>
      <c r="AL394">
        <f>IF(AND(Screener!$B$6&lt;&gt;"",$D394=Screener!$B$6),1,0)</f>
        <v/>
      </c>
      <c r="AM394">
        <f>IF(OR($H394="",Screener!$B$8=""),0,MAX(0,1-ABS(LOG10($H394/Screener!$B$8))/W_SIZEHW))</f>
        <v/>
      </c>
      <c r="AN394">
        <f>IF(OR($V394="",Screener!$B$9=""),0,IF($V394=Screener!$B$9,1,0))</f>
        <v/>
      </c>
      <c r="AO394">
        <f>IF(OR($AA394="",Screener!$B$10=""),0,IF($AA394=Screener!$B$10,1,0))</f>
        <v/>
      </c>
      <c r="AP394">
        <f>IF($G394="",0,MAX(0,1-(Screener!$B$12-$G394)/W_RECD))</f>
        <v/>
      </c>
      <c r="AQ394">
        <f>IF($B394=Screener!$B$3,-999999,W_SUB*AK394+W_SEC*AL394*(1-AK394)+W_SIZE*AM394+W_PROF*AN394+W_AH*AO394+W_REC*AP394)+ROW()/1000000</f>
        <v/>
      </c>
      <c r="AR394">
        <f>IF(OR('NEW DEAL'!$B$6="",$E394&lt;&gt;'NEW DEAL'!$B$6),-1,1+IF(OR($H394="",'NEW DEAL'!$B$7=""),0,MAX(0,1-ABS(LOG10($H394/'NEW DEAL'!$B$7))/W_SIZEHW)))+ROW()/1000000</f>
        <v/>
      </c>
    </row>
    <row r="395">
      <c r="A395" s="23" t="inlineStr">
        <is>
          <t>2676</t>
        </is>
      </c>
      <c r="B395" s="22" t="inlineStr">
        <is>
          <t>NOVOSENSE</t>
        </is>
      </c>
      <c r="C395" s="22" t="n"/>
      <c r="D395" s="24" t="inlineStr">
        <is>
          <t>Tech/AI</t>
        </is>
      </c>
      <c r="E395" s="24" t="inlineStr">
        <is>
          <t>AI chips &amp; semis</t>
        </is>
      </c>
      <c r="F395" s="22" t="inlineStr">
        <is>
          <t>Standard</t>
        </is>
      </c>
      <c r="G395" s="43" t="n">
        <v>45999</v>
      </c>
      <c r="H395" s="26" t="n">
        <v>2211.9</v>
      </c>
      <c r="I395" s="22" t="inlineStr">
        <is>
          <t>gross (stated)</t>
        </is>
      </c>
      <c r="J395" s="27" t="n"/>
      <c r="K395" s="27" t="n">
        <v>116</v>
      </c>
      <c r="L395" s="44" t="n">
        <v>116</v>
      </c>
      <c r="M395" s="32" t="n"/>
      <c r="N395" s="29" t="inlineStr">
        <is>
          <t>Y</t>
        </is>
      </c>
      <c r="O395" s="26" t="n">
        <v>116415.8</v>
      </c>
      <c r="P395" s="46" t="n">
        <v>25.33</v>
      </c>
      <c r="Q395" s="31" t="n">
        <v>2.65</v>
      </c>
      <c r="R395" s="45" t="n">
        <v>-4.31</v>
      </c>
      <c r="S395" s="33" t="n">
        <v>49.23</v>
      </c>
      <c r="T395" s="32" t="n">
        <v>11.81</v>
      </c>
      <c r="U395" s="22" t="n"/>
      <c r="V395" s="29" t="inlineStr">
        <is>
          <t>N</t>
        </is>
      </c>
      <c r="W395" s="31" t="n"/>
      <c r="X395" s="34" t="n">
        <v>54</v>
      </c>
      <c r="Y395" s="36" t="n">
        <v>2156.3</v>
      </c>
      <c r="Z395" s="36" t="n">
        <v>-419.5</v>
      </c>
      <c r="AA395" s="22" t="inlineStr">
        <is>
          <t>Y</t>
        </is>
      </c>
      <c r="AB395" s="22" t="inlineStr">
        <is>
          <t>688052.SS</t>
        </is>
      </c>
      <c r="AC395" s="22" t="inlineStr">
        <is>
          <t>China International Capital Corporation Hong Kong Securities Limited; CITIC Securities (Hong Kong) Limited; CCB International Capital Limited</t>
        </is>
      </c>
      <c r="AD395" s="22" t="inlineStr">
        <is>
          <t>China International Capital Corporation Hong Kong Securities Limited; CLSA Limited; CCB International Capital Limited; DIRECTORS AND PARTIES INVOLVED IN THE GLOBAL OFFERING – 104 – ABCI Capital Limited; Soochow Securities International Brokerage Limited; Zheshang International Financial Holdings Co., Limited; Orient Securities (Hong Kong) Limited; Beta International Securities Limited; Sheung Wan, Hong Kong I Win Securities Limited</t>
        </is>
      </c>
      <c r="AE395" s="22" t="n"/>
      <c r="AK395">
        <f>IF(AND(Screener!$B$7&lt;&gt;"",$E395=Screener!$B$7),1,0)</f>
        <v/>
      </c>
      <c r="AL395">
        <f>IF(AND(Screener!$B$6&lt;&gt;"",$D395=Screener!$B$6),1,0)</f>
        <v/>
      </c>
      <c r="AM395">
        <f>IF(OR($H395="",Screener!$B$8=""),0,MAX(0,1-ABS(LOG10($H395/Screener!$B$8))/W_SIZEHW))</f>
        <v/>
      </c>
      <c r="AN395">
        <f>IF(OR($V395="",Screener!$B$9=""),0,IF($V395=Screener!$B$9,1,0))</f>
        <v/>
      </c>
      <c r="AO395">
        <f>IF(OR($AA395="",Screener!$B$10=""),0,IF($AA395=Screener!$B$10,1,0))</f>
        <v/>
      </c>
      <c r="AP395">
        <f>IF($G395="",0,MAX(0,1-(Screener!$B$12-$G395)/W_RECD))</f>
        <v/>
      </c>
      <c r="AQ395">
        <f>IF($B395=Screener!$B$3,-999999,W_SUB*AK395+W_SEC*AL395*(1-AK395)+W_SIZE*AM395+W_PROF*AN395+W_AH*AO395+W_REC*AP395)+ROW()/1000000</f>
        <v/>
      </c>
      <c r="AR395">
        <f>IF(OR('NEW DEAL'!$B$6="",$E395&lt;&gt;'NEW DEAL'!$B$6),-1,1+IF(OR($H395="",'NEW DEAL'!$B$7=""),0,MAX(0,1-ABS(LOG10($H395/'NEW DEAL'!$B$7))/W_SIZEHW)))+ROW()/1000000</f>
        <v/>
      </c>
    </row>
    <row r="396">
      <c r="A396" s="23" t="inlineStr">
        <is>
          <t>2687</t>
        </is>
      </c>
      <c r="B396" s="22" t="inlineStr">
        <is>
          <t>ABLE DIGITAL</t>
        </is>
      </c>
      <c r="C396" s="22" t="n"/>
      <c r="D396" s="24" t="inlineStr">
        <is>
          <t>Tech/AI</t>
        </is>
      </c>
      <c r="E396" s="24" t="inlineStr">
        <is>
          <t>SaaS / enterprise software</t>
        </is>
      </c>
      <c r="F396" s="22" t="inlineStr">
        <is>
          <t>Standard</t>
        </is>
      </c>
      <c r="G396" s="43" t="n">
        <v>45999</v>
      </c>
      <c r="H396" s="26" t="n">
        <v>450</v>
      </c>
      <c r="I396" s="22" t="inlineStr">
        <is>
          <t>gross (stated)</t>
        </is>
      </c>
      <c r="J396" s="27" t="n">
        <v>62.26</v>
      </c>
      <c r="K396" s="27" t="n">
        <v>76.09999999999999</v>
      </c>
      <c r="L396" s="44" t="n">
        <v>67.5</v>
      </c>
      <c r="M396" s="28" t="n">
        <v>37.9</v>
      </c>
      <c r="N396" s="29" t="inlineStr">
        <is>
          <t>N</t>
        </is>
      </c>
      <c r="O396" s="26" t="n">
        <v>4500</v>
      </c>
      <c r="P396" s="46" t="n">
        <v>4813.4</v>
      </c>
      <c r="Q396" s="31" t="n">
        <v>2.33</v>
      </c>
      <c r="R396" s="45" t="n">
        <v>87.26000000000001</v>
      </c>
      <c r="S396" s="33" t="n">
        <v>0</v>
      </c>
      <c r="T396" s="32" t="n"/>
      <c r="U396" s="22" t="n"/>
      <c r="V396" s="29" t="inlineStr">
        <is>
          <t>Y</t>
        </is>
      </c>
      <c r="W396" s="34" t="n">
        <v>38.4</v>
      </c>
      <c r="X396" s="34" t="n">
        <v>4.8</v>
      </c>
      <c r="Y396" s="36" t="n">
        <v>933</v>
      </c>
      <c r="Z396" s="36" t="n">
        <v>117.3</v>
      </c>
      <c r="AA396" s="22" t="n"/>
      <c r="AB396" s="22" t="n"/>
      <c r="AC396" s="22" t="n"/>
      <c r="AD396" s="22" t="n"/>
      <c r="AE396" s="22" t="n"/>
      <c r="AK396">
        <f>IF(AND(Screener!$B$7&lt;&gt;"",$E396=Screener!$B$7),1,0)</f>
        <v/>
      </c>
      <c r="AL396">
        <f>IF(AND(Screener!$B$6&lt;&gt;"",$D396=Screener!$B$6),1,0)</f>
        <v/>
      </c>
      <c r="AM396">
        <f>IF(OR($H396="",Screener!$B$8=""),0,MAX(0,1-ABS(LOG10($H396/Screener!$B$8))/W_SIZEHW))</f>
        <v/>
      </c>
      <c r="AN396">
        <f>IF(OR($V396="",Screener!$B$9=""),0,IF($V396=Screener!$B$9,1,0))</f>
        <v/>
      </c>
      <c r="AO396">
        <f>IF(OR($AA396="",Screener!$B$10=""),0,IF($AA396=Screener!$B$10,1,0))</f>
        <v/>
      </c>
      <c r="AP396">
        <f>IF($G396="",0,MAX(0,1-(Screener!$B$12-$G396)/W_RECD))</f>
        <v/>
      </c>
      <c r="AQ396">
        <f>IF($B396=Screener!$B$3,-999999,W_SUB*AK396+W_SEC*AL396*(1-AK396)+W_SIZE*AM396+W_PROF*AN396+W_AH*AO396+W_REC*AP396)+ROW()/1000000</f>
        <v/>
      </c>
      <c r="AR396">
        <f>IF(OR('NEW DEAL'!$B$6="",$E396&lt;&gt;'NEW DEAL'!$B$6),-1,1+IF(OR($H396="",'NEW DEAL'!$B$7=""),0,MAX(0,1-ABS(LOG10($H396/'NEW DEAL'!$B$7))/W_SIZEHW)))+ROW()/1000000</f>
        <v/>
      </c>
    </row>
    <row r="397">
      <c r="A397" s="23" t="inlineStr">
        <is>
          <t>2659</t>
        </is>
      </c>
      <c r="B397" s="22" t="inlineStr">
        <is>
          <t>BAO PHARMA-B</t>
        </is>
      </c>
      <c r="C397" s="22" t="inlineStr">
        <is>
          <t>上海寶濟藥業股份有限公司</t>
        </is>
      </c>
      <c r="D397" s="24" t="inlineStr">
        <is>
          <t>Healthcare</t>
        </is>
      </c>
      <c r="E397" s="24" t="inlineStr">
        <is>
          <t>Biotech pre-revenue (18A)</t>
        </is>
      </c>
      <c r="F397" s="38" t="inlineStr">
        <is>
          <t>18A</t>
        </is>
      </c>
      <c r="G397" s="43" t="n">
        <v>46001</v>
      </c>
      <c r="H397" s="26" t="n">
        <v>1000.1</v>
      </c>
      <c r="I397" s="22" t="inlineStr">
        <is>
          <t>gross (stated)</t>
        </is>
      </c>
      <c r="J397" s="27" t="n"/>
      <c r="K397" s="27" t="n">
        <v>26.38</v>
      </c>
      <c r="L397" s="44" t="n">
        <v>26.38</v>
      </c>
      <c r="M397" s="32" t="n"/>
      <c r="N397" s="29" t="inlineStr">
        <is>
          <t>Y</t>
        </is>
      </c>
      <c r="O397" s="26" t="n">
        <v>8599.4</v>
      </c>
      <c r="P397" s="46" t="n">
        <v>3526.34</v>
      </c>
      <c r="Q397" s="31" t="n">
        <v>6.59</v>
      </c>
      <c r="R397" s="45" t="n">
        <v>138.82</v>
      </c>
      <c r="S397" s="42" t="n">
        <v>20.1</v>
      </c>
      <c r="T397" s="32" t="n">
        <v>15</v>
      </c>
      <c r="U397" s="22" t="n"/>
      <c r="V397" s="29" t="inlineStr">
        <is>
          <t>N</t>
        </is>
      </c>
      <c r="W397" s="31" t="n"/>
      <c r="X397" s="34" t="n">
        <v>5374.6</v>
      </c>
      <c r="Y397" s="36" t="n">
        <v>1.6</v>
      </c>
      <c r="Z397" s="36" t="n">
        <v>-184</v>
      </c>
      <c r="AA397" s="22" t="n"/>
      <c r="AB397" s="22" t="n"/>
      <c r="AC397" s="22" t="inlineStr">
        <is>
          <t>CITIC Securities (Hong Kong) Limited; Haitong International Capital Limited</t>
        </is>
      </c>
      <c r="AD397" s="22" t="inlineStr">
        <is>
          <t>CLSA Limited; Haitong International Securities Company Limited; West Bull Securities Limited; BOCOM International Securities Limited; CCB International Capital Limited; Central, Hong Kong Guoyuan Securities Brokerage (Hong Kong) Limited; Phillip Securities (Hong Kong) Limited; SDIC Securities (Hong Kong) Limited; Shenwan Hongyuan Securities (H.K.) Limited; SPDB International Capital Limited; Valuable Capital Limited</t>
        </is>
      </c>
      <c r="AE397" s="22" t="n"/>
      <c r="AK397">
        <f>IF(AND(Screener!$B$7&lt;&gt;"",$E397=Screener!$B$7),1,0)</f>
        <v/>
      </c>
      <c r="AL397">
        <f>IF(AND(Screener!$B$6&lt;&gt;"",$D397=Screener!$B$6),1,0)</f>
        <v/>
      </c>
      <c r="AM397">
        <f>IF(OR($H397="",Screener!$B$8=""),0,MAX(0,1-ABS(LOG10($H397/Screener!$B$8))/W_SIZEHW))</f>
        <v/>
      </c>
      <c r="AN397">
        <f>IF(OR($V397="",Screener!$B$9=""),0,IF($V397=Screener!$B$9,1,0))</f>
        <v/>
      </c>
      <c r="AO397">
        <f>IF(OR($AA397="",Screener!$B$10=""),0,IF($AA397=Screener!$B$10,1,0))</f>
        <v/>
      </c>
      <c r="AP397">
        <f>IF($G397="",0,MAX(0,1-(Screener!$B$12-$G397)/W_RECD))</f>
        <v/>
      </c>
      <c r="AQ397">
        <f>IF($B397=Screener!$B$3,-999999,W_SUB*AK397+W_SEC*AL397*(1-AK397)+W_SIZE*AM397+W_PROF*AN397+W_AH*AO397+W_REC*AP397)+ROW()/1000000</f>
        <v/>
      </c>
      <c r="AR397">
        <f>IF(OR('NEW DEAL'!$B$6="",$E397&lt;&gt;'NEW DEAL'!$B$6),-1,1+IF(OR($H397="",'NEW DEAL'!$B$7=""),0,MAX(0,1-ABS(LOG10($H397/'NEW DEAL'!$B$7))/W_SIZEHW)))+ROW()/1000000</f>
        <v/>
      </c>
    </row>
    <row r="398">
      <c r="A398" s="23" t="inlineStr">
        <is>
          <t>7618</t>
        </is>
      </c>
      <c r="B398" s="22" t="inlineStr">
        <is>
          <t>JD INDUSTRIALS</t>
        </is>
      </c>
      <c r="C398" s="22" t="n"/>
      <c r="D398" s="24" t="inlineStr">
        <is>
          <t>Tech/AI</t>
        </is>
      </c>
      <c r="E398" s="24" t="inlineStr">
        <is>
          <t>Internet platform / e-commerce</t>
        </is>
      </c>
      <c r="F398" s="22" t="inlineStr">
        <is>
          <t>Standard</t>
        </is>
      </c>
      <c r="G398" s="43" t="n">
        <v>46002</v>
      </c>
      <c r="H398" s="26" t="n">
        <v>2978</v>
      </c>
      <c r="I398" s="22" t="inlineStr">
        <is>
          <t>gross (stated)</t>
        </is>
      </c>
      <c r="J398" s="27" t="n"/>
      <c r="K398" s="27" t="n">
        <v>15.5</v>
      </c>
      <c r="L398" s="44" t="n">
        <v>14.1</v>
      </c>
      <c r="M398" s="32" t="n"/>
      <c r="N398" s="29" t="inlineStr">
        <is>
          <t>N</t>
        </is>
      </c>
      <c r="O398" s="36" t="n">
        <v>4000</v>
      </c>
      <c r="P398" s="46" t="n">
        <v>60.52</v>
      </c>
      <c r="Q398" s="31" t="n">
        <v>7.88</v>
      </c>
      <c r="R398" s="45" t="n">
        <v>0</v>
      </c>
      <c r="S398" s="33" t="n">
        <v>44.45</v>
      </c>
      <c r="T398" s="32" t="n">
        <v>8.93</v>
      </c>
      <c r="U398" s="22" t="n"/>
      <c r="V398" s="22" t="n"/>
      <c r="W398" s="31" t="n"/>
      <c r="X398" s="34" t="n">
        <v>0.2</v>
      </c>
      <c r="Y398" s="36" t="n">
        <v>22437.5</v>
      </c>
      <c r="Z398" s="35" t="n"/>
      <c r="AA398" s="22" t="n"/>
      <c r="AB398" s="22" t="n"/>
      <c r="AC398" s="22" t="inlineStr">
        <is>
          <t>Merrill Lynch (Asia Pacific) Limited; UBS Securities Hong Kong Limited; Haitong International Capital Limited; Goldman Sachs (Asia) L.L.C</t>
        </is>
      </c>
      <c r="AD398" s="22" t="inlineStr">
        <is>
          <t>Merrill Lynch (Asia Pacific) Limited; UBS AG Hong Kong Branch; Goldman Sachs (Asia) L.L.C; Huatai Financial Holdings (Hong Kong) Limited; ABCI Capital Limited; Central, Hong Kong BOCI Asia Limited; Central, Hong Kong CLSA Limited; CMBC Securities Company Limited; Central, Hong Kong Futu Securities International (Hong Kong) Limited; Orient Securities (Hong Kong) Limited; Haitong International Securities Company Limited; DIRECTORS AND PARTIES INVOLVED IN THE GLOBAL OFFERING CLSA Limited</t>
        </is>
      </c>
      <c r="AE398" s="22" t="n"/>
      <c r="AK398">
        <f>IF(AND(Screener!$B$7&lt;&gt;"",$E398=Screener!$B$7),1,0)</f>
        <v/>
      </c>
      <c r="AL398">
        <f>IF(AND(Screener!$B$6&lt;&gt;"",$D398=Screener!$B$6),1,0)</f>
        <v/>
      </c>
      <c r="AM398">
        <f>IF(OR($H398="",Screener!$B$8=""),0,MAX(0,1-ABS(LOG10($H398/Screener!$B$8))/W_SIZEHW))</f>
        <v/>
      </c>
      <c r="AN398">
        <f>IF(OR($V398="",Screener!$B$9=""),0,IF($V398=Screener!$B$9,1,0))</f>
        <v/>
      </c>
      <c r="AO398">
        <f>IF(OR($AA398="",Screener!$B$10=""),0,IF($AA398=Screener!$B$10,1,0))</f>
        <v/>
      </c>
      <c r="AP398">
        <f>IF($G398="",0,MAX(0,1-(Screener!$B$12-$G398)/W_RECD))</f>
        <v/>
      </c>
      <c r="AQ398">
        <f>IF($B398=Screener!$B$3,-999999,W_SUB*AK398+W_SEC*AL398*(1-AK398)+W_SIZE*AM398+W_PROF*AN398+W_AH*AO398+W_REC*AP398)+ROW()/1000000</f>
        <v/>
      </c>
      <c r="AR398">
        <f>IF(OR('NEW DEAL'!$B$6="",$E398&lt;&gt;'NEW DEAL'!$B$6),-1,1+IF(OR($H398="",'NEW DEAL'!$B$7=""),0,MAX(0,1-ABS(LOG10($H398/'NEW DEAL'!$B$7))/W_SIZEHW)))+ROW()/1000000</f>
        <v/>
      </c>
    </row>
    <row r="399">
      <c r="A399" s="23" t="inlineStr">
        <is>
          <t>2655</t>
        </is>
      </c>
      <c r="B399" s="22" t="inlineStr">
        <is>
          <t>GUOXIA TECH</t>
        </is>
      </c>
      <c r="C399" s="22" t="inlineStr">
        <is>
          <t>果下科技股份有限公司</t>
        </is>
      </c>
      <c r="D399" s="24" t="inlineStr">
        <is>
          <t>Tech/AI</t>
        </is>
      </c>
      <c r="E399" s="24" t="inlineStr">
        <is>
          <t>SaaS / enterprise software</t>
        </is>
      </c>
      <c r="F399" s="22" t="inlineStr">
        <is>
          <t>Standard</t>
        </is>
      </c>
      <c r="G399" s="43" t="n">
        <v>46007</v>
      </c>
      <c r="H399" s="26" t="n">
        <v>782.51</v>
      </c>
      <c r="I399" s="22" t="inlineStr">
        <is>
          <t>gross (stated)</t>
        </is>
      </c>
      <c r="J399" s="27" t="n"/>
      <c r="K399" s="27" t="n">
        <v>20.1</v>
      </c>
      <c r="L399" s="44" t="n">
        <v>20.1</v>
      </c>
      <c r="M399" s="32" t="n"/>
      <c r="N399" s="29" t="inlineStr">
        <is>
          <t>Y</t>
        </is>
      </c>
      <c r="O399" s="26" t="n">
        <v>9099</v>
      </c>
      <c r="P399" s="46" t="n">
        <v>1890.73</v>
      </c>
      <c r="Q399" s="31" t="n">
        <v>3.63</v>
      </c>
      <c r="R399" s="45" t="n">
        <v>117.91</v>
      </c>
      <c r="S399" s="33" t="n">
        <v>10.9</v>
      </c>
      <c r="T399" s="32" t="n">
        <v>15</v>
      </c>
      <c r="U399" s="22" t="n"/>
      <c r="V399" s="29" t="inlineStr">
        <is>
          <t>Y</t>
        </is>
      </c>
      <c r="W399" s="34" t="n">
        <v>260</v>
      </c>
      <c r="X399" s="34" t="n">
        <v>8.1</v>
      </c>
      <c r="Y399" s="36" t="n">
        <v>1128.2</v>
      </c>
      <c r="Z399" s="36" t="n">
        <v>35</v>
      </c>
      <c r="AA399" s="22" t="n"/>
      <c r="AB399" s="22" t="n"/>
      <c r="AC399" s="22" t="inlineStr">
        <is>
          <t>China Everbright Capital Limited</t>
        </is>
      </c>
      <c r="AD399" s="22" t="inlineStr">
        <is>
          <t>ABCI Capital Limited; Managers Yellow River Securities Limited; Wanchai, Hong Kong West Bull Securities Limited; BOCI Asia Limited; ICBC International Securities Limited; Yue Xiu Securities Company Limited; Wanchai, Hong Kong Shenwan Hongyuan Securities (H.K.) Limited; CMB International Capital Limited; CMBC Securities Company Limited; CCB International Capital Limited; Caitong International Securities Co., Limited; Futu Securities International (Hong Kong) Limited</t>
        </is>
      </c>
      <c r="AE399" s="22" t="n"/>
      <c r="AK399">
        <f>IF(AND(Screener!$B$7&lt;&gt;"",$E399=Screener!$B$7),1,0)</f>
        <v/>
      </c>
      <c r="AL399">
        <f>IF(AND(Screener!$B$6&lt;&gt;"",$D399=Screener!$B$6),1,0)</f>
        <v/>
      </c>
      <c r="AM399">
        <f>IF(OR($H399="",Screener!$B$8=""),0,MAX(0,1-ABS(LOG10($H399/Screener!$B$8))/W_SIZEHW))</f>
        <v/>
      </c>
      <c r="AN399">
        <f>IF(OR($V399="",Screener!$B$9=""),0,IF($V399=Screener!$B$9,1,0))</f>
        <v/>
      </c>
      <c r="AO399">
        <f>IF(OR($AA399="",Screener!$B$10=""),0,IF($AA399=Screener!$B$10,1,0))</f>
        <v/>
      </c>
      <c r="AP399">
        <f>IF($G399="",0,MAX(0,1-(Screener!$B$12-$G399)/W_RECD))</f>
        <v/>
      </c>
      <c r="AQ399">
        <f>IF($B399=Screener!$B$3,-999999,W_SUB*AK399+W_SEC*AL399*(1-AK399)+W_SIZE*AM399+W_PROF*AN399+W_AH*AO399+W_REC*AP399)+ROW()/1000000</f>
        <v/>
      </c>
      <c r="AR399">
        <f>IF(OR('NEW DEAL'!$B$6="",$E399&lt;&gt;'NEW DEAL'!$B$6),-1,1+IF(OR($H399="",'NEW DEAL'!$B$7=""),0,MAX(0,1-ABS(LOG10($H399/'NEW DEAL'!$B$7))/W_SIZEHW)))+ROW()/1000000</f>
        <v/>
      </c>
    </row>
    <row r="400">
      <c r="A400" s="23" t="inlineStr">
        <is>
          <t>3887</t>
        </is>
      </c>
      <c r="B400" s="22" t="inlineStr">
        <is>
          <t>HASHKEY HLDGS</t>
        </is>
      </c>
      <c r="C400" s="22" t="n"/>
      <c r="D400" s="24" t="inlineStr">
        <is>
          <t>Tech/AI</t>
        </is>
      </c>
      <c r="E400" s="24" t="inlineStr">
        <is>
          <t>Fintech platform</t>
        </is>
      </c>
      <c r="F400" s="22" t="inlineStr">
        <is>
          <t>Standard</t>
        </is>
      </c>
      <c r="G400" s="43" t="n">
        <v>46008</v>
      </c>
      <c r="H400" s="26" t="n">
        <v>1607</v>
      </c>
      <c r="I400" s="22" t="inlineStr">
        <is>
          <t>gross (price x shares)</t>
        </is>
      </c>
      <c r="J400" s="27" t="n"/>
      <c r="K400" s="27" t="n">
        <v>6.95</v>
      </c>
      <c r="L400" s="44" t="n">
        <v>6.68</v>
      </c>
      <c r="M400" s="32" t="n"/>
      <c r="N400" s="29" t="inlineStr">
        <is>
          <t>N</t>
        </is>
      </c>
      <c r="O400" s="26" t="n">
        <v>12856</v>
      </c>
      <c r="P400" s="46" t="n">
        <v>393.71</v>
      </c>
      <c r="Q400" s="31" t="n">
        <v>5.46</v>
      </c>
      <c r="R400" s="45" t="n">
        <v>-0.15</v>
      </c>
      <c r="S400" s="33" t="n">
        <v>39.43</v>
      </c>
      <c r="T400" s="28" t="n">
        <v>15</v>
      </c>
      <c r="U400" s="22" t="n"/>
      <c r="V400" s="29" t="inlineStr">
        <is>
          <t>N</t>
        </is>
      </c>
      <c r="W400" s="31" t="n"/>
      <c r="X400" s="34" t="n">
        <v>17.8</v>
      </c>
      <c r="Y400" s="36" t="n">
        <v>720.7</v>
      </c>
      <c r="Z400" s="36" t="n">
        <v>-1189.6</v>
      </c>
      <c r="AA400" s="22" t="n"/>
      <c r="AB400" s="22" t="n"/>
      <c r="AC400" s="22" t="inlineStr">
        <is>
          <t>J.P. Morgan Securities (Far East) Limited; Guotai Junan Capital Limited</t>
        </is>
      </c>
      <c r="AD400" s="22" t="inlineStr">
        <is>
          <t>Managers ( in alphabetical order ) CMB International Capital Limited; Tiger Brokers (HK) Global Limited; Victory Securities Company Limited</t>
        </is>
      </c>
      <c r="AE400" s="22" t="n"/>
      <c r="AK400">
        <f>IF(AND(Screener!$B$7&lt;&gt;"",$E400=Screener!$B$7),1,0)</f>
        <v/>
      </c>
      <c r="AL400">
        <f>IF(AND(Screener!$B$6&lt;&gt;"",$D400=Screener!$B$6),1,0)</f>
        <v/>
      </c>
      <c r="AM400">
        <f>IF(OR($H400="",Screener!$B$8=""),0,MAX(0,1-ABS(LOG10($H400/Screener!$B$8))/W_SIZEHW))</f>
        <v/>
      </c>
      <c r="AN400">
        <f>IF(OR($V400="",Screener!$B$9=""),0,IF($V400=Screener!$B$9,1,0))</f>
        <v/>
      </c>
      <c r="AO400">
        <f>IF(OR($AA400="",Screener!$B$10=""),0,IF($AA400=Screener!$B$10,1,0))</f>
        <v/>
      </c>
      <c r="AP400">
        <f>IF($G400="",0,MAX(0,1-(Screener!$B$12-$G400)/W_RECD))</f>
        <v/>
      </c>
      <c r="AQ400">
        <f>IF($B400=Screener!$B$3,-999999,W_SUB*AK400+W_SEC*AL400*(1-AK400)+W_SIZE*AM400+W_PROF*AN400+W_AH*AO400+W_REC*AP400)+ROW()/1000000</f>
        <v/>
      </c>
      <c r="AR400">
        <f>IF(OR('NEW DEAL'!$B$6="",$E400&lt;&gt;'NEW DEAL'!$B$6),-1,1+IF(OR($H400="",'NEW DEAL'!$B$7=""),0,MAX(0,1-ABS(LOG10($H400/'NEW DEAL'!$B$7))/W_SIZEHW)))+ROW()/1000000</f>
        <v/>
      </c>
    </row>
    <row r="401">
      <c r="A401" s="23" t="inlineStr">
        <is>
          <t>2546</t>
        </is>
      </c>
      <c r="B401" s="22" t="inlineStr">
        <is>
          <t>ZHIHUI MINING</t>
        </is>
      </c>
      <c r="C401" s="22" t="n"/>
      <c r="D401" s="24" t="inlineStr">
        <is>
          <t>Materials/Energy</t>
        </is>
      </c>
      <c r="E401" s="24" t="inlineStr">
        <is>
          <t>Mining / metals</t>
        </is>
      </c>
      <c r="F401" s="22" t="inlineStr">
        <is>
          <t>Standard</t>
        </is>
      </c>
      <c r="G401" s="39" t="n">
        <v>46010</v>
      </c>
      <c r="H401" s="26" t="n">
        <v>550</v>
      </c>
      <c r="I401" s="22" t="inlineStr">
        <is>
          <t>gross (stated)</t>
        </is>
      </c>
      <c r="J401" s="27" t="n"/>
      <c r="K401" s="27" t="n">
        <v>4.51</v>
      </c>
      <c r="L401" s="44" t="n">
        <v>4.51</v>
      </c>
      <c r="M401" s="32" t="n"/>
      <c r="N401" s="29" t="inlineStr">
        <is>
          <t>Y</t>
        </is>
      </c>
      <c r="O401" s="26" t="n">
        <v>2200</v>
      </c>
      <c r="P401" s="46" t="n">
        <v>5248.15</v>
      </c>
      <c r="Q401" s="31" t="n">
        <v>2.68</v>
      </c>
      <c r="R401" s="45" t="n">
        <v>90.69</v>
      </c>
      <c r="S401" s="33" t="n">
        <v>40.78</v>
      </c>
      <c r="T401" s="32" t="n"/>
      <c r="U401" s="22" t="n"/>
      <c r="V401" s="29" t="inlineStr">
        <is>
          <t>Y</t>
        </is>
      </c>
      <c r="W401" s="34" t="n">
        <v>31.8</v>
      </c>
      <c r="X401" s="34" t="n">
        <v>6.6</v>
      </c>
      <c r="Y401" s="36" t="n">
        <v>331.6</v>
      </c>
      <c r="Z401" s="36" t="n">
        <v>69.09999999999999</v>
      </c>
      <c r="AA401" s="22" t="n"/>
      <c r="AB401" s="22" t="n"/>
      <c r="AC401" s="22" t="inlineStr">
        <is>
          <t>Sinolink Securities (Hong Kong) Company Limited; Maxa Capital Limited</t>
        </is>
      </c>
      <c r="AD401" s="22" t="inlineStr">
        <is>
          <t>Joint Lead Managers Sinolink Securities (Hong Kong) Company Limited; Maxa Capital Limited; Managers ABCI Capital Limited; ABCI Securities Company Limited</t>
        </is>
      </c>
      <c r="AE401" s="22" t="n"/>
      <c r="AK401">
        <f>IF(AND(Screener!$B$7&lt;&gt;"",$E401=Screener!$B$7),1,0)</f>
        <v/>
      </c>
      <c r="AL401">
        <f>IF(AND(Screener!$B$6&lt;&gt;"",$D401=Screener!$B$6),1,0)</f>
        <v/>
      </c>
      <c r="AM401">
        <f>IF(OR($H401="",Screener!$B$8=""),0,MAX(0,1-ABS(LOG10($H401/Screener!$B$8))/W_SIZEHW))</f>
        <v/>
      </c>
      <c r="AN401">
        <f>IF(OR($V401="",Screener!$B$9=""),0,IF($V401=Screener!$B$9,1,0))</f>
        <v/>
      </c>
      <c r="AO401">
        <f>IF(OR($AA401="",Screener!$B$10=""),0,IF($AA401=Screener!$B$10,1,0))</f>
        <v/>
      </c>
      <c r="AP401">
        <f>IF($G401="",0,MAX(0,1-(Screener!$B$12-$G401)/W_RECD))</f>
        <v/>
      </c>
      <c r="AQ401">
        <f>IF($B401=Screener!$B$3,-999999,W_SUB*AK401+W_SEC*AL401*(1-AK401)+W_SIZE*AM401+W_PROF*AN401+W_AH*AO401+W_REC*AP401)+ROW()/1000000</f>
        <v/>
      </c>
      <c r="AR401">
        <f>IF(OR('NEW DEAL'!$B$6="",$E401&lt;&gt;'NEW DEAL'!$B$6),-1,1+IF(OR($H401="",'NEW DEAL'!$B$7=""),0,MAX(0,1-ABS(LOG10($H401/'NEW DEAL'!$B$7))/W_SIZEHW)))+ROW()/1000000</f>
        <v/>
      </c>
    </row>
    <row r="402">
      <c r="A402" s="23" t="inlineStr">
        <is>
          <t>3881</t>
        </is>
      </c>
      <c r="B402" s="22" t="inlineStr">
        <is>
          <t>CIDI</t>
        </is>
      </c>
      <c r="C402" s="22" t="inlineStr">
        <is>
          <t>希迪智駕科技股份有限公司</t>
        </is>
      </c>
      <c r="D402" s="24" t="inlineStr">
        <is>
          <t>Tech/AI</t>
        </is>
      </c>
      <c r="E402" s="24" t="inlineStr">
        <is>
          <t>Robotics &amp; autonomous driving</t>
        </is>
      </c>
      <c r="F402" s="22" t="inlineStr">
        <is>
          <t>Standard</t>
        </is>
      </c>
      <c r="G402" s="39" t="n">
        <v>46010</v>
      </c>
      <c r="H402" s="26" t="n">
        <v>1422.3</v>
      </c>
      <c r="I402" s="22" t="inlineStr">
        <is>
          <t>gross (stated)</t>
        </is>
      </c>
      <c r="J402" s="27" t="n"/>
      <c r="K402" s="27" t="n">
        <v>263</v>
      </c>
      <c r="L402" s="44" t="n">
        <v>263</v>
      </c>
      <c r="M402" s="32" t="n"/>
      <c r="N402" s="29" t="inlineStr">
        <is>
          <t>Y</t>
        </is>
      </c>
      <c r="O402" s="36" t="n">
        <v>11516.6</v>
      </c>
      <c r="P402" s="46" t="n">
        <v>22.55</v>
      </c>
      <c r="Q402" s="31" t="n">
        <v>2.1</v>
      </c>
      <c r="R402" s="47" t="n">
        <v>763.12</v>
      </c>
      <c r="S402" s="33" t="n">
        <v>38.39</v>
      </c>
      <c r="T402" s="32" t="n">
        <v>8</v>
      </c>
      <c r="U402" s="22" t="n"/>
      <c r="V402" s="22" t="n"/>
      <c r="W402" s="31" t="n"/>
      <c r="X402" s="34" t="n">
        <v>25.5</v>
      </c>
      <c r="Y402" s="36" t="n">
        <v>451</v>
      </c>
      <c r="Z402" s="35" t="n"/>
      <c r="AA402" s="22" t="n"/>
      <c r="AB402" s="22" t="n"/>
      <c r="AC402" s="22" t="inlineStr">
        <is>
          <t>China International Capital Corporation Hong Kong Securities Limited; Central, Hong Kong China Securities (International) Corporate Finance Company Limited; Central, Hong Kong Ping An of China Capital (Hong Kong) Company Limited</t>
        </is>
      </c>
      <c r="AD402" s="22" t="inlineStr">
        <is>
          <t>China International Capital Corporation Hong Kong Securities Limited; Central, Hong Kong China Securities (International) Corporate Finance Company Limited; Central, Hong Kong Ping An Securities (Hong Kong) Company Limited; Finance Company Limited; ABCI Capital Limited; Funde Securities Limited; Guosen Securities (HK) Brokerage Company, Limited; ICBC International Securities Limited; China Everbright Securities (HK) Limited; Livermore Holdings Limited; Shenwan Hongyuan Securities (H.K.) Limited; Tiger Brokers (HK) Global Limited</t>
        </is>
      </c>
      <c r="AE402" s="22" t="n"/>
      <c r="AK402">
        <f>IF(AND(Screener!$B$7&lt;&gt;"",$E402=Screener!$B$7),1,0)</f>
        <v/>
      </c>
      <c r="AL402">
        <f>IF(AND(Screener!$B$6&lt;&gt;"",$D402=Screener!$B$6),1,0)</f>
        <v/>
      </c>
      <c r="AM402">
        <f>IF(OR($H402="",Screener!$B$8=""),0,MAX(0,1-ABS(LOG10($H402/Screener!$B$8))/W_SIZEHW))</f>
        <v/>
      </c>
      <c r="AN402">
        <f>IF(OR($V402="",Screener!$B$9=""),0,IF($V402=Screener!$B$9,1,0))</f>
        <v/>
      </c>
      <c r="AO402">
        <f>IF(OR($AA402="",Screener!$B$10=""),0,IF($AA402=Screener!$B$10,1,0))</f>
        <v/>
      </c>
      <c r="AP402">
        <f>IF($G402="",0,MAX(0,1-(Screener!$B$12-$G402)/W_RECD))</f>
        <v/>
      </c>
      <c r="AQ402">
        <f>IF($B402=Screener!$B$3,-999999,W_SUB*AK402+W_SEC*AL402*(1-AK402)+W_SIZE*AM402+W_PROF*AN402+W_AH*AO402+W_REC*AP402)+ROW()/1000000</f>
        <v/>
      </c>
      <c r="AR402">
        <f>IF(OR('NEW DEAL'!$B$6="",$E402&lt;&gt;'NEW DEAL'!$B$6),-1,1+IF(OR($H402="",'NEW DEAL'!$B$7=""),0,MAX(0,1-ABS(LOG10($H402/'NEW DEAL'!$B$7))/W_SIZEHW)))+ROW()/1000000</f>
        <v/>
      </c>
    </row>
    <row r="403">
      <c r="A403" s="23" t="inlineStr">
        <is>
          <t>2695</t>
        </is>
      </c>
      <c r="B403" s="22" t="inlineStr">
        <is>
          <t>IMPRESSION DHP</t>
        </is>
      </c>
      <c r="C403" s="22" t="n"/>
      <c r="D403" s="24" t="inlineStr">
        <is>
          <t>TMT-other</t>
        </is>
      </c>
      <c r="E403" s="24" t="inlineStr">
        <is>
          <t>Media / advertising</t>
        </is>
      </c>
      <c r="F403" s="22" t="inlineStr">
        <is>
          <t>Standard</t>
        </is>
      </c>
      <c r="G403" s="39" t="n">
        <v>46013</v>
      </c>
      <c r="H403" s="26" t="n">
        <v>129.96</v>
      </c>
      <c r="I403" s="22" t="inlineStr">
        <is>
          <t>gross (stated)</t>
        </is>
      </c>
      <c r="J403" s="27" t="n"/>
      <c r="K403" s="27" t="n">
        <v>4.1</v>
      </c>
      <c r="L403" s="44" t="n">
        <v>3.6</v>
      </c>
      <c r="M403" s="32" t="n"/>
      <c r="N403" s="29" t="inlineStr">
        <is>
          <t>N</t>
        </is>
      </c>
      <c r="O403" s="26" t="n">
        <v>519</v>
      </c>
      <c r="P403" s="46" t="n">
        <v>3397.48</v>
      </c>
      <c r="Q403" s="31" t="n">
        <v>1.91</v>
      </c>
      <c r="R403" s="45" t="n">
        <v>-35.28</v>
      </c>
      <c r="S403" s="33" t="n">
        <v>0</v>
      </c>
      <c r="T403" s="32" t="n">
        <v>11.4</v>
      </c>
      <c r="U403" s="22" t="inlineStr">
        <is>
          <t>not-yet (at allotment)</t>
        </is>
      </c>
      <c r="V403" s="22" t="n"/>
      <c r="W403" s="31" t="n"/>
      <c r="X403" s="34" t="n">
        <v>3.4</v>
      </c>
      <c r="Y403" s="36" t="n">
        <v>150.9</v>
      </c>
      <c r="Z403" s="35" t="n"/>
      <c r="AA403" s="22" t="n"/>
      <c r="AB403" s="22" t="n"/>
      <c r="AC403" s="22" t="inlineStr">
        <is>
          <t>China Industrial Securities International Capital Limited; Halcyon Capital Limited</t>
        </is>
      </c>
      <c r="AD403" s="22" t="inlineStr">
        <is>
          <t>China Industrial Securities International Capital Limited; Halcyon Securities Limited; Managers China Industrial Securities International Capital Limited; DIRECTORS AND PARTIES INVOLVED IN THE GLOBAL OFFERING −8 3− Halcyon Securities Limited; ABCI Capital Limited; ABCI Securities Company Limited</t>
        </is>
      </c>
      <c r="AE403" s="22" t="n"/>
      <c r="AK403">
        <f>IF(AND(Screener!$B$7&lt;&gt;"",$E403=Screener!$B$7),1,0)</f>
        <v/>
      </c>
      <c r="AL403">
        <f>IF(AND(Screener!$B$6&lt;&gt;"",$D403=Screener!$B$6),1,0)</f>
        <v/>
      </c>
      <c r="AM403">
        <f>IF(OR($H403="",Screener!$B$8=""),0,MAX(0,1-ABS(LOG10($H403/Screener!$B$8))/W_SIZEHW))</f>
        <v/>
      </c>
      <c r="AN403">
        <f>IF(OR($V403="",Screener!$B$9=""),0,IF($V403=Screener!$B$9,1,0))</f>
        <v/>
      </c>
      <c r="AO403">
        <f>IF(OR($AA403="",Screener!$B$10=""),0,IF($AA403=Screener!$B$10,1,0))</f>
        <v/>
      </c>
      <c r="AP403">
        <f>IF($G403="",0,MAX(0,1-(Screener!$B$12-$G403)/W_RECD))</f>
        <v/>
      </c>
      <c r="AQ403">
        <f>IF($B403=Screener!$B$3,-999999,W_SUB*AK403+W_SEC*AL403*(1-AK403)+W_SIZE*AM403+W_PROF*AN403+W_AH*AO403+W_REC*AP403)+ROW()/1000000</f>
        <v/>
      </c>
      <c r="AR403">
        <f>IF(OR('NEW DEAL'!$B$6="",$E403&lt;&gt;'NEW DEAL'!$B$6),-1,1+IF(OR($H403="",'NEW DEAL'!$B$7=""),0,MAX(0,1-ABS(LOG10($H403/'NEW DEAL'!$B$7))/W_SIZEHW)))+ROW()/1000000</f>
        <v/>
      </c>
    </row>
    <row r="404">
      <c r="A404" s="23" t="inlineStr">
        <is>
          <t>2396</t>
        </is>
      </c>
      <c r="B404" s="22" t="inlineStr">
        <is>
          <t>B&amp;K CORP-B</t>
        </is>
      </c>
      <c r="C404" s="22" t="n"/>
      <c r="D404" s="24" t="inlineStr">
        <is>
          <t>Healthcare</t>
        </is>
      </c>
      <c r="E404" s="24" t="inlineStr">
        <is>
          <t>Biotech pre-revenue (18A)</t>
        </is>
      </c>
      <c r="F404" s="38" t="inlineStr">
        <is>
          <t>18A</t>
        </is>
      </c>
      <c r="G404" s="43" t="n">
        <v>46013</v>
      </c>
      <c r="H404" s="26" t="n">
        <v>674.2</v>
      </c>
      <c r="I404" s="22" t="inlineStr">
        <is>
          <t>gross (price x shares)</t>
        </is>
      </c>
      <c r="J404" s="27" t="n"/>
      <c r="K404" s="27" t="n">
        <v>51</v>
      </c>
      <c r="L404" s="44" t="n">
        <v>38.2</v>
      </c>
      <c r="M404" s="32" t="n"/>
      <c r="N404" s="29" t="inlineStr">
        <is>
          <t>N</t>
        </is>
      </c>
      <c r="O404" s="26" t="n">
        <v>4494.5</v>
      </c>
      <c r="P404" s="46" t="n">
        <v>791.95</v>
      </c>
      <c r="Q404" s="31" t="n">
        <v>6.05</v>
      </c>
      <c r="R404" s="45" t="n">
        <v>-29.32</v>
      </c>
      <c r="S404" s="33" t="n">
        <v>0</v>
      </c>
      <c r="T404" s="32" t="n">
        <v>15</v>
      </c>
      <c r="U404" s="22" t="inlineStr">
        <is>
          <t>not-yet (at allotment)</t>
        </is>
      </c>
      <c r="V404" s="29" t="inlineStr">
        <is>
          <t>N</t>
        </is>
      </c>
      <c r="W404" s="31" t="n"/>
      <c r="X404" s="34" t="n">
        <v>14981.7</v>
      </c>
      <c r="Y404" s="36" t="n">
        <v>0.3</v>
      </c>
      <c r="Z404" s="36" t="n">
        <v>-180.5</v>
      </c>
      <c r="AA404" s="22" t="n"/>
      <c r="AB404" s="22" t="n"/>
      <c r="AC404" s="22" t="inlineStr">
        <is>
          <t>Huatai Financial Holdings (Hong Kong) Limited; Central, Hong Kong CITIC Securities (Hong Kong) Limited</t>
        </is>
      </c>
      <c r="AD404" s="22" t="inlineStr">
        <is>
          <t>Huatai Financial Holdings (Hong Kong) Limited; Central, Hong Kong CLSA Limited; China Merchants Securities (HK) Co., Limited; China Galaxy International Securities (Hong Kong) Co., Limited; Guolian Securities International Capital Co., Limited; CMB International Capital Limited; CMBC Securities Company Limited; Central China International Securities Co., Limited; Futu Securities International (Hong Kong) Limited; Huafu International Securities Limited; Livermore Holdings Limited</t>
        </is>
      </c>
      <c r="AE404" s="22" t="n"/>
      <c r="AK404">
        <f>IF(AND(Screener!$B$7&lt;&gt;"",$E404=Screener!$B$7),1,0)</f>
        <v/>
      </c>
      <c r="AL404">
        <f>IF(AND(Screener!$B$6&lt;&gt;"",$D404=Screener!$B$6),1,0)</f>
        <v/>
      </c>
      <c r="AM404">
        <f>IF(OR($H404="",Screener!$B$8=""),0,MAX(0,1-ABS(LOG10($H404/Screener!$B$8))/W_SIZEHW))</f>
        <v/>
      </c>
      <c r="AN404">
        <f>IF(OR($V404="",Screener!$B$9=""),0,IF($V404=Screener!$B$9,1,0))</f>
        <v/>
      </c>
      <c r="AO404">
        <f>IF(OR($AA404="",Screener!$B$10=""),0,IF($AA404=Screener!$B$10,1,0))</f>
        <v/>
      </c>
      <c r="AP404">
        <f>IF($G404="",0,MAX(0,1-(Screener!$B$12-$G404)/W_RECD))</f>
        <v/>
      </c>
      <c r="AQ404">
        <f>IF($B404=Screener!$B$3,-999999,W_SUB*AK404+W_SEC*AL404*(1-AK404)+W_SIZE*AM404+W_PROF*AN404+W_AH*AO404+W_REC*AP404)+ROW()/1000000</f>
        <v/>
      </c>
      <c r="AR404">
        <f>IF(OR('NEW DEAL'!$B$6="",$E404&lt;&gt;'NEW DEAL'!$B$6),-1,1+IF(OR($H404="",'NEW DEAL'!$B$7=""),0,MAX(0,1-ABS(LOG10($H404/'NEW DEAL'!$B$7))/W_SIZEHW)))+ROW()/1000000</f>
        <v/>
      </c>
    </row>
    <row r="405">
      <c r="A405" s="23" t="inlineStr">
        <is>
          <t>2581</t>
        </is>
      </c>
      <c r="B405" s="22" t="inlineStr">
        <is>
          <t>BENQ HOLDING</t>
        </is>
      </c>
      <c r="C405" s="22" t="inlineStr">
        <is>
          <t>明基醫院集團股份有限公司</t>
        </is>
      </c>
      <c r="D405" s="24" t="inlineStr">
        <is>
          <t>Tech/AI</t>
        </is>
      </c>
      <c r="E405" s="24" t="inlineStr">
        <is>
          <t>Smart hardware / consumer electronics</t>
        </is>
      </c>
      <c r="F405" s="22" t="inlineStr">
        <is>
          <t>Standard</t>
        </is>
      </c>
      <c r="G405" s="43" t="n">
        <v>46013</v>
      </c>
      <c r="H405" s="26" t="n">
        <v>625.8</v>
      </c>
      <c r="I405" s="22" t="inlineStr">
        <is>
          <t>gross (stated)</t>
        </is>
      </c>
      <c r="J405" s="27" t="n">
        <v>9.34</v>
      </c>
      <c r="K405" s="27" t="n">
        <v>11.68</v>
      </c>
      <c r="L405" s="44" t="n">
        <v>9.34</v>
      </c>
      <c r="M405" s="28" t="n">
        <v>0</v>
      </c>
      <c r="N405" s="29" t="inlineStr">
        <is>
          <t>N</t>
        </is>
      </c>
      <c r="O405" s="26" t="n">
        <v>2913.6</v>
      </c>
      <c r="P405" s="46" t="n">
        <v>6.28</v>
      </c>
      <c r="Q405" s="31" t="n">
        <v>1.28</v>
      </c>
      <c r="R405" s="45" t="n">
        <v>-49.46</v>
      </c>
      <c r="S405" s="33" t="n">
        <v>49.63</v>
      </c>
      <c r="T405" s="32" t="n"/>
      <c r="U405" s="22" t="n"/>
      <c r="V405" s="29" t="inlineStr">
        <is>
          <t>Y</t>
        </is>
      </c>
      <c r="W405" s="34" t="n">
        <v>24.3</v>
      </c>
      <c r="X405" s="34" t="n">
        <v>1</v>
      </c>
      <c r="Y405" s="36" t="n">
        <v>2924.9</v>
      </c>
      <c r="Z405" s="36" t="n">
        <v>119.8</v>
      </c>
      <c r="AA405" s="22" t="n"/>
      <c r="AB405" s="22" t="n"/>
      <c r="AC405" s="22" t="n"/>
      <c r="AD405" s="22" t="inlineStr">
        <is>
          <t>China International Capital Corporation Hong Kong Securities Limited; Citigroup Global Markets Asia Limited; CTBC Bank Co., Ltd; Managers China International Capital Corporation Hong Kong Securities Limited; Citigroup Global Markets Limited; Canary Wharf London E14 5LB United Kingdom CTBC Bank Co., Ltd; Futu Securities International (Hong Kong) Limited; Livermore Holdings Limited; TradeGo Markets Limited; DIRECTORS AND PARTIES INVOLVED IN THE GLOBAL OFFERING –1 1 4– TradeGo Markets Limited; UOB Kay Hian (Hong Kong) Limited</t>
        </is>
      </c>
      <c r="AE405" s="22" t="n"/>
      <c r="AK405">
        <f>IF(AND(Screener!$B$7&lt;&gt;"",$E405=Screener!$B$7),1,0)</f>
        <v/>
      </c>
      <c r="AL405">
        <f>IF(AND(Screener!$B$6&lt;&gt;"",$D405=Screener!$B$6),1,0)</f>
        <v/>
      </c>
      <c r="AM405">
        <f>IF(OR($H405="",Screener!$B$8=""),0,MAX(0,1-ABS(LOG10($H405/Screener!$B$8))/W_SIZEHW))</f>
        <v/>
      </c>
      <c r="AN405">
        <f>IF(OR($V405="",Screener!$B$9=""),0,IF($V405=Screener!$B$9,1,0))</f>
        <v/>
      </c>
      <c r="AO405">
        <f>IF(OR($AA405="",Screener!$B$10=""),0,IF($AA405=Screener!$B$10,1,0))</f>
        <v/>
      </c>
      <c r="AP405">
        <f>IF($G405="",0,MAX(0,1-(Screener!$B$12-$G405)/W_RECD))</f>
        <v/>
      </c>
      <c r="AQ405">
        <f>IF($B405=Screener!$B$3,-999999,W_SUB*AK405+W_SEC*AL405*(1-AK405)+W_SIZE*AM405+W_PROF*AN405+W_AH*AO405+W_REC*AP405)+ROW()/1000000</f>
        <v/>
      </c>
      <c r="AR405">
        <f>IF(OR('NEW DEAL'!$B$6="",$E405&lt;&gt;'NEW DEAL'!$B$6),-1,1+IF(OR($H405="",'NEW DEAL'!$B$7=""),0,MAX(0,1-ABS(LOG10($H405/'NEW DEAL'!$B$7))/W_SIZEHW)))+ROW()/1000000</f>
        <v/>
      </c>
    </row>
    <row r="406">
      <c r="A406" s="23" t="inlineStr">
        <is>
          <t>2691</t>
        </is>
      </c>
      <c r="B406" s="22" t="inlineStr">
        <is>
          <t>NANHUA FUTURES</t>
        </is>
      </c>
      <c r="C406" s="22" t="inlineStr">
        <is>
          <t>南華期貨股份有限公司</t>
        </is>
      </c>
      <c r="D406" s="24" t="inlineStr">
        <is>
          <t>Financials</t>
        </is>
      </c>
      <c r="E406" s="24" t="inlineStr">
        <is>
          <t>Brokers / asset management</t>
        </is>
      </c>
      <c r="F406" s="22" t="inlineStr">
        <is>
          <t>Standard</t>
        </is>
      </c>
      <c r="G406" s="43" t="n">
        <v>46013</v>
      </c>
      <c r="H406" s="26" t="n">
        <v>1291.91</v>
      </c>
      <c r="I406" s="22" t="inlineStr">
        <is>
          <t>gross (stated)</t>
        </is>
      </c>
      <c r="J406" s="27" t="n"/>
      <c r="K406" s="27" t="n">
        <v>16</v>
      </c>
      <c r="L406" s="44" t="n">
        <v>12</v>
      </c>
      <c r="M406" s="32" t="n"/>
      <c r="N406" s="29" t="inlineStr">
        <is>
          <t>N</t>
        </is>
      </c>
      <c r="O406" s="36" t="n">
        <v>13989.1</v>
      </c>
      <c r="P406" s="46" t="n">
        <v>1.91</v>
      </c>
      <c r="Q406" s="31" t="n">
        <v>0.99</v>
      </c>
      <c r="R406" s="45" t="n">
        <v>-24.17</v>
      </c>
      <c r="S406" s="33" t="n">
        <v>0</v>
      </c>
      <c r="T406" s="32" t="n">
        <v>5</v>
      </c>
      <c r="U406" s="22" t="inlineStr">
        <is>
          <t>not-yet (at allotment)</t>
        </is>
      </c>
      <c r="V406" s="29" t="inlineStr">
        <is>
          <t>Y</t>
        </is>
      </c>
      <c r="W406" s="34" t="n">
        <v>27.8</v>
      </c>
      <c r="X406" s="31" t="n"/>
      <c r="Y406" s="35" t="n"/>
      <c r="Z406" s="36" t="n">
        <v>503.8</v>
      </c>
      <c r="AA406" s="22" t="inlineStr">
        <is>
          <t>Y</t>
        </is>
      </c>
      <c r="AB406" s="22" t="inlineStr">
        <is>
          <t>603093.SS</t>
        </is>
      </c>
      <c r="AC406" s="22" t="inlineStr">
        <is>
          <t>CITIC Securities (Hong Kong) Limited</t>
        </is>
      </c>
      <c r="AD406" s="22" t="inlineStr">
        <is>
          <t>CLSA Limited; HGNH International Securities Co., Limited; BOCI Asia Limited; CMB International Capital Limited; ABCI Capital Limited; Zheshang International Financial Holdings Co., Limited; Caitong International Securities Co., Limited; China Everbright Securities (HK) Limited</t>
        </is>
      </c>
      <c r="AE406" s="22" t="n"/>
      <c r="AK406">
        <f>IF(AND(Screener!$B$7&lt;&gt;"",$E406=Screener!$B$7),1,0)</f>
        <v/>
      </c>
      <c r="AL406">
        <f>IF(AND(Screener!$B$6&lt;&gt;"",$D406=Screener!$B$6),1,0)</f>
        <v/>
      </c>
      <c r="AM406">
        <f>IF(OR($H406="",Screener!$B$8=""),0,MAX(0,1-ABS(LOG10($H406/Screener!$B$8))/W_SIZEHW))</f>
        <v/>
      </c>
      <c r="AN406">
        <f>IF(OR($V406="",Screener!$B$9=""),0,IF($V406=Screener!$B$9,1,0))</f>
        <v/>
      </c>
      <c r="AO406">
        <f>IF(OR($AA406="",Screener!$B$10=""),0,IF($AA406=Screener!$B$10,1,0))</f>
        <v/>
      </c>
      <c r="AP406">
        <f>IF($G406="",0,MAX(0,1-(Screener!$B$12-$G406)/W_RECD))</f>
        <v/>
      </c>
      <c r="AQ406">
        <f>IF($B406=Screener!$B$3,-999999,W_SUB*AK406+W_SEC*AL406*(1-AK406)+W_SIZE*AM406+W_PROF*AN406+W_AH*AO406+W_REC*AP406)+ROW()/1000000</f>
        <v/>
      </c>
      <c r="AR406">
        <f>IF(OR('NEW DEAL'!$B$6="",$E406&lt;&gt;'NEW DEAL'!$B$6),-1,1+IF(OR($H406="",'NEW DEAL'!$B$7=""),0,MAX(0,1-ABS(LOG10($H406/'NEW DEAL'!$B$7))/W_SIZEHW)))+ROW()/1000000</f>
        <v/>
      </c>
    </row>
    <row r="407">
      <c r="A407" s="23" t="inlineStr">
        <is>
          <t>2635</t>
        </is>
      </c>
      <c r="B407" s="22" t="inlineStr">
        <is>
          <t>NUOBIKAN</t>
        </is>
      </c>
      <c r="C407" s="22" t="inlineStr">
        <is>
          <t>諾比侃人工智能科技</t>
        </is>
      </c>
      <c r="D407" s="24" t="inlineStr">
        <is>
          <t>Tech/AI</t>
        </is>
      </c>
      <c r="E407" s="24" t="inlineStr">
        <is>
          <t>SaaS / enterprise software</t>
        </is>
      </c>
      <c r="F407" s="22" t="inlineStr">
        <is>
          <t>Standard</t>
        </is>
      </c>
      <c r="G407" s="43" t="n">
        <v>46014</v>
      </c>
      <c r="H407" s="26" t="n">
        <v>302.93</v>
      </c>
      <c r="I407" s="22" t="inlineStr">
        <is>
          <t>gross (stated)</t>
        </is>
      </c>
      <c r="J407" s="27" t="n"/>
      <c r="K407" s="27" t="n">
        <v>106</v>
      </c>
      <c r="L407" s="44" t="n">
        <v>80</v>
      </c>
      <c r="M407" s="32" t="n"/>
      <c r="N407" s="29" t="inlineStr">
        <is>
          <t>N</t>
        </is>
      </c>
      <c r="O407" s="26" t="n">
        <v>3029.3</v>
      </c>
      <c r="P407" s="46" t="n">
        <v>188.74</v>
      </c>
      <c r="Q407" s="31" t="n">
        <v>2.08</v>
      </c>
      <c r="R407" s="45" t="n">
        <v>363.75</v>
      </c>
      <c r="S407" s="33" t="n">
        <v>0</v>
      </c>
      <c r="T407" s="32" t="n">
        <v>19.6</v>
      </c>
      <c r="U407" s="22" t="inlineStr">
        <is>
          <t>not-yet (at allotment)</t>
        </is>
      </c>
      <c r="V407" s="29" t="inlineStr">
        <is>
          <t>Y</t>
        </is>
      </c>
      <c r="W407" s="34" t="n">
        <v>23.9</v>
      </c>
      <c r="X407" s="34" t="n">
        <v>6.8</v>
      </c>
      <c r="Y407" s="36" t="n">
        <v>442.9</v>
      </c>
      <c r="Z407" s="36" t="n">
        <v>126.9</v>
      </c>
      <c r="AA407" s="22" t="n"/>
      <c r="AB407" s="22" t="n"/>
      <c r="AC407" s="22" t="n"/>
      <c r="AD407" s="22" t="n"/>
      <c r="AE407" s="22" t="n"/>
      <c r="AK407">
        <f>IF(AND(Screener!$B$7&lt;&gt;"",$E407=Screener!$B$7),1,0)</f>
        <v/>
      </c>
      <c r="AL407">
        <f>IF(AND(Screener!$B$6&lt;&gt;"",$D407=Screener!$B$6),1,0)</f>
        <v/>
      </c>
      <c r="AM407">
        <f>IF(OR($H407="",Screener!$B$8=""),0,MAX(0,1-ABS(LOG10($H407/Screener!$B$8))/W_SIZEHW))</f>
        <v/>
      </c>
      <c r="AN407">
        <f>IF(OR($V407="",Screener!$B$9=""),0,IF($V407=Screener!$B$9,1,0))</f>
        <v/>
      </c>
      <c r="AO407">
        <f>IF(OR($AA407="",Screener!$B$10=""),0,IF($AA407=Screener!$B$10,1,0))</f>
        <v/>
      </c>
      <c r="AP407">
        <f>IF($G407="",0,MAX(0,1-(Screener!$B$12-$G407)/W_RECD))</f>
        <v/>
      </c>
      <c r="AQ407">
        <f>IF($B407=Screener!$B$3,-999999,W_SUB*AK407+W_SEC*AL407*(1-AK407)+W_SIZE*AM407+W_PROF*AN407+W_AH*AO407+W_REC*AP407)+ROW()/1000000</f>
        <v/>
      </c>
      <c r="AR407">
        <f>IF(OR('NEW DEAL'!$B$6="",$E407&lt;&gt;'NEW DEAL'!$B$6),-1,1+IF(OR($H407="",'NEW DEAL'!$B$7=""),0,MAX(0,1-ABS(LOG10($H407/'NEW DEAL'!$B$7))/W_SIZEHW)))+ROW()/1000000</f>
        <v/>
      </c>
    </row>
    <row r="408">
      <c r="A408" s="23" t="inlineStr">
        <is>
          <t>2661</t>
        </is>
      </c>
      <c r="B408" s="22" t="inlineStr">
        <is>
          <t>QINGSONG HEALTH</t>
        </is>
      </c>
      <c r="C408" s="22" t="n"/>
      <c r="D408" s="24" t="inlineStr">
        <is>
          <t>Financials</t>
        </is>
      </c>
      <c r="E408" s="24" t="inlineStr">
        <is>
          <t>Insurance</t>
        </is>
      </c>
      <c r="F408" s="22" t="inlineStr">
        <is>
          <t>Standard</t>
        </is>
      </c>
      <c r="G408" s="43" t="n">
        <v>46014</v>
      </c>
      <c r="H408" s="26" t="n">
        <v>601.9299999999999</v>
      </c>
      <c r="I408" s="22" t="inlineStr">
        <is>
          <t>gross (stated)</t>
        </is>
      </c>
      <c r="J408" s="27" t="n"/>
      <c r="K408" s="27" t="n">
        <v>22.68</v>
      </c>
      <c r="L408" s="44" t="n">
        <v>22.68</v>
      </c>
      <c r="M408" s="32" t="n"/>
      <c r="N408" s="29" t="inlineStr">
        <is>
          <t>Y</t>
        </is>
      </c>
      <c r="O408" s="26" t="n">
        <v>4680.6</v>
      </c>
      <c r="P408" s="46" t="n">
        <v>1421.47</v>
      </c>
      <c r="Q408" s="31" t="n">
        <v>2.9</v>
      </c>
      <c r="R408" s="45" t="n">
        <v>158.82</v>
      </c>
      <c r="S408" s="33" t="n">
        <v>2.33</v>
      </c>
      <c r="T408" s="32" t="n">
        <v>13.61</v>
      </c>
      <c r="U408" s="22" t="inlineStr">
        <is>
          <t>not-yet (at allotment)</t>
        </is>
      </c>
      <c r="V408" s="22" t="n"/>
      <c r="W408" s="31" t="n"/>
      <c r="X408" s="34" t="n">
        <v>4.5</v>
      </c>
      <c r="Y408" s="36" t="n">
        <v>1039.5</v>
      </c>
      <c r="Z408" s="35" t="n"/>
      <c r="AA408" s="22" t="n"/>
      <c r="AB408" s="22" t="n"/>
      <c r="AC408" s="22" t="inlineStr">
        <is>
          <t>China International Capital Corporation Hong Kong Securities Limited; China Merchants Securities (HK) Co., Limited</t>
        </is>
      </c>
      <c r="AD408" s="22" t="inlineStr">
        <is>
          <t>China International Capital Corporation Hong Kong Securities Limited; China Merchants Securities (HK) Co., Limited; Futu Securities International (Hong Kong) Limited; SPDB International Capital Limited</t>
        </is>
      </c>
      <c r="AE408" s="22" t="n"/>
      <c r="AK408">
        <f>IF(AND(Screener!$B$7&lt;&gt;"",$E408=Screener!$B$7),1,0)</f>
        <v/>
      </c>
      <c r="AL408">
        <f>IF(AND(Screener!$B$6&lt;&gt;"",$D408=Screener!$B$6),1,0)</f>
        <v/>
      </c>
      <c r="AM408">
        <f>IF(OR($H408="",Screener!$B$8=""),0,MAX(0,1-ABS(LOG10($H408/Screener!$B$8))/W_SIZEHW))</f>
        <v/>
      </c>
      <c r="AN408">
        <f>IF(OR($V408="",Screener!$B$9=""),0,IF($V408=Screener!$B$9,1,0))</f>
        <v/>
      </c>
      <c r="AO408">
        <f>IF(OR($AA408="",Screener!$B$10=""),0,IF($AA408=Screener!$B$10,1,0))</f>
        <v/>
      </c>
      <c r="AP408">
        <f>IF($G408="",0,MAX(0,1-(Screener!$B$12-$G408)/W_RECD))</f>
        <v/>
      </c>
      <c r="AQ408">
        <f>IF($B408=Screener!$B$3,-999999,W_SUB*AK408+W_SEC*AL408*(1-AK408)+W_SIZE*AM408+W_PROF*AN408+W_AH*AO408+W_REC*AP408)+ROW()/1000000</f>
        <v/>
      </c>
      <c r="AR408">
        <f>IF(OR('NEW DEAL'!$B$6="",$E408&lt;&gt;'NEW DEAL'!$B$6),-1,1+IF(OR($H408="",'NEW DEAL'!$B$7=""),0,MAX(0,1-ABS(LOG10($H408/'NEW DEAL'!$B$7))/W_SIZEHW)))+ROW()/1000000</f>
        <v/>
      </c>
    </row>
    <row r="409">
      <c r="A409" s="23" t="inlineStr">
        <is>
          <t>3378</t>
        </is>
      </c>
      <c r="B409" s="22" t="inlineStr">
        <is>
          <t>HANXBIO-B</t>
        </is>
      </c>
      <c r="C409" s="22" t="n"/>
      <c r="D409" s="24" t="inlineStr">
        <is>
          <t>Healthcare</t>
        </is>
      </c>
      <c r="E409" s="24" t="inlineStr">
        <is>
          <t>Biotech pre-revenue (18A)</t>
        </is>
      </c>
      <c r="F409" s="38" t="inlineStr">
        <is>
          <t>18A</t>
        </is>
      </c>
      <c r="G409" s="43" t="n">
        <v>46014</v>
      </c>
      <c r="H409" s="26" t="n">
        <v>586.3</v>
      </c>
      <c r="I409" s="22" t="inlineStr">
        <is>
          <t>gross (stated)</t>
        </is>
      </c>
      <c r="J409" s="27" t="n"/>
      <c r="K409" s="27" t="n"/>
      <c r="L409" s="44" t="n">
        <v>32</v>
      </c>
      <c r="M409" s="32" t="n"/>
      <c r="N409" s="22" t="n"/>
      <c r="O409" s="26" t="n">
        <v>4359</v>
      </c>
      <c r="P409" s="46" t="n">
        <v>3074.09</v>
      </c>
      <c r="Q409" s="31" t="n">
        <v>5.78</v>
      </c>
      <c r="R409" s="45" t="n">
        <v>-46.25</v>
      </c>
      <c r="S409" s="33" t="n"/>
      <c r="T409" s="32" t="n"/>
      <c r="U409" s="22" t="inlineStr">
        <is>
          <t>not-yet (at allotment)</t>
        </is>
      </c>
      <c r="V409" s="22" t="n"/>
      <c r="W409" s="31" t="n"/>
      <c r="X409" s="31" t="n"/>
      <c r="Y409" s="35" t="n"/>
      <c r="Z409" s="35" t="n"/>
      <c r="AA409" s="22" t="n"/>
      <c r="AB409" s="22" t="n"/>
      <c r="AC409" s="22" t="n"/>
      <c r="AD409" s="22" t="n"/>
      <c r="AE409" s="22" t="n"/>
      <c r="AK409">
        <f>IF(AND(Screener!$B$7&lt;&gt;"",$E409=Screener!$B$7),1,0)</f>
        <v/>
      </c>
      <c r="AL409">
        <f>IF(AND(Screener!$B$6&lt;&gt;"",$D409=Screener!$B$6),1,0)</f>
        <v/>
      </c>
      <c r="AM409">
        <f>IF(OR($H409="",Screener!$B$8=""),0,MAX(0,1-ABS(LOG10($H409/Screener!$B$8))/W_SIZEHW))</f>
        <v/>
      </c>
      <c r="AN409">
        <f>IF(OR($V409="",Screener!$B$9=""),0,IF($V409=Screener!$B$9,1,0))</f>
        <v/>
      </c>
      <c r="AO409">
        <f>IF(OR($AA409="",Screener!$B$10=""),0,IF($AA409=Screener!$B$10,1,0))</f>
        <v/>
      </c>
      <c r="AP409">
        <f>IF($G409="",0,MAX(0,1-(Screener!$B$12-$G409)/W_RECD))</f>
        <v/>
      </c>
      <c r="AQ409">
        <f>IF($B409=Screener!$B$3,-999999,W_SUB*AK409+W_SEC*AL409*(1-AK409)+W_SIZE*AM409+W_PROF*AN409+W_AH*AO409+W_REC*AP409)+ROW()/1000000</f>
        <v/>
      </c>
      <c r="AR409">
        <f>IF(OR('NEW DEAL'!$B$6="",$E409&lt;&gt;'NEW DEAL'!$B$6),-1,1+IF(OR($H409="",'NEW DEAL'!$B$7=""),0,MAX(0,1-ABS(LOG10($H409/'NEW DEAL'!$B$7))/W_SIZEHW)))+ROW()/1000000</f>
        <v/>
      </c>
    </row>
    <row r="410">
      <c r="A410" s="23" t="inlineStr">
        <is>
          <t>3317</t>
        </is>
      </c>
      <c r="B410" s="22" t="inlineStr">
        <is>
          <t>XUNCE</t>
        </is>
      </c>
      <c r="C410" s="22" t="n"/>
      <c r="D410" s="24" t="inlineStr">
        <is>
          <t>Tech/AI</t>
        </is>
      </c>
      <c r="E410" s="24" t="inlineStr">
        <is>
          <t>SaaS / enterprise software</t>
        </is>
      </c>
      <c r="F410" s="22" t="inlineStr">
        <is>
          <t>Standard</t>
        </is>
      </c>
      <c r="G410" s="43" t="n">
        <v>46021</v>
      </c>
      <c r="H410" s="26" t="n">
        <v>1080</v>
      </c>
      <c r="I410" s="22" t="inlineStr">
        <is>
          <t>gross (stated)</t>
        </is>
      </c>
      <c r="J410" s="27" t="n">
        <v>48</v>
      </c>
      <c r="K410" s="27" t="n">
        <v>55</v>
      </c>
      <c r="L410" s="44" t="n">
        <v>48</v>
      </c>
      <c r="M410" s="28" t="n">
        <v>0</v>
      </c>
      <c r="N410" s="29" t="inlineStr">
        <is>
          <t>N</t>
        </is>
      </c>
      <c r="O410" s="26" t="n">
        <v>11973.4</v>
      </c>
      <c r="P410" s="46" t="n">
        <v>7.24</v>
      </c>
      <c r="Q410" s="31" t="n">
        <v>3.1</v>
      </c>
      <c r="R410" s="45" t="n">
        <v>1.04</v>
      </c>
      <c r="S410" s="33" t="n">
        <v>28.5</v>
      </c>
      <c r="T410" s="28" t="n">
        <v>15</v>
      </c>
      <c r="U410" s="22" t="n"/>
      <c r="V410" s="29" t="inlineStr">
        <is>
          <t>N</t>
        </is>
      </c>
      <c r="W410" s="31" t="n"/>
      <c r="X410" s="34" t="n">
        <v>17.2</v>
      </c>
      <c r="Y410" s="36" t="n">
        <v>695.2</v>
      </c>
      <c r="Z410" s="36" t="n">
        <v>-107.6</v>
      </c>
      <c r="AA410" s="22" t="n"/>
      <c r="AB410" s="22" t="n"/>
      <c r="AC410" s="22" t="inlineStr">
        <is>
          <t>Guotai Junan Capital Limited</t>
        </is>
      </c>
      <c r="AD410" s="22" t="inlineStr">
        <is>
          <t>Guotai Junan Securities (Hong Kong) Limited; Deutsche Bank AG, Hong Kong Branch; Futu Securities International (Hong Kong) Limited; No. 95 Queensway Admiralty, Hong Kong Hong Tai Securities Limited; Orient Securities (Hong Kong) Limited; North Beta International Securities Limited; Central, Hong Kong ICBC International Securities Limited; CCB International Capital Limited; China Galaxy International Securities (Hong Kong) Co., Limited; Central, Hong Kong TradeGo Markets Limited; Central, Hong Kong China Merchants Securities (HK) Co., Limited; Central, Hong Kong ABCI Capital Limited</t>
        </is>
      </c>
      <c r="AE410" s="22" t="n"/>
      <c r="AK410">
        <f>IF(AND(Screener!$B$7&lt;&gt;"",$E410=Screener!$B$7),1,0)</f>
        <v/>
      </c>
      <c r="AL410">
        <f>IF(AND(Screener!$B$6&lt;&gt;"",$D410=Screener!$B$6),1,0)</f>
        <v/>
      </c>
      <c r="AM410">
        <f>IF(OR($H410="",Screener!$B$8=""),0,MAX(0,1-ABS(LOG10($H410/Screener!$B$8))/W_SIZEHW))</f>
        <v/>
      </c>
      <c r="AN410">
        <f>IF(OR($V410="",Screener!$B$9=""),0,IF($V410=Screener!$B$9,1,0))</f>
        <v/>
      </c>
      <c r="AO410">
        <f>IF(OR($AA410="",Screener!$B$10=""),0,IF($AA410=Screener!$B$10,1,0))</f>
        <v/>
      </c>
      <c r="AP410">
        <f>IF($G410="",0,MAX(0,1-(Screener!$B$12-$G410)/W_RECD))</f>
        <v/>
      </c>
      <c r="AQ410">
        <f>IF($B410=Screener!$B$3,-999999,W_SUB*AK410+W_SEC*AL410*(1-AK410)+W_SIZE*AM410+W_PROF*AN410+W_AH*AO410+W_REC*AP410)+ROW()/1000000</f>
        <v/>
      </c>
      <c r="AR410">
        <f>IF(OR('NEW DEAL'!$B$6="",$E410&lt;&gt;'NEW DEAL'!$B$6),-1,1+IF(OR($H410="",'NEW DEAL'!$B$7=""),0,MAX(0,1-ABS(LOG10($H410/'NEW DEAL'!$B$7))/W_SIZEHW)))+ROW()/1000000</f>
        <v/>
      </c>
    </row>
    <row r="411">
      <c r="A411" s="23" t="inlineStr">
        <is>
          <t>2657</t>
        </is>
      </c>
      <c r="B411" s="22" t="inlineStr">
        <is>
          <t>FOREST CABIN</t>
        </is>
      </c>
      <c r="C411" s="22" t="inlineStr">
        <is>
          <t>上海林清軒化妝品集團股份有限公司</t>
        </is>
      </c>
      <c r="D411" s="24" t="inlineStr">
        <is>
          <t>Consumer</t>
        </is>
      </c>
      <c r="E411" s="24" t="inlineStr">
        <is>
          <t>Beauty / personal care</t>
        </is>
      </c>
      <c r="F411" s="22" t="inlineStr">
        <is>
          <t>Standard</t>
        </is>
      </c>
      <c r="G411" s="43" t="n">
        <v>46021</v>
      </c>
      <c r="H411" s="26" t="n">
        <v>1086.2</v>
      </c>
      <c r="I411" s="22" t="inlineStr">
        <is>
          <t>gross (stated)</t>
        </is>
      </c>
      <c r="J411" s="27" t="n"/>
      <c r="K411" s="27" t="n">
        <v>77.77</v>
      </c>
      <c r="L411" s="44" t="n">
        <v>77.77</v>
      </c>
      <c r="M411" s="32" t="n"/>
      <c r="N411" s="29" t="inlineStr">
        <is>
          <t>Y</t>
        </is>
      </c>
      <c r="O411" s="36" t="n">
        <v>10861.7</v>
      </c>
      <c r="P411" s="46" t="n">
        <v>1235.81</v>
      </c>
      <c r="Q411" s="31" t="n">
        <v>19.79</v>
      </c>
      <c r="R411" s="45" t="n">
        <v>9.300000000000001</v>
      </c>
      <c r="S411" s="33" t="n">
        <v>87.3</v>
      </c>
      <c r="T411" s="32" t="n">
        <v>11.33</v>
      </c>
      <c r="U411" s="22" t="n"/>
      <c r="V411" s="29" t="inlineStr">
        <is>
          <t>N</t>
        </is>
      </c>
      <c r="W411" s="31" t="n"/>
      <c r="X411" s="34" t="n">
        <v>8.199999999999999</v>
      </c>
      <c r="Y411" s="36" t="n">
        <v>1330.6</v>
      </c>
      <c r="Z411" s="36" t="n">
        <v>-0.1</v>
      </c>
      <c r="AA411" s="22" t="n"/>
      <c r="AB411" s="22" t="n"/>
      <c r="AC411" s="22" t="inlineStr">
        <is>
          <t>CITIC Securities (Hong Kong) Limited; Huatai Financial Holdings (Hong Kong) Limited</t>
        </is>
      </c>
      <c r="AD411" s="22" t="inlineStr">
        <is>
          <t>Managers and Capital Market Intermediaries CLSA Limited; Huatai Financial Holdings (Hong Kong) Limited; Futu Securities International (Hong Kong) Limited; Tiger Brokers (HK) Global Limited</t>
        </is>
      </c>
      <c r="AE411" s="22" t="n"/>
      <c r="AK411">
        <f>IF(AND(Screener!$B$7&lt;&gt;"",$E411=Screener!$B$7),1,0)</f>
        <v/>
      </c>
      <c r="AL411">
        <f>IF(AND(Screener!$B$6&lt;&gt;"",$D411=Screener!$B$6),1,0)</f>
        <v/>
      </c>
      <c r="AM411">
        <f>IF(OR($H411="",Screener!$B$8=""),0,MAX(0,1-ABS(LOG10($H411/Screener!$B$8))/W_SIZEHW))</f>
        <v/>
      </c>
      <c r="AN411">
        <f>IF(OR($V411="",Screener!$B$9=""),0,IF($V411=Screener!$B$9,1,0))</f>
        <v/>
      </c>
      <c r="AO411">
        <f>IF(OR($AA411="",Screener!$B$10=""),0,IF($AA411=Screener!$B$10,1,0))</f>
        <v/>
      </c>
      <c r="AP411">
        <f>IF($G411="",0,MAX(0,1-(Screener!$B$12-$G411)/W_RECD))</f>
        <v/>
      </c>
      <c r="AQ411">
        <f>IF($B411=Screener!$B$3,-999999,W_SUB*AK411+W_SEC*AL411*(1-AK411)+W_SIZE*AM411+W_PROF*AN411+W_AH*AO411+W_REC*AP411)+ROW()/1000000</f>
        <v/>
      </c>
      <c r="AR411">
        <f>IF(OR('NEW DEAL'!$B$6="",$E411&lt;&gt;'NEW DEAL'!$B$6),-1,1+IF(OR($H411="",'NEW DEAL'!$B$7=""),0,MAX(0,1-ABS(LOG10($H411/'NEW DEAL'!$B$7))/W_SIZEHW)))+ROW()/1000000</f>
        <v/>
      </c>
    </row>
    <row r="412">
      <c r="A412" s="23" t="inlineStr">
        <is>
          <t>2671</t>
        </is>
      </c>
      <c r="B412" s="22" t="inlineStr">
        <is>
          <t>USAS BUILDING</t>
        </is>
      </c>
      <c r="C412" s="22" t="n"/>
      <c r="D412" s="24" t="inlineStr">
        <is>
          <t>Industrials</t>
        </is>
      </c>
      <c r="E412" s="24" t="inlineStr">
        <is>
          <t>Construction / engineering</t>
        </is>
      </c>
      <c r="F412" s="22" t="inlineStr">
        <is>
          <t>Standard</t>
        </is>
      </c>
      <c r="G412" s="43" t="n">
        <v>46021</v>
      </c>
      <c r="H412" s="26" t="n">
        <v>174.7</v>
      </c>
      <c r="I412" s="22" t="inlineStr">
        <is>
          <t>gross (price x shares)</t>
        </is>
      </c>
      <c r="J412" s="27" t="n">
        <v>7.1</v>
      </c>
      <c r="K412" s="27" t="n">
        <v>9.16</v>
      </c>
      <c r="L412" s="44" t="n">
        <v>7.1</v>
      </c>
      <c r="M412" s="28" t="n">
        <v>0</v>
      </c>
      <c r="N412" s="29" t="inlineStr">
        <is>
          <t>N</t>
        </is>
      </c>
      <c r="O412" s="26" t="n">
        <v>855.9</v>
      </c>
      <c r="P412" s="46" t="n">
        <v>146.25</v>
      </c>
      <c r="Q412" s="31" t="n">
        <v>1.48</v>
      </c>
      <c r="R412" s="45" t="n">
        <v>7.61</v>
      </c>
      <c r="S412" s="33" t="n">
        <v>22.9</v>
      </c>
      <c r="T412" s="32" t="n">
        <v>14.4</v>
      </c>
      <c r="U412" s="22" t="n"/>
      <c r="V412" s="29" t="inlineStr">
        <is>
          <t>Y</t>
        </is>
      </c>
      <c r="W412" s="34" t="n">
        <v>11</v>
      </c>
      <c r="X412" s="31" t="n"/>
      <c r="Y412" s="35" t="n"/>
      <c r="Z412" s="36" t="n">
        <v>77.90000000000001</v>
      </c>
      <c r="AA412" s="22" t="n"/>
      <c r="AB412" s="22" t="n"/>
      <c r="AC412" s="22" t="inlineStr">
        <is>
          <t>Shenwan Hongyuan Capital (H.K.) Limited</t>
        </is>
      </c>
      <c r="AD412" s="22" t="inlineStr">
        <is>
          <t>Shenwan Hongyuan Securities (H.K.) Limited; ABCI Capital Limited; DIRECTORS AND PARTIES INVOLVED IN THE GLOBAL OFFERING –8 6– BOCI Asia Limited; Patrons Securities Limited; SPDB International Capital Limited; TradeGo Markets Limited</t>
        </is>
      </c>
      <c r="AE412" s="22" t="n"/>
      <c r="AK412">
        <f>IF(AND(Screener!$B$7&lt;&gt;"",$E412=Screener!$B$7),1,0)</f>
        <v/>
      </c>
      <c r="AL412">
        <f>IF(AND(Screener!$B$6&lt;&gt;"",$D412=Screener!$B$6),1,0)</f>
        <v/>
      </c>
      <c r="AM412">
        <f>IF(OR($H412="",Screener!$B$8=""),0,MAX(0,1-ABS(LOG10($H412/Screener!$B$8))/W_SIZEHW))</f>
        <v/>
      </c>
      <c r="AN412">
        <f>IF(OR($V412="",Screener!$B$9=""),0,IF($V412=Screener!$B$9,1,0))</f>
        <v/>
      </c>
      <c r="AO412">
        <f>IF(OR($AA412="",Screener!$B$10=""),0,IF($AA412=Screener!$B$10,1,0))</f>
        <v/>
      </c>
      <c r="AP412">
        <f>IF($G412="",0,MAX(0,1-(Screener!$B$12-$G412)/W_RECD))</f>
        <v/>
      </c>
      <c r="AQ412">
        <f>IF($B412=Screener!$B$3,-999999,W_SUB*AK412+W_SEC*AL412*(1-AK412)+W_SIZE*AM412+W_PROF*AN412+W_AH*AO412+W_REC*AP412)+ROW()/1000000</f>
        <v/>
      </c>
      <c r="AR412">
        <f>IF(OR('NEW DEAL'!$B$6="",$E412&lt;&gt;'NEW DEAL'!$B$6),-1,1+IF(OR($H412="",'NEW DEAL'!$B$7=""),0,MAX(0,1-ABS(LOG10($H412/'NEW DEAL'!$B$7))/W_SIZEHW)))+ROW()/1000000</f>
        <v/>
      </c>
    </row>
    <row r="413">
      <c r="A413" s="23" t="inlineStr">
        <is>
          <t>3696</t>
        </is>
      </c>
      <c r="B413" s="22" t="inlineStr">
        <is>
          <t>INSILICO</t>
        </is>
      </c>
      <c r="C413" s="22" t="n"/>
      <c r="D413" s="24" t="inlineStr">
        <is>
          <t>Tech/AI</t>
        </is>
      </c>
      <c r="E413" s="24" t="inlineStr">
        <is>
          <t>AI application / agent software</t>
        </is>
      </c>
      <c r="F413" s="22" t="inlineStr">
        <is>
          <t>Standard</t>
        </is>
      </c>
      <c r="G413" s="43" t="n">
        <v>46021</v>
      </c>
      <c r="H413" s="26" t="n">
        <v>2277.3</v>
      </c>
      <c r="I413" s="22" t="inlineStr">
        <is>
          <t>gross (stated)</t>
        </is>
      </c>
      <c r="J413" s="27" t="n"/>
      <c r="K413" s="27" t="n">
        <v>24.05</v>
      </c>
      <c r="L413" s="44" t="n">
        <v>24.05</v>
      </c>
      <c r="M413" s="32" t="n"/>
      <c r="N413" s="29" t="inlineStr">
        <is>
          <t>Y</t>
        </is>
      </c>
      <c r="O413" s="36" t="n">
        <v>13406</v>
      </c>
      <c r="P413" s="46" t="n">
        <v>1427.37</v>
      </c>
      <c r="Q413" s="31" t="n">
        <v>26.27</v>
      </c>
      <c r="R413" s="45" t="n">
        <v>24.66</v>
      </c>
      <c r="S413" s="33" t="n">
        <v>39.29</v>
      </c>
      <c r="T413" s="28" t="n">
        <v>15</v>
      </c>
      <c r="U413" s="22" t="n"/>
      <c r="V413" s="29" t="inlineStr">
        <is>
          <t>N</t>
        </is>
      </c>
      <c r="W413" s="31" t="n"/>
      <c r="X413" s="34" t="n">
        <v>20</v>
      </c>
      <c r="Y413" s="36" t="n">
        <v>669.5</v>
      </c>
      <c r="Z413" s="36" t="n">
        <v>-133.3</v>
      </c>
      <c r="AA413" s="22" t="n"/>
      <c r="AB413" s="22" t="n"/>
      <c r="AC413" s="22" t="inlineStr">
        <is>
          <t>Morgan Stanley Asia Limited; China International Capital Corporation Hong Kong Securities Limited; GF Capital (Hong Kong) Limited</t>
        </is>
      </c>
      <c r="AD413" s="22" t="inlineStr">
        <is>
          <t>Morgan Stanley Asia Limited; GF Securities (Hong Kong) Brokerage Limited; BNP Paribas Securities (Asia) Limited; Sinolink Securities (Hong Kong) Company Limited; BOCI Asia Limited</t>
        </is>
      </c>
      <c r="AE413" s="22" t="n"/>
      <c r="AK413">
        <f>IF(AND(Screener!$B$7&lt;&gt;"",$E413=Screener!$B$7),1,0)</f>
        <v/>
      </c>
      <c r="AL413">
        <f>IF(AND(Screener!$B$6&lt;&gt;"",$D413=Screener!$B$6),1,0)</f>
        <v/>
      </c>
      <c r="AM413">
        <f>IF(OR($H413="",Screener!$B$8=""),0,MAX(0,1-ABS(LOG10($H413/Screener!$B$8))/W_SIZEHW))</f>
        <v/>
      </c>
      <c r="AN413">
        <f>IF(OR($V413="",Screener!$B$9=""),0,IF($V413=Screener!$B$9,1,0))</f>
        <v/>
      </c>
      <c r="AO413">
        <f>IF(OR($AA413="",Screener!$B$10=""),0,IF($AA413=Screener!$B$10,1,0))</f>
        <v/>
      </c>
      <c r="AP413">
        <f>IF($G413="",0,MAX(0,1-(Screener!$B$12-$G413)/W_RECD))</f>
        <v/>
      </c>
      <c r="AQ413">
        <f>IF($B413=Screener!$B$3,-999999,W_SUB*AK413+W_SEC*AL413*(1-AK413)+W_SIZE*AM413+W_PROF*AN413+W_AH*AO413+W_REC*AP413)+ROW()/1000000</f>
        <v/>
      </c>
      <c r="AR413">
        <f>IF(OR('NEW DEAL'!$B$6="",$E413&lt;&gt;'NEW DEAL'!$B$6),-1,1+IF(OR($H413="",'NEW DEAL'!$B$7=""),0,MAX(0,1-ABS(LOG10($H413/'NEW DEAL'!$B$7))/W_SIZEHW)))+ROW()/1000000</f>
        <v/>
      </c>
    </row>
    <row r="414">
      <c r="A414" s="23" t="inlineStr">
        <is>
          <t>6651</t>
        </is>
      </c>
      <c r="B414" s="22" t="inlineStr">
        <is>
          <t>51WORLD</t>
        </is>
      </c>
      <c r="C414" s="22" t="inlineStr">
        <is>
          <t>北京五一視界數字孿生科技股份有限公司</t>
        </is>
      </c>
      <c r="D414" s="24" t="inlineStr">
        <is>
          <t>Tech/AI</t>
        </is>
      </c>
      <c r="E414" s="24" t="inlineStr">
        <is>
          <t>SaaS / enterprise software</t>
        </is>
      </c>
      <c r="F414" s="22" t="inlineStr">
        <is>
          <t>Standard</t>
        </is>
      </c>
      <c r="G414" s="43" t="n">
        <v>46021</v>
      </c>
      <c r="H414" s="26" t="n">
        <v>731.3</v>
      </c>
      <c r="I414" s="22" t="inlineStr">
        <is>
          <t>gross (stated)</t>
        </is>
      </c>
      <c r="J414" s="27" t="n"/>
      <c r="K414" s="27" t="n">
        <v>30.5</v>
      </c>
      <c r="L414" s="44" t="n">
        <v>30.5</v>
      </c>
      <c r="M414" s="32" t="n"/>
      <c r="N414" s="29" t="inlineStr">
        <is>
          <t>Y</t>
        </is>
      </c>
      <c r="O414" s="26" t="n">
        <v>12393.9</v>
      </c>
      <c r="P414" s="46" t="n">
        <v>256.01</v>
      </c>
      <c r="Q414" s="31" t="n">
        <v>2.6</v>
      </c>
      <c r="R414" s="45" t="n">
        <v>29.9</v>
      </c>
      <c r="S414" s="33" t="n">
        <v>5</v>
      </c>
      <c r="T414" s="32" t="n">
        <v>16.3</v>
      </c>
      <c r="U414" s="22" t="inlineStr">
        <is>
          <t>not-yet (at allotment)</t>
        </is>
      </c>
      <c r="V414" s="29" t="inlineStr">
        <is>
          <t>N</t>
        </is>
      </c>
      <c r="W414" s="31" t="n"/>
      <c r="X414" s="34" t="n">
        <v>39.2</v>
      </c>
      <c r="Y414" s="36" t="n">
        <v>316.1</v>
      </c>
      <c r="Z414" s="36" t="n">
        <v>-86.90000000000001</v>
      </c>
      <c r="AA414" s="22" t="n"/>
      <c r="AB414" s="22" t="n"/>
      <c r="AC414" s="22" t="inlineStr">
        <is>
          <t>and Sponsor-OCs China International Capital Corporation Hong Kong Securities Limited; Huatai Financial Holdings (Hong Kong) Limited</t>
        </is>
      </c>
      <c r="AD414" s="22" t="inlineStr">
        <is>
          <t>China International Capital Corporation Hong Kong Securities Limited; Central, Hong Kong CMB International Capital Limited; Central, Hong Kong China Securities (International) Corporate Finance Company Limited; Futu Securities International (Hong Kong) Limited; Valuable Capital Limited; BOCI Asia Limited; ICBC International Securities Limited; SPDB International Capital Limited; DIRECTORS, SUPERVISORS AND PARTIES INVOLVED IN THE GLOBAL OFFERING ABCI Capital Limited; CMBC Securities Company Limited; CCB International Capital Limited</t>
        </is>
      </c>
      <c r="AE414" s="22" t="n"/>
      <c r="AK414">
        <f>IF(AND(Screener!$B$7&lt;&gt;"",$E414=Screener!$B$7),1,0)</f>
        <v/>
      </c>
      <c r="AL414">
        <f>IF(AND(Screener!$B$6&lt;&gt;"",$D414=Screener!$B$6),1,0)</f>
        <v/>
      </c>
      <c r="AM414">
        <f>IF(OR($H414="",Screener!$B$8=""),0,MAX(0,1-ABS(LOG10($H414/Screener!$B$8))/W_SIZEHW))</f>
        <v/>
      </c>
      <c r="AN414">
        <f>IF(OR($V414="",Screener!$B$9=""),0,IF($V414=Screener!$B$9,1,0))</f>
        <v/>
      </c>
      <c r="AO414">
        <f>IF(OR($AA414="",Screener!$B$10=""),0,IF($AA414=Screener!$B$10,1,0))</f>
        <v/>
      </c>
      <c r="AP414">
        <f>IF($G414="",0,MAX(0,1-(Screener!$B$12-$G414)/W_RECD))</f>
        <v/>
      </c>
      <c r="AQ414">
        <f>IF($B414=Screener!$B$3,-999999,W_SUB*AK414+W_SEC*AL414*(1-AK414)+W_SIZE*AM414+W_PROF*AN414+W_AH*AO414+W_REC*AP414)+ROW()/1000000</f>
        <v/>
      </c>
      <c r="AR414">
        <f>IF(OR('NEW DEAL'!$B$6="",$E414&lt;&gt;'NEW DEAL'!$B$6),-1,1+IF(OR($H414="",'NEW DEAL'!$B$7=""),0,MAX(0,1-ABS(LOG10($H414/'NEW DEAL'!$B$7))/W_SIZEHW)))+ROW()/1000000</f>
        <v/>
      </c>
    </row>
    <row r="415">
      <c r="A415" s="23" t="inlineStr">
        <is>
          <t>6600</t>
        </is>
      </c>
      <c r="B415" s="22" t="inlineStr">
        <is>
          <t>ONEROBOTICS</t>
        </is>
      </c>
      <c r="C415" s="22" t="n"/>
      <c r="D415" s="24" t="inlineStr">
        <is>
          <t>Tech/AI</t>
        </is>
      </c>
      <c r="E415" s="24" t="inlineStr">
        <is>
          <t>Robotics &amp; autonomous driving</t>
        </is>
      </c>
      <c r="F415" s="22" t="inlineStr">
        <is>
          <t>Standard</t>
        </is>
      </c>
      <c r="G415" s="43" t="n">
        <v>46021</v>
      </c>
      <c r="H415" s="26" t="n">
        <v>1640.01</v>
      </c>
      <c r="I415" s="22" t="inlineStr">
        <is>
          <t>gross (stated)</t>
        </is>
      </c>
      <c r="J415" s="27" t="n"/>
      <c r="K415" s="27" t="n"/>
      <c r="L415" s="44" t="n">
        <v>73.8</v>
      </c>
      <c r="M415" s="32" t="n"/>
      <c r="N415" s="22" t="n"/>
      <c r="O415" s="26" t="n">
        <v>16400</v>
      </c>
      <c r="P415" s="46" t="n">
        <v>254.5</v>
      </c>
      <c r="Q415" s="31" t="n">
        <v>8.9</v>
      </c>
      <c r="R415" s="45" t="n">
        <v>0.07000000000000001</v>
      </c>
      <c r="S415" s="33" t="n"/>
      <c r="T415" s="28" t="n">
        <v>15</v>
      </c>
      <c r="U415" s="22" t="n"/>
      <c r="V415" s="22" t="n"/>
      <c r="W415" s="31" t="n"/>
      <c r="X415" s="31" t="n"/>
      <c r="Y415" s="35" t="n"/>
      <c r="Z415" s="35" t="n"/>
      <c r="AA415" s="22" t="n"/>
      <c r="AB415" s="22" t="n"/>
      <c r="AC415" s="22" t="n"/>
      <c r="AD415" s="22" t="n"/>
      <c r="AE415" s="22" t="n"/>
      <c r="AK415">
        <f>IF(AND(Screener!$B$7&lt;&gt;"",$E415=Screener!$B$7),1,0)</f>
        <v/>
      </c>
      <c r="AL415">
        <f>IF(AND(Screener!$B$6&lt;&gt;"",$D415=Screener!$B$6),1,0)</f>
        <v/>
      </c>
      <c r="AM415">
        <f>IF(OR($H415="",Screener!$B$8=""),0,MAX(0,1-ABS(LOG10($H415/Screener!$B$8))/W_SIZEHW))</f>
        <v/>
      </c>
      <c r="AN415">
        <f>IF(OR($V415="",Screener!$B$9=""),0,IF($V415=Screener!$B$9,1,0))</f>
        <v/>
      </c>
      <c r="AO415">
        <f>IF(OR($AA415="",Screener!$B$10=""),0,IF($AA415=Screener!$B$10,1,0))</f>
        <v/>
      </c>
      <c r="AP415">
        <f>IF($G415="",0,MAX(0,1-(Screener!$B$12-$G415)/W_RECD))</f>
        <v/>
      </c>
      <c r="AQ415">
        <f>IF($B415=Screener!$B$3,-999999,W_SUB*AK415+W_SEC*AL415*(1-AK415)+W_SIZE*AM415+W_PROF*AN415+W_AH*AO415+W_REC*AP415)+ROW()/1000000</f>
        <v/>
      </c>
      <c r="AR415">
        <f>IF(OR('NEW DEAL'!$B$6="",$E415&lt;&gt;'NEW DEAL'!$B$6),-1,1+IF(OR($H415="",'NEW DEAL'!$B$7=""),0,MAX(0,1-ABS(LOG10($H415/'NEW DEAL'!$B$7))/W_SIZEHW)))+ROW()/1000000</f>
        <v/>
      </c>
    </row>
    <row r="416">
      <c r="A416" s="23" t="inlineStr">
        <is>
          <t>6082</t>
        </is>
      </c>
      <c r="B416" s="22" t="inlineStr">
        <is>
          <t>BIREN TECH</t>
        </is>
      </c>
      <c r="C416" s="22" t="inlineStr">
        <is>
          <t>上海壁仞科技股份有限公司</t>
        </is>
      </c>
      <c r="D416" s="24" t="inlineStr">
        <is>
          <t>Tech/AI</t>
        </is>
      </c>
      <c r="E416" s="24" t="inlineStr">
        <is>
          <t>AI chips &amp; semis</t>
        </is>
      </c>
      <c r="F416" s="22" t="inlineStr">
        <is>
          <t>Standard</t>
        </is>
      </c>
      <c r="G416" s="43" t="n">
        <v>46024</v>
      </c>
      <c r="H416" s="26" t="n">
        <v>5583</v>
      </c>
      <c r="I416" s="22" t="inlineStr">
        <is>
          <t>gross (stated)</t>
        </is>
      </c>
      <c r="J416" s="27" t="n">
        <v>17</v>
      </c>
      <c r="K416" s="27" t="n">
        <v>19.6</v>
      </c>
      <c r="L416" s="44" t="n">
        <v>19.6</v>
      </c>
      <c r="M416" s="28" t="n">
        <v>100</v>
      </c>
      <c r="N416" s="29" t="inlineStr">
        <is>
          <t>Y</t>
        </is>
      </c>
      <c r="O416" s="36" t="n">
        <v>40103</v>
      </c>
      <c r="P416" s="46" t="n">
        <v>2347.53</v>
      </c>
      <c r="Q416" s="31" t="n"/>
      <c r="R416" s="45" t="n">
        <v>75.81999999999999</v>
      </c>
      <c r="S416" s="33" t="n">
        <v>51.93</v>
      </c>
      <c r="T416" s="32" t="n">
        <v>15.87</v>
      </c>
      <c r="U416" s="22" t="n"/>
      <c r="V416" s="29" t="inlineStr">
        <is>
          <t>N</t>
        </is>
      </c>
      <c r="W416" s="31" t="n"/>
      <c r="X416" s="34" t="n">
        <v>108.2</v>
      </c>
      <c r="Y416" s="36" t="n">
        <v>370.5</v>
      </c>
      <c r="Z416" s="36" t="n">
        <v>-1691.9</v>
      </c>
      <c r="AA416" s="22" t="n"/>
      <c r="AB416" s="22" t="n"/>
      <c r="AC416" s="22" t="inlineStr">
        <is>
          <t>China International Capital Corporation Hong Kong Securities Limited; Ping An of China Capital (Hong Kong) Company Limited; BOCI Asia Limited; Hong Kong Securities Limited; Ping An Securities (Hong Kong) Company Limited</t>
        </is>
      </c>
      <c r="AD416" s="22" t="inlineStr">
        <is>
          <t>China International Capital Corporation Hong Kong Securities Limited; Ping An Securities (Hong Kong) Company Limited; BOCI Asia Limited; Central, Hong Kong CLSA Limited; Orient Securities (Hong Kong) Limited; Futu Securities International (Hong Kong) Limited; Managers China International Capital Corporation Hong Kong Securities Limited; SPDB International Capital Limited</t>
        </is>
      </c>
      <c r="AE416" s="22" t="n"/>
      <c r="AK416">
        <f>IF(AND(Screener!$B$7&lt;&gt;"",$E416=Screener!$B$7),1,0)</f>
        <v/>
      </c>
      <c r="AL416">
        <f>IF(AND(Screener!$B$6&lt;&gt;"",$D416=Screener!$B$6),1,0)</f>
        <v/>
      </c>
      <c r="AM416">
        <f>IF(OR($H416="",Screener!$B$8=""),0,MAX(0,1-ABS(LOG10($H416/Screener!$B$8))/W_SIZEHW))</f>
        <v/>
      </c>
      <c r="AN416">
        <f>IF(OR($V416="",Screener!$B$9=""),0,IF($V416=Screener!$B$9,1,0))</f>
        <v/>
      </c>
      <c r="AO416">
        <f>IF(OR($AA416="",Screener!$B$10=""),0,IF($AA416=Screener!$B$10,1,0))</f>
        <v/>
      </c>
      <c r="AP416">
        <f>IF($G416="",0,MAX(0,1-(Screener!$B$12-$G416)/W_RECD))</f>
        <v/>
      </c>
      <c r="AQ416">
        <f>IF($B416=Screener!$B$3,-999999,W_SUB*AK416+W_SEC*AL416*(1-AK416)+W_SIZE*AM416+W_PROF*AN416+W_AH*AO416+W_REC*AP416)+ROW()/1000000</f>
        <v/>
      </c>
      <c r="AR416">
        <f>IF(OR('NEW DEAL'!$B$6="",$E416&lt;&gt;'NEW DEAL'!$B$6),-1,1+IF(OR($H416="",'NEW DEAL'!$B$7=""),0,MAX(0,1-ABS(LOG10($H416/'NEW DEAL'!$B$7))/W_SIZEHW)))+ROW()/1000000</f>
        <v/>
      </c>
    </row>
    <row r="417">
      <c r="A417" s="23" t="inlineStr">
        <is>
          <t>2513</t>
        </is>
      </c>
      <c r="B417" s="22" t="inlineStr">
        <is>
          <t>KNOWLEDGE ATLAS</t>
        </is>
      </c>
      <c r="C417" s="22" t="inlineStr">
        <is>
          <t>北京智譜華章科技股份有限公司</t>
        </is>
      </c>
      <c r="D417" s="24" t="inlineStr">
        <is>
          <t>Tech/AI</t>
        </is>
      </c>
      <c r="E417" s="24" t="inlineStr">
        <is>
          <t>LLM / foundation model</t>
        </is>
      </c>
      <c r="F417" s="22" t="inlineStr">
        <is>
          <t>Standard</t>
        </is>
      </c>
      <c r="G417" s="43" t="n">
        <v>46030</v>
      </c>
      <c r="H417" s="26" t="n">
        <v>4348.1</v>
      </c>
      <c r="I417" s="22" t="inlineStr">
        <is>
          <t>gross (stated)</t>
        </is>
      </c>
      <c r="J417" s="27" t="n"/>
      <c r="K417" s="27" t="n"/>
      <c r="L417" s="44" t="n">
        <v>116.2</v>
      </c>
      <c r="M417" s="32" t="n"/>
      <c r="N417" s="22" t="n"/>
      <c r="O417" s="26" t="n">
        <v>45058</v>
      </c>
      <c r="P417" s="46" t="n">
        <v>1159.46</v>
      </c>
      <c r="Q417" s="31" t="n">
        <v>15.28</v>
      </c>
      <c r="R417" s="45" t="n">
        <v>13.17</v>
      </c>
      <c r="S417" s="33" t="n">
        <v>68.63</v>
      </c>
      <c r="T417" s="32" t="n">
        <v>5.83</v>
      </c>
      <c r="U417" s="22" t="n"/>
      <c r="V417" s="22" t="n"/>
      <c r="W417" s="31" t="n"/>
      <c r="X417" s="34" t="n">
        <v>131.1</v>
      </c>
      <c r="Y417" s="36" t="n">
        <v>343.7</v>
      </c>
      <c r="Z417" s="35" t="n"/>
      <c r="AA417" s="22" t="n"/>
      <c r="AB417" s="22" t="n"/>
      <c r="AC417" s="22" t="n"/>
      <c r="AD417" s="22" t="inlineStr">
        <is>
          <t>Hong Kong Securities Limited; Central, Hong Kong Huatai Financial Holdings (Hong Kong) Limited; BOCOM International Securities Limited; Guotai Junan Securities (Hong Kong) Limited; China Merchants Securities (HK) Co., Limited; Futu Securities International (Hong Kong) Limited; Tiger Brokers (HK) Global Limited; SPDB International Capital Limited; Zheshang International Financial Holdings Co., Limited; Riche Bright Securities Limited; UOB Kay Hian (Hong Kong) Limited</t>
        </is>
      </c>
      <c r="AE417" s="22" t="n"/>
      <c r="AK417">
        <f>IF(AND(Screener!$B$7&lt;&gt;"",$E417=Screener!$B$7),1,0)</f>
        <v/>
      </c>
      <c r="AL417">
        <f>IF(AND(Screener!$B$6&lt;&gt;"",$D417=Screener!$B$6),1,0)</f>
        <v/>
      </c>
      <c r="AM417">
        <f>IF(OR($H417="",Screener!$B$8=""),0,MAX(0,1-ABS(LOG10($H417/Screener!$B$8))/W_SIZEHW))</f>
        <v/>
      </c>
      <c r="AN417">
        <f>IF(OR($V417="",Screener!$B$9=""),0,IF($V417=Screener!$B$9,1,0))</f>
        <v/>
      </c>
      <c r="AO417">
        <f>IF(OR($AA417="",Screener!$B$10=""),0,IF($AA417=Screener!$B$10,1,0))</f>
        <v/>
      </c>
      <c r="AP417">
        <f>IF($G417="",0,MAX(0,1-(Screener!$B$12-$G417)/W_RECD))</f>
        <v/>
      </c>
      <c r="AQ417">
        <f>IF($B417=Screener!$B$3,-999999,W_SUB*AK417+W_SEC*AL417*(1-AK417)+W_SIZE*AM417+W_PROF*AN417+W_AH*AO417+W_REC*AP417)+ROW()/1000000</f>
        <v/>
      </c>
      <c r="AR417">
        <f>IF(OR('NEW DEAL'!$B$6="",$E417&lt;&gt;'NEW DEAL'!$B$6),-1,1+IF(OR($H417="",'NEW DEAL'!$B$7=""),0,MAX(0,1-ABS(LOG10($H417/'NEW DEAL'!$B$7))/W_SIZEHW)))+ROW()/1000000</f>
        <v/>
      </c>
    </row>
    <row r="418">
      <c r="A418" s="23" t="inlineStr">
        <is>
          <t>9903</t>
        </is>
      </c>
      <c r="B418" s="22" t="inlineStr">
        <is>
          <t>ILUVATAR COREX</t>
        </is>
      </c>
      <c r="C418" s="22" t="n"/>
      <c r="D418" s="24" t="inlineStr">
        <is>
          <t>Tech/AI</t>
        </is>
      </c>
      <c r="E418" s="24" t="inlineStr">
        <is>
          <t>AI chips &amp; semis</t>
        </is>
      </c>
      <c r="F418" s="22" t="inlineStr">
        <is>
          <t>Standard</t>
        </is>
      </c>
      <c r="G418" s="43" t="n">
        <v>46030</v>
      </c>
      <c r="H418" s="26" t="n">
        <v>3677.4</v>
      </c>
      <c r="I418" s="22" t="inlineStr">
        <is>
          <t>gross (stated)</t>
        </is>
      </c>
      <c r="J418" s="27" t="n"/>
      <c r="K418" s="27" t="n">
        <v>144.6</v>
      </c>
      <c r="L418" s="27" t="n">
        <v>144.6</v>
      </c>
      <c r="M418" s="32" t="n"/>
      <c r="N418" s="29" t="inlineStr">
        <is>
          <t>Y</t>
        </is>
      </c>
      <c r="O418" s="26" t="n">
        <v>36774.3</v>
      </c>
      <c r="P418" s="46" t="n">
        <v>414.24</v>
      </c>
      <c r="Q418" s="31" t="n">
        <v>10.68</v>
      </c>
      <c r="R418" s="45" t="n">
        <v>8.44</v>
      </c>
      <c r="S418" s="33" t="n">
        <v>43.02</v>
      </c>
      <c r="T418" s="32" t="n"/>
      <c r="U418" s="22" t="n"/>
      <c r="V418" s="22" t="n"/>
      <c r="W418" s="31" t="n"/>
      <c r="X418" s="34" t="n">
        <v>62</v>
      </c>
      <c r="Y418" s="36" t="n">
        <v>593.5</v>
      </c>
      <c r="Z418" s="35" t="n"/>
      <c r="AA418" s="22" t="n"/>
      <c r="AB418" s="22" t="n"/>
      <c r="AC418" s="22" t="inlineStr">
        <is>
          <t>Huatai Financial Holdings (Hong Kong) Limited</t>
        </is>
      </c>
      <c r="AD418" s="22" t="inlineStr">
        <is>
          <t>Huatai Financial Holdings (Hong Kong) Limited; CMB International Capital Limited; Zhongtai International Securities Limited; Guosen Securities (HK) Brokerage Company, Limited; Bowlea Securities Limited; Carnegie Hill Capital Partners Limited; DIRECTORS AND PARTIES INVOLVED IN THE GLOBAL OFFERING –8 3– Star River Securities Limited</t>
        </is>
      </c>
      <c r="AE418" s="22" t="n"/>
      <c r="AK418">
        <f>IF(AND(Screener!$B$7&lt;&gt;"",$E418=Screener!$B$7),1,0)</f>
        <v/>
      </c>
      <c r="AL418">
        <f>IF(AND(Screener!$B$6&lt;&gt;"",$D418=Screener!$B$6),1,0)</f>
        <v/>
      </c>
      <c r="AM418">
        <f>IF(OR($H418="",Screener!$B$8=""),0,MAX(0,1-ABS(LOG10($H418/Screener!$B$8))/W_SIZEHW))</f>
        <v/>
      </c>
      <c r="AN418">
        <f>IF(OR($V418="",Screener!$B$9=""),0,IF($V418=Screener!$B$9,1,0))</f>
        <v/>
      </c>
      <c r="AO418">
        <f>IF(OR($AA418="",Screener!$B$10=""),0,IF($AA418=Screener!$B$10,1,0))</f>
        <v/>
      </c>
      <c r="AP418">
        <f>IF($G418="",0,MAX(0,1-(Screener!$B$12-$G418)/W_RECD))</f>
        <v/>
      </c>
      <c r="AQ418">
        <f>IF($B418=Screener!$B$3,-999999,W_SUB*AK418+W_SEC*AL418*(1-AK418)+W_SIZE*AM418+W_PROF*AN418+W_AH*AO418+W_REC*AP418)+ROW()/1000000</f>
        <v/>
      </c>
      <c r="AR418">
        <f>IF(OR('NEW DEAL'!$B$6="",$E418&lt;&gt;'NEW DEAL'!$B$6),-1,1+IF(OR($H418="",'NEW DEAL'!$B$7=""),0,MAX(0,1-ABS(LOG10($H418/'NEW DEAL'!$B$7))/W_SIZEHW)))+ROW()/1000000</f>
        <v/>
      </c>
    </row>
    <row r="419">
      <c r="A419" s="23" t="inlineStr">
        <is>
          <t>2675</t>
        </is>
      </c>
      <c r="B419" s="22" t="inlineStr">
        <is>
          <t>EDGE MEDICAL-B</t>
        </is>
      </c>
      <c r="C419" s="22" t="inlineStr">
        <is>
          <t>深圳市精鋒醫療科技股份有限公司</t>
        </is>
      </c>
      <c r="D419" s="24" t="inlineStr">
        <is>
          <t>Healthcare</t>
        </is>
      </c>
      <c r="E419" s="24" t="inlineStr">
        <is>
          <t>Medical devices</t>
        </is>
      </c>
      <c r="F419" s="38" t="inlineStr">
        <is>
          <t>18A</t>
        </is>
      </c>
      <c r="G419" s="43" t="n">
        <v>46030</v>
      </c>
      <c r="H419" s="26" t="n">
        <v>1198.7</v>
      </c>
      <c r="I419" s="22" t="inlineStr">
        <is>
          <t>gross (stated)</t>
        </is>
      </c>
      <c r="J419" s="27" t="n"/>
      <c r="K419" s="27" t="n">
        <v>43.24</v>
      </c>
      <c r="L419" s="44" t="n">
        <v>43.24</v>
      </c>
      <c r="M419" s="32" t="n"/>
      <c r="N419" s="29" t="inlineStr">
        <is>
          <t>Y</t>
        </is>
      </c>
      <c r="O419" s="26" t="n">
        <v>16765.1</v>
      </c>
      <c r="P419" s="46" t="n">
        <v>1091.94</v>
      </c>
      <c r="Q419" s="31" t="n">
        <v>25.18</v>
      </c>
      <c r="R419" s="45" t="n">
        <v>30.9</v>
      </c>
      <c r="S419" s="33" t="n">
        <v>48.68</v>
      </c>
      <c r="T419" s="28" t="n">
        <v>15</v>
      </c>
      <c r="U419" s="22" t="n"/>
      <c r="V419" s="29" t="inlineStr">
        <is>
          <t>N</t>
        </is>
      </c>
      <c r="W419" s="31" t="n"/>
      <c r="X419" s="34" t="n">
        <v>503.5</v>
      </c>
      <c r="Y419" s="36" t="n">
        <v>33.3</v>
      </c>
      <c r="Z419" s="36" t="n">
        <v>-145.8</v>
      </c>
      <c r="AA419" s="22" t="n"/>
      <c r="AB419" s="22" t="n"/>
      <c r="AC419" s="22" t="inlineStr">
        <is>
          <t>Morgan Stanley Asia Limited; GF Capital (Hong Kong) Limited</t>
        </is>
      </c>
      <c r="AD419" s="22" t="n"/>
      <c r="AE419" s="22" t="n"/>
      <c r="AK419">
        <f>IF(AND(Screener!$B$7&lt;&gt;"",$E419=Screener!$B$7),1,0)</f>
        <v/>
      </c>
      <c r="AL419">
        <f>IF(AND(Screener!$B$6&lt;&gt;"",$D419=Screener!$B$6),1,0)</f>
        <v/>
      </c>
      <c r="AM419">
        <f>IF(OR($H419="",Screener!$B$8=""),0,MAX(0,1-ABS(LOG10($H419/Screener!$B$8))/W_SIZEHW))</f>
        <v/>
      </c>
      <c r="AN419">
        <f>IF(OR($V419="",Screener!$B$9=""),0,IF($V419=Screener!$B$9,1,0))</f>
        <v/>
      </c>
      <c r="AO419">
        <f>IF(OR($AA419="",Screener!$B$10=""),0,IF($AA419=Screener!$B$10,1,0))</f>
        <v/>
      </c>
      <c r="AP419">
        <f>IF($G419="",0,MAX(0,1-(Screener!$B$12-$G419)/W_RECD))</f>
        <v/>
      </c>
      <c r="AQ419">
        <f>IF($B419=Screener!$B$3,-999999,W_SUB*AK419+W_SEC*AL419*(1-AK419)+W_SIZE*AM419+W_PROF*AN419+W_AH*AO419+W_REC*AP419)+ROW()/1000000</f>
        <v/>
      </c>
      <c r="AR419">
        <f>IF(OR('NEW DEAL'!$B$6="",$E419&lt;&gt;'NEW DEAL'!$B$6),-1,1+IF(OR($H419="",'NEW DEAL'!$B$7=""),0,MAX(0,1-ABS(LOG10($H419/'NEW DEAL'!$B$7))/W_SIZEHW)))+ROW()/1000000</f>
        <v/>
      </c>
    </row>
    <row r="420">
      <c r="A420" s="23" t="inlineStr">
        <is>
          <t>0100</t>
        </is>
      </c>
      <c r="B420" s="22" t="inlineStr">
        <is>
          <t>MINIMAX-WP</t>
        </is>
      </c>
      <c r="C420" s="22" t="n"/>
      <c r="D420" s="24" t="inlineStr">
        <is>
          <t>Tech/AI</t>
        </is>
      </c>
      <c r="E420" s="24" t="inlineStr">
        <is>
          <t>LLM / foundation model</t>
        </is>
      </c>
      <c r="F420" s="38" t="inlineStr">
        <is>
          <t>WVR + 18C</t>
        </is>
      </c>
      <c r="G420" s="43" t="n">
        <v>46031</v>
      </c>
      <c r="H420" s="26" t="n">
        <v>4817.6</v>
      </c>
      <c r="I420" s="22" t="inlineStr">
        <is>
          <t>gross (stated)</t>
        </is>
      </c>
      <c r="J420" s="27" t="n"/>
      <c r="K420" s="27" t="n"/>
      <c r="L420" s="44" t="n">
        <v>165</v>
      </c>
      <c r="M420" s="32" t="n"/>
      <c r="N420" s="22" t="n"/>
      <c r="O420" s="36" t="n">
        <v>49555</v>
      </c>
      <c r="P420" s="46" t="n">
        <v>1837.17</v>
      </c>
      <c r="Q420" s="31" t="n"/>
      <c r="R420" s="45" t="n">
        <v>109.09</v>
      </c>
      <c r="S420" s="33" t="n">
        <v>56.53</v>
      </c>
      <c r="T420" s="32" t="n"/>
      <c r="U420" s="22" t="n"/>
      <c r="V420" s="22" t="n"/>
      <c r="W420" s="31" t="n"/>
      <c r="X420" s="31" t="n"/>
      <c r="Y420" s="35" t="n"/>
      <c r="Z420" s="35" t="n"/>
      <c r="AA420" s="22" t="n"/>
      <c r="AB420" s="22" t="n"/>
      <c r="AC420" s="22" t="n"/>
      <c r="AD420" s="22" t="n"/>
      <c r="AE420" s="22" t="n"/>
      <c r="AK420">
        <f>IF(AND(Screener!$B$7&lt;&gt;"",$E420=Screener!$B$7),1,0)</f>
        <v/>
      </c>
      <c r="AL420">
        <f>IF(AND(Screener!$B$6&lt;&gt;"",$D420=Screener!$B$6),1,0)</f>
        <v/>
      </c>
      <c r="AM420">
        <f>IF(OR($H420="",Screener!$B$8=""),0,MAX(0,1-ABS(LOG10($H420/Screener!$B$8))/W_SIZEHW))</f>
        <v/>
      </c>
      <c r="AN420">
        <f>IF(OR($V420="",Screener!$B$9=""),0,IF($V420=Screener!$B$9,1,0))</f>
        <v/>
      </c>
      <c r="AO420">
        <f>IF(OR($AA420="",Screener!$B$10=""),0,IF($AA420=Screener!$B$10,1,0))</f>
        <v/>
      </c>
      <c r="AP420">
        <f>IF($G420="",0,MAX(0,1-(Screener!$B$12-$G420)/W_RECD))</f>
        <v/>
      </c>
      <c r="AQ420">
        <f>IF($B420=Screener!$B$3,-999999,W_SUB*AK420+W_SEC*AL420*(1-AK420)+W_SIZE*AM420+W_PROF*AN420+W_AH*AO420+W_REC*AP420)+ROW()/1000000</f>
        <v/>
      </c>
      <c r="AR420">
        <f>IF(OR('NEW DEAL'!$B$6="",$E420&lt;&gt;'NEW DEAL'!$B$6),-1,1+IF(OR($H420="",'NEW DEAL'!$B$7=""),0,MAX(0,1-ABS(LOG10($H420/'NEW DEAL'!$B$7))/W_SIZEHW)))+ROW()/1000000</f>
        <v/>
      </c>
    </row>
    <row r="421">
      <c r="A421" s="23" t="inlineStr">
        <is>
          <t>6938</t>
        </is>
      </c>
      <c r="B421" s="22" t="inlineStr">
        <is>
          <t>RIBOLIFE-B</t>
        </is>
      </c>
      <c r="C421" s="22" t="n"/>
      <c r="D421" s="24" t="inlineStr">
        <is>
          <t>Healthcare</t>
        </is>
      </c>
      <c r="E421" s="24" t="inlineStr">
        <is>
          <t>Biotech pre-revenue (18A)</t>
        </is>
      </c>
      <c r="F421" s="38" t="inlineStr">
        <is>
          <t>18A</t>
        </is>
      </c>
      <c r="G421" s="43" t="n">
        <v>46031</v>
      </c>
      <c r="H421" s="26" t="n">
        <v>1832.45</v>
      </c>
      <c r="I421" s="22" t="inlineStr">
        <is>
          <t>gross (stated)</t>
        </is>
      </c>
      <c r="J421" s="27" t="n"/>
      <c r="K421" s="27" t="n">
        <v>57.97</v>
      </c>
      <c r="L421" s="44" t="n">
        <v>57.97</v>
      </c>
      <c r="M421" s="32" t="n"/>
      <c r="N421" s="29" t="inlineStr">
        <is>
          <t>Y</t>
        </is>
      </c>
      <c r="O421" s="36" t="n">
        <v>9373.200000000001</v>
      </c>
      <c r="P421" s="46" t="n">
        <v>101.06</v>
      </c>
      <c r="Q421" s="31" t="n">
        <v>16.7</v>
      </c>
      <c r="R421" s="45" t="n">
        <v>41.62</v>
      </c>
      <c r="S421" s="33" t="n">
        <v>42.5</v>
      </c>
      <c r="T421" s="28" t="n">
        <v>15</v>
      </c>
      <c r="U421" s="22" t="n"/>
      <c r="V421" s="29" t="inlineStr">
        <is>
          <t>N</t>
        </is>
      </c>
      <c r="W421" s="31" t="n"/>
      <c r="X421" s="34" t="n">
        <v>128.6</v>
      </c>
      <c r="Y421" s="36" t="n">
        <v>72.90000000000001</v>
      </c>
      <c r="Z421" s="36" t="n">
        <v>-155.7</v>
      </c>
      <c r="AA421" s="22" t="n"/>
      <c r="AB421" s="22" t="n"/>
      <c r="AC421" s="22" t="inlineStr">
        <is>
          <t>Citigroup Global Markets Asia Limited</t>
        </is>
      </c>
      <c r="AD421" s="22" t="inlineStr">
        <is>
          <t>China International Capital Corporation Hong Kong Securities Limited; Citigroup Global Markets Asia Limited; ICBC International Securities Limited; BOCI Asia Limited; Macquarie Capital Limited; ABCI Capital Limited; SDIC Securities (Hong Kong) Limited; Citigroup Global Markets Limited; Canary Wharf London E14 5LB United Kingdom ICBC International Securities Limited; Futu Securities International (Hong Kong) Limited</t>
        </is>
      </c>
      <c r="AE421" s="22" t="n"/>
      <c r="AK421">
        <f>IF(AND(Screener!$B$7&lt;&gt;"",$E421=Screener!$B$7),1,0)</f>
        <v/>
      </c>
      <c r="AL421">
        <f>IF(AND(Screener!$B$6&lt;&gt;"",$D421=Screener!$B$6),1,0)</f>
        <v/>
      </c>
      <c r="AM421">
        <f>IF(OR($H421="",Screener!$B$8=""),0,MAX(0,1-ABS(LOG10($H421/Screener!$B$8))/W_SIZEHW))</f>
        <v/>
      </c>
      <c r="AN421">
        <f>IF(OR($V421="",Screener!$B$9=""),0,IF($V421=Screener!$B$9,1,0))</f>
        <v/>
      </c>
      <c r="AO421">
        <f>IF(OR($AA421="",Screener!$B$10=""),0,IF($AA421=Screener!$B$10,1,0))</f>
        <v/>
      </c>
      <c r="AP421">
        <f>IF($G421="",0,MAX(0,1-(Screener!$B$12-$G421)/W_RECD))</f>
        <v/>
      </c>
      <c r="AQ421">
        <f>IF($B421=Screener!$B$3,-999999,W_SUB*AK421+W_SEC*AL421*(1-AK421)+W_SIZE*AM421+W_PROF*AN421+W_AH*AO421+W_REC*AP421)+ROW()/1000000</f>
        <v/>
      </c>
      <c r="AR421">
        <f>IF(OR('NEW DEAL'!$B$6="",$E421&lt;&gt;'NEW DEAL'!$B$6),-1,1+IF(OR($H421="",'NEW DEAL'!$B$7=""),0,MAX(0,1-ABS(LOG10($H421/'NEW DEAL'!$B$7))/W_SIZEHW)))+ROW()/1000000</f>
        <v/>
      </c>
    </row>
    <row r="422">
      <c r="A422" s="23" t="inlineStr">
        <is>
          <t>3636</t>
        </is>
      </c>
      <c r="B422" s="22" t="inlineStr">
        <is>
          <t>JINXUN RESOURCE</t>
        </is>
      </c>
      <c r="C422" s="22" t="n"/>
      <c r="D422" s="24" t="inlineStr">
        <is>
          <t>Materials/Energy</t>
        </is>
      </c>
      <c r="E422" s="24" t="inlineStr">
        <is>
          <t>Mining / metals</t>
        </is>
      </c>
      <c r="F422" s="22" t="inlineStr">
        <is>
          <t>Standard</t>
        </is>
      </c>
      <c r="G422" s="39" t="n">
        <v>46031</v>
      </c>
      <c r="H422" s="26" t="n">
        <v>1102.97</v>
      </c>
      <c r="I422" s="22" t="inlineStr">
        <is>
          <t>gross (stated)</t>
        </is>
      </c>
      <c r="J422" s="27" t="n"/>
      <c r="K422" s="27" t="n"/>
      <c r="L422" s="44" t="n">
        <v>30</v>
      </c>
      <c r="M422" s="32" t="n"/>
      <c r="N422" s="22" t="n"/>
      <c r="O422" s="35" t="n"/>
      <c r="P422" s="46" t="n">
        <v>143.46</v>
      </c>
      <c r="Q422" s="31" t="n">
        <v>12.78</v>
      </c>
      <c r="R422" s="45" t="n">
        <v>26</v>
      </c>
      <c r="S422" s="33" t="n">
        <v>42.5</v>
      </c>
      <c r="T422" s="28" t="n">
        <v>15</v>
      </c>
      <c r="U422" s="22" t="n"/>
      <c r="V422" s="22" t="n"/>
      <c r="W422" s="31" t="n"/>
      <c r="X422" s="31" t="n"/>
      <c r="Y422" s="35" t="n"/>
      <c r="Z422" s="35" t="n"/>
      <c r="AA422" s="22" t="n"/>
      <c r="AB422" s="22" t="n"/>
      <c r="AC422" s="22" t="n"/>
      <c r="AD422" s="22" t="n"/>
      <c r="AE422" s="22" t="n"/>
      <c r="AK422">
        <f>IF(AND(Screener!$B$7&lt;&gt;"",$E422=Screener!$B$7),1,0)</f>
        <v/>
      </c>
      <c r="AL422">
        <f>IF(AND(Screener!$B$6&lt;&gt;"",$D422=Screener!$B$6),1,0)</f>
        <v/>
      </c>
      <c r="AM422">
        <f>IF(OR($H422="",Screener!$B$8=""),0,MAX(0,1-ABS(LOG10($H422/Screener!$B$8))/W_SIZEHW))</f>
        <v/>
      </c>
      <c r="AN422">
        <f>IF(OR($V422="",Screener!$B$9=""),0,IF($V422=Screener!$B$9,1,0))</f>
        <v/>
      </c>
      <c r="AO422">
        <f>IF(OR($AA422="",Screener!$B$10=""),0,IF($AA422=Screener!$B$10,1,0))</f>
        <v/>
      </c>
      <c r="AP422">
        <f>IF($G422="",0,MAX(0,1-(Screener!$B$12-$G422)/W_RECD))</f>
        <v/>
      </c>
      <c r="AQ422">
        <f>IF($B422=Screener!$B$3,-999999,W_SUB*AK422+W_SEC*AL422*(1-AK422)+W_SIZE*AM422+W_PROF*AN422+W_AH*AO422+W_REC*AP422)+ROW()/1000000</f>
        <v/>
      </c>
      <c r="AR422">
        <f>IF(OR('NEW DEAL'!$B$6="",$E422&lt;&gt;'NEW DEAL'!$B$6),-1,1+IF(OR($H422="",'NEW DEAL'!$B$7=""),0,MAX(0,1-ABS(LOG10($H422/'NEW DEAL'!$B$7))/W_SIZEHW)))+ROW()/1000000</f>
        <v/>
      </c>
    </row>
    <row r="423">
      <c r="A423" s="23" t="inlineStr">
        <is>
          <t>0501</t>
        </is>
      </c>
      <c r="B423" s="22" t="inlineStr">
        <is>
          <t>OMNIVISION</t>
        </is>
      </c>
      <c r="C423" s="22" t="n"/>
      <c r="D423" s="24" t="inlineStr">
        <is>
          <t>Tech/AI</t>
        </is>
      </c>
      <c r="E423" s="24" t="inlineStr">
        <is>
          <t>AI chips &amp; semis</t>
        </is>
      </c>
      <c r="F423" s="22" t="inlineStr">
        <is>
          <t>Standard</t>
        </is>
      </c>
      <c r="G423" s="43" t="n">
        <v>46034</v>
      </c>
      <c r="H423" s="26" t="n">
        <v>4799.8</v>
      </c>
      <c r="I423" s="22" t="inlineStr">
        <is>
          <t>gross (stated)</t>
        </is>
      </c>
      <c r="J423" s="27" t="n"/>
      <c r="K423" s="27" t="n"/>
      <c r="L423" s="44" t="n">
        <v>104.8</v>
      </c>
      <c r="M423" s="32" t="n"/>
      <c r="N423" s="22" t="n"/>
      <c r="O423" s="35" t="n"/>
      <c r="P423" s="46" t="n">
        <v>9.279999999999999</v>
      </c>
      <c r="Q423" s="31" t="n">
        <v>9.73</v>
      </c>
      <c r="R423" s="47" t="n">
        <v>-25.95</v>
      </c>
      <c r="S423" s="33" t="n"/>
      <c r="T423" s="32" t="n"/>
      <c r="U423" s="22" t="n"/>
      <c r="V423" s="22" t="n"/>
      <c r="W423" s="31" t="n"/>
      <c r="X423" s="31" t="n"/>
      <c r="Y423" s="35" t="n"/>
      <c r="Z423" s="35" t="n"/>
      <c r="AA423" s="22" t="inlineStr">
        <is>
          <t>Y</t>
        </is>
      </c>
      <c r="AB423" s="38" t="inlineStr">
        <is>
          <t>603501.SS</t>
        </is>
      </c>
      <c r="AC423" s="22" t="n"/>
      <c r="AD423" s="22" t="n"/>
      <c r="AE423" s="22" t="n"/>
      <c r="AK423">
        <f>IF(AND(Screener!$B$7&lt;&gt;"",$E423=Screener!$B$7),1,0)</f>
        <v/>
      </c>
      <c r="AL423">
        <f>IF(AND(Screener!$B$6&lt;&gt;"",$D423=Screener!$B$6),1,0)</f>
        <v/>
      </c>
      <c r="AM423">
        <f>IF(OR($H423="",Screener!$B$8=""),0,MAX(0,1-ABS(LOG10($H423/Screener!$B$8))/W_SIZEHW))</f>
        <v/>
      </c>
      <c r="AN423">
        <f>IF(OR($V423="",Screener!$B$9=""),0,IF($V423=Screener!$B$9,1,0))</f>
        <v/>
      </c>
      <c r="AO423">
        <f>IF(OR($AA423="",Screener!$B$10=""),0,IF($AA423=Screener!$B$10,1,0))</f>
        <v/>
      </c>
      <c r="AP423">
        <f>IF($G423="",0,MAX(0,1-(Screener!$B$12-$G423)/W_RECD))</f>
        <v/>
      </c>
      <c r="AQ423">
        <f>IF($B423=Screener!$B$3,-999999,W_SUB*AK423+W_SEC*AL423*(1-AK423)+W_SIZE*AM423+W_PROF*AN423+W_AH*AO423+W_REC*AP423)+ROW()/1000000</f>
        <v/>
      </c>
      <c r="AR423">
        <f>IF(OR('NEW DEAL'!$B$6="",$E423&lt;&gt;'NEW DEAL'!$B$6),-1,1+IF(OR($H423="",'NEW DEAL'!$B$7=""),0,MAX(0,1-ABS(LOG10($H423/'NEW DEAL'!$B$7))/W_SIZEHW)))+ROW()/1000000</f>
        <v/>
      </c>
    </row>
    <row r="424">
      <c r="A424" s="23" t="inlineStr">
        <is>
          <t>1641</t>
        </is>
      </c>
      <c r="B424" s="22" t="inlineStr">
        <is>
          <t>HX COLDCHAIN</t>
        </is>
      </c>
      <c r="C424" s="22" t="n"/>
      <c r="D424" s="24" t="inlineStr">
        <is>
          <t>Industrials</t>
        </is>
      </c>
      <c r="E424" s="24" t="inlineStr">
        <is>
          <t>Logistics</t>
        </is>
      </c>
      <c r="F424" s="22" t="inlineStr">
        <is>
          <t>Standard</t>
        </is>
      </c>
      <c r="G424" s="43" t="n">
        <v>46035</v>
      </c>
      <c r="H424" s="26" t="n">
        <v>285.2</v>
      </c>
      <c r="I424" s="22" t="inlineStr">
        <is>
          <t>gross (stated)</t>
        </is>
      </c>
      <c r="J424" s="27" t="n"/>
      <c r="K424" s="27" t="n">
        <v>12.26</v>
      </c>
      <c r="L424" s="44" t="n">
        <v>12.26</v>
      </c>
      <c r="M424" s="32" t="n"/>
      <c r="N424" s="29" t="inlineStr">
        <is>
          <t>Y</t>
        </is>
      </c>
      <c r="O424" s="26" t="n">
        <v>1204.7</v>
      </c>
      <c r="P424" s="46" t="n">
        <v>2309.25</v>
      </c>
      <c r="Q424" s="31" t="n">
        <v>1.65</v>
      </c>
      <c r="R424" s="45" t="n">
        <v>0.33</v>
      </c>
      <c r="S424" s="33" t="n">
        <v>7.66</v>
      </c>
      <c r="T424" s="32" t="n">
        <v>15</v>
      </c>
      <c r="U424" s="22" t="n"/>
      <c r="V424" s="29" t="inlineStr">
        <is>
          <t>Y</t>
        </is>
      </c>
      <c r="W424" s="34" t="n">
        <v>13.2</v>
      </c>
      <c r="X424" s="34" t="n">
        <v>4.7</v>
      </c>
      <c r="Y424" s="36" t="n">
        <v>256.9</v>
      </c>
      <c r="Z424" s="36" t="n">
        <v>91.2</v>
      </c>
      <c r="AA424" s="22" t="n"/>
      <c r="AB424" s="22" t="n"/>
      <c r="AC424" s="22" t="inlineStr">
        <is>
          <t>CCB International Capital Limited; ABCI Capital Limited</t>
        </is>
      </c>
      <c r="AD424" s="22" t="inlineStr">
        <is>
          <t>CCB International Capital Limited; ABCI Capital Limited; A VICT Global Asset Management Limited; BOCOM International Securities Limited; CEB International Capital Corporation Limited; Sheung Wan, Hong Kong CMBC Securities Company Limited; Central, Hong Kong Guosen Securities (HK) Brokerage Company, Limited; Huafu International Securities Limited; Sheung Wan, Hong Kong MoneyMore Securities Limited; Orient Securities (Hong Kong) Limited; Ruibang Securities Limited; Wanchai, Hong Kong Shanxi Securities International Limited</t>
        </is>
      </c>
      <c r="AE424" s="22" t="n"/>
      <c r="AK424">
        <f>IF(AND(Screener!$B$7&lt;&gt;"",$E424=Screener!$B$7),1,0)</f>
        <v/>
      </c>
      <c r="AL424">
        <f>IF(AND(Screener!$B$6&lt;&gt;"",$D424=Screener!$B$6),1,0)</f>
        <v/>
      </c>
      <c r="AM424">
        <f>IF(OR($H424="",Screener!$B$8=""),0,MAX(0,1-ABS(LOG10($H424/Screener!$B$8))/W_SIZEHW))</f>
        <v/>
      </c>
      <c r="AN424">
        <f>IF(OR($V424="",Screener!$B$9=""),0,IF($V424=Screener!$B$9,1,0))</f>
        <v/>
      </c>
      <c r="AO424">
        <f>IF(OR($AA424="",Screener!$B$10=""),0,IF($AA424=Screener!$B$10,1,0))</f>
        <v/>
      </c>
      <c r="AP424">
        <f>IF($G424="",0,MAX(0,1-(Screener!$B$12-$G424)/W_RECD))</f>
        <v/>
      </c>
      <c r="AQ424">
        <f>IF($B424=Screener!$B$3,-999999,W_SUB*AK424+W_SEC*AL424*(1-AK424)+W_SIZE*AM424+W_PROF*AN424+W_AH*AO424+W_REC*AP424)+ROW()/1000000</f>
        <v/>
      </c>
      <c r="AR424">
        <f>IF(OR('NEW DEAL'!$B$6="",$E424&lt;&gt;'NEW DEAL'!$B$6),-1,1+IF(OR($H424="",'NEW DEAL'!$B$7=""),0,MAX(0,1-ABS(LOG10($H424/'NEW DEAL'!$B$7))/W_SIZEHW)))+ROW()/1000000</f>
        <v/>
      </c>
    </row>
    <row r="425">
      <c r="A425" s="23" t="inlineStr">
        <is>
          <t>3986</t>
        </is>
      </c>
      <c r="B425" s="22" t="inlineStr">
        <is>
          <t>GIGADEVICE</t>
        </is>
      </c>
      <c r="C425" s="22" t="inlineStr">
        <is>
          <t>兆易創新科技集團股份有限公司</t>
        </is>
      </c>
      <c r="D425" s="24" t="inlineStr">
        <is>
          <t>Tech/AI</t>
        </is>
      </c>
      <c r="E425" s="24" t="inlineStr">
        <is>
          <t>AI chips &amp; semis</t>
        </is>
      </c>
      <c r="F425" s="22" t="inlineStr">
        <is>
          <t>Standard</t>
        </is>
      </c>
      <c r="G425" s="43" t="n">
        <v>46035</v>
      </c>
      <c r="H425" s="26" t="n">
        <v>4684.4</v>
      </c>
      <c r="I425" s="22" t="inlineStr">
        <is>
          <t>gross (stated)</t>
        </is>
      </c>
      <c r="J425" s="27" t="n"/>
      <c r="K425" s="27" t="n">
        <v>162</v>
      </c>
      <c r="L425" s="44" t="n">
        <v>162</v>
      </c>
      <c r="M425" s="32" t="n"/>
      <c r="N425" s="29" t="inlineStr">
        <is>
          <t>Y</t>
        </is>
      </c>
      <c r="O425" s="36" t="n">
        <v>155197.4</v>
      </c>
      <c r="P425" s="46" t="n">
        <v>542.22</v>
      </c>
      <c r="Q425" s="31" t="n">
        <v>18.52</v>
      </c>
      <c r="R425" s="45" t="n">
        <v>37.53</v>
      </c>
      <c r="S425" s="33" t="n"/>
      <c r="T425" s="28" t="n">
        <v>15</v>
      </c>
      <c r="U425" s="22" t="n"/>
      <c r="V425" s="29" t="inlineStr">
        <is>
          <t>Y</t>
        </is>
      </c>
      <c r="W425" s="34" t="n">
        <v>128.2</v>
      </c>
      <c r="X425" s="34" t="n">
        <v>19.2</v>
      </c>
      <c r="Y425" s="36" t="n">
        <v>8091.6</v>
      </c>
      <c r="Z425" s="36" t="n">
        <v>1211</v>
      </c>
      <c r="AA425" s="22" t="inlineStr">
        <is>
          <t>Y</t>
        </is>
      </c>
      <c r="AB425" s="38" t="inlineStr">
        <is>
          <t>603986.SS</t>
        </is>
      </c>
      <c r="AC425" s="22" t="inlineStr">
        <is>
          <t>China International Capital Corporation Hong Kong Securities Limited; Huatai Financial Holdings (Hong Kong) Limited</t>
        </is>
      </c>
      <c r="AD425" s="22" t="n"/>
      <c r="AE425" s="22" t="n"/>
      <c r="AK425">
        <f>IF(AND(Screener!$B$7&lt;&gt;"",$E425=Screener!$B$7),1,0)</f>
        <v/>
      </c>
      <c r="AL425">
        <f>IF(AND(Screener!$B$6&lt;&gt;"",$D425=Screener!$B$6),1,0)</f>
        <v/>
      </c>
      <c r="AM425">
        <f>IF(OR($H425="",Screener!$B$8=""),0,MAX(0,1-ABS(LOG10($H425/Screener!$B$8))/W_SIZEHW))</f>
        <v/>
      </c>
      <c r="AN425">
        <f>IF(OR($V425="",Screener!$B$9=""),0,IF($V425=Screener!$B$9,1,0))</f>
        <v/>
      </c>
      <c r="AO425">
        <f>IF(OR($AA425="",Screener!$B$10=""),0,IF($AA425=Screener!$B$10,1,0))</f>
        <v/>
      </c>
      <c r="AP425">
        <f>IF($G425="",0,MAX(0,1-(Screener!$B$12-$G425)/W_RECD))</f>
        <v/>
      </c>
      <c r="AQ425">
        <f>IF($B425=Screener!$B$3,-999999,W_SUB*AK425+W_SEC*AL425*(1-AK425)+W_SIZE*AM425+W_PROF*AN425+W_AH*AO425+W_REC*AP425)+ROW()/1000000</f>
        <v/>
      </c>
      <c r="AR425">
        <f>IF(OR('NEW DEAL'!$B$6="",$E425&lt;&gt;'NEW DEAL'!$B$6),-1,1+IF(OR($H425="",'NEW DEAL'!$B$7=""),0,MAX(0,1-ABS(LOG10($H425/'NEW DEAL'!$B$7))/W_SIZEHW)))+ROW()/1000000</f>
        <v/>
      </c>
    </row>
    <row r="426">
      <c r="A426" s="23" t="inlineStr">
        <is>
          <t>9611</t>
        </is>
      </c>
      <c r="B426" s="22" t="inlineStr">
        <is>
          <t>LONGCHEER</t>
        </is>
      </c>
      <c r="C426" s="22" t="inlineStr">
        <is>
          <t>上海龍旗科技股份有限公司</t>
        </is>
      </c>
      <c r="D426" s="24" t="inlineStr">
        <is>
          <t>Tech/AI</t>
        </is>
      </c>
      <c r="E426" s="24" t="inlineStr">
        <is>
          <t>Smart hardware / consumer electronics</t>
        </is>
      </c>
      <c r="F426" s="22" t="inlineStr">
        <is>
          <t>Standard</t>
        </is>
      </c>
      <c r="G426" s="43" t="n">
        <v>46044</v>
      </c>
      <c r="H426" s="26" t="n">
        <v>1620</v>
      </c>
      <c r="I426" s="22" t="inlineStr">
        <is>
          <t>gross (stated)</t>
        </is>
      </c>
      <c r="J426" s="27" t="n"/>
      <c r="K426" s="27" t="n">
        <v>31</v>
      </c>
      <c r="L426" s="44" t="n">
        <v>31</v>
      </c>
      <c r="M426" s="32" t="n"/>
      <c r="N426" s="29" t="inlineStr">
        <is>
          <t>Y</t>
        </is>
      </c>
      <c r="O426" s="36" t="n">
        <v>25813.8</v>
      </c>
      <c r="P426" s="46" t="n">
        <v>1149.76</v>
      </c>
      <c r="Q426" s="31" t="n">
        <v>0.64</v>
      </c>
      <c r="R426" s="45" t="n">
        <v>3.55</v>
      </c>
      <c r="S426" s="33" t="n">
        <v>27.17</v>
      </c>
      <c r="T426" s="28" t="n">
        <v>15</v>
      </c>
      <c r="U426" s="22" t="n"/>
      <c r="V426" s="29" t="inlineStr">
        <is>
          <t>Y</t>
        </is>
      </c>
      <c r="W426" s="34" t="n">
        <v>47.6</v>
      </c>
      <c r="X426" s="34" t="n">
        <v>0.5</v>
      </c>
      <c r="Y426" s="36" t="n">
        <v>51020.7</v>
      </c>
      <c r="Z426" s="36" t="n">
        <v>542.7</v>
      </c>
      <c r="AA426" s="22" t="inlineStr">
        <is>
          <t>Y</t>
        </is>
      </c>
      <c r="AB426" s="22" t="inlineStr">
        <is>
          <t>603341.SS</t>
        </is>
      </c>
      <c r="AC426" s="22" t="inlineStr">
        <is>
          <t>Citigroup Global Markets Asia Limited; Haitong International Capital Limited; Guotai Junan Capital Limited</t>
        </is>
      </c>
      <c r="AD426" s="22" t="inlineStr">
        <is>
          <t>Citigroup Global Markets Asia Limited; Haitong International Securities Company Limited; Guotai Junan Securities (Hong Kong) Limited; Huatai Financial Holdings (Hong Kong) Limited; ABCI Capital Limited; Citigroup Global Markets Limited; Tiger Brokers (HK) Global Limited</t>
        </is>
      </c>
      <c r="AE426" s="22" t="n"/>
      <c r="AK426">
        <f>IF(AND(Screener!$B$7&lt;&gt;"",$E426=Screener!$B$7),1,0)</f>
        <v/>
      </c>
      <c r="AL426">
        <f>IF(AND(Screener!$B$6&lt;&gt;"",$D426=Screener!$B$6),1,0)</f>
        <v/>
      </c>
      <c r="AM426">
        <f>IF(OR($H426="",Screener!$B$8=""),0,MAX(0,1-ABS(LOG10($H426/Screener!$B$8))/W_SIZEHW))</f>
        <v/>
      </c>
      <c r="AN426">
        <f>IF(OR($V426="",Screener!$B$9=""),0,IF($V426=Screener!$B$9,1,0))</f>
        <v/>
      </c>
      <c r="AO426">
        <f>IF(OR($AA426="",Screener!$B$10=""),0,IF($AA426=Screener!$B$10,1,0))</f>
        <v/>
      </c>
      <c r="AP426">
        <f>IF($G426="",0,MAX(0,1-(Screener!$B$12-$G426)/W_RECD))</f>
        <v/>
      </c>
      <c r="AQ426">
        <f>IF($B426=Screener!$B$3,-999999,W_SUB*AK426+W_SEC*AL426*(1-AK426)+W_SIZE*AM426+W_PROF*AN426+W_AH*AO426+W_REC*AP426)+ROW()/1000000</f>
        <v/>
      </c>
      <c r="AR426">
        <f>IF(OR('NEW DEAL'!$B$6="",$E426&lt;&gt;'NEW DEAL'!$B$6),-1,1+IF(OR($H426="",'NEW DEAL'!$B$7=""),0,MAX(0,1-ABS(LOG10($H426/'NEW DEAL'!$B$7))/W_SIZEHW)))+ROW()/1000000</f>
        <v/>
      </c>
    </row>
    <row r="427">
      <c r="A427" s="23" t="inlineStr">
        <is>
          <t>1768</t>
        </is>
      </c>
      <c r="B427" s="22" t="inlineStr">
        <is>
          <t>BUSYMING</t>
        </is>
      </c>
      <c r="C427" s="22" t="n"/>
      <c r="D427" s="24" t="inlineStr">
        <is>
          <t>Other</t>
        </is>
      </c>
      <c r="E427" s="24" t="inlineStr">
        <is>
          <t>Other / unclassified</t>
        </is>
      </c>
      <c r="F427" s="22" t="inlineStr">
        <is>
          <t>Standard</t>
        </is>
      </c>
      <c r="G427" s="43" t="n">
        <v>46050</v>
      </c>
      <c r="H427" s="26" t="n">
        <v>3670</v>
      </c>
      <c r="I427" s="22" t="inlineStr">
        <is>
          <t>gross (stated)</t>
        </is>
      </c>
      <c r="J427" s="27" t="n"/>
      <c r="K427" s="27" t="n"/>
      <c r="L427" s="44" t="n">
        <v>236.6</v>
      </c>
      <c r="M427" s="32" t="n"/>
      <c r="N427" s="22" t="n"/>
      <c r="O427" s="26" t="n">
        <v>50989.9</v>
      </c>
      <c r="P427" s="46" t="n">
        <v>1899.49</v>
      </c>
      <c r="Q427" s="31" t="n">
        <v>44.44</v>
      </c>
      <c r="R427" s="45" t="n">
        <v>69.06</v>
      </c>
      <c r="S427" s="33" t="n"/>
      <c r="T427" s="32" t="n"/>
      <c r="U427" s="22" t="n"/>
      <c r="V427" s="22" t="n"/>
      <c r="W427" s="31" t="n"/>
      <c r="X427" s="31" t="n"/>
      <c r="Y427" s="35" t="n"/>
      <c r="Z427" s="35" t="n"/>
      <c r="AA427" s="22" t="n"/>
      <c r="AB427" s="22" t="n"/>
      <c r="AC427" s="22" t="n"/>
      <c r="AD427" s="22" t="n"/>
      <c r="AE427" s="22" t="n"/>
      <c r="AK427">
        <f>IF(AND(Screener!$B$7&lt;&gt;"",$E427=Screener!$B$7),1,0)</f>
        <v/>
      </c>
      <c r="AL427">
        <f>IF(AND(Screener!$B$6&lt;&gt;"",$D427=Screener!$B$6),1,0)</f>
        <v/>
      </c>
      <c r="AM427">
        <f>IF(OR($H427="",Screener!$B$8=""),0,MAX(0,1-ABS(LOG10($H427/Screener!$B$8))/W_SIZEHW))</f>
        <v/>
      </c>
      <c r="AN427">
        <f>IF(OR($V427="",Screener!$B$9=""),0,IF($V427=Screener!$B$9,1,0))</f>
        <v/>
      </c>
      <c r="AO427">
        <f>IF(OR($AA427="",Screener!$B$10=""),0,IF($AA427=Screener!$B$10,1,0))</f>
        <v/>
      </c>
      <c r="AP427">
        <f>IF($G427="",0,MAX(0,1-(Screener!$B$12-$G427)/W_RECD))</f>
        <v/>
      </c>
      <c r="AQ427">
        <f>IF($B427=Screener!$B$3,-999999,W_SUB*AK427+W_SEC*AL427*(1-AK427)+W_SIZE*AM427+W_PROF*AN427+W_AH*AO427+W_REC*AP427)+ROW()/1000000</f>
        <v/>
      </c>
      <c r="AR427">
        <f>IF(OR('NEW DEAL'!$B$6="",$E427&lt;&gt;'NEW DEAL'!$B$6),-1,1+IF(OR($H427="",'NEW DEAL'!$B$7=""),0,MAX(0,1-ABS(LOG10($H427/'NEW DEAL'!$B$7))/W_SIZEHW)))+ROW()/1000000</f>
        <v/>
      </c>
    </row>
    <row r="428">
      <c r="A428" s="23" t="inlineStr">
        <is>
          <t>9980</t>
        </is>
      </c>
      <c r="B428" s="22" t="inlineStr">
        <is>
          <t>EASTROC</t>
        </is>
      </c>
      <c r="C428" s="22" t="n"/>
      <c r="D428" s="24" t="inlineStr">
        <is>
          <t>Consumer</t>
        </is>
      </c>
      <c r="E428" s="24" t="inlineStr">
        <is>
          <t>Beverages / packaged food</t>
        </is>
      </c>
      <c r="F428" s="22" t="inlineStr">
        <is>
          <t>Standard</t>
        </is>
      </c>
      <c r="G428" s="43" t="n">
        <v>46056</v>
      </c>
      <c r="H428" s="26" t="n">
        <v>10140.7</v>
      </c>
      <c r="I428" s="22" t="inlineStr">
        <is>
          <t>gross (stated)</t>
        </is>
      </c>
      <c r="J428" s="27" t="n"/>
      <c r="K428" s="27" t="n">
        <v>248</v>
      </c>
      <c r="L428" s="44" t="n">
        <v>248</v>
      </c>
      <c r="M428" s="32" t="n"/>
      <c r="N428" s="29" t="inlineStr">
        <is>
          <t>Y</t>
        </is>
      </c>
      <c r="O428" s="26" t="n">
        <v>122324.5</v>
      </c>
      <c r="P428" s="46" t="n">
        <v>57.46</v>
      </c>
      <c r="Q428" s="31" t="n">
        <v>0.9987</v>
      </c>
      <c r="R428" s="45" t="n">
        <v>1.53</v>
      </c>
      <c r="S428" s="33" t="n">
        <v>49.2</v>
      </c>
      <c r="T428" s="32" t="n">
        <v>7.29</v>
      </c>
      <c r="U428" s="22" t="n"/>
      <c r="V428" s="29" t="inlineStr">
        <is>
          <t>Y</t>
        </is>
      </c>
      <c r="W428" s="34" t="n">
        <v>33.4</v>
      </c>
      <c r="X428" s="34" t="n">
        <v>7</v>
      </c>
      <c r="Y428" s="36" t="n">
        <v>17413.4</v>
      </c>
      <c r="Z428" s="36" t="n">
        <v>3659.1</v>
      </c>
      <c r="AA428" s="22" t="inlineStr">
        <is>
          <t>Y</t>
        </is>
      </c>
      <c r="AB428" s="38" t="inlineStr">
        <is>
          <t>605499.SS</t>
        </is>
      </c>
      <c r="AC428" s="22" t="inlineStr">
        <is>
          <t>Huatai Financial Holdings (Hong Kong) Limited; Morgan Stanley Asia Limited; UBS Securities Hong Kong Limited</t>
        </is>
      </c>
      <c r="AD428" s="22" t="inlineStr">
        <is>
          <t>Joint Lead Managers Huatai Financial Holdings (Hong Kong) Limited; Morgan Stanley Asia Limited; UBS AG Hong Kong Branch</t>
        </is>
      </c>
      <c r="AE428" s="22" t="n"/>
      <c r="AK428">
        <f>IF(AND(Screener!$B$7&lt;&gt;"",$E428=Screener!$B$7),1,0)</f>
        <v/>
      </c>
      <c r="AL428">
        <f>IF(AND(Screener!$B$6&lt;&gt;"",$D428=Screener!$B$6),1,0)</f>
        <v/>
      </c>
      <c r="AM428">
        <f>IF(OR($H428="",Screener!$B$8=""),0,MAX(0,1-ABS(LOG10($H428/Screener!$B$8))/W_SIZEHW))</f>
        <v/>
      </c>
      <c r="AN428">
        <f>IF(OR($V428="",Screener!$B$9=""),0,IF($V428=Screener!$B$9,1,0))</f>
        <v/>
      </c>
      <c r="AO428">
        <f>IF(OR($AA428="",Screener!$B$10=""),0,IF($AA428=Screener!$B$10,1,0))</f>
        <v/>
      </c>
      <c r="AP428">
        <f>IF($G428="",0,MAX(0,1-(Screener!$B$12-$G428)/W_RECD))</f>
        <v/>
      </c>
      <c r="AQ428">
        <f>IF($B428=Screener!$B$3,-999999,W_SUB*AK428+W_SEC*AL428*(1-AK428)+W_SIZE*AM428+W_PROF*AN428+W_AH*AO428+W_REC*AP428)+ROW()/1000000</f>
        <v/>
      </c>
      <c r="AR428">
        <f>IF(OR('NEW DEAL'!$B$6="",$E428&lt;&gt;'NEW DEAL'!$B$6),-1,1+IF(OR($H428="",'NEW DEAL'!$B$7=""),0,MAX(0,1-ABS(LOG10($H428/'NEW DEAL'!$B$7))/W_SIZEHW)))+ROW()/1000000</f>
        <v/>
      </c>
    </row>
    <row r="429">
      <c r="A429" s="23" t="inlineStr">
        <is>
          <t>2768</t>
        </is>
      </c>
      <c r="B429" s="22" t="inlineStr">
        <is>
          <t>GON TECHNOLOGY</t>
        </is>
      </c>
      <c r="C429" s="22" t="n"/>
      <c r="D429" s="24" t="inlineStr">
        <is>
          <t>Tech/AI</t>
        </is>
      </c>
      <c r="E429" s="24" t="inlineStr">
        <is>
          <t>Smart hardware / consumer electronics</t>
        </is>
      </c>
      <c r="F429" s="22" t="inlineStr">
        <is>
          <t>Standard</t>
        </is>
      </c>
      <c r="G429" s="39" t="n">
        <v>46057</v>
      </c>
      <c r="H429" s="26" t="n">
        <v>1080</v>
      </c>
      <c r="I429" s="22" t="inlineStr">
        <is>
          <t>gross (stated)</t>
        </is>
      </c>
      <c r="J429" s="27" t="n"/>
      <c r="K429" s="27" t="n"/>
      <c r="L429" s="44" t="n">
        <v>36</v>
      </c>
      <c r="M429" s="32" t="n"/>
      <c r="N429" s="22" t="n"/>
      <c r="O429" s="26" t="n">
        <v>10845</v>
      </c>
      <c r="P429" s="46" t="n">
        <v>2251.85</v>
      </c>
      <c r="Q429" s="31" t="n">
        <v>10.03</v>
      </c>
      <c r="R429" s="45" t="n">
        <v>11.56</v>
      </c>
      <c r="S429" s="33" t="n"/>
      <c r="T429" s="32" t="n"/>
      <c r="U429" s="22" t="n"/>
      <c r="V429" s="22" t="n"/>
      <c r="W429" s="31" t="n"/>
      <c r="X429" s="31" t="n"/>
      <c r="Y429" s="35" t="n"/>
      <c r="Z429" s="35" t="n"/>
      <c r="AA429" s="22" t="inlineStr">
        <is>
          <t>Y</t>
        </is>
      </c>
      <c r="AB429" s="22" t="inlineStr">
        <is>
          <t>002768.SZ</t>
        </is>
      </c>
      <c r="AC429" s="22" t="n"/>
      <c r="AD429" s="22" t="n"/>
      <c r="AE429" s="22" t="n"/>
      <c r="AK429">
        <f>IF(AND(Screener!$B$7&lt;&gt;"",$E429=Screener!$B$7),1,0)</f>
        <v/>
      </c>
      <c r="AL429">
        <f>IF(AND(Screener!$B$6&lt;&gt;"",$D429=Screener!$B$6),1,0)</f>
        <v/>
      </c>
      <c r="AM429">
        <f>IF(OR($H429="",Screener!$B$8=""),0,MAX(0,1-ABS(LOG10($H429/Screener!$B$8))/W_SIZEHW))</f>
        <v/>
      </c>
      <c r="AN429">
        <f>IF(OR($V429="",Screener!$B$9=""),0,IF($V429=Screener!$B$9,1,0))</f>
        <v/>
      </c>
      <c r="AO429">
        <f>IF(OR($AA429="",Screener!$B$10=""),0,IF($AA429=Screener!$B$10,1,0))</f>
        <v/>
      </c>
      <c r="AP429">
        <f>IF($G429="",0,MAX(0,1-(Screener!$B$12-$G429)/W_RECD))</f>
        <v/>
      </c>
      <c r="AQ429">
        <f>IF($B429=Screener!$B$3,-999999,W_SUB*AK429+W_SEC*AL429*(1-AK429)+W_SIZE*AM429+W_PROF*AN429+W_AH*AO429+W_REC*AP429)+ROW()/1000000</f>
        <v/>
      </c>
      <c r="AR429">
        <f>IF(OR('NEW DEAL'!$B$6="",$E429&lt;&gt;'NEW DEAL'!$B$6),-1,1+IF(OR($H429="",'NEW DEAL'!$B$7=""),0,MAX(0,1-ABS(LOG10($H429/'NEW DEAL'!$B$7))/W_SIZEHW)))+ROW()/1000000</f>
        <v/>
      </c>
    </row>
    <row r="430">
      <c r="A430" s="23" t="inlineStr">
        <is>
          <t>2677</t>
        </is>
      </c>
      <c r="B430" s="22" t="inlineStr">
        <is>
          <t>DISTINCT HEALTH</t>
        </is>
      </c>
      <c r="C430" s="22" t="inlineStr">
        <is>
          <t>卓正醫療控股有限公司</t>
        </is>
      </c>
      <c r="D430" s="24" t="inlineStr">
        <is>
          <t>Healthcare</t>
        </is>
      </c>
      <c r="E430" s="24" t="inlineStr">
        <is>
          <t>Digital health</t>
        </is>
      </c>
      <c r="F430" s="22" t="inlineStr">
        <is>
          <t>Standard</t>
        </is>
      </c>
      <c r="G430" s="43" t="n">
        <v>46059</v>
      </c>
      <c r="H430" s="26" t="n">
        <v>284.53</v>
      </c>
      <c r="I430" s="22" t="inlineStr">
        <is>
          <t>gross (stated)</t>
        </is>
      </c>
      <c r="J430" s="27" t="n">
        <v>57.7</v>
      </c>
      <c r="K430" s="27" t="n">
        <v>66.59999999999999</v>
      </c>
      <c r="L430" s="44" t="n">
        <v>59.9</v>
      </c>
      <c r="M430" s="28" t="n">
        <v>24.7</v>
      </c>
      <c r="N430" s="29" t="inlineStr">
        <is>
          <t>N</t>
        </is>
      </c>
      <c r="O430" s="26" t="n">
        <v>3856.6</v>
      </c>
      <c r="P430" s="46" t="n">
        <v>2730.73</v>
      </c>
      <c r="Q430" s="31" t="n">
        <v>5.79</v>
      </c>
      <c r="R430" s="45" t="n">
        <v>13.36</v>
      </c>
      <c r="S430" s="33" t="n">
        <v>29</v>
      </c>
      <c r="T430" s="28" t="n">
        <v>15</v>
      </c>
      <c r="U430" s="22" t="n"/>
      <c r="V430" s="29" t="inlineStr">
        <is>
          <t>Y</t>
        </is>
      </c>
      <c r="W430" s="34" t="n">
        <v>43.7</v>
      </c>
      <c r="X430" s="34" t="n">
        <v>3.7</v>
      </c>
      <c r="Y430" s="36" t="n">
        <v>1054.4</v>
      </c>
      <c r="Z430" s="36" t="n">
        <v>88.2</v>
      </c>
      <c r="AA430" s="22" t="n"/>
      <c r="AB430" s="22" t="n"/>
      <c r="AC430" s="22" t="inlineStr">
        <is>
          <t>Haitong International Capital Limited; SPDB International Capital Limited</t>
        </is>
      </c>
      <c r="AD430" s="22" t="inlineStr">
        <is>
          <t>Haitong International Securities Company Limited; SPDB International Capital Limited; CMB International Capital Limited; China Galaxy International Securities (Hong Kong) Co., Limited; CCB International Capital Limited; Central, Hong Kong ICBC International Securities Limited; China Renaissance Securities (Hong Kong) Limited; Futu Securities International (Hong Kong) Limited; Zhongtai International Securities Limited; XCap Partners Limited; Funde Securities Limited; Tiger Brokers (HK) Global Limited</t>
        </is>
      </c>
      <c r="AE430" s="22" t="n"/>
      <c r="AK430">
        <f>IF(AND(Screener!$B$7&lt;&gt;"",$E430=Screener!$B$7),1,0)</f>
        <v/>
      </c>
      <c r="AL430">
        <f>IF(AND(Screener!$B$6&lt;&gt;"",$D430=Screener!$B$6),1,0)</f>
        <v/>
      </c>
      <c r="AM430">
        <f>IF(OR($H430="",Screener!$B$8=""),0,MAX(0,1-ABS(LOG10($H430/Screener!$B$8))/W_SIZEHW))</f>
        <v/>
      </c>
      <c r="AN430">
        <f>IF(OR($V430="",Screener!$B$9=""),0,IF($V430=Screener!$B$9,1,0))</f>
        <v/>
      </c>
      <c r="AO430">
        <f>IF(OR($AA430="",Screener!$B$10=""),0,IF($AA430=Screener!$B$10,1,0))</f>
        <v/>
      </c>
      <c r="AP430">
        <f>IF($G430="",0,MAX(0,1-(Screener!$B$12-$G430)/W_RECD))</f>
        <v/>
      </c>
      <c r="AQ430">
        <f>IF($B430=Screener!$B$3,-999999,W_SUB*AK430+W_SEC*AL430*(1-AK430)+W_SIZE*AM430+W_PROF*AN430+W_AH*AO430+W_REC*AP430)+ROW()/1000000</f>
        <v/>
      </c>
      <c r="AR430">
        <f>IF(OR('NEW DEAL'!$B$6="",$E430&lt;&gt;'NEW DEAL'!$B$6),-1,1+IF(OR($H430="",'NEW DEAL'!$B$7=""),0,MAX(0,1-ABS(LOG10($H430/'NEW DEAL'!$B$7))/W_SIZEHW)))+ROW()/1000000</f>
        <v/>
      </c>
    </row>
    <row r="431">
      <c r="A431" s="23" t="inlineStr">
        <is>
          <t>3200</t>
        </is>
      </c>
      <c r="B431" s="22" t="inlineStr">
        <is>
          <t>HANS CNC</t>
        </is>
      </c>
      <c r="C431" s="22" t="n"/>
      <c r="D431" s="24" t="inlineStr">
        <is>
          <t>Industrials</t>
        </is>
      </c>
      <c r="E431" s="24" t="inlineStr">
        <is>
          <t>Capital goods / machinery</t>
        </is>
      </c>
      <c r="F431" s="22" t="inlineStr">
        <is>
          <t>Standard</t>
        </is>
      </c>
      <c r="G431" s="43" t="n">
        <v>46059</v>
      </c>
      <c r="H431" s="26" t="n">
        <v>4833.3</v>
      </c>
      <c r="I431" s="22" t="inlineStr">
        <is>
          <t>gross (stated)</t>
        </is>
      </c>
      <c r="J431" s="27" t="n"/>
      <c r="K431" s="27" t="n">
        <v>95.8</v>
      </c>
      <c r="L431" s="44" t="n">
        <v>95.8</v>
      </c>
      <c r="M431" s="32" t="n"/>
      <c r="N431" s="29" t="inlineStr">
        <is>
          <t>Y</t>
        </is>
      </c>
      <c r="O431" s="26" t="n">
        <v>40277.5</v>
      </c>
      <c r="P431" s="46" t="n">
        <v>446.39</v>
      </c>
      <c r="Q431" s="31" t="n">
        <v>21.07</v>
      </c>
      <c r="R431" s="45" t="n">
        <v>14.82</v>
      </c>
      <c r="S431" s="33" t="n"/>
      <c r="T431" s="28" t="n">
        <v>15</v>
      </c>
      <c r="U431" s="22" t="n"/>
      <c r="V431" s="29" t="inlineStr">
        <is>
          <t>Y</t>
        </is>
      </c>
      <c r="W431" s="34" t="n">
        <v>122.2</v>
      </c>
      <c r="X431" s="34" t="n">
        <v>11</v>
      </c>
      <c r="Y431" s="36" t="n">
        <v>3677.4</v>
      </c>
      <c r="Z431" s="36" t="n">
        <v>329.5</v>
      </c>
      <c r="AA431" s="22" t="inlineStr">
        <is>
          <t>Y</t>
        </is>
      </c>
      <c r="AB431" s="22" t="inlineStr">
        <is>
          <t>301200.SZ</t>
        </is>
      </c>
      <c r="AC431" s="22" t="inlineStr">
        <is>
          <t>China International Capital Corporation Hong Kong Securities Limited</t>
        </is>
      </c>
      <c r="AD431" s="22" t="inlineStr">
        <is>
          <t>China International Capital Corporation Hong Kong Securities Limited; Deutsche Bank AG, Hong Kong Branch; Sinolink Securities (Hong Kong) Company Limited; SDIC Securities (Hong Kong) Limited; DIRECTORS AND PARTIES INVOLVED IN THE GLOBAL OFFERING – 104 – ABCI Capital Limited</t>
        </is>
      </c>
      <c r="AE431" s="22" t="n"/>
      <c r="AK431">
        <f>IF(AND(Screener!$B$7&lt;&gt;"",$E431=Screener!$B$7),1,0)</f>
        <v/>
      </c>
      <c r="AL431">
        <f>IF(AND(Screener!$B$6&lt;&gt;"",$D431=Screener!$B$6),1,0)</f>
        <v/>
      </c>
      <c r="AM431">
        <f>IF(OR($H431="",Screener!$B$8=""),0,MAX(0,1-ABS(LOG10($H431/Screener!$B$8))/W_SIZEHW))</f>
        <v/>
      </c>
      <c r="AN431">
        <f>IF(OR($V431="",Screener!$B$9=""),0,IF($V431=Screener!$B$9,1,0))</f>
        <v/>
      </c>
      <c r="AO431">
        <f>IF(OR($AA431="",Screener!$B$10=""),0,IF($AA431=Screener!$B$10,1,0))</f>
        <v/>
      </c>
      <c r="AP431">
        <f>IF($G431="",0,MAX(0,1-(Screener!$B$12-$G431)/W_RECD))</f>
        <v/>
      </c>
      <c r="AQ431">
        <f>IF($B431=Screener!$B$3,-999999,W_SUB*AK431+W_SEC*AL431*(1-AK431)+W_SIZE*AM431+W_PROF*AN431+W_AH*AO431+W_REC*AP431)+ROW()/1000000</f>
        <v/>
      </c>
      <c r="AR431">
        <f>IF(OR('NEW DEAL'!$B$6="",$E431&lt;&gt;'NEW DEAL'!$B$6),-1,1+IF(OR($H431="",'NEW DEAL'!$B$7=""),0,MAX(0,1-ABS(LOG10($H431/'NEW DEAL'!$B$7))/W_SIZEHW)))+ROW()/1000000</f>
        <v/>
      </c>
    </row>
    <row r="432">
      <c r="A432" s="23" t="inlineStr">
        <is>
          <t>2714</t>
        </is>
      </c>
      <c r="B432" s="22" t="inlineStr">
        <is>
          <t>MUYUAN</t>
        </is>
      </c>
      <c r="C432" s="22" t="inlineStr">
        <is>
          <t>牧原食品股份有限公司</t>
        </is>
      </c>
      <c r="D432" s="24" t="inlineStr">
        <is>
          <t>Consumer</t>
        </is>
      </c>
      <c r="E432" s="24" t="inlineStr">
        <is>
          <t>Beverages / packaged food</t>
        </is>
      </c>
      <c r="F432" s="22" t="inlineStr">
        <is>
          <t>Standard</t>
        </is>
      </c>
      <c r="G432" s="43" t="n">
        <v>46059</v>
      </c>
      <c r="H432" s="26" t="n">
        <v>10684.1</v>
      </c>
      <c r="I432" s="22" t="inlineStr">
        <is>
          <t>gross (stated)</t>
        </is>
      </c>
      <c r="J432" s="27" t="n"/>
      <c r="K432" s="27" t="n">
        <v>39</v>
      </c>
      <c r="L432" s="44" t="n">
        <v>39</v>
      </c>
      <c r="M432" s="32" t="n"/>
      <c r="N432" s="29" t="inlineStr">
        <is>
          <t>Y</t>
        </is>
      </c>
      <c r="O432" s="36" t="n">
        <v>286002</v>
      </c>
      <c r="P432" s="46" t="n">
        <v>5.88</v>
      </c>
      <c r="Q432" s="31" t="n">
        <v>8.619999999999999</v>
      </c>
      <c r="R432" s="45" t="n">
        <v>3.9</v>
      </c>
      <c r="S432" s="42" t="n">
        <v>50</v>
      </c>
      <c r="T432" s="32" t="n">
        <v>15</v>
      </c>
      <c r="U432" s="22" t="n"/>
      <c r="V432" s="22" t="n"/>
      <c r="W432" s="31" t="n"/>
      <c r="X432" s="31" t="n"/>
      <c r="Y432" s="35" t="n"/>
      <c r="Z432" s="35" t="n"/>
      <c r="AA432" s="22" t="inlineStr">
        <is>
          <t>Y</t>
        </is>
      </c>
      <c r="AB432" s="38" t="inlineStr">
        <is>
          <t>002714.SZ</t>
        </is>
      </c>
      <c r="AC432" s="22" t="inlineStr">
        <is>
          <t>Morgan Stanley Asia Limited; CITIC Securities (Hong Kong) Limited; Goldman Sachs (Asia) L.L.C</t>
        </is>
      </c>
      <c r="AD432" s="22" t="inlineStr">
        <is>
          <t>Morgan Stanley Asia Limited; CLSA Limited; DIRECTORS AND PARTIES INVOLVED IN THE GLOBAL OFFERING –9 8– Goldman Sachs (Asia) L.L.C; China International Capital Corporation Hong Kong Securities Limited; Merrill Lynch (Asia Pacific) Limited; CMB International Capital Limited; China Merchants Securities (HK) Co., Limited; ABCI Capital Limited; BOCI Asia Limited; CCB International Capital Limited; Goldman Sachs (Asia) L.L.C; BOCOM International Securities Limited</t>
        </is>
      </c>
      <c r="AE432" s="22" t="n"/>
      <c r="AK432">
        <f>IF(AND(Screener!$B$7&lt;&gt;"",$E432=Screener!$B$7),1,0)</f>
        <v/>
      </c>
      <c r="AL432">
        <f>IF(AND(Screener!$B$6&lt;&gt;"",$D432=Screener!$B$6),1,0)</f>
        <v/>
      </c>
      <c r="AM432">
        <f>IF(OR($H432="",Screener!$B$8=""),0,MAX(0,1-ABS(LOG10($H432/Screener!$B$8))/W_SIZEHW))</f>
        <v/>
      </c>
      <c r="AN432">
        <f>IF(OR($V432="",Screener!$B$9=""),0,IF($V432=Screener!$B$9,1,0))</f>
        <v/>
      </c>
      <c r="AO432">
        <f>IF(OR($AA432="",Screener!$B$10=""),0,IF($AA432=Screener!$B$10,1,0))</f>
        <v/>
      </c>
      <c r="AP432">
        <f>IF($G432="",0,MAX(0,1-(Screener!$B$12-$G432)/W_RECD))</f>
        <v/>
      </c>
      <c r="AQ432">
        <f>IF($B432=Screener!$B$3,-999999,W_SUB*AK432+W_SEC*AL432*(1-AK432)+W_SIZE*AM432+W_PROF*AN432+W_AH*AO432+W_REC*AP432)+ROW()/1000000</f>
        <v/>
      </c>
      <c r="AR432">
        <f>IF(OR('NEW DEAL'!$B$6="",$E432&lt;&gt;'NEW DEAL'!$B$6),-1,1+IF(OR($H432="",'NEW DEAL'!$B$7=""),0,MAX(0,1-ABS(LOG10($H432/'NEW DEAL'!$B$7))/W_SIZEHW)))+ROW()/1000000</f>
        <v/>
      </c>
    </row>
    <row r="433">
      <c r="A433" s="23" t="inlineStr">
        <is>
          <t>6809</t>
        </is>
      </c>
      <c r="B433" s="22" t="inlineStr">
        <is>
          <t>MONTAGE TECH</t>
        </is>
      </c>
      <c r="C433" s="22" t="inlineStr">
        <is>
          <t>瀾起科技股份有限公司</t>
        </is>
      </c>
      <c r="D433" s="24" t="inlineStr">
        <is>
          <t>Tech/AI</t>
        </is>
      </c>
      <c r="E433" s="24" t="inlineStr">
        <is>
          <t>AI chips &amp; semis</t>
        </is>
      </c>
      <c r="F433" s="22" t="inlineStr">
        <is>
          <t>Standard</t>
        </is>
      </c>
      <c r="G433" s="43" t="n">
        <v>46062</v>
      </c>
      <c r="H433" s="26" t="n">
        <v>7043</v>
      </c>
      <c r="I433" s="22" t="inlineStr">
        <is>
          <t>gross (stated)</t>
        </is>
      </c>
      <c r="J433" s="27" t="n"/>
      <c r="K433" s="27" t="n">
        <v>106.89</v>
      </c>
      <c r="L433" s="44" t="n">
        <v>106.89</v>
      </c>
      <c r="M433" s="32" t="n"/>
      <c r="N433" s="29" t="inlineStr">
        <is>
          <t>Y</t>
        </is>
      </c>
      <c r="O433" s="26" t="n">
        <v>113600.4</v>
      </c>
      <c r="P433" s="46" t="n">
        <v>707.3</v>
      </c>
      <c r="Q433" s="31" t="n">
        <v>37.67</v>
      </c>
      <c r="R433" s="45" t="n">
        <v>63.72</v>
      </c>
      <c r="S433" s="33" t="n"/>
      <c r="T433" s="28" t="n">
        <v>15</v>
      </c>
      <c r="U433" s="22" t="n"/>
      <c r="V433" s="29" t="inlineStr">
        <is>
          <t>Y</t>
        </is>
      </c>
      <c r="W433" s="34" t="n">
        <v>77</v>
      </c>
      <c r="X433" s="34" t="n">
        <v>28.4</v>
      </c>
      <c r="Y433" s="36" t="n">
        <v>4002.8</v>
      </c>
      <c r="Z433" s="36" t="n">
        <v>1474.8</v>
      </c>
      <c r="AA433" s="22" t="inlineStr">
        <is>
          <t>Y</t>
        </is>
      </c>
      <c r="AB433" s="38" t="inlineStr">
        <is>
          <t>688008.SS</t>
        </is>
      </c>
      <c r="AC433" s="22" t="inlineStr">
        <is>
          <t>China International Capital Corporation Hong Kong Securities Limited; Morgan Stanley Asia Limited; UBS Securities Hong Kong Limited</t>
        </is>
      </c>
      <c r="AD433" s="22" t="inlineStr">
        <is>
          <t>China International Capital Corporation Hong Kong Securities Limited; Morgan Stanley Asia Limited; UBS AG Hong Kong Branch; Hong Kong Securities Limited</t>
        </is>
      </c>
      <c r="AE433" s="22" t="n"/>
      <c r="AK433">
        <f>IF(AND(Screener!$B$7&lt;&gt;"",$E433=Screener!$B$7),1,0)</f>
        <v/>
      </c>
      <c r="AL433">
        <f>IF(AND(Screener!$B$6&lt;&gt;"",$D433=Screener!$B$6),1,0)</f>
        <v/>
      </c>
      <c r="AM433">
        <f>IF(OR($H433="",Screener!$B$8=""),0,MAX(0,1-ABS(LOG10($H433/Screener!$B$8))/W_SIZEHW))</f>
        <v/>
      </c>
      <c r="AN433">
        <f>IF(OR($V433="",Screener!$B$9=""),0,IF($V433=Screener!$B$9,1,0))</f>
        <v/>
      </c>
      <c r="AO433">
        <f>IF(OR($AA433="",Screener!$B$10=""),0,IF($AA433=Screener!$B$10,1,0))</f>
        <v/>
      </c>
      <c r="AP433">
        <f>IF($G433="",0,MAX(0,1-(Screener!$B$12-$G433)/W_RECD))</f>
        <v/>
      </c>
      <c r="AQ433">
        <f>IF($B433=Screener!$B$3,-999999,W_SUB*AK433+W_SEC*AL433*(1-AK433)+W_SIZE*AM433+W_PROF*AN433+W_AH*AO433+W_REC*AP433)+ROW()/1000000</f>
        <v/>
      </c>
      <c r="AR433">
        <f>IF(OR('NEW DEAL'!$B$6="",$E433&lt;&gt;'NEW DEAL'!$B$6),-1,1+IF(OR($H433="",'NEW DEAL'!$B$7=""),0,MAX(0,1-ABS(LOG10($H433/'NEW DEAL'!$B$7))/W_SIZEHW)))+ROW()/1000000</f>
        <v/>
      </c>
    </row>
    <row r="434">
      <c r="A434" s="23" t="inlineStr">
        <is>
          <t>2720</t>
        </is>
      </c>
      <c r="B434" s="22" t="inlineStr">
        <is>
          <t>RIDGE OUTDOOR</t>
        </is>
      </c>
      <c r="C434" s="22" t="inlineStr">
        <is>
          <t>樂欣戶外國際有限公司</t>
        </is>
      </c>
      <c r="D434" s="24" t="inlineStr">
        <is>
          <t>Consumer</t>
        </is>
      </c>
      <c r="E434" s="24" t="inlineStr">
        <is>
          <t>Retail / distribution</t>
        </is>
      </c>
      <c r="F434" s="22" t="inlineStr">
        <is>
          <t>Standard</t>
        </is>
      </c>
      <c r="G434" s="43" t="n">
        <v>46063</v>
      </c>
      <c r="H434" s="26" t="n">
        <v>345.5</v>
      </c>
      <c r="I434" s="22" t="inlineStr">
        <is>
          <t>gross (stated)</t>
        </is>
      </c>
      <c r="J434" s="27" t="n"/>
      <c r="K434" s="27" t="n">
        <v>12.25</v>
      </c>
      <c r="L434" s="44" t="n">
        <v>12.25</v>
      </c>
      <c r="M434" s="32" t="n"/>
      <c r="N434" s="29" t="inlineStr">
        <is>
          <t>Y</t>
        </is>
      </c>
      <c r="O434" s="26" t="n">
        <v>1570.5</v>
      </c>
      <c r="P434" s="46" t="n">
        <v>3654.23</v>
      </c>
      <c r="Q434" s="31" t="n">
        <v>2.94</v>
      </c>
      <c r="R434" s="45" t="n">
        <v>102.29</v>
      </c>
      <c r="S434" s="33" t="n">
        <v>37.62</v>
      </c>
      <c r="T434" s="32" t="n"/>
      <c r="U434" s="22" t="n"/>
      <c r="V434" s="29" t="inlineStr">
        <is>
          <t>Y</t>
        </is>
      </c>
      <c r="W434" s="34" t="n">
        <v>24.1</v>
      </c>
      <c r="X434" s="34" t="n">
        <v>2.5</v>
      </c>
      <c r="Y434" s="36" t="n">
        <v>630.8</v>
      </c>
      <c r="Z434" s="36" t="n">
        <v>65.3</v>
      </c>
      <c r="AA434" s="22" t="n"/>
      <c r="AB434" s="22" t="n"/>
      <c r="AC434" s="22" t="inlineStr">
        <is>
          <t>China International Capital Corporation Hong Kong Securities Limited</t>
        </is>
      </c>
      <c r="AD434" s="22" t="inlineStr">
        <is>
          <t>Managers China International Capital Corporation Hong Kong Securities Limited; Futu Securities International (Hong Kong) Limited; Fuze Securities (International) Limited; China International Capital Corporation Hong Kong Securities Limited</t>
        </is>
      </c>
      <c r="AE434" s="22" t="n"/>
      <c r="AK434">
        <f>IF(AND(Screener!$B$7&lt;&gt;"",$E434=Screener!$B$7),1,0)</f>
        <v/>
      </c>
      <c r="AL434">
        <f>IF(AND(Screener!$B$6&lt;&gt;"",$D434=Screener!$B$6),1,0)</f>
        <v/>
      </c>
      <c r="AM434">
        <f>IF(OR($H434="",Screener!$B$8=""),0,MAX(0,1-ABS(LOG10($H434/Screener!$B$8))/W_SIZEHW))</f>
        <v/>
      </c>
      <c r="AN434">
        <f>IF(OR($V434="",Screener!$B$9=""),0,IF($V434=Screener!$B$9,1,0))</f>
        <v/>
      </c>
      <c r="AO434">
        <f>IF(OR($AA434="",Screener!$B$10=""),0,IF($AA434=Screener!$B$10,1,0))</f>
        <v/>
      </c>
      <c r="AP434">
        <f>IF($G434="",0,MAX(0,1-(Screener!$B$12-$G434)/W_RECD))</f>
        <v/>
      </c>
      <c r="AQ434">
        <f>IF($B434=Screener!$B$3,-999999,W_SUB*AK434+W_SEC*AL434*(1-AK434)+W_SIZE*AM434+W_PROF*AN434+W_AH*AO434+W_REC*AP434)+ROW()/1000000</f>
        <v/>
      </c>
      <c r="AR434">
        <f>IF(OR('NEW DEAL'!$B$6="",$E434&lt;&gt;'NEW DEAL'!$B$6),-1,1+IF(OR($H434="",'NEW DEAL'!$B$7=""),0,MAX(0,1-ABS(LOG10($H434/'NEW DEAL'!$B$7))/W_SIZEHW)))+ROW()/1000000</f>
        <v/>
      </c>
    </row>
    <row r="435">
      <c r="A435" s="23" t="inlineStr">
        <is>
          <t>0600</t>
        </is>
      </c>
      <c r="B435" s="22" t="inlineStr">
        <is>
          <t>AXERA</t>
        </is>
      </c>
      <c r="C435" s="22" t="n"/>
      <c r="D435" s="24" t="inlineStr">
        <is>
          <t>Tech/AI</t>
        </is>
      </c>
      <c r="E435" s="24" t="inlineStr">
        <is>
          <t>AI chips &amp; semis</t>
        </is>
      </c>
      <c r="F435" s="22" t="inlineStr">
        <is>
          <t>Standard</t>
        </is>
      </c>
      <c r="G435" s="43" t="n">
        <v>46063</v>
      </c>
      <c r="H435" s="26" t="n">
        <v>2958.6</v>
      </c>
      <c r="I435" s="22" t="inlineStr">
        <is>
          <t>gross (stated)</t>
        </is>
      </c>
      <c r="J435" s="27" t="n"/>
      <c r="K435" s="27" t="n"/>
      <c r="L435" s="44" t="n">
        <v>28.2</v>
      </c>
      <c r="M435" s="32" t="n"/>
      <c r="N435" s="22" t="n"/>
      <c r="O435" s="35" t="n"/>
      <c r="P435" s="46" t="n">
        <v>104.82</v>
      </c>
      <c r="Q435" s="31" t="n">
        <v>6.8</v>
      </c>
      <c r="R435" s="45" t="n">
        <v>0</v>
      </c>
      <c r="S435" s="33" t="n">
        <v>48.76</v>
      </c>
      <c r="T435" s="32" t="n"/>
      <c r="U435" s="22" t="n"/>
      <c r="V435" s="22" t="n"/>
      <c r="W435" s="31" t="n"/>
      <c r="X435" s="31" t="n"/>
      <c r="Y435" s="35" t="n"/>
      <c r="Z435" s="35" t="n"/>
      <c r="AA435" s="22" t="n"/>
      <c r="AB435" s="22" t="n"/>
      <c r="AC435" s="22" t="n"/>
      <c r="AD435" s="22" t="n"/>
      <c r="AE435" s="22" t="n"/>
      <c r="AK435">
        <f>IF(AND(Screener!$B$7&lt;&gt;"",$E435=Screener!$B$7),1,0)</f>
        <v/>
      </c>
      <c r="AL435">
        <f>IF(AND(Screener!$B$6&lt;&gt;"",$D435=Screener!$B$6),1,0)</f>
        <v/>
      </c>
      <c r="AM435">
        <f>IF(OR($H435="",Screener!$B$8=""),0,MAX(0,1-ABS(LOG10($H435/Screener!$B$8))/W_SIZEHW))</f>
        <v/>
      </c>
      <c r="AN435">
        <f>IF(OR($V435="",Screener!$B$9=""),0,IF($V435=Screener!$B$9,1,0))</f>
        <v/>
      </c>
      <c r="AO435">
        <f>IF(OR($AA435="",Screener!$B$10=""),0,IF($AA435=Screener!$B$10,1,0))</f>
        <v/>
      </c>
      <c r="AP435">
        <f>IF($G435="",0,MAX(0,1-(Screener!$B$12-$G435)/W_RECD))</f>
        <v/>
      </c>
      <c r="AQ435">
        <f>IF($B435=Screener!$B$3,-999999,W_SUB*AK435+W_SEC*AL435*(1-AK435)+W_SIZE*AM435+W_PROF*AN435+W_AH*AO435+W_REC*AP435)+ROW()/1000000</f>
        <v/>
      </c>
      <c r="AR435">
        <f>IF(OR('NEW DEAL'!$B$6="",$E435&lt;&gt;'NEW DEAL'!$B$6),-1,1+IF(OR($H435="",'NEW DEAL'!$B$7=""),0,MAX(0,1-ABS(LOG10($H435/'NEW DEAL'!$B$7))/W_SIZEHW)))+ROW()/1000000</f>
        <v/>
      </c>
    </row>
    <row r="436">
      <c r="A436" s="23" t="inlineStr">
        <is>
          <t>0470</t>
        </is>
      </c>
      <c r="B436" s="22" t="inlineStr">
        <is>
          <t>WUXI LEAD</t>
        </is>
      </c>
      <c r="C436" s="22" t="inlineStr">
        <is>
          <t>無錫先導智能裝備股份有限公司</t>
        </is>
      </c>
      <c r="D436" s="24" t="inlineStr">
        <is>
          <t>Industrials</t>
        </is>
      </c>
      <c r="E436" s="24" t="inlineStr">
        <is>
          <t>Capital goods / machinery</t>
        </is>
      </c>
      <c r="F436" s="22" t="inlineStr">
        <is>
          <t>Standard</t>
        </is>
      </c>
      <c r="G436" s="43" t="n">
        <v>46064</v>
      </c>
      <c r="H436" s="26" t="n">
        <v>4930.8</v>
      </c>
      <c r="I436" s="22" t="inlineStr">
        <is>
          <t>gross (stated)</t>
        </is>
      </c>
      <c r="J436" s="27" t="n"/>
      <c r="K436" s="27" t="n">
        <v>45.8</v>
      </c>
      <c r="L436" s="44" t="n">
        <v>45.8</v>
      </c>
      <c r="M436" s="32" t="n"/>
      <c r="N436" s="29" t="inlineStr">
        <is>
          <t>Y</t>
        </is>
      </c>
      <c r="O436" s="26" t="n">
        <v>76661</v>
      </c>
      <c r="P436" s="46" t="n">
        <v>79.54000000000001</v>
      </c>
      <c r="Q436" s="31" t="n"/>
      <c r="R436" s="45" t="n">
        <v>0</v>
      </c>
      <c r="S436" s="42" t="n">
        <v>43.5</v>
      </c>
      <c r="T436" s="28" t="n">
        <v>15</v>
      </c>
      <c r="U436" s="22" t="n"/>
      <c r="V436" s="22" t="n"/>
      <c r="W436" s="31" t="n"/>
      <c r="X436" s="34" t="n">
        <v>5897</v>
      </c>
      <c r="Y436" s="36" t="n">
        <v>13</v>
      </c>
      <c r="Z436" s="35" t="n"/>
      <c r="AA436" s="22" t="inlineStr">
        <is>
          <t>Y</t>
        </is>
      </c>
      <c r="AB436" s="22" t="inlineStr">
        <is>
          <t>300450.SZ</t>
        </is>
      </c>
      <c r="AC436" s="22" t="inlineStr">
        <is>
          <t>CITIC Securities (Hong Kong) Limited; J.P. Morgan Securities (Far East) Limited</t>
        </is>
      </c>
      <c r="AD436" s="22" t="inlineStr">
        <is>
          <t>Managers and Capital Market Intermediaries CMB International Capital Limited; ICBC International Securities Limited; SPDB International Capital Limited</t>
        </is>
      </c>
      <c r="AE436" s="22" t="n"/>
      <c r="AK436">
        <f>IF(AND(Screener!$B$7&lt;&gt;"",$E436=Screener!$B$7),1,0)</f>
        <v/>
      </c>
      <c r="AL436">
        <f>IF(AND(Screener!$B$6&lt;&gt;"",$D436=Screener!$B$6),1,0)</f>
        <v/>
      </c>
      <c r="AM436">
        <f>IF(OR($H436="",Screener!$B$8=""),0,MAX(0,1-ABS(LOG10($H436/Screener!$B$8))/W_SIZEHW))</f>
        <v/>
      </c>
      <c r="AN436">
        <f>IF(OR($V436="",Screener!$B$9=""),0,IF($V436=Screener!$B$9,1,0))</f>
        <v/>
      </c>
      <c r="AO436">
        <f>IF(OR($AA436="",Screener!$B$10=""),0,IF($AA436=Screener!$B$10,1,0))</f>
        <v/>
      </c>
      <c r="AP436">
        <f>IF($G436="",0,MAX(0,1-(Screener!$B$12-$G436)/W_RECD))</f>
        <v/>
      </c>
      <c r="AQ436">
        <f>IF($B436=Screener!$B$3,-999999,W_SUB*AK436+W_SEC*AL436*(1-AK436)+W_SIZE*AM436+W_PROF*AN436+W_AH*AO436+W_REC*AP436)+ROW()/1000000</f>
        <v/>
      </c>
      <c r="AR436">
        <f>IF(OR('NEW DEAL'!$B$6="",$E436&lt;&gt;'NEW DEAL'!$B$6),-1,1+IF(OR($H436="",'NEW DEAL'!$B$7=""),0,MAX(0,1-ABS(LOG10($H436/'NEW DEAL'!$B$7))/W_SIZEHW)))+ROW()/1000000</f>
        <v/>
      </c>
    </row>
    <row r="437">
      <c r="A437" s="23" t="inlineStr">
        <is>
          <t>2706</t>
        </is>
      </c>
      <c r="B437" s="22" t="inlineStr">
        <is>
          <t>HAIZHI TECH GP</t>
        </is>
      </c>
      <c r="C437" s="22" t="inlineStr">
        <is>
          <t>北京海致科技集團股份有限公司</t>
        </is>
      </c>
      <c r="D437" s="24" t="inlineStr">
        <is>
          <t>Tech/AI</t>
        </is>
      </c>
      <c r="E437" s="24" t="inlineStr">
        <is>
          <t>AI application / agent software</t>
        </is>
      </c>
      <c r="F437" s="22" t="inlineStr">
        <is>
          <t>Standard</t>
        </is>
      </c>
      <c r="G437" s="43" t="n">
        <v>46066</v>
      </c>
      <c r="H437" s="26" t="n">
        <v>758.5</v>
      </c>
      <c r="I437" s="22" t="inlineStr">
        <is>
          <t>gross (stated)</t>
        </is>
      </c>
      <c r="J437" s="27" t="n">
        <v>25.6</v>
      </c>
      <c r="K437" s="27" t="n">
        <v>28</v>
      </c>
      <c r="L437" s="44" t="n">
        <v>27.06</v>
      </c>
      <c r="M437" s="28" t="n">
        <v>60.8</v>
      </c>
      <c r="N437" s="29" t="inlineStr">
        <is>
          <t>N</t>
        </is>
      </c>
      <c r="O437" s="26" t="n">
        <v>10835.7</v>
      </c>
      <c r="P437" s="46" t="n">
        <v>5065.06</v>
      </c>
      <c r="Q437" s="31" t="n">
        <v>8.390000000000001</v>
      </c>
      <c r="R437" s="45" t="n">
        <v>242.2</v>
      </c>
      <c r="S437" s="33" t="n">
        <v>93</v>
      </c>
      <c r="T437" s="32" t="n"/>
      <c r="U437" s="22" t="n"/>
      <c r="V437" s="29" t="inlineStr">
        <is>
          <t>N</t>
        </is>
      </c>
      <c r="W437" s="31" t="n"/>
      <c r="X437" s="34" t="n">
        <v>19.6</v>
      </c>
      <c r="Y437" s="36" t="n">
        <v>553.4</v>
      </c>
      <c r="Z437" s="36" t="n">
        <v>-103.1</v>
      </c>
      <c r="AA437" s="22" t="n"/>
      <c r="AB437" s="22" t="n"/>
      <c r="AC437" s="22" t="inlineStr">
        <is>
          <t>CMB International Capital Limited; BOCI Asia Limited; Shenwan Hongyuan Capital (H.K.) Limited</t>
        </is>
      </c>
      <c r="AD437" s="22" t="inlineStr">
        <is>
          <t>Joint Lead Managers CMB International Capital Limited; BOCI Asia Limited; Shenwan Hongyuan Securities (H.K.) Limited; Futu Securities International (Hong Kong) Limited; No. 95 Queensway Admiralty, Hong Kong Tiger Brokers (HK) Global Limited; ABCI Capital Limited; Central, Hong Kong Funde Securities Limited; Admiralty, Hong Kong Huafu International Securities Limited; Central, Hong Kong Livermore Holdings Limited; TradeGo Markets Limited; Central, Hong Kong Eddid Securities and Futures Limited</t>
        </is>
      </c>
      <c r="AE437" s="22" t="n"/>
      <c r="AK437">
        <f>IF(AND(Screener!$B$7&lt;&gt;"",$E437=Screener!$B$7),1,0)</f>
        <v/>
      </c>
      <c r="AL437">
        <f>IF(AND(Screener!$B$6&lt;&gt;"",$D437=Screener!$B$6),1,0)</f>
        <v/>
      </c>
      <c r="AM437">
        <f>IF(OR($H437="",Screener!$B$8=""),0,MAX(0,1-ABS(LOG10($H437/Screener!$B$8))/W_SIZEHW))</f>
        <v/>
      </c>
      <c r="AN437">
        <f>IF(OR($V437="",Screener!$B$9=""),0,IF($V437=Screener!$B$9,1,0))</f>
        <v/>
      </c>
      <c r="AO437">
        <f>IF(OR($AA437="",Screener!$B$10=""),0,IF($AA437=Screener!$B$10,1,0))</f>
        <v/>
      </c>
      <c r="AP437">
        <f>IF($G437="",0,MAX(0,1-(Screener!$B$12-$G437)/W_RECD))</f>
        <v/>
      </c>
      <c r="AQ437">
        <f>IF($B437=Screener!$B$3,-999999,W_SUB*AK437+W_SEC*AL437*(1-AK437)+W_SIZE*AM437+W_PROF*AN437+W_AH*AO437+W_REC*AP437)+ROW()/1000000</f>
        <v/>
      </c>
      <c r="AR437">
        <f>IF(OR('NEW DEAL'!$B$6="",$E437&lt;&gt;'NEW DEAL'!$B$6),-1,1+IF(OR($H437="",'NEW DEAL'!$B$7=""),0,MAX(0,1-ABS(LOG10($H437/'NEW DEAL'!$B$7))/W_SIZEHW)))+ROW()/1000000</f>
        <v/>
      </c>
    </row>
    <row r="438">
      <c r="A438" s="23" t="inlineStr">
        <is>
          <t>9981</t>
        </is>
      </c>
      <c r="B438" s="22" t="inlineStr">
        <is>
          <t>WOER</t>
        </is>
      </c>
      <c r="C438" s="22" t="inlineStr">
        <is>
          <t>婘撨劭免罆</t>
        </is>
      </c>
      <c r="D438" s="24" t="inlineStr">
        <is>
          <t>Materials/Energy</t>
        </is>
      </c>
      <c r="E438" s="24" t="inlineStr">
        <is>
          <t>Chemicals</t>
        </is>
      </c>
      <c r="F438" s="22" t="inlineStr">
        <is>
          <t>Standard</t>
        </is>
      </c>
      <c r="G438" s="43" t="n">
        <v>46066</v>
      </c>
      <c r="H438" s="26" t="n">
        <v>2812.4</v>
      </c>
      <c r="I438" s="22" t="inlineStr">
        <is>
          <t>gross (stated)</t>
        </is>
      </c>
      <c r="J438" s="27" t="n"/>
      <c r="K438" s="27" t="n">
        <v>20.09</v>
      </c>
      <c r="L438" s="44" t="n">
        <v>20.09</v>
      </c>
      <c r="M438" s="32" t="n"/>
      <c r="N438" s="29" t="inlineStr">
        <is>
          <t>Y</t>
        </is>
      </c>
      <c r="O438" s="26" t="n">
        <v>28123.7</v>
      </c>
      <c r="P438" s="46" t="n">
        <v>569.58</v>
      </c>
      <c r="Q438" s="31" t="n">
        <v>8.19</v>
      </c>
      <c r="R438" s="45" t="n">
        <v>2.94</v>
      </c>
      <c r="S438" s="33" t="n">
        <v>34.45</v>
      </c>
      <c r="T438" s="32" t="n"/>
      <c r="U438" s="22" t="n"/>
      <c r="V438" s="29" t="inlineStr">
        <is>
          <t>Y</t>
        </is>
      </c>
      <c r="W438" s="34" t="n">
        <v>27.8</v>
      </c>
      <c r="X438" s="34" t="n">
        <v>3.7</v>
      </c>
      <c r="Y438" s="36" t="n">
        <v>7612.1</v>
      </c>
      <c r="Z438" s="36" t="n">
        <v>1012.6</v>
      </c>
      <c r="AA438" s="22" t="inlineStr">
        <is>
          <t>Y</t>
        </is>
      </c>
      <c r="AB438" s="22" t="inlineStr">
        <is>
          <t>002130.SZ</t>
        </is>
      </c>
      <c r="AC438" s="22" t="n"/>
      <c r="AD438" s="22" t="n"/>
      <c r="AE438" s="22" t="n"/>
      <c r="AK438">
        <f>IF(AND(Screener!$B$7&lt;&gt;"",$E438=Screener!$B$7),1,0)</f>
        <v/>
      </c>
      <c r="AL438">
        <f>IF(AND(Screener!$B$6&lt;&gt;"",$D438=Screener!$B$6),1,0)</f>
        <v/>
      </c>
      <c r="AM438">
        <f>IF(OR($H438="",Screener!$B$8=""),0,MAX(0,1-ABS(LOG10($H438/Screener!$B$8))/W_SIZEHW))</f>
        <v/>
      </c>
      <c r="AN438">
        <f>IF(OR($V438="",Screener!$B$9=""),0,IF($V438=Screener!$B$9,1,0))</f>
        <v/>
      </c>
      <c r="AO438">
        <f>IF(OR($AA438="",Screener!$B$10=""),0,IF($AA438=Screener!$B$10,1,0))</f>
        <v/>
      </c>
      <c r="AP438">
        <f>IF($G438="",0,MAX(0,1-(Screener!$B$12-$G438)/W_RECD))</f>
        <v/>
      </c>
      <c r="AQ438">
        <f>IF($B438=Screener!$B$3,-999999,W_SUB*AK438+W_SEC*AL438*(1-AK438)+W_SIZE*AM438+W_PROF*AN438+W_AH*AO438+W_REC*AP438)+ROW()/1000000</f>
        <v/>
      </c>
      <c r="AR438">
        <f>IF(OR('NEW DEAL'!$B$6="",$E438&lt;&gt;'NEW DEAL'!$B$6),-1,1+IF(OR($H438="",'NEW DEAL'!$B$7=""),0,MAX(0,1-ABS(LOG10($H438/'NEW DEAL'!$B$7))/W_SIZEHW)))+ROW()/1000000</f>
        <v/>
      </c>
    </row>
    <row r="439">
      <c r="A439" s="23" t="inlineStr">
        <is>
          <t>2715</t>
        </is>
      </c>
      <c r="B439" s="22" t="inlineStr">
        <is>
          <t>ESTUN</t>
        </is>
      </c>
      <c r="C439" s="22" t="inlineStr">
        <is>
          <t>南京埃斯頓自動化股份有限公司</t>
        </is>
      </c>
      <c r="D439" s="24" t="inlineStr">
        <is>
          <t>Tech/AI</t>
        </is>
      </c>
      <c r="E439" s="24" t="inlineStr">
        <is>
          <t>Robotics &amp; autonomous driving</t>
        </is>
      </c>
      <c r="F439" s="22" t="inlineStr">
        <is>
          <t>Standard</t>
        </is>
      </c>
      <c r="G439" s="43" t="n">
        <v>46090</v>
      </c>
      <c r="H439" s="26" t="n">
        <v>1486.54</v>
      </c>
      <c r="I439" s="22" t="inlineStr">
        <is>
          <t>gross (stated)</t>
        </is>
      </c>
      <c r="J439" s="27" t="n"/>
      <c r="K439" s="27" t="n">
        <v>17</v>
      </c>
      <c r="L439" s="44" t="n">
        <v>15.36</v>
      </c>
      <c r="M439" s="32" t="n"/>
      <c r="N439" s="29" t="inlineStr">
        <is>
          <t>N</t>
        </is>
      </c>
      <c r="O439" s="26" t="n">
        <v>14865.4</v>
      </c>
      <c r="P439" s="46" t="n">
        <v>19.67</v>
      </c>
      <c r="Q439" s="31" t="n">
        <v>3.34</v>
      </c>
      <c r="R439" s="45" t="n">
        <v>-16.02</v>
      </c>
      <c r="S439" s="42" t="n">
        <v>35.1</v>
      </c>
      <c r="T439" s="32" t="n">
        <v>5.1</v>
      </c>
      <c r="U439" s="22" t="n"/>
      <c r="V439" s="29" t="inlineStr">
        <is>
          <t>N</t>
        </is>
      </c>
      <c r="W439" s="31" t="n"/>
      <c r="X439" s="34" t="n">
        <v>3.4</v>
      </c>
      <c r="Y439" s="36" t="n">
        <v>4409.6</v>
      </c>
      <c r="Z439" s="36" t="n">
        <v>-664.6</v>
      </c>
      <c r="AA439" s="22" t="inlineStr">
        <is>
          <t>Y</t>
        </is>
      </c>
      <c r="AB439" s="22" t="inlineStr">
        <is>
          <t>002747.SZ</t>
        </is>
      </c>
      <c r="AC439" s="22" t="inlineStr">
        <is>
          <t>and Sponsor-Overall Coordinator Huatai Financial Holdings (Hong Kong) Limited</t>
        </is>
      </c>
      <c r="AD439" s="22" t="inlineStr">
        <is>
          <t>Huatai Financial Holdings (Hong Kong) Limited; GF Securities (Hong Kong) Brokerage Limited; BOCOM International Securities Limited; CMB International Capital Limited; ABCI Capital Limited; BOCI Asia Limited; Futu Securities International (Hong Kong) Limited; Livermore Holdings Limited; TradeGo Markets Limited; Huaan Securities (Hong Kong) Brokerage Limited</t>
        </is>
      </c>
      <c r="AE439" s="22" t="n"/>
      <c r="AK439">
        <f>IF(AND(Screener!$B$7&lt;&gt;"",$E439=Screener!$B$7),1,0)</f>
        <v/>
      </c>
      <c r="AL439">
        <f>IF(AND(Screener!$B$6&lt;&gt;"",$D439=Screener!$B$6),1,0)</f>
        <v/>
      </c>
      <c r="AM439">
        <f>IF(OR($H439="",Screener!$B$8=""),0,MAX(0,1-ABS(LOG10($H439/Screener!$B$8))/W_SIZEHW))</f>
        <v/>
      </c>
      <c r="AN439">
        <f>IF(OR($V439="",Screener!$B$9=""),0,IF($V439=Screener!$B$9,1,0))</f>
        <v/>
      </c>
      <c r="AO439">
        <f>IF(OR($AA439="",Screener!$B$10=""),0,IF($AA439=Screener!$B$10,1,0))</f>
        <v/>
      </c>
      <c r="AP439">
        <f>IF($G439="",0,MAX(0,1-(Screener!$B$12-$G439)/W_RECD))</f>
        <v/>
      </c>
      <c r="AQ439">
        <f>IF($B439=Screener!$B$3,-999999,W_SUB*AK439+W_SEC*AL439*(1-AK439)+W_SIZE*AM439+W_PROF*AN439+W_AH*AO439+W_REC*AP439)+ROW()/1000000</f>
        <v/>
      </c>
      <c r="AR439">
        <f>IF(OR('NEW DEAL'!$B$6="",$E439&lt;&gt;'NEW DEAL'!$B$6),-1,1+IF(OR($H439="",'NEW DEAL'!$B$7=""),0,MAX(0,1-ABS(LOG10($H439/'NEW DEAL'!$B$7))/W_SIZEHW)))+ROW()/1000000</f>
        <v/>
      </c>
    </row>
    <row r="440">
      <c r="A440" s="23" t="inlineStr">
        <is>
          <t>2649</t>
        </is>
      </c>
      <c r="B440" s="22" t="inlineStr">
        <is>
          <t>ALSCO POOLING</t>
        </is>
      </c>
      <c r="C440" s="22" t="inlineStr">
        <is>
          <t>蘇州優樂賽共享服務股份有限公司</t>
        </is>
      </c>
      <c r="D440" s="24" t="inlineStr">
        <is>
          <t>Industrials</t>
        </is>
      </c>
      <c r="E440" s="24" t="inlineStr">
        <is>
          <t>Logistics</t>
        </is>
      </c>
      <c r="F440" s="22" t="inlineStr">
        <is>
          <t>Standard</t>
        </is>
      </c>
      <c r="G440" s="43" t="n">
        <v>46090</v>
      </c>
      <c r="H440" s="26" t="n">
        <v>223.7</v>
      </c>
      <c r="I440" s="22" t="inlineStr">
        <is>
          <t>gross (stated)</t>
        </is>
      </c>
      <c r="J440" s="27" t="n"/>
      <c r="K440" s="27" t="n"/>
      <c r="L440" s="44" t="n">
        <v>11</v>
      </c>
      <c r="M440" s="32" t="n"/>
      <c r="N440" s="22" t="n"/>
      <c r="O440" s="26" t="n">
        <v>993.7</v>
      </c>
      <c r="P440" s="46" t="n">
        <v>5297.23</v>
      </c>
      <c r="Q440" s="31" t="n">
        <v>4.2</v>
      </c>
      <c r="R440" s="45" t="n">
        <v>-43.64</v>
      </c>
      <c r="S440" s="33" t="n">
        <v>0</v>
      </c>
      <c r="T440" s="32" t="n">
        <v>15</v>
      </c>
      <c r="U440" s="22" t="n"/>
      <c r="V440" s="29" t="inlineStr">
        <is>
          <t>Y</t>
        </is>
      </c>
      <c r="W440" s="34" t="n">
        <v>17.8</v>
      </c>
      <c r="X440" s="34" t="n">
        <v>1.1</v>
      </c>
      <c r="Y440" s="36" t="n">
        <v>921.4</v>
      </c>
      <c r="Z440" s="36" t="n">
        <v>55.8</v>
      </c>
      <c r="AA440" s="22" t="n"/>
      <c r="AB440" s="22" t="n"/>
      <c r="AC440" s="22" t="inlineStr">
        <is>
          <t>China Securities (International) Corporate Finance Company Limited</t>
        </is>
      </c>
      <c r="AD440" s="22" t="inlineStr">
        <is>
          <t>Manager and Capital Market Intermediary DBS Asia Capital Limited; Financial Adviser to our Company DBS Asia Capital Limited; ABCI Capital Limited; CMB International Capital Limited; Futu Securities International (Hong Kong) Limited; Livermore Holdings Limited; SPDB International Capital Limited; TFI Securities and Futures Limited; TradeGo Markets Limited</t>
        </is>
      </c>
      <c r="AE440" s="22" t="n"/>
      <c r="AK440">
        <f>IF(AND(Screener!$B$7&lt;&gt;"",$E440=Screener!$B$7),1,0)</f>
        <v/>
      </c>
      <c r="AL440">
        <f>IF(AND(Screener!$B$6&lt;&gt;"",$D440=Screener!$B$6),1,0)</f>
        <v/>
      </c>
      <c r="AM440">
        <f>IF(OR($H440="",Screener!$B$8=""),0,MAX(0,1-ABS(LOG10($H440/Screener!$B$8))/W_SIZEHW))</f>
        <v/>
      </c>
      <c r="AN440">
        <f>IF(OR($V440="",Screener!$B$9=""),0,IF($V440=Screener!$B$9,1,0))</f>
        <v/>
      </c>
      <c r="AO440">
        <f>IF(OR($AA440="",Screener!$B$10=""),0,IF($AA440=Screener!$B$10,1,0))</f>
        <v/>
      </c>
      <c r="AP440">
        <f>IF($G440="",0,MAX(0,1-(Screener!$B$12-$G440)/W_RECD))</f>
        <v/>
      </c>
      <c r="AQ440">
        <f>IF($B440=Screener!$B$3,-999999,W_SUB*AK440+W_SEC*AL440*(1-AK440)+W_SIZE*AM440+W_PROF*AN440+W_AH*AO440+W_REC*AP440)+ROW()/1000000</f>
        <v/>
      </c>
      <c r="AR440">
        <f>IF(OR('NEW DEAL'!$B$6="",$E440&lt;&gt;'NEW DEAL'!$B$6),-1,1+IF(OR($H440="",'NEW DEAL'!$B$7=""),0,MAX(0,1-ABS(LOG10($H440/'NEW DEAL'!$B$7))/W_SIZEHW)))+ROW()/1000000</f>
        <v/>
      </c>
    </row>
    <row r="441">
      <c r="A441" s="23" t="inlineStr">
        <is>
          <t>2692</t>
        </is>
      </c>
      <c r="B441" s="22" t="inlineStr">
        <is>
          <t>ZHAOWEI</t>
        </is>
      </c>
      <c r="C441" s="22" t="inlineStr">
        <is>
          <t>深圳市兆威機電股份有限公司</t>
        </is>
      </c>
      <c r="D441" s="24" t="inlineStr">
        <is>
          <t>Industrials</t>
        </is>
      </c>
      <c r="E441" s="24" t="inlineStr">
        <is>
          <t>Capital goods / machinery</t>
        </is>
      </c>
      <c r="F441" s="22" t="inlineStr">
        <is>
          <t>Standard</t>
        </is>
      </c>
      <c r="G441" s="43" t="n">
        <v>46090</v>
      </c>
      <c r="H441" s="26" t="n">
        <v>1906.62</v>
      </c>
      <c r="I441" s="22" t="inlineStr">
        <is>
          <t>gross (stated)</t>
        </is>
      </c>
      <c r="J441" s="27" t="n"/>
      <c r="K441" s="27" t="n">
        <v>73.68000000000001</v>
      </c>
      <c r="L441" s="44" t="n">
        <v>71.28</v>
      </c>
      <c r="M441" s="32" t="n"/>
      <c r="N441" s="29" t="inlineStr">
        <is>
          <t>N</t>
        </is>
      </c>
      <c r="O441" s="26" t="n">
        <v>19066.2</v>
      </c>
      <c r="P441" s="40" t="n">
        <v>1536.8</v>
      </c>
      <c r="Q441" s="31" t="n">
        <v>1536.76</v>
      </c>
      <c r="R441" s="45" t="n">
        <v>2.41</v>
      </c>
      <c r="S441" s="33" t="n">
        <v>34.17</v>
      </c>
      <c r="T441" s="32" t="n"/>
      <c r="U441" s="22" t="n"/>
      <c r="V441" s="29" t="inlineStr">
        <is>
          <t>Y</t>
        </is>
      </c>
      <c r="W441" s="34" t="n">
        <v>76.90000000000001</v>
      </c>
      <c r="X441" s="34" t="n">
        <v>11.4</v>
      </c>
      <c r="Y441" s="36" t="n">
        <v>1677.1</v>
      </c>
      <c r="Z441" s="36" t="n">
        <v>248</v>
      </c>
      <c r="AA441" s="22" t="inlineStr">
        <is>
          <t>Y</t>
        </is>
      </c>
      <c r="AB441" s="22" t="inlineStr">
        <is>
          <t>003021.SZ</t>
        </is>
      </c>
      <c r="AC441" s="22" t="inlineStr">
        <is>
          <t>China Merchants Securities (HK) Co., Limited; Deutsche Securities Asia Limited</t>
        </is>
      </c>
      <c r="AD441" s="22" t="inlineStr">
        <is>
          <t>China Merchants Securities (HK) Co., Limited; Deutsche Bank AG, Hong Kong Branch; CLSA Limited; DIRECTORS AND PARTIES INVOLVED IN THE GLOBAL OFFERING –7 9– CLSA Limited; ABCI Capital Limited; BOCOM International Securities Limited; Futu Securities International (Hong Kong) Limited; Y ellow River Securities Limited</t>
        </is>
      </c>
      <c r="AE441" s="22" t="n"/>
      <c r="AK441">
        <f>IF(AND(Screener!$B$7&lt;&gt;"",$E441=Screener!$B$7),1,0)</f>
        <v/>
      </c>
      <c r="AL441">
        <f>IF(AND(Screener!$B$6&lt;&gt;"",$D441=Screener!$B$6),1,0)</f>
        <v/>
      </c>
      <c r="AM441">
        <f>IF(OR($H441="",Screener!$B$8=""),0,MAX(0,1-ABS(LOG10($H441/Screener!$B$8))/W_SIZEHW))</f>
        <v/>
      </c>
      <c r="AN441">
        <f>IF(OR($V441="",Screener!$B$9=""),0,IF($V441=Screener!$B$9,1,0))</f>
        <v/>
      </c>
      <c r="AO441">
        <f>IF(OR($AA441="",Screener!$B$10=""),0,IF($AA441=Screener!$B$10,1,0))</f>
        <v/>
      </c>
      <c r="AP441">
        <f>IF($G441="",0,MAX(0,1-(Screener!$B$12-$G441)/W_RECD))</f>
        <v/>
      </c>
      <c r="AQ441">
        <f>IF($B441=Screener!$B$3,-999999,W_SUB*AK441+W_SEC*AL441*(1-AK441)+W_SIZE*AM441+W_PROF*AN441+W_AH*AO441+W_REC*AP441)+ROW()/1000000</f>
        <v/>
      </c>
      <c r="AR441">
        <f>IF(OR('NEW DEAL'!$B$6="",$E441&lt;&gt;'NEW DEAL'!$B$6),-1,1+IF(OR($H441="",'NEW DEAL'!$B$7=""),0,MAX(0,1-ABS(LOG10($H441/'NEW DEAL'!$B$7))/W_SIZEHW)))+ROW()/1000000</f>
        <v/>
      </c>
    </row>
    <row r="442">
      <c r="A442" s="23" t="inlineStr">
        <is>
          <t>3268</t>
        </is>
      </c>
      <c r="B442" s="22" t="inlineStr">
        <is>
          <t>MEIG</t>
        </is>
      </c>
      <c r="C442" s="22" t="n"/>
      <c r="D442" s="24" t="inlineStr">
        <is>
          <t>Tech/AI</t>
        </is>
      </c>
      <c r="E442" s="24" t="inlineStr">
        <is>
          <t>Smart hardware / consumer electronics</t>
        </is>
      </c>
      <c r="F442" s="22" t="inlineStr">
        <is>
          <t>Standard</t>
        </is>
      </c>
      <c r="G442" s="43" t="n">
        <v>46091</v>
      </c>
      <c r="H442" s="26" t="n">
        <v>1161.6</v>
      </c>
      <c r="I442" s="22" t="inlineStr">
        <is>
          <t>gross (stated)</t>
        </is>
      </c>
      <c r="J442" s="27" t="n"/>
      <c r="K442" s="27" t="n">
        <v>28.86</v>
      </c>
      <c r="L442" s="44" t="n">
        <v>28.86</v>
      </c>
      <c r="M442" s="32" t="n"/>
      <c r="N442" s="29" t="inlineStr">
        <is>
          <t>Y</t>
        </is>
      </c>
      <c r="O442" s="26" t="n">
        <v>8715.9</v>
      </c>
      <c r="P442" s="46" t="n">
        <v>174.12</v>
      </c>
      <c r="Q442" s="31" t="n">
        <v>4.5</v>
      </c>
      <c r="R442" s="45" t="n">
        <v>1.52</v>
      </c>
      <c r="S442" s="33" t="n">
        <v>42.1</v>
      </c>
      <c r="T442" s="32" t="n"/>
      <c r="U442" s="22" t="n"/>
      <c r="V442" s="29" t="inlineStr">
        <is>
          <t>Y</t>
        </is>
      </c>
      <c r="W442" s="34" t="n">
        <v>59</v>
      </c>
      <c r="X442" s="34" t="n">
        <v>2.7</v>
      </c>
      <c r="Y442" s="36" t="n">
        <v>3235.5</v>
      </c>
      <c r="Z442" s="36" t="n">
        <v>147.8</v>
      </c>
      <c r="AA442" s="22" t="inlineStr">
        <is>
          <t>Y</t>
        </is>
      </c>
      <c r="AB442" s="22" t="inlineStr">
        <is>
          <t>002881.SZ</t>
        </is>
      </c>
      <c r="AC442" s="22" t="inlineStr">
        <is>
          <t>China International Capital Corporation Hong Kong Securities Limited</t>
        </is>
      </c>
      <c r="AD442" s="22" t="inlineStr">
        <is>
          <t>China International Capital Corporation Hong Kong Securities Limited; BNP Paribas Securities (Asia) Limited; Futu Securities International (Hong Kong) Limited; Tiger Brokers (HK) Global Limited; Open Securities Limited</t>
        </is>
      </c>
      <c r="AE442" s="22" t="n"/>
      <c r="AK442">
        <f>IF(AND(Screener!$B$7&lt;&gt;"",$E442=Screener!$B$7),1,0)</f>
        <v/>
      </c>
      <c r="AL442">
        <f>IF(AND(Screener!$B$6&lt;&gt;"",$D442=Screener!$B$6),1,0)</f>
        <v/>
      </c>
      <c r="AM442">
        <f>IF(OR($H442="",Screener!$B$8=""),0,MAX(0,1-ABS(LOG10($H442/Screener!$B$8))/W_SIZEHW))</f>
        <v/>
      </c>
      <c r="AN442">
        <f>IF(OR($V442="",Screener!$B$9=""),0,IF($V442=Screener!$B$9,1,0))</f>
        <v/>
      </c>
      <c r="AO442">
        <f>IF(OR($AA442="",Screener!$B$10=""),0,IF($AA442=Screener!$B$10,1,0))</f>
        <v/>
      </c>
      <c r="AP442">
        <f>IF($G442="",0,MAX(0,1-(Screener!$B$12-$G442)/W_RECD))</f>
        <v/>
      </c>
      <c r="AQ442">
        <f>IF($B442=Screener!$B$3,-999999,W_SUB*AK442+W_SEC*AL442*(1-AK442)+W_SIZE*AM442+W_PROF*AN442+W_AH*AO442+W_REC*AP442)+ROW()/1000000</f>
        <v/>
      </c>
      <c r="AR442">
        <f>IF(OR('NEW DEAL'!$B$6="",$E442&lt;&gt;'NEW DEAL'!$B$6),-1,1+IF(OR($H442="",'NEW DEAL'!$B$7=""),0,MAX(0,1-ABS(LOG10($H442/'NEW DEAL'!$B$7))/W_SIZEHW)))+ROW()/1000000</f>
        <v/>
      </c>
    </row>
    <row r="443">
      <c r="A443" s="23" t="inlineStr">
        <is>
          <t>1989</t>
        </is>
      </c>
      <c r="B443" s="22" t="inlineStr">
        <is>
          <t>DELTON</t>
        </is>
      </c>
      <c r="C443" s="22" t="n"/>
      <c r="D443" s="24" t="inlineStr">
        <is>
          <t>Tech/AI</t>
        </is>
      </c>
      <c r="E443" s="24" t="inlineStr">
        <is>
          <t>Smart hardware / consumer electronics</t>
        </is>
      </c>
      <c r="F443" s="22" t="inlineStr">
        <is>
          <t>Standard</t>
        </is>
      </c>
      <c r="G443" s="43" t="n">
        <v>46101</v>
      </c>
      <c r="H443" s="26" t="n">
        <v>3306.48</v>
      </c>
      <c r="I443" s="22" t="inlineStr">
        <is>
          <t>gross (stated)</t>
        </is>
      </c>
      <c r="J443" s="27" t="n"/>
      <c r="K443" s="27" t="n">
        <v>71.88</v>
      </c>
      <c r="L443" s="44" t="n">
        <v>71.88</v>
      </c>
      <c r="M443" s="32" t="n"/>
      <c r="N443" s="29" t="inlineStr">
        <is>
          <t>Y</t>
        </is>
      </c>
      <c r="O443" s="26" t="n">
        <v>33959.5</v>
      </c>
      <c r="P443" s="46" t="n">
        <v>1070.72</v>
      </c>
      <c r="Q443" s="31" t="n">
        <v>14.64</v>
      </c>
      <c r="R443" s="45" t="n">
        <v>33.56</v>
      </c>
      <c r="S443" s="33" t="n">
        <v>44.94</v>
      </c>
      <c r="T443" s="32" t="n"/>
      <c r="U443" s="22" t="n"/>
      <c r="V443" s="22" t="n"/>
      <c r="W443" s="31" t="n"/>
      <c r="X443" s="31" t="n"/>
      <c r="Y443" s="35" t="n"/>
      <c r="Z443" s="35" t="n"/>
      <c r="AA443" s="22" t="inlineStr">
        <is>
          <t>Y</t>
        </is>
      </c>
      <c r="AB443" s="22" t="inlineStr">
        <is>
          <t>001389.SZ</t>
        </is>
      </c>
      <c r="AC443" s="22" t="n"/>
      <c r="AD443" s="22" t="n"/>
      <c r="AE443" s="22" t="n"/>
      <c r="AK443">
        <f>IF(AND(Screener!$B$7&lt;&gt;"",$E443=Screener!$B$7),1,0)</f>
        <v/>
      </c>
      <c r="AL443">
        <f>IF(AND(Screener!$B$6&lt;&gt;"",$D443=Screener!$B$6),1,0)</f>
        <v/>
      </c>
      <c r="AM443">
        <f>IF(OR($H443="",Screener!$B$8=""),0,MAX(0,1-ABS(LOG10($H443/Screener!$B$8))/W_SIZEHW))</f>
        <v/>
      </c>
      <c r="AN443">
        <f>IF(OR($V443="",Screener!$B$9=""),0,IF($V443=Screener!$B$9,1,0))</f>
        <v/>
      </c>
      <c r="AO443">
        <f>IF(OR($AA443="",Screener!$B$10=""),0,IF($AA443=Screener!$B$10,1,0))</f>
        <v/>
      </c>
      <c r="AP443">
        <f>IF($G443="",0,MAX(0,1-(Screener!$B$12-$G443)/W_RECD))</f>
        <v/>
      </c>
      <c r="AQ443">
        <f>IF($B443=Screener!$B$3,-999999,W_SUB*AK443+W_SEC*AL443*(1-AK443)+W_SIZE*AM443+W_PROF*AN443+W_AH*AO443+W_REC*AP443)+ROW()/1000000</f>
        <v/>
      </c>
      <c r="AR443">
        <f>IF(OR('NEW DEAL'!$B$6="",$E443&lt;&gt;'NEW DEAL'!$B$6),-1,1+IF(OR($H443="",'NEW DEAL'!$B$7=""),0,MAX(0,1-ABS(LOG10($H443/'NEW DEAL'!$B$7))/W_SIZEHW)))+ROW()/1000000</f>
        <v/>
      </c>
    </row>
    <row r="444">
      <c r="A444" s="23" t="inlineStr">
        <is>
          <t>2701</t>
        </is>
      </c>
      <c r="B444" s="22" t="inlineStr">
        <is>
          <t>NSING TECH</t>
        </is>
      </c>
      <c r="C444" s="22" t="inlineStr">
        <is>
          <t>國民技術股份有限公司</t>
        </is>
      </c>
      <c r="D444" s="24" t="inlineStr">
        <is>
          <t>Tech/AI</t>
        </is>
      </c>
      <c r="E444" s="24" t="inlineStr">
        <is>
          <t>AI chips &amp; semis</t>
        </is>
      </c>
      <c r="F444" s="22" t="inlineStr">
        <is>
          <t>Standard</t>
        </is>
      </c>
      <c r="G444" s="43" t="n">
        <v>46104</v>
      </c>
      <c r="H444" s="26" t="n">
        <v>1026</v>
      </c>
      <c r="I444" s="22" t="inlineStr">
        <is>
          <t>gross (stated)</t>
        </is>
      </c>
      <c r="J444" s="27" t="n"/>
      <c r="K444" s="27" t="n">
        <v>10.8</v>
      </c>
      <c r="L444" s="44" t="n">
        <v>10.8</v>
      </c>
      <c r="M444" s="32" t="n"/>
      <c r="N444" s="29" t="inlineStr">
        <is>
          <t>Y</t>
        </is>
      </c>
      <c r="O444" s="26" t="n">
        <v>7323.8</v>
      </c>
      <c r="P444" s="46" t="n">
        <v>131.83</v>
      </c>
      <c r="Q444" s="31" t="n">
        <v>2.51</v>
      </c>
      <c r="R444" s="45" t="n">
        <v>4.17</v>
      </c>
      <c r="S444" s="33" t="n">
        <v>13.6</v>
      </c>
      <c r="T444" s="32" t="n"/>
      <c r="U444" s="22" t="n"/>
      <c r="V444" s="29" t="inlineStr">
        <is>
          <t>N</t>
        </is>
      </c>
      <c r="W444" s="31" t="n"/>
      <c r="X444" s="34" t="n">
        <v>5.7</v>
      </c>
      <c r="Y444" s="36" t="n">
        <v>1284.3</v>
      </c>
      <c r="Z444" s="36" t="n">
        <v>-281.3</v>
      </c>
      <c r="AA444" s="22" t="inlineStr">
        <is>
          <t>Y</t>
        </is>
      </c>
      <c r="AB444" s="22" t="inlineStr">
        <is>
          <t>300077.SZ</t>
        </is>
      </c>
      <c r="AC444" s="22" t="inlineStr">
        <is>
          <t>CITIC Securities (Hong Kong) Limited</t>
        </is>
      </c>
      <c r="AD444" s="22" t="inlineStr">
        <is>
          <t>CLSA Limited; BOCOM International Securities Limited; SPDB International Capital Limited; Jinluo Securities Limited</t>
        </is>
      </c>
      <c r="AE444" s="22" t="n"/>
      <c r="AK444">
        <f>IF(AND(Screener!$B$7&lt;&gt;"",$E444=Screener!$B$7),1,0)</f>
        <v/>
      </c>
      <c r="AL444">
        <f>IF(AND(Screener!$B$6&lt;&gt;"",$D444=Screener!$B$6),1,0)</f>
        <v/>
      </c>
      <c r="AM444">
        <f>IF(OR($H444="",Screener!$B$8=""),0,MAX(0,1-ABS(LOG10($H444/Screener!$B$8))/W_SIZEHW))</f>
        <v/>
      </c>
      <c r="AN444">
        <f>IF(OR($V444="",Screener!$B$9=""),0,IF($V444=Screener!$B$9,1,0))</f>
        <v/>
      </c>
      <c r="AO444">
        <f>IF(OR($AA444="",Screener!$B$10=""),0,IF($AA444=Screener!$B$10,1,0))</f>
        <v/>
      </c>
      <c r="AP444">
        <f>IF($G444="",0,MAX(0,1-(Screener!$B$12-$G444)/W_RECD))</f>
        <v/>
      </c>
      <c r="AQ444">
        <f>IF($B444=Screener!$B$3,-999999,W_SUB*AK444+W_SEC*AL444*(1-AK444)+W_SIZE*AM444+W_PROF*AN444+W_AH*AO444+W_REC*AP444)+ROW()/1000000</f>
        <v/>
      </c>
      <c r="AR444">
        <f>IF(OR('NEW DEAL'!$B$6="",$E444&lt;&gt;'NEW DEAL'!$B$6),-1,1+IF(OR($H444="",'NEW DEAL'!$B$7=""),0,MAX(0,1-ABS(LOG10($H444/'NEW DEAL'!$B$7))/W_SIZEHW)))+ROW()/1000000</f>
        <v/>
      </c>
    </row>
    <row r="445">
      <c r="A445" s="23" t="inlineStr">
        <is>
          <t>3355</t>
        </is>
      </c>
      <c r="B445" s="22" t="inlineStr">
        <is>
          <t>FS.COM</t>
        </is>
      </c>
      <c r="C445" s="22" t="n"/>
      <c r="D445" s="24" t="inlineStr">
        <is>
          <t>Tech/AI</t>
        </is>
      </c>
      <c r="E445" s="24" t="inlineStr">
        <is>
          <t>Smart hardware / consumer electronics</t>
        </is>
      </c>
      <c r="F445" s="22" t="inlineStr">
        <is>
          <t>Standard</t>
        </is>
      </c>
      <c r="G445" s="39" t="n">
        <v>46104</v>
      </c>
      <c r="H445" s="26" t="n">
        <v>1664</v>
      </c>
      <c r="I445" s="22" t="inlineStr">
        <is>
          <t>gross (price x shares)</t>
        </is>
      </c>
      <c r="J445" s="27" t="n"/>
      <c r="K445" s="27" t="n">
        <v>41.6</v>
      </c>
      <c r="L445" s="44" t="n">
        <v>41.6</v>
      </c>
      <c r="M445" s="32" t="n"/>
      <c r="N445" s="29" t="inlineStr">
        <is>
          <t>Y</t>
        </is>
      </c>
      <c r="O445" s="26" t="n">
        <v>16640</v>
      </c>
      <c r="P445" s="46" t="n">
        <v>1579.71</v>
      </c>
      <c r="Q445" s="31" t="n">
        <v>10.92</v>
      </c>
      <c r="R445" s="45" t="n">
        <v>13.46</v>
      </c>
      <c r="S445" s="33" t="n"/>
      <c r="T445" s="28" t="n">
        <v>15</v>
      </c>
      <c r="U445" s="22" t="n"/>
      <c r="V445" s="22" t="n"/>
      <c r="W445" s="31" t="n"/>
      <c r="X445" s="31" t="n"/>
      <c r="Y445" s="35" t="n"/>
      <c r="Z445" s="35" t="n"/>
      <c r="AA445" s="22" t="n"/>
      <c r="AB445" s="22" t="n"/>
      <c r="AC445" s="22" t="n"/>
      <c r="AD445" s="22" t="n"/>
      <c r="AE445" s="22" t="n"/>
      <c r="AK445">
        <f>IF(AND(Screener!$B$7&lt;&gt;"",$E445=Screener!$B$7),1,0)</f>
        <v/>
      </c>
      <c r="AL445">
        <f>IF(AND(Screener!$B$6&lt;&gt;"",$D445=Screener!$B$6),1,0)</f>
        <v/>
      </c>
      <c r="AM445">
        <f>IF(OR($H445="",Screener!$B$8=""),0,MAX(0,1-ABS(LOG10($H445/Screener!$B$8))/W_SIZEHW))</f>
        <v/>
      </c>
      <c r="AN445">
        <f>IF(OR($V445="",Screener!$B$9=""),0,IF($V445=Screener!$B$9,1,0))</f>
        <v/>
      </c>
      <c r="AO445">
        <f>IF(OR($AA445="",Screener!$B$10=""),0,IF($AA445=Screener!$B$10,1,0))</f>
        <v/>
      </c>
      <c r="AP445">
        <f>IF($G445="",0,MAX(0,1-(Screener!$B$12-$G445)/W_RECD))</f>
        <v/>
      </c>
      <c r="AQ445">
        <f>IF($B445=Screener!$B$3,-999999,W_SUB*AK445+W_SEC*AL445*(1-AK445)+W_SIZE*AM445+W_PROF*AN445+W_AH*AO445+W_REC*AP445)+ROW()/1000000</f>
        <v/>
      </c>
      <c r="AR445">
        <f>IF(OR('NEW DEAL'!$B$6="",$E445&lt;&gt;'NEW DEAL'!$B$6),-1,1+IF(OR($H445="",'NEW DEAL'!$B$7=""),0,MAX(0,1-ABS(LOG10($H445/'NEW DEAL'!$B$7))/W_SIZEHW)))+ROW()/1000000</f>
        <v/>
      </c>
    </row>
    <row r="446">
      <c r="A446" s="23" t="inlineStr">
        <is>
          <t>2729</t>
        </is>
      </c>
      <c r="B446" s="22" t="inlineStr">
        <is>
          <t>GALAXIS TECH</t>
        </is>
      </c>
      <c r="C446" s="22" t="inlineStr">
        <is>
          <t>浙江凱樂士科技集團股份有限公司</t>
        </is>
      </c>
      <c r="D446" s="24" t="inlineStr">
        <is>
          <t>Tech/AI</t>
        </is>
      </c>
      <c r="E446" s="24" t="inlineStr">
        <is>
          <t>Robotics &amp; autonomous driving</t>
        </is>
      </c>
      <c r="F446" s="22" t="inlineStr">
        <is>
          <t>Standard</t>
        </is>
      </c>
      <c r="G446" s="43" t="n">
        <v>46105</v>
      </c>
      <c r="H446" s="26" t="n">
        <v>613</v>
      </c>
      <c r="I446" s="22" t="inlineStr">
        <is>
          <t>gross (stated)</t>
        </is>
      </c>
      <c r="J446" s="27" t="n"/>
      <c r="K446" s="27" t="n">
        <v>20.4</v>
      </c>
      <c r="L446" s="44" t="n">
        <v>16.66</v>
      </c>
      <c r="M446" s="32" t="n"/>
      <c r="N446" s="29" t="inlineStr">
        <is>
          <t>N</t>
        </is>
      </c>
      <c r="O446" s="26" t="n">
        <v>7128.5</v>
      </c>
      <c r="P446" s="46" t="n">
        <v>2153.26</v>
      </c>
      <c r="Q446" s="31" t="n">
        <v>3.37</v>
      </c>
      <c r="R446" s="45" t="n">
        <v>84.27</v>
      </c>
      <c r="S446" s="33" t="n">
        <v>0</v>
      </c>
      <c r="T446" s="32" t="n">
        <v>8.800000000000001</v>
      </c>
      <c r="U446" s="22" t="n"/>
      <c r="V446" s="29" t="inlineStr">
        <is>
          <t>N</t>
        </is>
      </c>
      <c r="W446" s="31" t="n"/>
      <c r="X446" s="34" t="n">
        <v>9</v>
      </c>
      <c r="Y446" s="36" t="n">
        <v>793.6</v>
      </c>
      <c r="Z446" s="36" t="n">
        <v>-195.9</v>
      </c>
      <c r="AA446" s="22" t="n"/>
      <c r="AB446" s="22" t="n"/>
      <c r="AC446" s="22" t="inlineStr">
        <is>
          <t>Guotai Junan Capital Limited; CITIC Securities (Hong Kong) Limited</t>
        </is>
      </c>
      <c r="AD446" s="22" t="inlineStr">
        <is>
          <t>Managers and Capital Market Intermediaries ICBC International Securities Limited; Managers and Capital Market Intermediaries CCB International Capital Limited; Yunfeng Securities Limited; Livermore Holdings Limited; SPDB International Capital Limited; Shenwan Hongyuan Securities (H.K.) Limited; Yuen Meta (International) Securities Limited; Harmonia Capital Limited</t>
        </is>
      </c>
      <c r="AE446" s="22" t="n"/>
      <c r="AK446">
        <f>IF(AND(Screener!$B$7&lt;&gt;"",$E446=Screener!$B$7),1,0)</f>
        <v/>
      </c>
      <c r="AL446">
        <f>IF(AND(Screener!$B$6&lt;&gt;"",$D446=Screener!$B$6),1,0)</f>
        <v/>
      </c>
      <c r="AM446">
        <f>IF(OR($H446="",Screener!$B$8=""),0,MAX(0,1-ABS(LOG10($H446/Screener!$B$8))/W_SIZEHW))</f>
        <v/>
      </c>
      <c r="AN446">
        <f>IF(OR($V446="",Screener!$B$9=""),0,IF($V446=Screener!$B$9,1,0))</f>
        <v/>
      </c>
      <c r="AO446">
        <f>IF(OR($AA446="",Screener!$B$10=""),0,IF($AA446=Screener!$B$10,1,0))</f>
        <v/>
      </c>
      <c r="AP446">
        <f>IF($G446="",0,MAX(0,1-(Screener!$B$12-$G446)/W_RECD))</f>
        <v/>
      </c>
      <c r="AQ446">
        <f>IF($B446=Screener!$B$3,-999999,W_SUB*AK446+W_SEC*AL446*(1-AK446)+W_SIZE*AM446+W_PROF*AN446+W_AH*AO446+W_REC*AP446)+ROW()/1000000</f>
        <v/>
      </c>
      <c r="AR446">
        <f>IF(OR('NEW DEAL'!$B$6="",$E446&lt;&gt;'NEW DEAL'!$B$6),-1,1+IF(OR($H446="",'NEW DEAL'!$B$7=""),0,MAX(0,1-ABS(LOG10($H446/'NEW DEAL'!$B$7))/W_SIZEHW)))+ROW()/1000000</f>
        <v/>
      </c>
    </row>
    <row r="447">
      <c r="A447" s="23" t="inlineStr">
        <is>
          <t>2632</t>
        </is>
      </c>
      <c r="B447" s="22" t="inlineStr">
        <is>
          <t>NEW VISION CO</t>
        </is>
      </c>
      <c r="C447" s="22" t="inlineStr">
        <is>
          <t>江蘇澤景汽車電子股份有限公司</t>
        </is>
      </c>
      <c r="D447" s="24" t="inlineStr">
        <is>
          <t>Consumer</t>
        </is>
      </c>
      <c r="E447" s="24" t="inlineStr">
        <is>
          <t>Auto parts / supply chain</t>
        </is>
      </c>
      <c r="F447" s="22" t="inlineStr">
        <is>
          <t>Standard</t>
        </is>
      </c>
      <c r="G447" s="43" t="n">
        <v>46105</v>
      </c>
      <c r="H447" s="26" t="n">
        <v>717.21</v>
      </c>
      <c r="I447" s="22" t="inlineStr">
        <is>
          <t>gross (stated)</t>
        </is>
      </c>
      <c r="J447" s="27" t="n"/>
      <c r="K447" s="27" t="n">
        <v>48</v>
      </c>
      <c r="L447" s="44" t="n">
        <v>44.2</v>
      </c>
      <c r="M447" s="32" t="n"/>
      <c r="N447" s="29" t="inlineStr">
        <is>
          <t>N</t>
        </is>
      </c>
      <c r="O447" s="26" t="n">
        <v>5454.1</v>
      </c>
      <c r="P447" s="46" t="n">
        <v>68.89</v>
      </c>
      <c r="Q447" s="31" t="n">
        <v>1.34</v>
      </c>
      <c r="R447" s="45" t="n">
        <v>-36.92</v>
      </c>
      <c r="S447" s="33" t="n">
        <v>16.13</v>
      </c>
      <c r="T447" s="32" t="n"/>
      <c r="U447" s="22" t="n"/>
      <c r="V447" s="29" t="inlineStr">
        <is>
          <t>N</t>
        </is>
      </c>
      <c r="W447" s="31" t="n"/>
      <c r="X447" s="34" t="n">
        <v>8.6</v>
      </c>
      <c r="Y447" s="36" t="n">
        <v>635.4</v>
      </c>
      <c r="Z447" s="36" t="n">
        <v>-151.6</v>
      </c>
      <c r="AA447" s="22" t="n"/>
      <c r="AB447" s="22" t="n"/>
      <c r="AC447" s="22" t="n"/>
      <c r="AD447" s="22" t="n"/>
      <c r="AE447" s="22" t="n"/>
      <c r="AK447">
        <f>IF(AND(Screener!$B$7&lt;&gt;"",$E447=Screener!$B$7),1,0)</f>
        <v/>
      </c>
      <c r="AL447">
        <f>IF(AND(Screener!$B$6&lt;&gt;"",$D447=Screener!$B$6),1,0)</f>
        <v/>
      </c>
      <c r="AM447">
        <f>IF(OR($H447="",Screener!$B$8=""),0,MAX(0,1-ABS(LOG10($H447/Screener!$B$8))/W_SIZEHW))</f>
        <v/>
      </c>
      <c r="AN447">
        <f>IF(OR($V447="",Screener!$B$9=""),0,IF($V447=Screener!$B$9,1,0))</f>
        <v/>
      </c>
      <c r="AO447">
        <f>IF(OR($AA447="",Screener!$B$10=""),0,IF($AA447=Screener!$B$10,1,0))</f>
        <v/>
      </c>
      <c r="AP447">
        <f>IF($G447="",0,MAX(0,1-(Screener!$B$12-$G447)/W_RECD))</f>
        <v/>
      </c>
      <c r="AQ447">
        <f>IF($B447=Screener!$B$3,-999999,W_SUB*AK447+W_SEC*AL447*(1-AK447)+W_SIZE*AM447+W_PROF*AN447+W_AH*AO447+W_REC*AP447)+ROW()/1000000</f>
        <v/>
      </c>
      <c r="AR447">
        <f>IF(OR('NEW DEAL'!$B$6="",$E447&lt;&gt;'NEW DEAL'!$B$6),-1,1+IF(OR($H447="",'NEW DEAL'!$B$7=""),0,MAX(0,1-ABS(LOG10($H447/'NEW DEAL'!$B$7))/W_SIZEHW)))+ROW()/1000000</f>
        <v/>
      </c>
    </row>
    <row r="448">
      <c r="A448" s="23" t="inlineStr">
        <is>
          <t>2726</t>
        </is>
      </c>
      <c r="B448" s="22" t="inlineStr">
        <is>
          <t>EPIWORLD</t>
        </is>
      </c>
      <c r="C448" s="22" t="inlineStr">
        <is>
          <t>瀚天天成電子科技</t>
        </is>
      </c>
      <c r="D448" s="24" t="inlineStr">
        <is>
          <t>Tech/AI</t>
        </is>
      </c>
      <c r="E448" s="24" t="inlineStr">
        <is>
          <t>AI chips &amp; semis</t>
        </is>
      </c>
      <c r="F448" s="22" t="inlineStr">
        <is>
          <t>Standard</t>
        </is>
      </c>
      <c r="G448" s="43" t="n">
        <v>46111</v>
      </c>
      <c r="H448" s="26" t="n">
        <v>1640</v>
      </c>
      <c r="I448" s="22" t="inlineStr">
        <is>
          <t>gross (stated)</t>
        </is>
      </c>
      <c r="J448" s="27" t="n"/>
      <c r="K448" s="27" t="n">
        <v>76.26000000000001</v>
      </c>
      <c r="L448" s="44" t="n">
        <v>76.26000000000001</v>
      </c>
      <c r="M448" s="32" t="n"/>
      <c r="N448" s="29" t="inlineStr">
        <is>
          <t>Y</t>
        </is>
      </c>
      <c r="O448" s="26" t="n">
        <v>32455.1</v>
      </c>
      <c r="P448" s="46" t="n">
        <v>50.66</v>
      </c>
      <c r="Q448" s="31" t="n">
        <v>1.95</v>
      </c>
      <c r="R448" s="45" t="n">
        <v>35.06</v>
      </c>
      <c r="S448" s="42" t="n">
        <v>47.1</v>
      </c>
      <c r="T448" s="32" t="n"/>
      <c r="U448" s="22" t="n"/>
      <c r="V448" s="29" t="inlineStr">
        <is>
          <t>Y</t>
        </is>
      </c>
      <c r="W448" s="34" t="n">
        <v>178.7</v>
      </c>
      <c r="X448" s="34" t="n">
        <v>30.3</v>
      </c>
      <c r="Y448" s="36" t="n">
        <v>1071.7</v>
      </c>
      <c r="Z448" s="36" t="n">
        <v>181.6</v>
      </c>
      <c r="AA448" s="22" t="n"/>
      <c r="AB448" s="22" t="n"/>
      <c r="AC448" s="22" t="n"/>
      <c r="AD448" s="22" t="inlineStr">
        <is>
          <t>Capital Market Intermediary ABCI Capital Limited; Managers and Capital Market Intermediaries Daokou Securities Limited; China Industrial Securities International Capital Limited; Fuze Securities (International) Limited; Kingston Securities Limited; Yuen Meta (International) Securities Limited</t>
        </is>
      </c>
      <c r="AE448" s="22" t="n"/>
      <c r="AK448">
        <f>IF(AND(Screener!$B$7&lt;&gt;"",$E448=Screener!$B$7),1,0)</f>
        <v/>
      </c>
      <c r="AL448">
        <f>IF(AND(Screener!$B$6&lt;&gt;"",$D448=Screener!$B$6),1,0)</f>
        <v/>
      </c>
      <c r="AM448">
        <f>IF(OR($H448="",Screener!$B$8=""),0,MAX(0,1-ABS(LOG10($H448/Screener!$B$8))/W_SIZEHW))</f>
        <v/>
      </c>
      <c r="AN448">
        <f>IF(OR($V448="",Screener!$B$9=""),0,IF($V448=Screener!$B$9,1,0))</f>
        <v/>
      </c>
      <c r="AO448">
        <f>IF(OR($AA448="",Screener!$B$10=""),0,IF($AA448=Screener!$B$10,1,0))</f>
        <v/>
      </c>
      <c r="AP448">
        <f>IF($G448="",0,MAX(0,1-(Screener!$B$12-$G448)/W_RECD))</f>
        <v/>
      </c>
      <c r="AQ448">
        <f>IF($B448=Screener!$B$3,-999999,W_SUB*AK448+W_SEC*AL448*(1-AK448)+W_SIZE*AM448+W_PROF*AN448+W_AH*AO448+W_REC*AP448)+ROW()/1000000</f>
        <v/>
      </c>
      <c r="AR448">
        <f>IF(OR('NEW DEAL'!$B$6="",$E448&lt;&gt;'NEW DEAL'!$B$6),-1,1+IF(OR($H448="",'NEW DEAL'!$B$7=""),0,MAX(0,1-ABS(LOG10($H448/'NEW DEAL'!$B$7))/W_SIZEHW)))+ROW()/1000000</f>
        <v/>
      </c>
    </row>
    <row r="449">
      <c r="A449" s="23" t="inlineStr">
        <is>
          <t>2526</t>
        </is>
      </c>
      <c r="B449" s="22" t="inlineStr">
        <is>
          <t>DIAGENS-B</t>
        </is>
      </c>
      <c r="C449" s="22" t="inlineStr">
        <is>
          <t>杭州德適生物科技股份有限公司</t>
        </is>
      </c>
      <c r="D449" s="24" t="inlineStr">
        <is>
          <t>Healthcare</t>
        </is>
      </c>
      <c r="E449" s="24" t="inlineStr">
        <is>
          <t>Medical devices</t>
        </is>
      </c>
      <c r="F449" s="38" t="inlineStr">
        <is>
          <t>18A</t>
        </is>
      </c>
      <c r="G449" s="43" t="n">
        <v>46111</v>
      </c>
      <c r="H449" s="26" t="n">
        <v>791.9</v>
      </c>
      <c r="I449" s="22" t="inlineStr">
        <is>
          <t>gross (stated)</t>
        </is>
      </c>
      <c r="J449" s="27" t="n"/>
      <c r="K449" s="27" t="n">
        <v>112.5</v>
      </c>
      <c r="L449" s="44" t="n">
        <v>99</v>
      </c>
      <c r="M449" s="32" t="n"/>
      <c r="N449" s="29" t="inlineStr">
        <is>
          <t>N</t>
        </is>
      </c>
      <c r="O449" s="26" t="n">
        <v>8799</v>
      </c>
      <c r="P449" s="46" t="n">
        <v>1073.37</v>
      </c>
      <c r="Q449" s="31" t="n">
        <v>3.45</v>
      </c>
      <c r="R449" s="45" t="n">
        <v>111.72</v>
      </c>
      <c r="S449" s="33" t="n">
        <v>0</v>
      </c>
      <c r="T449" s="32" t="n"/>
      <c r="U449" s="22" t="n"/>
      <c r="V449" s="29" t="inlineStr">
        <is>
          <t>N</t>
        </is>
      </c>
      <c r="W449" s="31" t="n"/>
      <c r="X449" s="31" t="n"/>
      <c r="Y449" s="35" t="n"/>
      <c r="Z449" s="36" t="n">
        <v>-61.7</v>
      </c>
      <c r="AA449" s="22" t="n"/>
      <c r="AB449" s="22" t="n"/>
      <c r="AC449" s="22" t="inlineStr">
        <is>
          <t>and Sponsor-overall Coordinator Huatai Financial Holdings (Hong Kong) Limited</t>
        </is>
      </c>
      <c r="AD449" s="22" t="inlineStr">
        <is>
          <t>Huatai Financial Holdings (Hong Kong) Limited; Futu Securities International (Hong Kong) Limited; ABCI Capital Limited; Central, Hong Kong BOCI Asia Limited; Central, Hong Kong CCB International Capital Limited; Central, Hong Kong China Galaxy International Securities (Hong Kong) Co., Limited; Sheung Wan, Hong Kong Huafu International Securities Limited; Sheung Wan, Hong Kong Y ellow River Securities Limited; Admiralty, Hong Kong Yuen Meta (International) Securities Limited; Wanchai, Hong Kong Yunfeng Securities Limited; Wanchai, Hong Kong Zheshang International Financial Holdings Co., Ltd</t>
        </is>
      </c>
      <c r="AE449" s="22" t="n"/>
      <c r="AK449">
        <f>IF(AND(Screener!$B$7&lt;&gt;"",$E449=Screener!$B$7),1,0)</f>
        <v/>
      </c>
      <c r="AL449">
        <f>IF(AND(Screener!$B$6&lt;&gt;"",$D449=Screener!$B$6),1,0)</f>
        <v/>
      </c>
      <c r="AM449">
        <f>IF(OR($H449="",Screener!$B$8=""),0,MAX(0,1-ABS(LOG10($H449/Screener!$B$8))/W_SIZEHW))</f>
        <v/>
      </c>
      <c r="AN449">
        <f>IF(OR($V449="",Screener!$B$9=""),0,IF($V449=Screener!$B$9,1,0))</f>
        <v/>
      </c>
      <c r="AO449">
        <f>IF(OR($AA449="",Screener!$B$10=""),0,IF($AA449=Screener!$B$10,1,0))</f>
        <v/>
      </c>
      <c r="AP449">
        <f>IF($G449="",0,MAX(0,1-(Screener!$B$12-$G449)/W_RECD))</f>
        <v/>
      </c>
      <c r="AQ449">
        <f>IF($B449=Screener!$B$3,-999999,W_SUB*AK449+W_SEC*AL449*(1-AK449)+W_SIZE*AM449+W_PROF*AN449+W_AH*AO449+W_REC*AP449)+ROW()/1000000</f>
        <v/>
      </c>
      <c r="AR449">
        <f>IF(OR('NEW DEAL'!$B$6="",$E449&lt;&gt;'NEW DEAL'!$B$6),-1,1+IF(OR($H449="",'NEW DEAL'!$B$7=""),0,MAX(0,1-ABS(LOG10($H449/'NEW DEAL'!$B$7))/W_SIZEHW)))+ROW()/1000000</f>
        <v/>
      </c>
    </row>
    <row r="450">
      <c r="A450" s="23" t="inlineStr">
        <is>
          <t>6636</t>
        </is>
      </c>
      <c r="B450" s="22" t="inlineStr">
        <is>
          <t>EXTREME VISION</t>
        </is>
      </c>
      <c r="C450" s="22" t="n"/>
      <c r="D450" s="24" t="inlineStr">
        <is>
          <t>Tech/AI</t>
        </is>
      </c>
      <c r="E450" s="24" t="inlineStr">
        <is>
          <t>AI application / agent software</t>
        </is>
      </c>
      <c r="F450" s="22" t="inlineStr">
        <is>
          <t>Standard</t>
        </is>
      </c>
      <c r="G450" s="43" t="n">
        <v>46111</v>
      </c>
      <c r="H450" s="26" t="n">
        <v>499.2</v>
      </c>
      <c r="I450" s="22" t="inlineStr">
        <is>
          <t>gross (stated)</t>
        </is>
      </c>
      <c r="J450" s="27" t="n"/>
      <c r="K450" s="27" t="n">
        <v>40</v>
      </c>
      <c r="L450" s="44" t="n">
        <v>40</v>
      </c>
      <c r="M450" s="32" t="n"/>
      <c r="N450" s="29" t="inlineStr">
        <is>
          <t>Y</t>
        </is>
      </c>
      <c r="O450" s="26" t="n">
        <v>4516.6</v>
      </c>
      <c r="P450" s="46" t="n">
        <v>4591.37</v>
      </c>
      <c r="Q450" s="31" t="n">
        <v>3.41</v>
      </c>
      <c r="R450" s="45" t="n">
        <v>150</v>
      </c>
      <c r="S450" s="33" t="n">
        <v>9.460000000000001</v>
      </c>
      <c r="T450" s="32" t="n"/>
      <c r="U450" s="22" t="n"/>
      <c r="V450" s="29" t="inlineStr">
        <is>
          <t>Y</t>
        </is>
      </c>
      <c r="W450" s="34" t="n">
        <v>45166</v>
      </c>
      <c r="X450" s="34" t="n">
        <v>16</v>
      </c>
      <c r="Y450" s="36" t="n">
        <v>283</v>
      </c>
      <c r="Z450" s="36" t="n">
        <v>0.1</v>
      </c>
      <c r="AA450" s="22" t="n"/>
      <c r="AB450" s="22" t="n"/>
      <c r="AC450" s="22" t="inlineStr">
        <is>
          <t>CITIC Securities (Hong Kong) Limited</t>
        </is>
      </c>
      <c r="AD450" s="22" t="inlineStr">
        <is>
          <t>Manager and Capital Market Intermediary CLSA Limited; CMB International Capital Limited; DIRECTORS AND PARTIES INVOLVED IN THE GLOBAL OFFERING –5 8– ABCI Capital Limited; SDIC Securities (Hong Kong) Limited; Guosen Securities (HK) Brokerage Company, Limited; Livermore Holdings Limited; China Sunrise Securities (International) Limited</t>
        </is>
      </c>
      <c r="AE450" s="22" t="n"/>
      <c r="AK450">
        <f>IF(AND(Screener!$B$7&lt;&gt;"",$E450=Screener!$B$7),1,0)</f>
        <v/>
      </c>
      <c r="AL450">
        <f>IF(AND(Screener!$B$6&lt;&gt;"",$D450=Screener!$B$6),1,0)</f>
        <v/>
      </c>
      <c r="AM450">
        <f>IF(OR($H450="",Screener!$B$8=""),0,MAX(0,1-ABS(LOG10($H450/Screener!$B$8))/W_SIZEHW))</f>
        <v/>
      </c>
      <c r="AN450">
        <f>IF(OR($V450="",Screener!$B$9=""),0,IF($V450=Screener!$B$9,1,0))</f>
        <v/>
      </c>
      <c r="AO450">
        <f>IF(OR($AA450="",Screener!$B$10=""),0,IF($AA450=Screener!$B$10,1,0))</f>
        <v/>
      </c>
      <c r="AP450">
        <f>IF($G450="",0,MAX(0,1-(Screener!$B$12-$G450)/W_RECD))</f>
        <v/>
      </c>
      <c r="AQ450">
        <f>IF($B450=Screener!$B$3,-999999,W_SUB*AK450+W_SEC*AL450*(1-AK450)+W_SIZE*AM450+W_PROF*AN450+W_AH*AO450+W_REC*AP450)+ROW()/1000000</f>
        <v/>
      </c>
      <c r="AR450">
        <f>IF(OR('NEW DEAL'!$B$6="",$E450&lt;&gt;'NEW DEAL'!$B$6),-1,1+IF(OR($H450="",'NEW DEAL'!$B$7=""),0,MAX(0,1-ABS(LOG10($H450/'NEW DEAL'!$B$7))/W_SIZEHW)))+ROW()/1000000</f>
        <v/>
      </c>
    </row>
    <row r="451">
      <c r="A451" s="23" t="inlineStr">
        <is>
          <t>1021</t>
        </is>
      </c>
      <c r="B451" s="22" t="inlineStr">
        <is>
          <t>HUAYAN ROBOTICS</t>
        </is>
      </c>
      <c r="C451" s="22" t="n"/>
      <c r="D451" s="24" t="inlineStr">
        <is>
          <t>Tech/AI</t>
        </is>
      </c>
      <c r="E451" s="24" t="inlineStr">
        <is>
          <t>Robotics &amp; autonomous driving</t>
        </is>
      </c>
      <c r="F451" s="22" t="inlineStr">
        <is>
          <t>Standard</t>
        </is>
      </c>
      <c r="G451" s="39" t="n">
        <v>46111</v>
      </c>
      <c r="H451" s="26" t="n">
        <v>1579.34</v>
      </c>
      <c r="I451" s="22" t="inlineStr">
        <is>
          <t>gross (stated)</t>
        </is>
      </c>
      <c r="J451" s="27" t="n"/>
      <c r="K451" s="27" t="n"/>
      <c r="L451" s="44" t="n">
        <v>17</v>
      </c>
      <c r="M451" s="32" t="n"/>
      <c r="N451" s="22" t="n"/>
      <c r="O451" s="35" t="n"/>
      <c r="P451" s="40" t="n">
        <v>5059.4</v>
      </c>
      <c r="Q451" s="31" t="n"/>
      <c r="R451" s="45" t="n">
        <v>8.24</v>
      </c>
      <c r="S451" s="33" t="n"/>
      <c r="T451" s="32" t="n"/>
      <c r="U451" s="22" t="n"/>
      <c r="V451" s="22" t="n"/>
      <c r="W451" s="31" t="n"/>
      <c r="X451" s="31" t="n"/>
      <c r="Y451" s="35" t="n"/>
      <c r="Z451" s="35" t="n"/>
      <c r="AA451" s="22" t="n"/>
      <c r="AB451" s="22" t="n"/>
      <c r="AC451" s="22" t="n"/>
      <c r="AD451" s="22" t="n"/>
      <c r="AE451" s="22" t="n"/>
      <c r="AK451">
        <f>IF(AND(Screener!$B$7&lt;&gt;"",$E451=Screener!$B$7),1,0)</f>
        <v/>
      </c>
      <c r="AL451">
        <f>IF(AND(Screener!$B$6&lt;&gt;"",$D451=Screener!$B$6),1,0)</f>
        <v/>
      </c>
      <c r="AM451">
        <f>IF(OR($H451="",Screener!$B$8=""),0,MAX(0,1-ABS(LOG10($H451/Screener!$B$8))/W_SIZEHW))</f>
        <v/>
      </c>
      <c r="AN451">
        <f>IF(OR($V451="",Screener!$B$9=""),0,IF($V451=Screener!$B$9,1,0))</f>
        <v/>
      </c>
      <c r="AO451">
        <f>IF(OR($AA451="",Screener!$B$10=""),0,IF($AA451=Screener!$B$10,1,0))</f>
        <v/>
      </c>
      <c r="AP451">
        <f>IF($G451="",0,MAX(0,1-(Screener!$B$12-$G451)/W_RECD))</f>
        <v/>
      </c>
      <c r="AQ451">
        <f>IF($B451=Screener!$B$3,-999999,W_SUB*AK451+W_SEC*AL451*(1-AK451)+W_SIZE*AM451+W_PROF*AN451+W_AH*AO451+W_REC*AP451)+ROW()/1000000</f>
        <v/>
      </c>
      <c r="AR451">
        <f>IF(OR('NEW DEAL'!$B$6="",$E451&lt;&gt;'NEW DEAL'!$B$6),-1,1+IF(OR($H451="",'NEW DEAL'!$B$7=""),0,MAX(0,1-ABS(LOG10($H451/'NEW DEAL'!$B$7))/W_SIZEHW)))+ROW()/1000000</f>
        <v/>
      </c>
    </row>
    <row r="452">
      <c r="A452" s="23" t="inlineStr">
        <is>
          <t>0664</t>
        </is>
      </c>
      <c r="B452" s="22" t="inlineStr">
        <is>
          <t>TONGSHIFU</t>
        </is>
      </c>
      <c r="C452" s="22" t="inlineStr">
        <is>
          <t>杭州銅師傅文創</t>
        </is>
      </c>
      <c r="D452" s="24" t="inlineStr">
        <is>
          <t>Consumer</t>
        </is>
      </c>
      <c r="E452" s="24" t="inlineStr">
        <is>
          <t>Beverages / packaged food</t>
        </is>
      </c>
      <c r="F452" s="22" t="inlineStr">
        <is>
          <t>Standard</t>
        </is>
      </c>
      <c r="G452" s="43" t="n">
        <v>46112</v>
      </c>
      <c r="H452" s="26" t="n">
        <v>444.41</v>
      </c>
      <c r="I452" s="22" t="inlineStr">
        <is>
          <t>gross (stated)</t>
        </is>
      </c>
      <c r="J452" s="27" t="n"/>
      <c r="K452" s="27" t="n">
        <v>68</v>
      </c>
      <c r="L452" s="44" t="n">
        <v>60</v>
      </c>
      <c r="M452" s="32" t="n"/>
      <c r="N452" s="29" t="inlineStr">
        <is>
          <t>N</t>
        </is>
      </c>
      <c r="O452" s="26" t="n">
        <v>3864.4</v>
      </c>
      <c r="P452" s="46" t="n">
        <v>59.55</v>
      </c>
      <c r="Q452" s="31" t="n">
        <v>1.56</v>
      </c>
      <c r="R452" s="45" t="n">
        <v>-49.17</v>
      </c>
      <c r="S452" s="33" t="n">
        <v>50.3</v>
      </c>
      <c r="T452" s="32" t="n">
        <v>6.75</v>
      </c>
      <c r="U452" s="22" t="inlineStr">
        <is>
          <t>not-yet (at allotment)</t>
        </is>
      </c>
      <c r="V452" s="29" t="inlineStr">
        <is>
          <t>Y</t>
        </is>
      </c>
      <c r="W452" s="34" t="n">
        <v>44.5</v>
      </c>
      <c r="X452" s="31" t="n"/>
      <c r="Y452" s="35" t="n"/>
      <c r="Z452" s="36" t="n">
        <v>86.90000000000001</v>
      </c>
      <c r="AA452" s="22" t="n"/>
      <c r="AB452" s="22" t="n"/>
      <c r="AC452" s="22" t="inlineStr">
        <is>
          <t>CMB International Capital Limited; -Overall Coordinator CMB International Capital Limited</t>
        </is>
      </c>
      <c r="AD452" s="22" t="inlineStr">
        <is>
          <t>CMB International Capital Limited; Central, Hong Kong CLSA Limited; ABCI Capital Limited; China Everbright Securities (HK) Limited; Futu Securities International (Hong Kong) Limited; Patrons Securities Limited</t>
        </is>
      </c>
      <c r="AE452" s="22" t="n"/>
      <c r="AK452">
        <f>IF(AND(Screener!$B$7&lt;&gt;"",$E452=Screener!$B$7),1,0)</f>
        <v/>
      </c>
      <c r="AL452">
        <f>IF(AND(Screener!$B$6&lt;&gt;"",$D452=Screener!$B$6),1,0)</f>
        <v/>
      </c>
      <c r="AM452">
        <f>IF(OR($H452="",Screener!$B$8=""),0,MAX(0,1-ABS(LOG10($H452/Screener!$B$8))/W_SIZEHW))</f>
        <v/>
      </c>
      <c r="AN452">
        <f>IF(OR($V452="",Screener!$B$9=""),0,IF($V452=Screener!$B$9,1,0))</f>
        <v/>
      </c>
      <c r="AO452">
        <f>IF(OR($AA452="",Screener!$B$10=""),0,IF($AA452=Screener!$B$10,1,0))</f>
        <v/>
      </c>
      <c r="AP452">
        <f>IF($G452="",0,MAX(0,1-(Screener!$B$12-$G452)/W_RECD))</f>
        <v/>
      </c>
      <c r="AQ452">
        <f>IF($B452=Screener!$B$3,-999999,W_SUB*AK452+W_SEC*AL452*(1-AK452)+W_SIZE*AM452+W_PROF*AN452+W_AH*AO452+W_REC*AP452)+ROW()/1000000</f>
        <v/>
      </c>
      <c r="AR452">
        <f>IF(OR('NEW DEAL'!$B$6="",$E452&lt;&gt;'NEW DEAL'!$B$6),-1,1+IF(OR($H452="",'NEW DEAL'!$B$7=""),0,MAX(0,1-ABS(LOG10($H452/'NEW DEAL'!$B$7))/W_SIZEHW)))+ROW()/1000000</f>
        <v/>
      </c>
    </row>
    <row r="453">
      <c r="A453" s="23" t="inlineStr">
        <is>
          <t>3625</t>
        </is>
      </c>
      <c r="B453" s="22" t="inlineStr">
        <is>
          <t>FOURSEMI</t>
        </is>
      </c>
      <c r="C453" s="22" t="n"/>
      <c r="D453" s="24" t="inlineStr">
        <is>
          <t>Tech/AI</t>
        </is>
      </c>
      <c r="E453" s="24" t="inlineStr">
        <is>
          <t>AI chips &amp; semis</t>
        </is>
      </c>
      <c r="F453" s="22" t="inlineStr">
        <is>
          <t>Standard</t>
        </is>
      </c>
      <c r="G453" s="43" t="n">
        <v>46112</v>
      </c>
      <c r="H453" s="26" t="n">
        <v>480</v>
      </c>
      <c r="I453" s="22" t="inlineStr">
        <is>
          <t>gross (stated)</t>
        </is>
      </c>
      <c r="J453" s="27" t="n"/>
      <c r="K453" s="27" t="n">
        <v>50</v>
      </c>
      <c r="L453" s="44" t="n">
        <v>40</v>
      </c>
      <c r="M453" s="32" t="n"/>
      <c r="N453" s="29" t="inlineStr">
        <is>
          <t>N</t>
        </is>
      </c>
      <c r="O453" s="26" t="n">
        <v>4480</v>
      </c>
      <c r="P453" s="46" t="n">
        <v>3118.43</v>
      </c>
      <c r="Q453" s="31" t="n">
        <v>2.93</v>
      </c>
      <c r="R453" s="45" t="n">
        <v>100</v>
      </c>
      <c r="S453" s="33" t="n">
        <v>0</v>
      </c>
      <c r="T453" s="32" t="n">
        <v>5.72</v>
      </c>
      <c r="U453" s="22" t="inlineStr">
        <is>
          <t>not-yet (at allotment)</t>
        </is>
      </c>
      <c r="V453" s="29" t="inlineStr">
        <is>
          <t>N</t>
        </is>
      </c>
      <c r="W453" s="31" t="n"/>
      <c r="X453" s="31" t="n"/>
      <c r="Y453" s="35" t="n"/>
      <c r="Z453" s="36" t="n">
        <v>-62.5</v>
      </c>
      <c r="AA453" s="22" t="n"/>
      <c r="AB453" s="22" t="n"/>
      <c r="AC453" s="22" t="inlineStr">
        <is>
          <t>Guotai Junan Capital Limited; Orient Capital (Hong Kong) Limited</t>
        </is>
      </c>
      <c r="AD453" s="22" t="inlineStr">
        <is>
          <t>Guotai Junan Securities (Hong Kong) Limited; Orient Securities (Hong Kong) Limited; Central, Hong Kong CCB International Capital Limited; ABCI Capital Limited; Futu Securities International (Hong Kong) Limited; Y ellow River Securities Limited; Admiralty, Hong Kong Shenwan Hongyuan Securities (H.K.) Limited; Livermore Holdings Limited; Huafu International Securities Limited; Wanchai, Hong Kong Zheshang International Financial Holdings Co., Limited</t>
        </is>
      </c>
      <c r="AE453" s="22" t="n"/>
      <c r="AK453">
        <f>IF(AND(Screener!$B$7&lt;&gt;"",$E453=Screener!$B$7),1,0)</f>
        <v/>
      </c>
      <c r="AL453">
        <f>IF(AND(Screener!$B$6&lt;&gt;"",$D453=Screener!$B$6),1,0)</f>
        <v/>
      </c>
      <c r="AM453">
        <f>IF(OR($H453="",Screener!$B$8=""),0,MAX(0,1-ABS(LOG10($H453/Screener!$B$8))/W_SIZEHW))</f>
        <v/>
      </c>
      <c r="AN453">
        <f>IF(OR($V453="",Screener!$B$9=""),0,IF($V453=Screener!$B$9,1,0))</f>
        <v/>
      </c>
      <c r="AO453">
        <f>IF(OR($AA453="",Screener!$B$10=""),0,IF($AA453=Screener!$B$10,1,0))</f>
        <v/>
      </c>
      <c r="AP453">
        <f>IF($G453="",0,MAX(0,1-(Screener!$B$12-$G453)/W_RECD))</f>
        <v/>
      </c>
      <c r="AQ453">
        <f>IF($B453=Screener!$B$3,-999999,W_SUB*AK453+W_SEC*AL453*(1-AK453)+W_SIZE*AM453+W_PROF*AN453+W_AH*AO453+W_REC*AP453)+ROW()/1000000</f>
        <v/>
      </c>
      <c r="AR453">
        <f>IF(OR('NEW DEAL'!$B$6="",$E453&lt;&gt;'NEW DEAL'!$B$6),-1,1+IF(OR($H453="",'NEW DEAL'!$B$7=""),0,MAX(0,1-ABS(LOG10($H453/'NEW DEAL'!$B$7))/W_SIZEHW)))+ROW()/1000000</f>
        <v/>
      </c>
    </row>
    <row r="454">
      <c r="A454" s="23" t="inlineStr">
        <is>
          <t>6656</t>
        </is>
      </c>
      <c r="B454" s="22" t="inlineStr">
        <is>
          <t>SIGENERGY</t>
        </is>
      </c>
      <c r="C454" s="22" t="inlineStr">
        <is>
          <t>思格新能源（上海）股份有限公司</t>
        </is>
      </c>
      <c r="D454" s="24" t="inlineStr">
        <is>
          <t>Industrials</t>
        </is>
      </c>
      <c r="E454" s="24" t="inlineStr">
        <is>
          <t>Batteries / energy storage</t>
        </is>
      </c>
      <c r="F454" s="22" t="inlineStr">
        <is>
          <t>Standard</t>
        </is>
      </c>
      <c r="G454" s="43" t="n">
        <v>46128</v>
      </c>
      <c r="H454" s="26" t="n">
        <v>4400.7</v>
      </c>
      <c r="I454" s="22" t="inlineStr">
        <is>
          <t>gross (stated)</t>
        </is>
      </c>
      <c r="J454" s="27" t="n"/>
      <c r="K454" s="27" t="n">
        <v>324.2</v>
      </c>
      <c r="L454" s="44" t="n">
        <v>324.2</v>
      </c>
      <c r="M454" s="32" t="n"/>
      <c r="N454" s="29" t="inlineStr">
        <is>
          <t>Y</t>
        </is>
      </c>
      <c r="O454" s="26" t="n">
        <v>80011.60000000001</v>
      </c>
      <c r="P454" s="46" t="n">
        <v>1102.05</v>
      </c>
      <c r="Q454" s="31" t="n">
        <v>31.2</v>
      </c>
      <c r="R454" s="45" t="n">
        <v>103.42</v>
      </c>
      <c r="S454" s="33" t="n">
        <v>49.8</v>
      </c>
      <c r="T454" s="32" t="n">
        <v>5.5</v>
      </c>
      <c r="U454" s="22" t="n"/>
      <c r="V454" s="22" t="n"/>
      <c r="W454" s="31" t="n"/>
      <c r="X454" s="34" t="n">
        <v>8.1</v>
      </c>
      <c r="Y454" s="36" t="n">
        <v>9900.6</v>
      </c>
      <c r="Z454" s="35" t="n"/>
      <c r="AA454" s="22" t="n"/>
      <c r="AB454" s="22" t="n"/>
      <c r="AC454" s="22" t="inlineStr">
        <is>
          <t>CITIC Securities (Hong Kong) Limited; BNP Paribas Securities (Asia) Limited</t>
        </is>
      </c>
      <c r="AD454" s="22" t="inlineStr">
        <is>
          <t>CLSA Limited; BNP Paribas Securities (Asia) Limited; China International Capital Corporation Hong Kong Securities Limited</t>
        </is>
      </c>
      <c r="AE454" s="22" t="n"/>
      <c r="AK454">
        <f>IF(AND(Screener!$B$7&lt;&gt;"",$E454=Screener!$B$7),1,0)</f>
        <v/>
      </c>
      <c r="AL454">
        <f>IF(AND(Screener!$B$6&lt;&gt;"",$D454=Screener!$B$6),1,0)</f>
        <v/>
      </c>
      <c r="AM454">
        <f>IF(OR($H454="",Screener!$B$8=""),0,MAX(0,1-ABS(LOG10($H454/Screener!$B$8))/W_SIZEHW))</f>
        <v/>
      </c>
      <c r="AN454">
        <f>IF(OR($V454="",Screener!$B$9=""),0,IF($V454=Screener!$B$9,1,0))</f>
        <v/>
      </c>
      <c r="AO454">
        <f>IF(OR($AA454="",Screener!$B$10=""),0,IF($AA454=Screener!$B$10,1,0))</f>
        <v/>
      </c>
      <c r="AP454">
        <f>IF($G454="",0,MAX(0,1-(Screener!$B$12-$G454)/W_RECD))</f>
        <v/>
      </c>
      <c r="AQ454">
        <f>IF($B454=Screener!$B$3,-999999,W_SUB*AK454+W_SEC*AL454*(1-AK454)+W_SIZE*AM454+W_PROF*AN454+W_AH*AO454+W_REC*AP454)+ROW()/1000000</f>
        <v/>
      </c>
      <c r="AR454">
        <f>IF(OR('NEW DEAL'!$B$6="",$E454&lt;&gt;'NEW DEAL'!$B$6),-1,1+IF(OR($H454="",'NEW DEAL'!$B$7=""),0,MAX(0,1-ABS(LOG10($H454/'NEW DEAL'!$B$7))/W_SIZEHW)))+ROW()/1000000</f>
        <v/>
      </c>
    </row>
    <row r="455">
      <c r="A455" s="23" t="inlineStr">
        <is>
          <t>0068</t>
        </is>
      </c>
      <c r="B455" s="22" t="inlineStr">
        <is>
          <t>MANYCORE TECH</t>
        </is>
      </c>
      <c r="C455" s="22" t="n"/>
      <c r="D455" s="24" t="inlineStr">
        <is>
          <t>Tech/AI</t>
        </is>
      </c>
      <c r="E455" s="24" t="inlineStr">
        <is>
          <t>SaaS / enterprise software</t>
        </is>
      </c>
      <c r="F455" s="22" t="inlineStr">
        <is>
          <t>Standard</t>
        </is>
      </c>
      <c r="G455" s="43" t="n">
        <v>46129</v>
      </c>
      <c r="H455" s="26" t="n">
        <v>1223.9</v>
      </c>
      <c r="I455" s="22" t="inlineStr">
        <is>
          <t>gross (stated)</t>
        </is>
      </c>
      <c r="J455" s="27" t="n"/>
      <c r="K455" s="27" t="n"/>
      <c r="L455" s="44" t="n">
        <v>7.62</v>
      </c>
      <c r="M455" s="32" t="n"/>
      <c r="N455" s="22" t="n"/>
      <c r="O455" s="36" t="n">
        <v>12375</v>
      </c>
      <c r="P455" s="46" t="n">
        <v>1590.56</v>
      </c>
      <c r="Q455" s="31" t="n">
        <v>14.46</v>
      </c>
      <c r="R455" s="45" t="n">
        <v>144.09</v>
      </c>
      <c r="S455" s="33" t="n">
        <v>37.14</v>
      </c>
      <c r="T455" s="28" t="n">
        <v>15</v>
      </c>
      <c r="U455" s="22" t="n"/>
      <c r="V455" s="22" t="n"/>
      <c r="W455" s="31" t="n"/>
      <c r="X455" s="31" t="n"/>
      <c r="Y455" s="35" t="n"/>
      <c r="Z455" s="35" t="n"/>
      <c r="AA455" s="22" t="n"/>
      <c r="AB455" s="22" t="n"/>
      <c r="AC455" s="22" t="n"/>
      <c r="AD455" s="22" t="n"/>
      <c r="AE455" s="22" t="n"/>
      <c r="AK455">
        <f>IF(AND(Screener!$B$7&lt;&gt;"",$E455=Screener!$B$7),1,0)</f>
        <v/>
      </c>
      <c r="AL455">
        <f>IF(AND(Screener!$B$6&lt;&gt;"",$D455=Screener!$B$6),1,0)</f>
        <v/>
      </c>
      <c r="AM455">
        <f>IF(OR($H455="",Screener!$B$8=""),0,MAX(0,1-ABS(LOG10($H455/Screener!$B$8))/W_SIZEHW))</f>
        <v/>
      </c>
      <c r="AN455">
        <f>IF(OR($V455="",Screener!$B$9=""),0,IF($V455=Screener!$B$9,1,0))</f>
        <v/>
      </c>
      <c r="AO455">
        <f>IF(OR($AA455="",Screener!$B$10=""),0,IF($AA455=Screener!$B$10,1,0))</f>
        <v/>
      </c>
      <c r="AP455">
        <f>IF($G455="",0,MAX(0,1-(Screener!$B$12-$G455)/W_RECD))</f>
        <v/>
      </c>
      <c r="AQ455">
        <f>IF($B455=Screener!$B$3,-999999,W_SUB*AK455+W_SEC*AL455*(1-AK455)+W_SIZE*AM455+W_PROF*AN455+W_AH*AO455+W_REC*AP455)+ROW()/1000000</f>
        <v/>
      </c>
      <c r="AR455">
        <f>IF(OR('NEW DEAL'!$B$6="",$E455&lt;&gt;'NEW DEAL'!$B$6),-1,1+IF(OR($H455="",'NEW DEAL'!$B$7=""),0,MAX(0,1-ABS(LOG10($H455/'NEW DEAL'!$B$7))/W_SIZEHW)))+ROW()/1000000</f>
        <v/>
      </c>
    </row>
    <row r="456">
      <c r="A456" s="23" t="inlineStr">
        <is>
          <t>3277</t>
        </is>
      </c>
      <c r="B456" s="22" t="inlineStr">
        <is>
          <t>GPIXEL</t>
        </is>
      </c>
      <c r="C456" s="22" t="inlineStr">
        <is>
          <t>長春長光辰芯微電子股份有限公司</t>
        </is>
      </c>
      <c r="D456" s="24" t="inlineStr">
        <is>
          <t>Tech/AI</t>
        </is>
      </c>
      <c r="E456" s="24" t="inlineStr">
        <is>
          <t>AI chips &amp; semis</t>
        </is>
      </c>
      <c r="F456" s="22" t="inlineStr">
        <is>
          <t>Standard</t>
        </is>
      </c>
      <c r="G456" s="43" t="n">
        <v>46129</v>
      </c>
      <c r="H456" s="26" t="n">
        <v>2603.9</v>
      </c>
      <c r="I456" s="22" t="inlineStr">
        <is>
          <t>gross (stated)</t>
        </is>
      </c>
      <c r="J456" s="27" t="n"/>
      <c r="K456" s="27" t="n">
        <v>39.88</v>
      </c>
      <c r="L456" s="44" t="n">
        <v>39.88</v>
      </c>
      <c r="M456" s="32" t="n"/>
      <c r="N456" s="29" t="inlineStr">
        <is>
          <t>Y</t>
        </is>
      </c>
      <c r="O456" s="36" t="n">
        <v>11600</v>
      </c>
      <c r="P456" s="46" t="n">
        <v>1138.21</v>
      </c>
      <c r="Q456" s="31" t="n">
        <v>22.69</v>
      </c>
      <c r="R456" s="45" t="n">
        <v>75.53</v>
      </c>
      <c r="S456" s="33" t="n">
        <v>25.3</v>
      </c>
      <c r="T456" s="32" t="n">
        <v>18.29</v>
      </c>
      <c r="U456" s="22" t="n"/>
      <c r="V456" s="29" t="inlineStr">
        <is>
          <t>Y</t>
        </is>
      </c>
      <c r="W456" s="34" t="n">
        <v>36</v>
      </c>
      <c r="X456" s="34" t="n">
        <v>12.3</v>
      </c>
      <c r="Y456" s="36" t="n">
        <v>942.2</v>
      </c>
      <c r="Z456" s="36" t="n">
        <v>322.5</v>
      </c>
      <c r="AA456" s="22" t="n"/>
      <c r="AB456" s="22" t="n"/>
      <c r="AC456" s="22" t="inlineStr">
        <is>
          <t>CITIC Securities (Hong Kong) Limited; Guotai Junan Capital Limited</t>
        </is>
      </c>
      <c r="AD456" s="22" t="inlineStr">
        <is>
          <t>CLSA Limited; Guotai Junan Securities (Hong Kong) Limited</t>
        </is>
      </c>
      <c r="AE456" s="22" t="n"/>
      <c r="AK456">
        <f>IF(AND(Screener!$B$7&lt;&gt;"",$E456=Screener!$B$7),1,0)</f>
        <v/>
      </c>
      <c r="AL456">
        <f>IF(AND(Screener!$B$6&lt;&gt;"",$D456=Screener!$B$6),1,0)</f>
        <v/>
      </c>
      <c r="AM456">
        <f>IF(OR($H456="",Screener!$B$8=""),0,MAX(0,1-ABS(LOG10($H456/Screener!$B$8))/W_SIZEHW))</f>
        <v/>
      </c>
      <c r="AN456">
        <f>IF(OR($V456="",Screener!$B$9=""),0,IF($V456=Screener!$B$9,1,0))</f>
        <v/>
      </c>
      <c r="AO456">
        <f>IF(OR($AA456="",Screener!$B$10=""),0,IF($AA456=Screener!$B$10,1,0))</f>
        <v/>
      </c>
      <c r="AP456">
        <f>IF($G456="",0,MAX(0,1-(Screener!$B$12-$G456)/W_RECD))</f>
        <v/>
      </c>
      <c r="AQ456">
        <f>IF($B456=Screener!$B$3,-999999,W_SUB*AK456+W_SEC*AL456*(1-AK456)+W_SIZE*AM456+W_PROF*AN456+W_AH*AO456+W_REC*AP456)+ROW()/1000000</f>
        <v/>
      </c>
      <c r="AR456">
        <f>IF(OR('NEW DEAL'!$B$6="",$E456&lt;&gt;'NEW DEAL'!$B$6),-1,1+IF(OR($H456="",'NEW DEAL'!$B$7=""),0,MAX(0,1-ABS(LOG10($H456/'NEW DEAL'!$B$7))/W_SIZEHW)))+ROW()/1000000</f>
        <v/>
      </c>
    </row>
    <row r="457">
      <c r="A457" s="23" t="inlineStr">
        <is>
          <t>2476</t>
        </is>
      </c>
      <c r="B457" s="22" t="inlineStr">
        <is>
          <t>VGT</t>
        </is>
      </c>
      <c r="C457" s="22" t="inlineStr">
        <is>
          <t>勝宏科技（惠州）股份有限公司</t>
        </is>
      </c>
      <c r="D457" s="24" t="inlineStr">
        <is>
          <t>Tech/AI</t>
        </is>
      </c>
      <c r="E457" s="24" t="inlineStr">
        <is>
          <t>Smart hardware / consumer electronics</t>
        </is>
      </c>
      <c r="F457" s="22" t="inlineStr">
        <is>
          <t>Standard</t>
        </is>
      </c>
      <c r="G457" s="43" t="n">
        <v>46133</v>
      </c>
      <c r="H457" s="26" t="n">
        <v>20117</v>
      </c>
      <c r="I457" s="22" t="inlineStr">
        <is>
          <t>gross (stated)</t>
        </is>
      </c>
      <c r="J457" s="27" t="n"/>
      <c r="K457" s="27" t="n">
        <v>209.88</v>
      </c>
      <c r="L457" s="44" t="n">
        <v>209.88</v>
      </c>
      <c r="M457" s="32" t="n"/>
      <c r="N457" s="29" t="inlineStr">
        <is>
          <t>Y</t>
        </is>
      </c>
      <c r="O457" s="26" t="n">
        <v>203202</v>
      </c>
      <c r="P457" s="48" t="n">
        <v>431.15</v>
      </c>
      <c r="Q457" s="31" t="n"/>
      <c r="R457" s="45" t="n">
        <v>50.09</v>
      </c>
      <c r="S457" s="33" t="n"/>
      <c r="T457" s="32" t="n">
        <v>8.720000000000001</v>
      </c>
      <c r="U457" s="22" t="n"/>
      <c r="V457" s="29" t="inlineStr">
        <is>
          <t>Y</t>
        </is>
      </c>
      <c r="W457" s="34" t="n">
        <v>160</v>
      </c>
      <c r="X457" s="34" t="n">
        <v>9.6</v>
      </c>
      <c r="Y457" s="36" t="n">
        <v>21221.5</v>
      </c>
      <c r="Z457" s="36" t="n">
        <v>1269.9</v>
      </c>
      <c r="AA457" s="22" t="inlineStr">
        <is>
          <t>Y</t>
        </is>
      </c>
      <c r="AB457" s="38" t="inlineStr">
        <is>
          <t>300476.SZ</t>
        </is>
      </c>
      <c r="AC457" s="22" t="inlineStr">
        <is>
          <t>J.P. Morgan Securities (Far East) Limited; China Securities (International) Corporate Finance Company Limited; Central, Hong Kong GF Capital (Hong Kong) Limited</t>
        </is>
      </c>
      <c r="AD457" s="22" t="n"/>
      <c r="AE457" s="22" t="n"/>
      <c r="AK457">
        <f>IF(AND(Screener!$B$7&lt;&gt;"",$E457=Screener!$B$7),1,0)</f>
        <v/>
      </c>
      <c r="AL457">
        <f>IF(AND(Screener!$B$6&lt;&gt;"",$D457=Screener!$B$6),1,0)</f>
        <v/>
      </c>
      <c r="AM457">
        <f>IF(OR($H457="",Screener!$B$8=""),0,MAX(0,1-ABS(LOG10($H457/Screener!$B$8))/W_SIZEHW))</f>
        <v/>
      </c>
      <c r="AN457">
        <f>IF(OR($V457="",Screener!$B$9=""),0,IF($V457=Screener!$B$9,1,0))</f>
        <v/>
      </c>
      <c r="AO457">
        <f>IF(OR($AA457="",Screener!$B$10=""),0,IF($AA457=Screener!$B$10,1,0))</f>
        <v/>
      </c>
      <c r="AP457">
        <f>IF($G457="",0,MAX(0,1-(Screener!$B$12-$G457)/W_RECD))</f>
        <v/>
      </c>
      <c r="AQ457">
        <f>IF($B457=Screener!$B$3,-999999,W_SUB*AK457+W_SEC*AL457*(1-AK457)+W_SIZE*AM457+W_PROF*AN457+W_AH*AO457+W_REC*AP457)+ROW()/1000000</f>
        <v/>
      </c>
      <c r="AR457">
        <f>IF(OR('NEW DEAL'!$B$6="",$E457&lt;&gt;'NEW DEAL'!$B$6),-1,1+IF(OR($H457="",'NEW DEAL'!$B$7=""),0,MAX(0,1-ABS(LOG10($H457/'NEW DEAL'!$B$7))/W_SIZEHW)))+ROW()/1000000</f>
        <v/>
      </c>
    </row>
    <row r="458">
      <c r="A458" s="23" t="inlineStr">
        <is>
          <t>3296</t>
        </is>
      </c>
      <c r="B458" s="22" t="inlineStr">
        <is>
          <t>HUAQIN</t>
        </is>
      </c>
      <c r="C458" s="22" t="inlineStr">
        <is>
          <t>華勤技術股份有限公司</t>
        </is>
      </c>
      <c r="D458" s="24" t="inlineStr">
        <is>
          <t>Tech/AI</t>
        </is>
      </c>
      <c r="E458" s="24" t="inlineStr">
        <is>
          <t>Smart hardware / consumer electronics</t>
        </is>
      </c>
      <c r="F458" s="22" t="inlineStr">
        <is>
          <t>Standard</t>
        </is>
      </c>
      <c r="G458" s="43" t="n">
        <v>46135</v>
      </c>
      <c r="H458" s="26" t="n">
        <v>4549.2</v>
      </c>
      <c r="I458" s="22" t="inlineStr">
        <is>
          <t>gross (stated)</t>
        </is>
      </c>
      <c r="J458" s="27" t="n"/>
      <c r="K458" s="27" t="n">
        <v>77.7</v>
      </c>
      <c r="L458" s="44" t="n">
        <v>77.7</v>
      </c>
      <c r="M458" s="32" t="n"/>
      <c r="N458" s="29" t="inlineStr">
        <is>
          <t>Y</t>
        </is>
      </c>
      <c r="O458" s="26" t="n">
        <v>73138.3</v>
      </c>
      <c r="P458" s="46" t="n">
        <v>531.33</v>
      </c>
      <c r="Q458" s="31" t="n">
        <v>13.34</v>
      </c>
      <c r="R458" s="45" t="n">
        <v>13.26</v>
      </c>
      <c r="S458" s="42" t="n">
        <v>49.7</v>
      </c>
      <c r="T458" s="32" t="n">
        <v>5</v>
      </c>
      <c r="U458" s="22" t="n"/>
      <c r="V458" s="29" t="inlineStr">
        <is>
          <t>Y</t>
        </is>
      </c>
      <c r="W458" s="34" t="n">
        <v>16.1</v>
      </c>
      <c r="X458" s="34" t="n">
        <v>0.4</v>
      </c>
      <c r="Y458" s="36" t="n">
        <v>188580.6</v>
      </c>
      <c r="Z458" s="36" t="n">
        <v>4544.7</v>
      </c>
      <c r="AA458" s="22" t="inlineStr">
        <is>
          <t>Y</t>
        </is>
      </c>
      <c r="AB458" s="22" t="inlineStr">
        <is>
          <t>603296.SS</t>
        </is>
      </c>
      <c r="AC458" s="22" t="n"/>
      <c r="AD458" s="22" t="inlineStr">
        <is>
          <t>Capital Market Intermediary ABCI Capital Limited; Tiger Brokers (HK) Global Limited</t>
        </is>
      </c>
      <c r="AE458" s="22" t="n"/>
      <c r="AK458">
        <f>IF(AND(Screener!$B$7&lt;&gt;"",$E458=Screener!$B$7),1,0)</f>
        <v/>
      </c>
      <c r="AL458">
        <f>IF(AND(Screener!$B$6&lt;&gt;"",$D458=Screener!$B$6),1,0)</f>
        <v/>
      </c>
      <c r="AM458">
        <f>IF(OR($H458="",Screener!$B$8=""),0,MAX(0,1-ABS(LOG10($H458/Screener!$B$8))/W_SIZEHW))</f>
        <v/>
      </c>
      <c r="AN458">
        <f>IF(OR($V458="",Screener!$B$9=""),0,IF($V458=Screener!$B$9,1,0))</f>
        <v/>
      </c>
      <c r="AO458">
        <f>IF(OR($AA458="",Screener!$B$10=""),0,IF($AA458=Screener!$B$10,1,0))</f>
        <v/>
      </c>
      <c r="AP458">
        <f>IF($G458="",0,MAX(0,1-(Screener!$B$12-$G458)/W_RECD))</f>
        <v/>
      </c>
      <c r="AQ458">
        <f>IF($B458=Screener!$B$3,-999999,W_SUB*AK458+W_SEC*AL458*(1-AK458)+W_SIZE*AM458+W_PROF*AN458+W_AH*AO458+W_REC*AP458)+ROW()/1000000</f>
        <v/>
      </c>
      <c r="AR458">
        <f>IF(OR('NEW DEAL'!$B$6="",$E458&lt;&gt;'NEW DEAL'!$B$6),-1,1+IF(OR($H458="",'NEW DEAL'!$B$7=""),0,MAX(0,1-ABS(LOG10($H458/'NEW DEAL'!$B$7))/W_SIZEHW)))+ROW()/1000000</f>
        <v/>
      </c>
    </row>
    <row r="459">
      <c r="A459" s="23" t="inlineStr">
        <is>
          <t>2493</t>
        </is>
      </c>
      <c r="B459" s="22" t="inlineStr">
        <is>
          <t>MABWELL-B</t>
        </is>
      </c>
      <c r="C459" s="22" t="inlineStr">
        <is>
          <t>上海）</t>
        </is>
      </c>
      <c r="D459" s="24" t="inlineStr">
        <is>
          <t>Healthcare</t>
        </is>
      </c>
      <c r="E459" s="24" t="inlineStr">
        <is>
          <t>Biotech pre-revenue (18A)</t>
        </is>
      </c>
      <c r="F459" s="38" t="inlineStr">
        <is>
          <t>18A</t>
        </is>
      </c>
      <c r="G459" s="43" t="n">
        <v>46140</v>
      </c>
      <c r="H459" s="26" t="n">
        <v>1302.7</v>
      </c>
      <c r="I459" s="22" t="inlineStr">
        <is>
          <t>gross (price x shares)</t>
        </is>
      </c>
      <c r="J459" s="27" t="n">
        <v>27.64</v>
      </c>
      <c r="K459" s="27" t="n">
        <v>30.71</v>
      </c>
      <c r="L459" s="44" t="n">
        <v>27.64</v>
      </c>
      <c r="M459" s="28" t="n">
        <v>0</v>
      </c>
      <c r="N459" s="29" t="inlineStr">
        <is>
          <t>N</t>
        </is>
      </c>
      <c r="O459" s="26" t="n">
        <v>12347.6</v>
      </c>
      <c r="P459" s="46" t="n">
        <v>481.71</v>
      </c>
      <c r="Q459" s="31" t="n">
        <v>3.46</v>
      </c>
      <c r="R459" s="47" t="n">
        <v>-5.86</v>
      </c>
      <c r="S459" s="33" t="n"/>
      <c r="T459" s="32" t="n"/>
      <c r="U459" s="22" t="n"/>
      <c r="V459" s="29" t="inlineStr">
        <is>
          <t>N</t>
        </is>
      </c>
      <c r="W459" s="31" t="n"/>
      <c r="X459" s="34" t="n">
        <v>17</v>
      </c>
      <c r="Y459" s="36" t="n">
        <v>724.6</v>
      </c>
      <c r="Z459" s="36" t="n">
        <v>-1069.5</v>
      </c>
      <c r="AA459" s="22" t="inlineStr">
        <is>
          <t>Y</t>
        </is>
      </c>
      <c r="AB459" s="22" t="inlineStr">
        <is>
          <t>688062.SS</t>
        </is>
      </c>
      <c r="AC459" s="22" t="inlineStr">
        <is>
          <t>CITIC Securities (Hong Kong) Limited; Haitong International Capital Limited</t>
        </is>
      </c>
      <c r="AD459" s="22" t="inlineStr">
        <is>
          <t>Managers and Capital Market Intermediaries CLSA Limited; Haitong International Securities Company Limited; Capital Limited; CMB International Capital Limited; Joint Bookrunner, Capital Market Intermediary ABCI Capital Limited</t>
        </is>
      </c>
      <c r="AE459" s="22" t="n"/>
      <c r="AK459">
        <f>IF(AND(Screener!$B$7&lt;&gt;"",$E459=Screener!$B$7),1,0)</f>
        <v/>
      </c>
      <c r="AL459">
        <f>IF(AND(Screener!$B$6&lt;&gt;"",$D459=Screener!$B$6),1,0)</f>
        <v/>
      </c>
      <c r="AM459">
        <f>IF(OR($H459="",Screener!$B$8=""),0,MAX(0,1-ABS(LOG10($H459/Screener!$B$8))/W_SIZEHW))</f>
        <v/>
      </c>
      <c r="AN459">
        <f>IF(OR($V459="",Screener!$B$9=""),0,IF($V459=Screener!$B$9,1,0))</f>
        <v/>
      </c>
      <c r="AO459">
        <f>IF(OR($AA459="",Screener!$B$10=""),0,IF($AA459=Screener!$B$10,1,0))</f>
        <v/>
      </c>
      <c r="AP459">
        <f>IF($G459="",0,MAX(0,1-(Screener!$B$12-$G459)/W_RECD))</f>
        <v/>
      </c>
      <c r="AQ459">
        <f>IF($B459=Screener!$B$3,-999999,W_SUB*AK459+W_SEC*AL459*(1-AK459)+W_SIZE*AM459+W_PROF*AN459+W_AH*AO459+W_REC*AP459)+ROW()/1000000</f>
        <v/>
      </c>
      <c r="AR459">
        <f>IF(OR('NEW DEAL'!$B$6="",$E459&lt;&gt;'NEW DEAL'!$B$6),-1,1+IF(OR($H459="",'NEW DEAL'!$B$7=""),0,MAX(0,1-ABS(LOG10($H459/'NEW DEAL'!$B$7))/W_SIZEHW)))+ROW()/1000000</f>
        <v/>
      </c>
    </row>
    <row r="460">
      <c r="A460" s="23" t="inlineStr">
        <is>
          <t>1879</t>
        </is>
      </c>
      <c r="B460" s="22" t="inlineStr">
        <is>
          <t>XIZHI TECH-P</t>
        </is>
      </c>
      <c r="C460" s="22" t="n"/>
      <c r="D460" s="24" t="inlineStr">
        <is>
          <t>Tech/AI</t>
        </is>
      </c>
      <c r="E460" s="24" t="inlineStr">
        <is>
          <t>AI application / agent software</t>
        </is>
      </c>
      <c r="F460" s="38" t="inlineStr">
        <is>
          <t>18C</t>
        </is>
      </c>
      <c r="G460" s="39" t="n">
        <v>46140</v>
      </c>
      <c r="H460" s="26" t="n">
        <v>2527.3</v>
      </c>
      <c r="I460" s="22" t="inlineStr">
        <is>
          <t>gross (stated)</t>
        </is>
      </c>
      <c r="J460" s="27" t="n"/>
      <c r="K460" s="27" t="n"/>
      <c r="L460" s="44" t="n">
        <v>183.2</v>
      </c>
      <c r="M460" s="32" t="n"/>
      <c r="N460" s="22" t="n"/>
      <c r="O460" s="36" t="n">
        <v>16450</v>
      </c>
      <c r="P460" s="46" t="n">
        <v>5784.7</v>
      </c>
      <c r="Q460" s="31" t="n">
        <v>53.83</v>
      </c>
      <c r="R460" s="45" t="n">
        <v>383.62</v>
      </c>
      <c r="S460" s="33" t="n">
        <v>65.06</v>
      </c>
      <c r="T460" s="32" t="n"/>
      <c r="U460" s="22" t="n"/>
      <c r="V460" s="22" t="n"/>
      <c r="W460" s="31" t="n"/>
      <c r="X460" s="31" t="n"/>
      <c r="Y460" s="35" t="n"/>
      <c r="Z460" s="35" t="n"/>
      <c r="AA460" s="22" t="n"/>
      <c r="AB460" s="22" t="n"/>
      <c r="AC460" s="22" t="n"/>
      <c r="AD460" s="22" t="n"/>
      <c r="AE460" s="22" t="n"/>
      <c r="AK460">
        <f>IF(AND(Screener!$B$7&lt;&gt;"",$E460=Screener!$B$7),1,0)</f>
        <v/>
      </c>
      <c r="AL460">
        <f>IF(AND(Screener!$B$6&lt;&gt;"",$D460=Screener!$B$6),1,0)</f>
        <v/>
      </c>
      <c r="AM460">
        <f>IF(OR($H460="",Screener!$B$8=""),0,MAX(0,1-ABS(LOG10($H460/Screener!$B$8))/W_SIZEHW))</f>
        <v/>
      </c>
      <c r="AN460">
        <f>IF(OR($V460="",Screener!$B$9=""),0,IF($V460=Screener!$B$9,1,0))</f>
        <v/>
      </c>
      <c r="AO460">
        <f>IF(OR($AA460="",Screener!$B$10=""),0,IF($AA460=Screener!$B$10,1,0))</f>
        <v/>
      </c>
      <c r="AP460">
        <f>IF($G460="",0,MAX(0,1-(Screener!$B$12-$G460)/W_RECD))</f>
        <v/>
      </c>
      <c r="AQ460">
        <f>IF($B460=Screener!$B$3,-999999,W_SUB*AK460+W_SEC*AL460*(1-AK460)+W_SIZE*AM460+W_PROF*AN460+W_AH*AO460+W_REC*AP460)+ROW()/1000000</f>
        <v/>
      </c>
      <c r="AR460">
        <f>IF(OR('NEW DEAL'!$B$6="",$E460&lt;&gt;'NEW DEAL'!$B$6),-1,1+IF(OR($H460="",'NEW DEAL'!$B$7=""),0,MAX(0,1-ABS(LOG10($H460/'NEW DEAL'!$B$7))/W_SIZEHW)))+ROW()/1000000</f>
        <v/>
      </c>
    </row>
    <row r="461">
      <c r="A461" s="23" t="inlineStr">
        <is>
          <t>6810</t>
        </is>
      </c>
      <c r="B461" s="22" t="inlineStr">
        <is>
          <t>SUNMI TECH-W</t>
        </is>
      </c>
      <c r="C461" s="22" t="inlineStr">
        <is>
          <t>上海商米科技</t>
        </is>
      </c>
      <c r="D461" s="24" t="inlineStr">
        <is>
          <t>Tech/AI</t>
        </is>
      </c>
      <c r="E461" s="24" t="inlineStr">
        <is>
          <t>Smart hardware / consumer electronics</t>
        </is>
      </c>
      <c r="F461" s="38" t="inlineStr">
        <is>
          <t>WVR</t>
        </is>
      </c>
      <c r="G461" s="43" t="n">
        <v>46141</v>
      </c>
      <c r="H461" s="26" t="n">
        <v>1059.7</v>
      </c>
      <c r="I461" s="22" t="inlineStr">
        <is>
          <t>gross (stated)</t>
        </is>
      </c>
      <c r="J461" s="27" t="n"/>
      <c r="K461" s="27" t="n">
        <v>24.86</v>
      </c>
      <c r="L461" s="44" t="n">
        <v>24.86</v>
      </c>
      <c r="M461" s="32" t="n"/>
      <c r="N461" s="29" t="inlineStr">
        <is>
          <t>Y</t>
        </is>
      </c>
      <c r="O461" s="26" t="n">
        <v>10009.3</v>
      </c>
      <c r="P461" s="46" t="n">
        <v>2003.16</v>
      </c>
      <c r="Q461" s="31" t="n">
        <v>7.91</v>
      </c>
      <c r="R461" s="45" t="n">
        <v>241.11</v>
      </c>
      <c r="S461" s="42" t="n">
        <v>26.9</v>
      </c>
      <c r="T461" s="32" t="n">
        <v>15</v>
      </c>
      <c r="U461" s="22" t="n"/>
      <c r="V461" s="29" t="inlineStr">
        <is>
          <t>Y</t>
        </is>
      </c>
      <c r="W461" s="34" t="n">
        <v>40.9</v>
      </c>
      <c r="X461" s="34" t="n">
        <v>2.4</v>
      </c>
      <c r="Y461" s="36" t="n">
        <v>4193</v>
      </c>
      <c r="Z461" s="36" t="n">
        <v>244.9</v>
      </c>
      <c r="AA461" s="22" t="n"/>
      <c r="AB461" s="22" t="n"/>
      <c r="AC461" s="22" t="inlineStr">
        <is>
          <t>Deutsche Securities Asia Limited; CITIC Securities (Hong Kong) Limited; ABCI Capital Limited</t>
        </is>
      </c>
      <c r="AD461" s="22" t="inlineStr">
        <is>
          <t>Deutsche Bank AG, Hong Kong Branch; CLSA Limited; ABCI Capital Limited; CMB International Capital Limited; Shenwan Hongyuan Securities (H.K.) Limited; Yue Xiu Securities Company Limited; Admiralty, Hong Kong Tiger Brokers (HK) Global Limited; Futu Securities International (Hong Kong) Limited; No.95 Queensway, Admiralty, Hong Kong Tianda Securities Limited; Webull Securities Limited; Yuen Meta (International) Securities Limited; Wanchai, Hong Kong West Bull Securities Limited</t>
        </is>
      </c>
      <c r="AE461" s="22" t="n"/>
      <c r="AK461">
        <f>IF(AND(Screener!$B$7&lt;&gt;"",$E461=Screener!$B$7),1,0)</f>
        <v/>
      </c>
      <c r="AL461">
        <f>IF(AND(Screener!$B$6&lt;&gt;"",$D461=Screener!$B$6),1,0)</f>
        <v/>
      </c>
      <c r="AM461">
        <f>IF(OR($H461="",Screener!$B$8=""),0,MAX(0,1-ABS(LOG10($H461/Screener!$B$8))/W_SIZEHW))</f>
        <v/>
      </c>
      <c r="AN461">
        <f>IF(OR($V461="",Screener!$B$9=""),0,IF($V461=Screener!$B$9,1,0))</f>
        <v/>
      </c>
      <c r="AO461">
        <f>IF(OR($AA461="",Screener!$B$10=""),0,IF($AA461=Screener!$B$10,1,0))</f>
        <v/>
      </c>
      <c r="AP461">
        <f>IF($G461="",0,MAX(0,1-(Screener!$B$12-$G461)/W_RECD))</f>
        <v/>
      </c>
      <c r="AQ461">
        <f>IF($B461=Screener!$B$3,-999999,W_SUB*AK461+W_SEC*AL461*(1-AK461)+W_SIZE*AM461+W_PROF*AN461+W_AH*AO461+W_REC*AP461)+ROW()/1000000</f>
        <v/>
      </c>
      <c r="AR461">
        <f>IF(OR('NEW DEAL'!$B$6="",$E461&lt;&gt;'NEW DEAL'!$B$6),-1,1+IF(OR($H461="",'NEW DEAL'!$B$7=""),0,MAX(0,1-ABS(LOG10($H461/'NEW DEAL'!$B$7))/W_SIZEHW)))+ROW()/1000000</f>
        <v/>
      </c>
    </row>
    <row r="462">
      <c r="A462" s="23" t="inlineStr">
        <is>
          <t>1609</t>
        </is>
      </c>
      <c r="B462" s="22" t="inlineStr">
        <is>
          <t>STAR SPORTS MED</t>
        </is>
      </c>
      <c r="C462" s="22" t="n"/>
      <c r="D462" s="24" t="inlineStr">
        <is>
          <t>Healthcare</t>
        </is>
      </c>
      <c r="E462" s="24" t="inlineStr">
        <is>
          <t>Medical devices</t>
        </is>
      </c>
      <c r="F462" s="22" t="inlineStr">
        <is>
          <t>Standard</t>
        </is>
      </c>
      <c r="G462" s="43" t="n">
        <v>46147</v>
      </c>
      <c r="H462" s="26" t="n">
        <v>829.6</v>
      </c>
      <c r="I462" s="22" t="inlineStr">
        <is>
          <t>gross (stated)</t>
        </is>
      </c>
      <c r="J462" s="27" t="n"/>
      <c r="K462" s="27" t="n"/>
      <c r="L462" s="44" t="n">
        <v>98.5</v>
      </c>
      <c r="M462" s="32" t="n"/>
      <c r="N462" s="22" t="n"/>
      <c r="O462" s="26" t="n">
        <v>5400.9</v>
      </c>
      <c r="P462" s="46" t="n">
        <v>7823.13</v>
      </c>
      <c r="Q462" s="31" t="n">
        <v>10.41</v>
      </c>
      <c r="R462" s="45" t="n">
        <v>118.27</v>
      </c>
      <c r="S462" s="33" t="n"/>
      <c r="T462" s="32" t="n"/>
      <c r="U462" s="22" t="n"/>
      <c r="V462" s="22" t="n"/>
      <c r="W462" s="31" t="n"/>
      <c r="X462" s="31" t="n"/>
      <c r="Y462" s="35" t="n"/>
      <c r="Z462" s="35" t="n"/>
      <c r="AA462" s="22" t="n"/>
      <c r="AB462" s="22" t="n"/>
      <c r="AC462" s="22" t="n"/>
      <c r="AD462" s="22" t="n"/>
      <c r="AE462" s="22" t="n"/>
      <c r="AK462">
        <f>IF(AND(Screener!$B$7&lt;&gt;"",$E462=Screener!$B$7),1,0)</f>
        <v/>
      </c>
      <c r="AL462">
        <f>IF(AND(Screener!$B$6&lt;&gt;"",$D462=Screener!$B$6),1,0)</f>
        <v/>
      </c>
      <c r="AM462">
        <f>IF(OR($H462="",Screener!$B$8=""),0,MAX(0,1-ABS(LOG10($H462/Screener!$B$8))/W_SIZEHW))</f>
        <v/>
      </c>
      <c r="AN462">
        <f>IF(OR($V462="",Screener!$B$9=""),0,IF($V462=Screener!$B$9,1,0))</f>
        <v/>
      </c>
      <c r="AO462">
        <f>IF(OR($AA462="",Screener!$B$10=""),0,IF($AA462=Screener!$B$10,1,0))</f>
        <v/>
      </c>
      <c r="AP462">
        <f>IF($G462="",0,MAX(0,1-(Screener!$B$12-$G462)/W_RECD))</f>
        <v/>
      </c>
      <c r="AQ462">
        <f>IF($B462=Screener!$B$3,-999999,W_SUB*AK462+W_SEC*AL462*(1-AK462)+W_SIZE*AM462+W_PROF*AN462+W_AH*AO462+W_REC*AP462)+ROW()/1000000</f>
        <v/>
      </c>
      <c r="AR462">
        <f>IF(OR('NEW DEAL'!$B$6="",$E462&lt;&gt;'NEW DEAL'!$B$6),-1,1+IF(OR($H462="",'NEW DEAL'!$B$7=""),0,MAX(0,1-ABS(LOG10($H462/'NEW DEAL'!$B$7))/W_SIZEHW)))+ROW()/1000000</f>
        <v/>
      </c>
    </row>
    <row r="463">
      <c r="A463" s="23" t="inlineStr">
        <is>
          <t>1187</t>
        </is>
      </c>
      <c r="B463" s="22" t="inlineStr">
        <is>
          <t>COFOE MEDICAL</t>
        </is>
      </c>
      <c r="C463" s="22" t="n"/>
      <c r="D463" s="24" t="inlineStr">
        <is>
          <t>Healthcare</t>
        </is>
      </c>
      <c r="E463" s="24" t="inlineStr">
        <is>
          <t>Medical devices</t>
        </is>
      </c>
      <c r="F463" s="22" t="inlineStr">
        <is>
          <t>Standard</t>
        </is>
      </c>
      <c r="G463" s="43" t="n">
        <v>46148</v>
      </c>
      <c r="H463" s="26" t="n">
        <v>1062</v>
      </c>
      <c r="I463" s="22" t="inlineStr">
        <is>
          <t>gross (stated)</t>
        </is>
      </c>
      <c r="J463" s="27" t="n"/>
      <c r="K463" s="27" t="n">
        <v>39.33</v>
      </c>
      <c r="L463" s="44" t="n">
        <v>39.33</v>
      </c>
      <c r="M463" s="32" t="n"/>
      <c r="N463" s="29" t="inlineStr">
        <is>
          <t>Y</t>
        </is>
      </c>
      <c r="O463" s="26" t="n">
        <v>9277.799999999999</v>
      </c>
      <c r="P463" s="46" t="n">
        <v>399.08</v>
      </c>
      <c r="Q463" s="31" t="n">
        <v>3.4</v>
      </c>
      <c r="R463" s="45" t="n">
        <v>-1.09</v>
      </c>
      <c r="S463" s="33" t="n"/>
      <c r="T463" s="32" t="n"/>
      <c r="U463" s="22" t="n"/>
      <c r="V463" s="22" t="n"/>
      <c r="W463" s="31" t="n"/>
      <c r="X463" s="31" t="n"/>
      <c r="Y463" s="35" t="n"/>
      <c r="Z463" s="35" t="n"/>
      <c r="AA463" s="22" t="inlineStr">
        <is>
          <t>Y</t>
        </is>
      </c>
      <c r="AB463" s="22" t="inlineStr">
        <is>
          <t>301087.SZ</t>
        </is>
      </c>
      <c r="AC463" s="22" t="n"/>
      <c r="AD463" s="22" t="n"/>
      <c r="AE463" s="22" t="n"/>
      <c r="AK463">
        <f>IF(AND(Screener!$B$7&lt;&gt;"",$E463=Screener!$B$7),1,0)</f>
        <v/>
      </c>
      <c r="AL463">
        <f>IF(AND(Screener!$B$6&lt;&gt;"",$D463=Screener!$B$6),1,0)</f>
        <v/>
      </c>
      <c r="AM463">
        <f>IF(OR($H463="",Screener!$B$8=""),0,MAX(0,1-ABS(LOG10($H463/Screener!$B$8))/W_SIZEHW))</f>
        <v/>
      </c>
      <c r="AN463">
        <f>IF(OR($V463="",Screener!$B$9=""),0,IF($V463=Screener!$B$9,1,0))</f>
        <v/>
      </c>
      <c r="AO463">
        <f>IF(OR($AA463="",Screener!$B$10=""),0,IF($AA463=Screener!$B$10,1,0))</f>
        <v/>
      </c>
      <c r="AP463">
        <f>IF($G463="",0,MAX(0,1-(Screener!$B$12-$G463)/W_RECD))</f>
        <v/>
      </c>
      <c r="AQ463">
        <f>IF($B463=Screener!$B$3,-999999,W_SUB*AK463+W_SEC*AL463*(1-AK463)+W_SIZE*AM463+W_PROF*AN463+W_AH*AO463+W_REC*AP463)+ROW()/1000000</f>
        <v/>
      </c>
      <c r="AR463">
        <f>IF(OR('NEW DEAL'!$B$6="",$E463&lt;&gt;'NEW DEAL'!$B$6),-1,1+IF(OR($H463="",'NEW DEAL'!$B$7=""),0,MAX(0,1-ABS(LOG10($H463/'NEW DEAL'!$B$7))/W_SIZEHW)))+ROW()/1000000</f>
        <v/>
      </c>
    </row>
    <row r="464">
      <c r="A464" s="23" t="inlineStr">
        <is>
          <t>1236</t>
        </is>
      </c>
      <c r="B464" s="22" t="inlineStr">
        <is>
          <t>LDROBOT</t>
        </is>
      </c>
      <c r="C464" s="22" t="n"/>
      <c r="D464" s="24" t="inlineStr">
        <is>
          <t>Tech/AI</t>
        </is>
      </c>
      <c r="E464" s="24" t="inlineStr">
        <is>
          <t>Robotics &amp; autonomous driving</t>
        </is>
      </c>
      <c r="F464" s="22" t="inlineStr">
        <is>
          <t>Standard</t>
        </is>
      </c>
      <c r="G464" s="43" t="n">
        <v>46153</v>
      </c>
      <c r="H464" s="26" t="n">
        <v>878.7</v>
      </c>
      <c r="I464" s="22" t="inlineStr">
        <is>
          <t>gross (stated)</t>
        </is>
      </c>
      <c r="J464" s="27" t="n"/>
      <c r="K464" s="27" t="n"/>
      <c r="L464" s="44" t="n">
        <v>26.36</v>
      </c>
      <c r="M464" s="32" t="n"/>
      <c r="N464" s="22" t="n"/>
      <c r="O464" s="36" t="n">
        <v>9000</v>
      </c>
      <c r="P464" s="46" t="n">
        <v>6707.66</v>
      </c>
      <c r="Q464" s="31" t="n">
        <v>9.539999999999999</v>
      </c>
      <c r="R464" s="45" t="n">
        <v>127.62</v>
      </c>
      <c r="S464" s="33" t="n">
        <v>31.52</v>
      </c>
      <c r="T464" s="32" t="n"/>
      <c r="U464" s="22" t="n"/>
      <c r="V464" s="22" t="n"/>
      <c r="W464" s="31" t="n"/>
      <c r="X464" s="31" t="n"/>
      <c r="Y464" s="35" t="n"/>
      <c r="Z464" s="35" t="n"/>
      <c r="AA464" s="22" t="n"/>
      <c r="AB464" s="22" t="n"/>
      <c r="AC464" s="22" t="n"/>
      <c r="AD464" s="22" t="n"/>
      <c r="AE464" s="22" t="n"/>
      <c r="AK464">
        <f>IF(AND(Screener!$B$7&lt;&gt;"",$E464=Screener!$B$7),1,0)</f>
        <v/>
      </c>
      <c r="AL464">
        <f>IF(AND(Screener!$B$6&lt;&gt;"",$D464=Screener!$B$6),1,0)</f>
        <v/>
      </c>
      <c r="AM464">
        <f>IF(OR($H464="",Screener!$B$8=""),0,MAX(0,1-ABS(LOG10($H464/Screener!$B$8))/W_SIZEHW))</f>
        <v/>
      </c>
      <c r="AN464">
        <f>IF(OR($V464="",Screener!$B$9=""),0,IF($V464=Screener!$B$9,1,0))</f>
        <v/>
      </c>
      <c r="AO464">
        <f>IF(OR($AA464="",Screener!$B$10=""),0,IF($AA464=Screener!$B$10,1,0))</f>
        <v/>
      </c>
      <c r="AP464">
        <f>IF($G464="",0,MAX(0,1-(Screener!$B$12-$G464)/W_RECD))</f>
        <v/>
      </c>
      <c r="AQ464">
        <f>IF($B464=Screener!$B$3,-999999,W_SUB*AK464+W_SEC*AL464*(1-AK464)+W_SIZE*AM464+W_PROF*AN464+W_AH*AO464+W_REC*AP464)+ROW()/1000000</f>
        <v/>
      </c>
      <c r="AR464">
        <f>IF(OR('NEW DEAL'!$B$6="",$E464&lt;&gt;'NEW DEAL'!$B$6),-1,1+IF(OR($H464="",'NEW DEAL'!$B$7=""),0,MAX(0,1-ABS(LOG10($H464/'NEW DEAL'!$B$7))/W_SIZEHW)))+ROW()/1000000</f>
        <v/>
      </c>
    </row>
    <row r="465">
      <c r="A465" s="23" t="inlineStr">
        <is>
          <t>7630</t>
        </is>
      </c>
      <c r="B465" s="22" t="inlineStr">
        <is>
          <t>IMPACT THERAP-B</t>
        </is>
      </c>
      <c r="C465" s="22" t="inlineStr">
        <is>
          <t>南京英派藥業股份有限公司</t>
        </is>
      </c>
      <c r="D465" s="24" t="inlineStr">
        <is>
          <t>Healthcare</t>
        </is>
      </c>
      <c r="E465" s="24" t="inlineStr">
        <is>
          <t>Biotech pre-revenue (18A)</t>
        </is>
      </c>
      <c r="F465" s="38" t="inlineStr">
        <is>
          <t>18A</t>
        </is>
      </c>
      <c r="G465" s="43" t="n">
        <v>46155</v>
      </c>
      <c r="H465" s="26" t="n">
        <v>843.7</v>
      </c>
      <c r="I465" s="22" t="inlineStr">
        <is>
          <t>gross (stated)</t>
        </is>
      </c>
      <c r="J465" s="27" t="n">
        <v>19.75</v>
      </c>
      <c r="K465" s="27" t="n">
        <v>21.75</v>
      </c>
      <c r="L465" s="44" t="n">
        <v>20.1</v>
      </c>
      <c r="M465" s="28" t="n">
        <v>17.5</v>
      </c>
      <c r="N465" s="29" t="inlineStr">
        <is>
          <t>N</t>
        </is>
      </c>
      <c r="O465" s="26" t="n">
        <v>4933.9</v>
      </c>
      <c r="P465" s="46" t="n">
        <v>2282.4</v>
      </c>
      <c r="Q465" s="31" t="n">
        <v>24.58</v>
      </c>
      <c r="R465" s="45" t="n">
        <v>108.26</v>
      </c>
      <c r="S465" s="33" t="n">
        <v>33.19</v>
      </c>
      <c r="T465" s="32" t="n">
        <v>8.529999999999999</v>
      </c>
      <c r="U465" s="22" t="n"/>
      <c r="V465" s="29" t="inlineStr">
        <is>
          <t>N</t>
        </is>
      </c>
      <c r="W465" s="31" t="n"/>
      <c r="X465" s="34" t="n">
        <v>117.2</v>
      </c>
      <c r="Y465" s="36" t="n">
        <v>42.1</v>
      </c>
      <c r="Z465" s="36" t="n">
        <v>-325.5</v>
      </c>
      <c r="AA465" s="22" t="n"/>
      <c r="AB465" s="22" t="n"/>
      <c r="AC465" s="22" t="n"/>
      <c r="AD465" s="22" t="n"/>
      <c r="AE465" s="22" t="n"/>
      <c r="AK465">
        <f>IF(AND(Screener!$B$7&lt;&gt;"",$E465=Screener!$B$7),1,0)</f>
        <v/>
      </c>
      <c r="AL465">
        <f>IF(AND(Screener!$B$6&lt;&gt;"",$D465=Screener!$B$6),1,0)</f>
        <v/>
      </c>
      <c r="AM465">
        <f>IF(OR($H465="",Screener!$B$8=""),0,MAX(0,1-ABS(LOG10($H465/Screener!$B$8))/W_SIZEHW))</f>
        <v/>
      </c>
      <c r="AN465">
        <f>IF(OR($V465="",Screener!$B$9=""),0,IF($V465=Screener!$B$9,1,0))</f>
        <v/>
      </c>
      <c r="AO465">
        <f>IF(OR($AA465="",Screener!$B$10=""),0,IF($AA465=Screener!$B$10,1,0))</f>
        <v/>
      </c>
      <c r="AP465">
        <f>IF($G465="",0,MAX(0,1-(Screener!$B$12-$G465)/W_RECD))</f>
        <v/>
      </c>
      <c r="AQ465">
        <f>IF($B465=Screener!$B$3,-999999,W_SUB*AK465+W_SEC*AL465*(1-AK465)+W_SIZE*AM465+W_PROF*AN465+W_AH*AO465+W_REC*AP465)+ROW()/1000000</f>
        <v/>
      </c>
      <c r="AR465">
        <f>IF(OR('NEW DEAL'!$B$6="",$E465&lt;&gt;'NEW DEAL'!$B$6),-1,1+IF(OR($H465="",'NEW DEAL'!$B$7=""),0,MAX(0,1-ABS(LOG10($H465/'NEW DEAL'!$B$7))/W_SIZEHW)))+ROW()/1000000</f>
        <v/>
      </c>
    </row>
    <row r="466">
      <c r="A466" s="23" t="inlineStr">
        <is>
          <t>7666</t>
        </is>
      </c>
      <c r="B466" s="22" t="inlineStr">
        <is>
          <t>METIS TECHBIO-P</t>
        </is>
      </c>
      <c r="C466" s="22" t="inlineStr">
        <is>
          <t>劑泰科技</t>
        </is>
      </c>
      <c r="D466" s="24" t="inlineStr">
        <is>
          <t>Healthcare</t>
        </is>
      </c>
      <c r="E466" s="24" t="inlineStr">
        <is>
          <t>Biotech pre-revenue (18A)</t>
        </is>
      </c>
      <c r="F466" s="38" t="inlineStr">
        <is>
          <t>18C</t>
        </is>
      </c>
      <c r="G466" s="39" t="n">
        <v>46155</v>
      </c>
      <c r="H466" s="26" t="n">
        <v>2112.9</v>
      </c>
      <c r="I466" s="22" t="inlineStr">
        <is>
          <t>gross (stated)</t>
        </is>
      </c>
      <c r="J466" s="27" t="n"/>
      <c r="K466" s="27" t="n"/>
      <c r="L466" s="44" t="n">
        <v>10.5</v>
      </c>
      <c r="M466" s="32" t="n"/>
      <c r="N466" s="22" t="n"/>
      <c r="O466" s="36" t="n">
        <v>12101.4</v>
      </c>
      <c r="P466" s="46" t="n">
        <v>6910.96</v>
      </c>
      <c r="Q466" s="31" t="n">
        <v>33.86</v>
      </c>
      <c r="R466" s="45" t="n">
        <v>126.67</v>
      </c>
      <c r="S466" s="33" t="n">
        <v>54.87</v>
      </c>
      <c r="T466" s="32" t="n">
        <v>9.58</v>
      </c>
      <c r="U466" s="22" t="n"/>
      <c r="V466" s="29" t="inlineStr">
        <is>
          <t>N</t>
        </is>
      </c>
      <c r="W466" s="31" t="n"/>
      <c r="X466" s="34" t="n">
        <v>104.8</v>
      </c>
      <c r="Y466" s="36" t="n">
        <v>115.5</v>
      </c>
      <c r="Z466" s="36" t="n">
        <v>-431</v>
      </c>
      <c r="AA466" s="22" t="n"/>
      <c r="AB466" s="22" t="n"/>
      <c r="AC466" s="22" t="inlineStr">
        <is>
          <t>Jefferies Hong Kong Limited; Deutsche Securities Asia Limited; CITIC Securities (Hong Kong) Limited</t>
        </is>
      </c>
      <c r="AD466" s="22" t="inlineStr">
        <is>
          <t>Manager and Capital Market Intermediary Futu Securities International (Hong Kong) Limited</t>
        </is>
      </c>
      <c r="AE466" s="22" t="n"/>
      <c r="AK466">
        <f>IF(AND(Screener!$B$7&lt;&gt;"",$E466=Screener!$B$7),1,0)</f>
        <v/>
      </c>
      <c r="AL466">
        <f>IF(AND(Screener!$B$6&lt;&gt;"",$D466=Screener!$B$6),1,0)</f>
        <v/>
      </c>
      <c r="AM466">
        <f>IF(OR($H466="",Screener!$B$8=""),0,MAX(0,1-ABS(LOG10($H466/Screener!$B$8))/W_SIZEHW))</f>
        <v/>
      </c>
      <c r="AN466">
        <f>IF(OR($V466="",Screener!$B$9=""),0,IF($V466=Screener!$B$9,1,0))</f>
        <v/>
      </c>
      <c r="AO466">
        <f>IF(OR($AA466="",Screener!$B$10=""),0,IF($AA466=Screener!$B$10,1,0))</f>
        <v/>
      </c>
      <c r="AP466">
        <f>IF($G466="",0,MAX(0,1-(Screener!$B$12-$G466)/W_RECD))</f>
        <v/>
      </c>
      <c r="AQ466">
        <f>IF($B466=Screener!$B$3,-999999,W_SUB*AK466+W_SEC*AL466*(1-AK466)+W_SIZE*AM466+W_PROF*AN466+W_AH*AO466+W_REC*AP466)+ROW()/1000000</f>
        <v/>
      </c>
      <c r="AR466">
        <f>IF(OR('NEW DEAL'!$B$6="",$E466&lt;&gt;'NEW DEAL'!$B$6),-1,1+IF(OR($H466="",'NEW DEAL'!$B$7=""),0,MAX(0,1-ABS(LOG10($H466/'NEW DEAL'!$B$7))/W_SIZEHW)))+ROW()/1000000</f>
        <v/>
      </c>
    </row>
    <row r="467">
      <c r="A467" s="23" t="inlineStr">
        <is>
          <t>6871</t>
        </is>
      </c>
      <c r="B467" s="22" t="inlineStr">
        <is>
          <t>ROBOTPHOENIX</t>
        </is>
      </c>
      <c r="C467" s="22" t="n"/>
      <c r="D467" s="24" t="inlineStr">
        <is>
          <t>Tech/AI</t>
        </is>
      </c>
      <c r="E467" s="24" t="inlineStr">
        <is>
          <t>Robotics &amp; autonomous driving</t>
        </is>
      </c>
      <c r="F467" s="22" t="inlineStr">
        <is>
          <t>Standard</t>
        </is>
      </c>
      <c r="G467" s="43" t="n">
        <v>46160</v>
      </c>
      <c r="H467" s="26" t="n">
        <v>750.3</v>
      </c>
      <c r="I467" s="22" t="inlineStr">
        <is>
          <t>gross (stated)</t>
        </is>
      </c>
      <c r="J467" s="27" t="n"/>
      <c r="K467" s="27" t="n">
        <v>30.5</v>
      </c>
      <c r="L467" s="44" t="n">
        <v>30.5</v>
      </c>
      <c r="M467" s="32" t="n"/>
      <c r="N467" s="29" t="inlineStr">
        <is>
          <t>Y</t>
        </is>
      </c>
      <c r="O467" s="26" t="n">
        <v>7471.1</v>
      </c>
      <c r="P467" s="46" t="n">
        <v>14855.4</v>
      </c>
      <c r="Q467" s="31" t="n">
        <v>9.77</v>
      </c>
      <c r="R467" s="45" t="n">
        <v>76.23</v>
      </c>
      <c r="S467" s="33" t="n">
        <v>0</v>
      </c>
      <c r="T467" s="32" t="n"/>
      <c r="U467" s="22" t="n"/>
      <c r="V467" s="29" t="inlineStr">
        <is>
          <t>N</t>
        </is>
      </c>
      <c r="W467" s="31" t="n"/>
      <c r="X467" s="34" t="n">
        <v>17.5</v>
      </c>
      <c r="Y467" s="36" t="n">
        <v>426.1</v>
      </c>
      <c r="Z467" s="36" t="n">
        <v>-168.2</v>
      </c>
      <c r="AA467" s="22" t="n"/>
      <c r="AB467" s="22" t="n"/>
      <c r="AC467" s="22" t="inlineStr">
        <is>
          <t>ABCI Capital Limited; Sponsor-OC ABCI Capital Limited</t>
        </is>
      </c>
      <c r="AD467" s="22" t="inlineStr">
        <is>
          <t>ABCI Capital Limited; CLSA Limited; Ping An Securities (Hong Kong) Company Limited; China Industrial Securities International Capital Limited; Sheung Wan, Hong Kong CMBC Securities Company Limited; Wanchai, Hong Kong Huafu International Securities Limited; Shenwan Hongyuan Securities (H.K.) Limited; SPDB International Capital Limited</t>
        </is>
      </c>
      <c r="AE467" s="22" t="n"/>
      <c r="AK467">
        <f>IF(AND(Screener!$B$7&lt;&gt;"",$E467=Screener!$B$7),1,0)</f>
        <v/>
      </c>
      <c r="AL467">
        <f>IF(AND(Screener!$B$6&lt;&gt;"",$D467=Screener!$B$6),1,0)</f>
        <v/>
      </c>
      <c r="AM467">
        <f>IF(OR($H467="",Screener!$B$8=""),0,MAX(0,1-ABS(LOG10($H467/Screener!$B$8))/W_SIZEHW))</f>
        <v/>
      </c>
      <c r="AN467">
        <f>IF(OR($V467="",Screener!$B$9=""),0,IF($V467=Screener!$B$9,1,0))</f>
        <v/>
      </c>
      <c r="AO467">
        <f>IF(OR($AA467="",Screener!$B$10=""),0,IF($AA467=Screener!$B$10,1,0))</f>
        <v/>
      </c>
      <c r="AP467">
        <f>IF($G467="",0,MAX(0,1-(Screener!$B$12-$G467)/W_RECD))</f>
        <v/>
      </c>
      <c r="AQ467">
        <f>IF($B467=Screener!$B$3,-999999,W_SUB*AK467+W_SEC*AL467*(1-AK467)+W_SIZE*AM467+W_PROF*AN467+W_AH*AO467+W_REC*AP467)+ROW()/1000000</f>
        <v/>
      </c>
      <c r="AR467">
        <f>IF(OR('NEW DEAL'!$B$6="",$E467&lt;&gt;'NEW DEAL'!$B$6),-1,1+IF(OR($H467="",'NEW DEAL'!$B$7=""),0,MAX(0,1-ABS(LOG10($H467/'NEW DEAL'!$B$7))/W_SIZEHW)))+ROW()/1000000</f>
        <v/>
      </c>
    </row>
    <row r="468">
      <c r="A468" s="23" t="inlineStr">
        <is>
          <t>1511</t>
        </is>
      </c>
      <c r="B468" s="22" t="inlineStr">
        <is>
          <t>UISEE TECH</t>
        </is>
      </c>
      <c r="C468" s="22" t="inlineStr">
        <is>
          <t>馭勢科技</t>
        </is>
      </c>
      <c r="D468" s="24" t="inlineStr">
        <is>
          <t>Tech/AI</t>
        </is>
      </c>
      <c r="E468" s="24" t="inlineStr">
        <is>
          <t>Robotics &amp; autonomous driving</t>
        </is>
      </c>
      <c r="F468" s="22" t="inlineStr">
        <is>
          <t>Standard</t>
        </is>
      </c>
      <c r="G468" s="43" t="n">
        <v>46162</v>
      </c>
      <c r="H468" s="26" t="n">
        <v>872</v>
      </c>
      <c r="I468" s="22" t="inlineStr">
        <is>
          <t>gross (stated)</t>
        </is>
      </c>
      <c r="J468" s="27" t="n"/>
      <c r="K468" s="27" t="n">
        <v>60.3</v>
      </c>
      <c r="L468" s="44" t="n">
        <v>60.3</v>
      </c>
      <c r="M468" s="32" t="n"/>
      <c r="N468" s="29" t="inlineStr">
        <is>
          <t>Y</t>
        </is>
      </c>
      <c r="O468" s="26" t="n">
        <v>9797.799999999999</v>
      </c>
      <c r="P468" s="46" t="n">
        <v>6777.29</v>
      </c>
      <c r="Q468" s="31" t="n">
        <v>5.66</v>
      </c>
      <c r="R468" s="45" t="n">
        <v>-4.64</v>
      </c>
      <c r="S468" s="33" t="n">
        <v>5</v>
      </c>
      <c r="T468" s="32" t="n"/>
      <c r="U468" s="22" t="n"/>
      <c r="V468" s="29" t="inlineStr">
        <is>
          <t>N</t>
        </is>
      </c>
      <c r="W468" s="31" t="n"/>
      <c r="X468" s="34" t="n">
        <v>60.7</v>
      </c>
      <c r="Y468" s="36" t="n">
        <v>161.3</v>
      </c>
      <c r="Z468" s="36" t="n">
        <v>-253.2</v>
      </c>
      <c r="AA468" s="22" t="n"/>
      <c r="AB468" s="22" t="n"/>
      <c r="AC468" s="22" t="inlineStr">
        <is>
          <t>CITIC Securities (Hong Kong) Limited</t>
        </is>
      </c>
      <c r="AD468" s="22" t="inlineStr">
        <is>
          <t>Joint Lead Manager Hong Tai Securities Limited; Managers Futu Securities International (Hong Kong) Limited; CEB International Capital Corporation Limited; uSmart Securities Limited; Quam Securities Limited; Lego Securities Limited; Patrons Securities Limited; SBI China Capital Financial Services Limited; CLSA Limited; BOCOM International Securities Limited; DBS Asia Capital Limited; China Galaxy International Securities (Hong Kong) Co., Limited</t>
        </is>
      </c>
      <c r="AE468" s="22" t="n"/>
      <c r="AK468">
        <f>IF(AND(Screener!$B$7&lt;&gt;"",$E468=Screener!$B$7),1,0)</f>
        <v/>
      </c>
      <c r="AL468">
        <f>IF(AND(Screener!$B$6&lt;&gt;"",$D468=Screener!$B$6),1,0)</f>
        <v/>
      </c>
      <c r="AM468">
        <f>IF(OR($H468="",Screener!$B$8=""),0,MAX(0,1-ABS(LOG10($H468/Screener!$B$8))/W_SIZEHW))</f>
        <v/>
      </c>
      <c r="AN468">
        <f>IF(OR($V468="",Screener!$B$9=""),0,IF($V468=Screener!$B$9,1,0))</f>
        <v/>
      </c>
      <c r="AO468">
        <f>IF(OR($AA468="",Screener!$B$10=""),0,IF($AA468=Screener!$B$10,1,0))</f>
        <v/>
      </c>
      <c r="AP468">
        <f>IF($G468="",0,MAX(0,1-(Screener!$B$12-$G468)/W_RECD))</f>
        <v/>
      </c>
      <c r="AQ468">
        <f>IF($B468=Screener!$B$3,-999999,W_SUB*AK468+W_SEC*AL468*(1-AK468)+W_SIZE*AM468+W_PROF*AN468+W_AH*AO468+W_REC*AP468)+ROW()/1000000</f>
        <v/>
      </c>
      <c r="AR468">
        <f>IF(OR('NEW DEAL'!$B$6="",$E468&lt;&gt;'NEW DEAL'!$B$6),-1,1+IF(OR($H468="",'NEW DEAL'!$B$7=""),0,MAX(0,1-ABS(LOG10($H468/'NEW DEAL'!$B$7))/W_SIZEHW)))+ROW()/1000000</f>
        <v/>
      </c>
    </row>
    <row r="469">
      <c r="A469" s="23" t="inlineStr">
        <is>
          <t>7688</t>
        </is>
      </c>
      <c r="B469" s="22" t="inlineStr">
        <is>
          <t>TOPNC</t>
        </is>
      </c>
      <c r="C469" s="22" t="n"/>
      <c r="D469" s="24" t="inlineStr">
        <is>
          <t>Industrials</t>
        </is>
      </c>
      <c r="E469" s="24" t="inlineStr">
        <is>
          <t>Capital goods / machinery</t>
        </is>
      </c>
      <c r="F469" s="22" t="inlineStr">
        <is>
          <t>Standard</t>
        </is>
      </c>
      <c r="G469" s="39" t="n">
        <v>46162</v>
      </c>
      <c r="H469" s="26" t="n">
        <v>1724</v>
      </c>
      <c r="I469" s="22" t="inlineStr">
        <is>
          <t>gross (stated)</t>
        </is>
      </c>
      <c r="J469" s="27" t="n"/>
      <c r="K469" s="27" t="n">
        <v>26.39</v>
      </c>
      <c r="L469" s="44" t="n">
        <v>26.39</v>
      </c>
      <c r="M469" s="32" t="n"/>
      <c r="N469" s="29" t="inlineStr">
        <is>
          <t>Y</t>
        </is>
      </c>
      <c r="O469" s="26" t="n">
        <v>9631.299999999999</v>
      </c>
      <c r="P469" s="46" t="n">
        <v>3764.63</v>
      </c>
      <c r="Q469" s="31" t="n">
        <v>30.46</v>
      </c>
      <c r="R469" s="45" t="n">
        <v>79.98999999999999</v>
      </c>
      <c r="S469" s="33" t="n">
        <v>50</v>
      </c>
      <c r="T469" s="32" t="n">
        <v>17.9</v>
      </c>
      <c r="U469" s="22" t="n"/>
      <c r="V469" s="29" t="inlineStr">
        <is>
          <t>N</t>
        </is>
      </c>
      <c r="W469" s="31" t="n"/>
      <c r="X469" s="34" t="n">
        <v>15.1</v>
      </c>
      <c r="Y469" s="36" t="n">
        <v>635.8</v>
      </c>
      <c r="Z469" s="36" t="n">
        <v>0</v>
      </c>
      <c r="AA469" s="22" t="n"/>
      <c r="AB469" s="22" t="n"/>
      <c r="AC469" s="22" t="inlineStr">
        <is>
          <t>Guotai Junan Capital Limited; CCB International Capital Limited</t>
        </is>
      </c>
      <c r="AD469" s="22" t="inlineStr">
        <is>
          <t>Guotai Junan Securities (Hong Kong) Limited; CCB International Capital Limited; Managers and Capital Market Intermediaries Guotai Junan Securities (Hong Kong) Limited; SBI China Capital Financial Services Limited; BOCI Asia Limited; Central, Hong Kong CMB International Capital Limited</t>
        </is>
      </c>
      <c r="AE469" s="22" t="n"/>
      <c r="AK469">
        <f>IF(AND(Screener!$B$7&lt;&gt;"",$E469=Screener!$B$7),1,0)</f>
        <v/>
      </c>
      <c r="AL469">
        <f>IF(AND(Screener!$B$6&lt;&gt;"",$D469=Screener!$B$6),1,0)</f>
        <v/>
      </c>
      <c r="AM469">
        <f>IF(OR($H469="",Screener!$B$8=""),0,MAX(0,1-ABS(LOG10($H469/Screener!$B$8))/W_SIZEHW))</f>
        <v/>
      </c>
      <c r="AN469">
        <f>IF(OR($V469="",Screener!$B$9=""),0,IF($V469=Screener!$B$9,1,0))</f>
        <v/>
      </c>
      <c r="AO469">
        <f>IF(OR($AA469="",Screener!$B$10=""),0,IF($AA469=Screener!$B$10,1,0))</f>
        <v/>
      </c>
      <c r="AP469">
        <f>IF($G469="",0,MAX(0,1-(Screener!$B$12-$G469)/W_RECD))</f>
        <v/>
      </c>
      <c r="AQ469">
        <f>IF($B469=Screener!$B$3,-999999,W_SUB*AK469+W_SEC*AL469*(1-AK469)+W_SIZE*AM469+W_PROF*AN469+W_AH*AO469+W_REC*AP469)+ROW()/1000000</f>
        <v/>
      </c>
      <c r="AR469">
        <f>IF(OR('NEW DEAL'!$B$6="",$E469&lt;&gt;'NEW DEAL'!$B$6),-1,1+IF(OR($H469="",'NEW DEAL'!$B$7=""),0,MAX(0,1-ABS(LOG10($H469/'NEW DEAL'!$B$7))/W_SIZEHW)))+ROW()/1000000</f>
        <v/>
      </c>
    </row>
    <row r="470">
      <c r="A470" s="23" t="inlineStr">
        <is>
          <t>6872</t>
        </is>
      </c>
      <c r="B470" s="22" t="inlineStr">
        <is>
          <t>TENNOR THERAP-B</t>
        </is>
      </c>
      <c r="C470" s="22" t="n"/>
      <c r="D470" s="24" t="inlineStr">
        <is>
          <t>Healthcare</t>
        </is>
      </c>
      <c r="E470" s="24" t="inlineStr">
        <is>
          <t>Biotech pre-revenue (18A)</t>
        </is>
      </c>
      <c r="F470" s="38" t="inlineStr">
        <is>
          <t>18A</t>
        </is>
      </c>
      <c r="G470" s="43" t="n">
        <v>46164</v>
      </c>
      <c r="H470" s="26" t="n">
        <v>670.4</v>
      </c>
      <c r="I470" s="22" t="inlineStr">
        <is>
          <t>gross (stated)</t>
        </is>
      </c>
      <c r="J470" s="27" t="n"/>
      <c r="K470" s="27" t="n">
        <v>75.7</v>
      </c>
      <c r="L470" s="44" t="n">
        <v>75.7</v>
      </c>
      <c r="M470" s="32" t="n"/>
      <c r="N470" s="29" t="inlineStr">
        <is>
          <t>Y</t>
        </is>
      </c>
      <c r="O470" s="26" t="n">
        <v>3961.3</v>
      </c>
      <c r="P470" s="46" t="n">
        <v>9015.110000000001</v>
      </c>
      <c r="Q470" s="31" t="n">
        <v>9.24</v>
      </c>
      <c r="R470" s="45" t="n">
        <v>178.73</v>
      </c>
      <c r="S470" s="33" t="n">
        <v>34.81</v>
      </c>
      <c r="T470" s="32" t="n">
        <v>5.5</v>
      </c>
      <c r="U470" s="22" t="inlineStr">
        <is>
          <t>not-yet (at allotment)</t>
        </is>
      </c>
      <c r="V470" s="29" t="inlineStr">
        <is>
          <t>N</t>
        </is>
      </c>
      <c r="W470" s="31" t="n"/>
      <c r="X470" s="31" t="n"/>
      <c r="Y470" s="35" t="n"/>
      <c r="Z470" s="36" t="n">
        <v>-168.6</v>
      </c>
      <c r="AA470" s="22" t="n"/>
      <c r="AB470" s="22" t="n"/>
      <c r="AC470" s="22" t="inlineStr">
        <is>
          <t>CITIC Securities (Hong Kong) Limited; ABCI Capital Limited</t>
        </is>
      </c>
      <c r="AD470" s="22" t="inlineStr">
        <is>
          <t>CLSA Limited; ABCI Capital Limited; China Renaissance Securities (Hong Kong) Limited</t>
        </is>
      </c>
      <c r="AE470" s="22" t="n"/>
      <c r="AK470">
        <f>IF(AND(Screener!$B$7&lt;&gt;"",$E470=Screener!$B$7),1,0)</f>
        <v/>
      </c>
      <c r="AL470">
        <f>IF(AND(Screener!$B$6&lt;&gt;"",$D470=Screener!$B$6),1,0)</f>
        <v/>
      </c>
      <c r="AM470">
        <f>IF(OR($H470="",Screener!$B$8=""),0,MAX(0,1-ABS(LOG10($H470/Screener!$B$8))/W_SIZEHW))</f>
        <v/>
      </c>
      <c r="AN470">
        <f>IF(OR($V470="",Screener!$B$9=""),0,IF($V470=Screener!$B$9,1,0))</f>
        <v/>
      </c>
      <c r="AO470">
        <f>IF(OR($AA470="",Screener!$B$10=""),0,IF($AA470=Screener!$B$10,1,0))</f>
        <v/>
      </c>
      <c r="AP470">
        <f>IF($G470="",0,MAX(0,1-(Screener!$B$12-$G470)/W_RECD))</f>
        <v/>
      </c>
      <c r="AQ470">
        <f>IF($B470=Screener!$B$3,-999999,W_SUB*AK470+W_SEC*AL470*(1-AK470)+W_SIZE*AM470+W_PROF*AN470+W_AH*AO470+W_REC*AP470)+ROW()/1000000</f>
        <v/>
      </c>
      <c r="AR470">
        <f>IF(OR('NEW DEAL'!$B$6="",$E470&lt;&gt;'NEW DEAL'!$B$6),-1,1+IF(OR($H470="",'NEW DEAL'!$B$7=""),0,MAX(0,1-ABS(LOG10($H470/'NEW DEAL'!$B$7))/W_SIZEHW)))+ROW()/1000000</f>
        <v/>
      </c>
    </row>
    <row r="471">
      <c r="A471" s="23" t="inlineStr">
        <is>
          <t>3310</t>
        </is>
      </c>
      <c r="B471" s="22" t="inlineStr">
        <is>
          <t>VIEWTRIX TECH</t>
        </is>
      </c>
      <c r="C471" s="22" t="inlineStr">
        <is>
          <t>雲英谷科技股份有限公司</t>
        </is>
      </c>
      <c r="D471" s="24" t="inlineStr">
        <is>
          <t>Tech/AI</t>
        </is>
      </c>
      <c r="E471" s="24" t="inlineStr">
        <is>
          <t>AI chips &amp; semis</t>
        </is>
      </c>
      <c r="F471" s="22" t="inlineStr">
        <is>
          <t>Standard</t>
        </is>
      </c>
      <c r="G471" s="43" t="n">
        <v>46169</v>
      </c>
      <c r="H471" s="26" t="n">
        <v>1100</v>
      </c>
      <c r="I471" s="22" t="inlineStr">
        <is>
          <t>gross (stated)</t>
        </is>
      </c>
      <c r="J471" s="27" t="n"/>
      <c r="K471" s="27" t="n">
        <v>20.81</v>
      </c>
      <c r="L471" s="44" t="n">
        <v>20.81</v>
      </c>
      <c r="M471" s="32" t="n"/>
      <c r="N471" s="29" t="inlineStr">
        <is>
          <t>Y</t>
        </is>
      </c>
      <c r="O471" s="26" t="n">
        <v>7857.1</v>
      </c>
      <c r="P471" s="46" t="n">
        <v>3559.68</v>
      </c>
      <c r="Q471" s="31" t="n">
        <v>7.05</v>
      </c>
      <c r="R471" s="45" t="n">
        <v>91.73</v>
      </c>
      <c r="S471" s="33" t="n">
        <v>35.37</v>
      </c>
      <c r="T471" s="28" t="n">
        <v>15</v>
      </c>
      <c r="U471" s="22" t="n"/>
      <c r="V471" s="29" t="inlineStr">
        <is>
          <t>N</t>
        </is>
      </c>
      <c r="W471" s="31" t="n"/>
      <c r="X471" s="34" t="n">
        <v>8</v>
      </c>
      <c r="Y471" s="36" t="n">
        <v>980.4</v>
      </c>
      <c r="Z471" s="36" t="n">
        <v>-253.4</v>
      </c>
      <c r="AA471" s="22" t="n"/>
      <c r="AB471" s="22" t="n"/>
      <c r="AC471" s="22" t="inlineStr">
        <is>
          <t>China International Capital Corporation Hong Kong Securities Limited; CITIC Securities (Hong Kong) Limited</t>
        </is>
      </c>
      <c r="AD471" s="22" t="inlineStr">
        <is>
          <t>CLSA Limited; GF Securities (Hong Kong) Brokerage Limited; A VICT Global Asset Management Limited; Webull Securities Limited</t>
        </is>
      </c>
      <c r="AE471" s="22" t="n"/>
      <c r="AK471">
        <f>IF(AND(Screener!$B$7&lt;&gt;"",$E471=Screener!$B$7),1,0)</f>
        <v/>
      </c>
      <c r="AL471">
        <f>IF(AND(Screener!$B$6&lt;&gt;"",$D471=Screener!$B$6),1,0)</f>
        <v/>
      </c>
      <c r="AM471">
        <f>IF(OR($H471="",Screener!$B$8=""),0,MAX(0,1-ABS(LOG10($H471/Screener!$B$8))/W_SIZEHW))</f>
        <v/>
      </c>
      <c r="AN471">
        <f>IF(OR($V471="",Screener!$B$9=""),0,IF($V471=Screener!$B$9,1,0))</f>
        <v/>
      </c>
      <c r="AO471">
        <f>IF(OR($AA471="",Screener!$B$10=""),0,IF($AA471=Screener!$B$10,1,0))</f>
        <v/>
      </c>
      <c r="AP471">
        <f>IF($G471="",0,MAX(0,1-(Screener!$B$12-$G471)/W_RECD))</f>
        <v/>
      </c>
      <c r="AQ471">
        <f>IF($B471=Screener!$B$3,-999999,W_SUB*AK471+W_SEC*AL471*(1-AK471)+W_SIZE*AM471+W_PROF*AN471+W_AH*AO471+W_REC*AP471)+ROW()/1000000</f>
        <v/>
      </c>
      <c r="AR471">
        <f>IF(OR('NEW DEAL'!$B$6="",$E471&lt;&gt;'NEW DEAL'!$B$6),-1,1+IF(OR($H471="",'NEW DEAL'!$B$7=""),0,MAX(0,1-ABS(LOG10($H471/'NEW DEAL'!$B$7))/W_SIZEHW)))+ROW()/1000000</f>
        <v/>
      </c>
    </row>
    <row r="472">
      <c r="A472" s="23" t="inlineStr">
        <is>
          <t>2723</t>
        </is>
      </c>
      <c r="B472" s="22" t="inlineStr">
        <is>
          <t>DEEPZERO</t>
        </is>
      </c>
      <c r="C472" s="22" t="inlineStr">
        <is>
          <t>北京深演智能科技股份有限公司</t>
        </is>
      </c>
      <c r="D472" s="24" t="inlineStr">
        <is>
          <t>Tech/AI</t>
        </is>
      </c>
      <c r="E472" s="24" t="inlineStr">
        <is>
          <t>AI application / agent software</t>
        </is>
      </c>
      <c r="F472" s="22" t="inlineStr">
        <is>
          <t>Standard</t>
        </is>
      </c>
      <c r="G472" s="43" t="n">
        <v>46169</v>
      </c>
      <c r="H472" s="26" t="n">
        <v>503.3</v>
      </c>
      <c r="I472" s="22" t="inlineStr">
        <is>
          <t>gross (stated)</t>
        </is>
      </c>
      <c r="J472" s="27" t="n">
        <v>43.5</v>
      </c>
      <c r="K472" s="27" t="n">
        <v>55.5</v>
      </c>
      <c r="L472" s="44" t="n">
        <v>55.5</v>
      </c>
      <c r="M472" s="28" t="n">
        <v>100</v>
      </c>
      <c r="N472" s="29" t="inlineStr">
        <is>
          <t>Y</t>
        </is>
      </c>
      <c r="O472" s="26" t="n">
        <v>5032.7</v>
      </c>
      <c r="P472" s="46" t="n">
        <v>5480.23</v>
      </c>
      <c r="Q472" s="31" t="n">
        <v>3.41</v>
      </c>
      <c r="R472" s="45" t="n">
        <v>265.77</v>
      </c>
      <c r="S472" s="33" t="n">
        <v>0</v>
      </c>
      <c r="T472" s="32" t="n"/>
      <c r="U472" s="22" t="n"/>
      <c r="V472" s="29" t="inlineStr">
        <is>
          <t>Y</t>
        </is>
      </c>
      <c r="W472" s="34" t="n">
        <v>498.3</v>
      </c>
      <c r="X472" s="34" t="n">
        <v>7.9</v>
      </c>
      <c r="Y472" s="36" t="n">
        <v>634.2</v>
      </c>
      <c r="Z472" s="36" t="n">
        <v>10.1</v>
      </c>
      <c r="AA472" s="22" t="n"/>
      <c r="AB472" s="22" t="n"/>
      <c r="AC472" s="22" t="inlineStr">
        <is>
          <t>ICBC International Capital Limited</t>
        </is>
      </c>
      <c r="AD472" s="22" t="inlineStr">
        <is>
          <t>Managers and Capital Market Intermediaries ICBC International Securities Limited; CCB International Capital Limited; BOCOM International Securities Limited; Victory Securities Company Limited; Guolian Securities International Capital Co., Limited; Managers and Capital Market Intermediaries Zhongtai International Securities Limited; Futu Securities International (Hong Kong) Limited; Tiger Brokers (HK) Global Limited; Yuen Meta (International) Securities Limited; South China Securities Limited</t>
        </is>
      </c>
      <c r="AE472" s="22" t="n"/>
      <c r="AK472">
        <f>IF(AND(Screener!$B$7&lt;&gt;"",$E472=Screener!$B$7),1,0)</f>
        <v/>
      </c>
      <c r="AL472">
        <f>IF(AND(Screener!$B$6&lt;&gt;"",$D472=Screener!$B$6),1,0)</f>
        <v/>
      </c>
      <c r="AM472">
        <f>IF(OR($H472="",Screener!$B$8=""),0,MAX(0,1-ABS(LOG10($H472/Screener!$B$8))/W_SIZEHW))</f>
        <v/>
      </c>
      <c r="AN472">
        <f>IF(OR($V472="",Screener!$B$9=""),0,IF($V472=Screener!$B$9,1,0))</f>
        <v/>
      </c>
      <c r="AO472">
        <f>IF(OR($AA472="",Screener!$B$10=""),0,IF($AA472=Screener!$B$10,1,0))</f>
        <v/>
      </c>
      <c r="AP472">
        <f>IF($G472="",0,MAX(0,1-(Screener!$B$12-$G472)/W_RECD))</f>
        <v/>
      </c>
      <c r="AQ472">
        <f>IF($B472=Screener!$B$3,-999999,W_SUB*AK472+W_SEC*AL472*(1-AK472)+W_SIZE*AM472+W_PROF*AN472+W_AH*AO472+W_REC*AP472)+ROW()/1000000</f>
        <v/>
      </c>
      <c r="AR472">
        <f>IF(OR('NEW DEAL'!$B$6="",$E472&lt;&gt;'NEW DEAL'!$B$6),-1,1+IF(OR($H472="",'NEW DEAL'!$B$7=""),0,MAX(0,1-ABS(LOG10($H472/'NEW DEAL'!$B$7))/W_SIZEHW)))+ROW()/1000000</f>
        <v/>
      </c>
    </row>
    <row r="473">
      <c r="A473" s="23" t="inlineStr">
        <is>
          <t>0901</t>
        </is>
      </c>
      <c r="B473" s="22" t="inlineStr">
        <is>
          <t>SDMC</t>
        </is>
      </c>
      <c r="C473" s="22" t="n"/>
      <c r="D473" s="24" t="inlineStr">
        <is>
          <t>Tech/AI</t>
        </is>
      </c>
      <c r="E473" s="24" t="inlineStr">
        <is>
          <t>Smart hardware / consumer electronics</t>
        </is>
      </c>
      <c r="F473" s="22" t="inlineStr">
        <is>
          <t>Standard</t>
        </is>
      </c>
      <c r="G473" s="39" t="n">
        <v>46169</v>
      </c>
      <c r="H473" s="35" t="n"/>
      <c r="I473" s="22" t="n"/>
      <c r="J473" s="27" t="n"/>
      <c r="K473" s="27" t="n"/>
      <c r="L473" s="44" t="n">
        <v>32.8</v>
      </c>
      <c r="M473" s="32" t="n"/>
      <c r="N473" s="22" t="n"/>
      <c r="O473" s="35" t="n"/>
      <c r="P473" s="40" t="n">
        <v>1972</v>
      </c>
      <c r="Q473" s="31" t="n"/>
      <c r="R473" s="45" t="n">
        <v>86.59</v>
      </c>
      <c r="S473" s="33" t="n"/>
      <c r="T473" s="32" t="n"/>
      <c r="U473" s="22" t="n"/>
      <c r="V473" s="22" t="n"/>
      <c r="W473" s="31" t="n"/>
      <c r="X473" s="31" t="n"/>
      <c r="Y473" s="35" t="n"/>
      <c r="Z473" s="35" t="n"/>
      <c r="AA473" s="22" t="n"/>
      <c r="AB473" s="22" t="n"/>
      <c r="AC473" s="22" t="n"/>
      <c r="AD473" s="22" t="n"/>
      <c r="AE473" s="22" t="n"/>
      <c r="AK473">
        <f>IF(AND(Screener!$B$7&lt;&gt;"",$E473=Screener!$B$7),1,0)</f>
        <v/>
      </c>
      <c r="AL473">
        <f>IF(AND(Screener!$B$6&lt;&gt;"",$D473=Screener!$B$6),1,0)</f>
        <v/>
      </c>
      <c r="AM473">
        <f>IF(OR($H473="",Screener!$B$8=""),0,MAX(0,1-ABS(LOG10($H473/Screener!$B$8))/W_SIZEHW))</f>
        <v/>
      </c>
      <c r="AN473">
        <f>IF(OR($V473="",Screener!$B$9=""),0,IF($V473=Screener!$B$9,1,0))</f>
        <v/>
      </c>
      <c r="AO473">
        <f>IF(OR($AA473="",Screener!$B$10=""),0,IF($AA473=Screener!$B$10,1,0))</f>
        <v/>
      </c>
      <c r="AP473">
        <f>IF($G473="",0,MAX(0,1-(Screener!$B$12-$G473)/W_RECD))</f>
        <v/>
      </c>
      <c r="AQ473">
        <f>IF($B473=Screener!$B$3,-999999,W_SUB*AK473+W_SEC*AL473*(1-AK473)+W_SIZE*AM473+W_PROF*AN473+W_AH*AO473+W_REC*AP473)+ROW()/1000000</f>
        <v/>
      </c>
      <c r="AR473">
        <f>IF(OR('NEW DEAL'!$B$6="",$E473&lt;&gt;'NEW DEAL'!$B$6),-1,1+IF(OR($H473="",'NEW DEAL'!$B$7=""),0,MAX(0,1-ABS(LOG10($H473/'NEW DEAL'!$B$7))/W_SIZEHW)))+ROW()/1000000</f>
        <v/>
      </c>
    </row>
    <row r="474">
      <c r="A474" s="23" t="inlineStr">
        <is>
          <t>3388</t>
        </is>
      </c>
      <c r="B474" s="22" t="inlineStr">
        <is>
          <t>CREALITY</t>
        </is>
      </c>
      <c r="C474" s="22" t="inlineStr">
        <is>
          <t>深圳市創想三維科技股份有限公司</t>
        </is>
      </c>
      <c r="D474" s="24" t="inlineStr">
        <is>
          <t>Tech/AI</t>
        </is>
      </c>
      <c r="E474" s="24" t="inlineStr">
        <is>
          <t>Smart hardware / consumer electronics</t>
        </is>
      </c>
      <c r="F474" s="22" t="inlineStr">
        <is>
          <t>Standard</t>
        </is>
      </c>
      <c r="G474" s="43" t="n">
        <v>46171</v>
      </c>
      <c r="H474" s="26" t="n">
        <v>1380.44</v>
      </c>
      <c r="I474" s="22" t="inlineStr">
        <is>
          <t>gross (stated)</t>
        </is>
      </c>
      <c r="J474" s="27" t="n"/>
      <c r="K474" s="27" t="n">
        <v>18.8</v>
      </c>
      <c r="L474" s="44" t="n">
        <v>18.8</v>
      </c>
      <c r="M474" s="32" t="n"/>
      <c r="N474" s="29" t="inlineStr">
        <is>
          <t>Y</t>
        </is>
      </c>
      <c r="O474" s="36" t="n">
        <v>8776.6</v>
      </c>
      <c r="P474" s="46" t="n">
        <v>3829.42</v>
      </c>
      <c r="Q474" s="31" t="n">
        <v>26.8</v>
      </c>
      <c r="R474" s="45" t="n">
        <v>21.28</v>
      </c>
      <c r="S474" s="33" t="n">
        <v>49.9</v>
      </c>
      <c r="T474" s="32" t="n">
        <v>5.6</v>
      </c>
      <c r="U474" s="22" t="n"/>
      <c r="V474" s="29" t="inlineStr">
        <is>
          <t>N</t>
        </is>
      </c>
      <c r="W474" s="31" t="n"/>
      <c r="X474" s="34" t="n">
        <v>2.6</v>
      </c>
      <c r="Y474" s="36" t="n">
        <v>3439.7</v>
      </c>
      <c r="Z474" s="36" t="n">
        <v>-226.9</v>
      </c>
      <c r="AA474" s="22" t="n"/>
      <c r="AB474" s="22" t="n"/>
      <c r="AC474" s="22" t="n"/>
      <c r="AD474" s="22" t="inlineStr">
        <is>
          <t>Managers China International Capital Corporation Hong Kong Securities Limited; A VICT Global Asset Management Limited; China International Capital Corporation Hong Kong Securities Limited; Deutsche Bank AG, Hong Kong Branch; ABCI Capital Limited; DIRECTORS AND PARTIES INVOLVED IN THE GLOBAL OFFERING –7 4– BOCI Asia Limited; CCB International Capital Limited; SPDB International Capital Limited; Livermore Holdings Limited; DIRECTORS AND PARTIES INVOLVED IN THE GLOBAL OFFERING –7 5– ABCI Capital Limited; ABCI Securities Company Limited; BOCI Asia Limited</t>
        </is>
      </c>
      <c r="AE474" s="22" t="n"/>
      <c r="AK474">
        <f>IF(AND(Screener!$B$7&lt;&gt;"",$E474=Screener!$B$7),1,0)</f>
        <v/>
      </c>
      <c r="AL474">
        <f>IF(AND(Screener!$B$6&lt;&gt;"",$D474=Screener!$B$6),1,0)</f>
        <v/>
      </c>
      <c r="AM474">
        <f>IF(OR($H474="",Screener!$B$8=""),0,MAX(0,1-ABS(LOG10($H474/Screener!$B$8))/W_SIZEHW))</f>
        <v/>
      </c>
      <c r="AN474">
        <f>IF(OR($V474="",Screener!$B$9=""),0,IF($V474=Screener!$B$9,1,0))</f>
        <v/>
      </c>
      <c r="AO474">
        <f>IF(OR($AA474="",Screener!$B$10=""),0,IF($AA474=Screener!$B$10,1,0))</f>
        <v/>
      </c>
      <c r="AP474">
        <f>IF($G474="",0,MAX(0,1-(Screener!$B$12-$G474)/W_RECD))</f>
        <v/>
      </c>
      <c r="AQ474">
        <f>IF($B474=Screener!$B$3,-999999,W_SUB*AK474+W_SEC*AL474*(1-AK474)+W_SIZE*AM474+W_PROF*AN474+W_AH*AO474+W_REC*AP474)+ROW()/1000000</f>
        <v/>
      </c>
      <c r="AR474">
        <f>IF(OR('NEW DEAL'!$B$6="",$E474&lt;&gt;'NEW DEAL'!$B$6),-1,1+IF(OR($H474="",'NEW DEAL'!$B$7=""),0,MAX(0,1-ABS(LOG10($H474/'NEW DEAL'!$B$7))/W_SIZEHW)))+ROW()/1000000</f>
        <v/>
      </c>
    </row>
    <row r="475">
      <c r="A475" s="23" t="inlineStr">
        <is>
          <t>2553</t>
        </is>
      </c>
      <c r="B475" s="22" t="inlineStr">
        <is>
          <t>SHOUGANG LANZA</t>
        </is>
      </c>
      <c r="C475" s="22" t="inlineStr">
        <is>
          <t>北京首鋼朗澤科技股份有限公司</t>
        </is>
      </c>
      <c r="D475" s="24" t="inlineStr">
        <is>
          <t>Materials/Energy</t>
        </is>
      </c>
      <c r="E475" s="24" t="inlineStr">
        <is>
          <t>Chemicals</t>
        </is>
      </c>
      <c r="F475" s="22" t="inlineStr">
        <is>
          <t>Standard</t>
        </is>
      </c>
      <c r="G475" s="43" t="n">
        <v>46176</v>
      </c>
      <c r="H475" s="26" t="n">
        <v>584</v>
      </c>
      <c r="I475" s="22" t="inlineStr">
        <is>
          <t>gross (stated)</t>
        </is>
      </c>
      <c r="J475" s="27" t="n"/>
      <c r="K475" s="27" t="n">
        <v>17.1</v>
      </c>
      <c r="L475" s="44" t="n">
        <v>14.6</v>
      </c>
      <c r="M475" s="32" t="n"/>
      <c r="N475" s="29" t="inlineStr">
        <is>
          <t>N</t>
        </is>
      </c>
      <c r="O475" s="26" t="n">
        <v>5840</v>
      </c>
      <c r="P475" s="46" t="n">
        <v>1421.54</v>
      </c>
      <c r="Q475" s="31" t="n">
        <v>0.95</v>
      </c>
      <c r="R475" s="45" t="n">
        <v>44.25</v>
      </c>
      <c r="S475" s="33" t="n">
        <v>0</v>
      </c>
      <c r="T475" s="32" t="n">
        <v>15.9</v>
      </c>
      <c r="U475" s="22" t="inlineStr">
        <is>
          <t>not-yet (at allotment)</t>
        </is>
      </c>
      <c r="V475" s="29" t="inlineStr">
        <is>
          <t>N</t>
        </is>
      </c>
      <c r="W475" s="31" t="n"/>
      <c r="X475" s="34" t="n">
        <v>10.2</v>
      </c>
      <c r="Y475" s="36" t="n">
        <v>573.9</v>
      </c>
      <c r="Z475" s="36" t="n">
        <v>-357.4</v>
      </c>
      <c r="AA475" s="22" t="n"/>
      <c r="AB475" s="22" t="n"/>
      <c r="AC475" s="22" t="inlineStr">
        <is>
          <t>Yue Xiu Capital Limited</t>
        </is>
      </c>
      <c r="AD475" s="22" t="inlineStr">
        <is>
          <t>Yue Xiu Securities Company Limited; Mango Financial Limited; Maxa Asset Management Limited; Sheung Wan, Hong Kong CCB International Capital Limited; Central, Hong Kong Skyvast Securities Limited; Central, Hong Kong GEO Securities Limited; Central, Hong Kong uSmart Securities Limited; CMBC Securities Company Limited; Central, Hong Kong Futu Securities International (Hong Kong) Limited; No. 95 Queensway Admiralty, Hong Kong Livermore Holdings Limited</t>
        </is>
      </c>
      <c r="AE475" s="22" t="n"/>
      <c r="AK475">
        <f>IF(AND(Screener!$B$7&lt;&gt;"",$E475=Screener!$B$7),1,0)</f>
        <v/>
      </c>
      <c r="AL475">
        <f>IF(AND(Screener!$B$6&lt;&gt;"",$D475=Screener!$B$6),1,0)</f>
        <v/>
      </c>
      <c r="AM475">
        <f>IF(OR($H475="",Screener!$B$8=""),0,MAX(0,1-ABS(LOG10($H475/Screener!$B$8))/W_SIZEHW))</f>
        <v/>
      </c>
      <c r="AN475">
        <f>IF(OR($V475="",Screener!$B$9=""),0,IF($V475=Screener!$B$9,1,0))</f>
        <v/>
      </c>
      <c r="AO475">
        <f>IF(OR($AA475="",Screener!$B$10=""),0,IF($AA475=Screener!$B$10,1,0))</f>
        <v/>
      </c>
      <c r="AP475">
        <f>IF($G475="",0,MAX(0,1-(Screener!$B$12-$G475)/W_RECD))</f>
        <v/>
      </c>
      <c r="AQ475">
        <f>IF($B475=Screener!$B$3,-999999,W_SUB*AK475+W_SEC*AL475*(1-AK475)+W_SIZE*AM475+W_PROF*AN475+W_AH*AO475+W_REC*AP475)+ROW()/1000000</f>
        <v/>
      </c>
      <c r="AR475">
        <f>IF(OR('NEW DEAL'!$B$6="",$E475&lt;&gt;'NEW DEAL'!$B$6),-1,1+IF(OR($H475="",'NEW DEAL'!$B$7=""),0,MAX(0,1-ABS(LOG10($H475/'NEW DEAL'!$B$7))/W_SIZEHW)))+ROW()/1000000</f>
        <v/>
      </c>
    </row>
    <row r="476">
      <c r="A476" s="23" t="inlineStr">
        <is>
          <t>2290</t>
        </is>
      </c>
      <c r="B476" s="22" t="inlineStr">
        <is>
          <t>LUNG FUNG GROUP</t>
        </is>
      </c>
      <c r="C476" s="22" t="n"/>
      <c r="D476" s="24" t="inlineStr">
        <is>
          <t>Consumer</t>
        </is>
      </c>
      <c r="E476" s="24" t="inlineStr">
        <is>
          <t>Retail / distribution</t>
        </is>
      </c>
      <c r="F476" s="22" t="inlineStr">
        <is>
          <t>Standard</t>
        </is>
      </c>
      <c r="G476" s="43" t="n">
        <v>46178</v>
      </c>
      <c r="H476" s="26" t="n">
        <v>647.5</v>
      </c>
      <c r="I476" s="22" t="inlineStr">
        <is>
          <t>gross (stated)</t>
        </is>
      </c>
      <c r="J476" s="27" t="n"/>
      <c r="K476" s="27" t="n">
        <v>6.38</v>
      </c>
      <c r="L476" s="44" t="n">
        <v>5.18</v>
      </c>
      <c r="M476" s="32" t="n"/>
      <c r="N476" s="29" t="inlineStr">
        <is>
          <t>N</t>
        </is>
      </c>
      <c r="O476" s="26" t="n">
        <v>2590</v>
      </c>
      <c r="P476" s="46" t="n">
        <v>664.92</v>
      </c>
      <c r="Q476" s="31" t="n">
        <v>3.18</v>
      </c>
      <c r="R476" s="45" t="n">
        <v>-45.75</v>
      </c>
      <c r="S476" s="33" t="n"/>
      <c r="T476" s="32" t="n">
        <v>15</v>
      </c>
      <c r="U476" s="22" t="n"/>
      <c r="V476" s="29" t="inlineStr">
        <is>
          <t>N</t>
        </is>
      </c>
      <c r="W476" s="31" t="n"/>
      <c r="X476" s="34" t="n">
        <v>1.1</v>
      </c>
      <c r="Y476" s="36" t="n">
        <v>2460.5</v>
      </c>
      <c r="Z476" s="36" t="n">
        <v>-27.1</v>
      </c>
      <c r="AA476" s="22" t="n"/>
      <c r="AB476" s="22" t="n"/>
      <c r="AC476" s="22" t="n"/>
      <c r="AD476" s="22" t="n"/>
      <c r="AE476" s="22" t="n"/>
      <c r="AK476">
        <f>IF(AND(Screener!$B$7&lt;&gt;"",$E476=Screener!$B$7),1,0)</f>
        <v/>
      </c>
      <c r="AL476">
        <f>IF(AND(Screener!$B$6&lt;&gt;"",$D476=Screener!$B$6),1,0)</f>
        <v/>
      </c>
      <c r="AM476">
        <f>IF(OR($H476="",Screener!$B$8=""),0,MAX(0,1-ABS(LOG10($H476/Screener!$B$8))/W_SIZEHW))</f>
        <v/>
      </c>
      <c r="AN476">
        <f>IF(OR($V476="",Screener!$B$9=""),0,IF($V476=Screener!$B$9,1,0))</f>
        <v/>
      </c>
      <c r="AO476">
        <f>IF(OR($AA476="",Screener!$B$10=""),0,IF($AA476=Screener!$B$10,1,0))</f>
        <v/>
      </c>
      <c r="AP476">
        <f>IF($G476="",0,MAX(0,1-(Screener!$B$12-$G476)/W_RECD))</f>
        <v/>
      </c>
      <c r="AQ476">
        <f>IF($B476=Screener!$B$3,-999999,W_SUB*AK476+W_SEC*AL476*(1-AK476)+W_SIZE*AM476+W_PROF*AN476+W_AH*AO476+W_REC*AP476)+ROW()/1000000</f>
        <v/>
      </c>
      <c r="AR476">
        <f>IF(OR('NEW DEAL'!$B$6="",$E476&lt;&gt;'NEW DEAL'!$B$6),-1,1+IF(OR($H476="",'NEW DEAL'!$B$7=""),0,MAX(0,1-ABS(LOG10($H476/'NEW DEAL'!$B$7))/W_SIZEHW)))+ROW()/1000000</f>
        <v/>
      </c>
    </row>
    <row r="477">
      <c r="A477" s="23" t="inlineStr">
        <is>
          <t>1081</t>
        </is>
      </c>
      <c r="B477" s="22" t="inlineStr">
        <is>
          <t>DAJIN</t>
        </is>
      </c>
      <c r="C477" s="22" t="inlineStr">
        <is>
          <t>大金重工股份有限公司</t>
        </is>
      </c>
      <c r="D477" s="24" t="inlineStr">
        <is>
          <t>Industrials</t>
        </is>
      </c>
      <c r="E477" s="24" t="inlineStr">
        <is>
          <t>Solar / wind supply chain</t>
        </is>
      </c>
      <c r="F477" s="22" t="inlineStr">
        <is>
          <t>Standard</t>
        </is>
      </c>
      <c r="G477" s="43" t="n">
        <v>46178</v>
      </c>
      <c r="H477" s="26" t="n">
        <v>6640.7</v>
      </c>
      <c r="I477" s="22" t="inlineStr">
        <is>
          <t>gross (stated)</t>
        </is>
      </c>
      <c r="J477" s="27" t="n"/>
      <c r="K477" s="27" t="n">
        <v>66.40000000000001</v>
      </c>
      <c r="L477" s="44" t="n">
        <v>66.40000000000001</v>
      </c>
      <c r="M477" s="32" t="n"/>
      <c r="N477" s="29" t="inlineStr">
        <is>
          <t>Y</t>
        </is>
      </c>
      <c r="O477" s="26" t="n">
        <v>48987.3</v>
      </c>
      <c r="P477" s="46" t="n">
        <v>134.39</v>
      </c>
      <c r="Q477" s="31" t="n"/>
      <c r="R477" s="45" t="n">
        <v>0</v>
      </c>
      <c r="S477" s="33" t="n">
        <v>48.54</v>
      </c>
      <c r="T477" s="32" t="n">
        <v>15</v>
      </c>
      <c r="U477" s="22" t="n"/>
      <c r="V477" s="29" t="inlineStr">
        <is>
          <t>Y</t>
        </is>
      </c>
      <c r="W477" s="34" t="n">
        <v>40.4</v>
      </c>
      <c r="X477" s="34" t="n">
        <v>7.2</v>
      </c>
      <c r="Y477" s="36" t="n">
        <v>6790.9</v>
      </c>
      <c r="Z477" s="36" t="n">
        <v>1213.6</v>
      </c>
      <c r="AA477" s="22" t="inlineStr">
        <is>
          <t>Y</t>
        </is>
      </c>
      <c r="AB477" s="22" t="inlineStr">
        <is>
          <t>002487.SZ</t>
        </is>
      </c>
      <c r="AC477" s="22" t="inlineStr">
        <is>
          <t>Huatai Financial Holdings (Hong Kong) Limited; China Merchants Securities (HK) Co., Limited</t>
        </is>
      </c>
      <c r="AD477" s="22" t="n"/>
      <c r="AE477" s="22" t="n"/>
      <c r="AK477">
        <f>IF(AND(Screener!$B$7&lt;&gt;"",$E477=Screener!$B$7),1,0)</f>
        <v/>
      </c>
      <c r="AL477">
        <f>IF(AND(Screener!$B$6&lt;&gt;"",$D477=Screener!$B$6),1,0)</f>
        <v/>
      </c>
      <c r="AM477">
        <f>IF(OR($H477="",Screener!$B$8=""),0,MAX(0,1-ABS(LOG10($H477/Screener!$B$8))/W_SIZEHW))</f>
        <v/>
      </c>
      <c r="AN477">
        <f>IF(OR($V477="",Screener!$B$9=""),0,IF($V477=Screener!$B$9,1,0))</f>
        <v/>
      </c>
      <c r="AO477">
        <f>IF(OR($AA477="",Screener!$B$10=""),0,IF($AA477=Screener!$B$10,1,0))</f>
        <v/>
      </c>
      <c r="AP477">
        <f>IF($G477="",0,MAX(0,1-(Screener!$B$12-$G477)/W_RECD))</f>
        <v/>
      </c>
      <c r="AQ477">
        <f>IF($B477=Screener!$B$3,-999999,W_SUB*AK477+W_SEC*AL477*(1-AK477)+W_SIZE*AM477+W_PROF*AN477+W_AH*AO477+W_REC*AP477)+ROW()/1000000</f>
        <v/>
      </c>
      <c r="AR477">
        <f>IF(OR('NEW DEAL'!$B$6="",$E477&lt;&gt;'NEW DEAL'!$B$6),-1,1+IF(OR($H477="",'NEW DEAL'!$B$7=""),0,MAX(0,1-ABS(LOG10($H477/'NEW DEAL'!$B$7))/W_SIZEHW)))+ROW()/1000000</f>
        <v/>
      </c>
    </row>
    <row r="478">
      <c r="A478" s="23" t="inlineStr">
        <is>
          <t>1779</t>
        </is>
      </c>
      <c r="B478" s="22" t="inlineStr">
        <is>
          <t>LONGBIO-B</t>
        </is>
      </c>
      <c r="C478" s="22" t="inlineStr">
        <is>
          <t>天辰生物醫藥</t>
        </is>
      </c>
      <c r="D478" s="24" t="inlineStr">
        <is>
          <t>Healthcare</t>
        </is>
      </c>
      <c r="E478" s="24" t="inlineStr">
        <is>
          <t>Biotech pre-revenue (18A)</t>
        </is>
      </c>
      <c r="F478" s="38" t="inlineStr">
        <is>
          <t>18A</t>
        </is>
      </c>
      <c r="G478" s="43" t="n">
        <v>46178</v>
      </c>
      <c r="H478" s="26" t="n">
        <v>1363.4</v>
      </c>
      <c r="I478" s="22" t="inlineStr">
        <is>
          <t>gross (stated)</t>
        </is>
      </c>
      <c r="J478" s="27" t="n"/>
      <c r="K478" s="27" t="n">
        <v>96.06</v>
      </c>
      <c r="L478" s="44" t="n">
        <v>96.06</v>
      </c>
      <c r="M478" s="32" t="n"/>
      <c r="N478" s="29" t="inlineStr">
        <is>
          <t>Y</t>
        </is>
      </c>
      <c r="O478" s="36" t="n">
        <v>7127</v>
      </c>
      <c r="P478" s="46" t="n">
        <v>4762.58</v>
      </c>
      <c r="Q478" s="31" t="n">
        <v>10.94</v>
      </c>
      <c r="R478" s="45" t="n">
        <v>37.21</v>
      </c>
      <c r="S478" s="33" t="n">
        <v>49.96</v>
      </c>
      <c r="T478" s="32" t="n">
        <v>5.73</v>
      </c>
      <c r="U478" s="22" t="n"/>
      <c r="V478" s="22" t="n"/>
      <c r="W478" s="31" t="n"/>
      <c r="X478" s="31" t="n"/>
      <c r="Y478" s="35" t="n"/>
      <c r="Z478" s="35" t="n"/>
      <c r="AA478" s="22" t="n"/>
      <c r="AB478" s="22" t="n"/>
      <c r="AC478" s="22" t="inlineStr">
        <is>
          <t>and Sole Sponsor-Overall Coordinator Sinolink Securities (Hong Kong) Company Limited</t>
        </is>
      </c>
      <c r="AD478" s="22" t="inlineStr">
        <is>
          <t>GF Securities (Hong Kong) Brokerage Limited; Wan Chai, Hong Kong ABCI Capital Limited; ABCI Securities Company Limited</t>
        </is>
      </c>
      <c r="AE478" s="22" t="n"/>
      <c r="AK478">
        <f>IF(AND(Screener!$B$7&lt;&gt;"",$E478=Screener!$B$7),1,0)</f>
        <v/>
      </c>
      <c r="AL478">
        <f>IF(AND(Screener!$B$6&lt;&gt;"",$D478=Screener!$B$6),1,0)</f>
        <v/>
      </c>
      <c r="AM478">
        <f>IF(OR($H478="",Screener!$B$8=""),0,MAX(0,1-ABS(LOG10($H478/Screener!$B$8))/W_SIZEHW))</f>
        <v/>
      </c>
      <c r="AN478">
        <f>IF(OR($V478="",Screener!$B$9=""),0,IF($V478=Screener!$B$9,1,0))</f>
        <v/>
      </c>
      <c r="AO478">
        <f>IF(OR($AA478="",Screener!$B$10=""),0,IF($AA478=Screener!$B$10,1,0))</f>
        <v/>
      </c>
      <c r="AP478">
        <f>IF($G478="",0,MAX(0,1-(Screener!$B$12-$G478)/W_RECD))</f>
        <v/>
      </c>
      <c r="AQ478">
        <f>IF($B478=Screener!$B$3,-999999,W_SUB*AK478+W_SEC*AL478*(1-AK478)+W_SIZE*AM478+W_PROF*AN478+W_AH*AO478+W_REC*AP478)+ROW()/1000000</f>
        <v/>
      </c>
      <c r="AR478">
        <f>IF(OR('NEW DEAL'!$B$6="",$E478&lt;&gt;'NEW DEAL'!$B$6),-1,1+IF(OR($H478="",'NEW DEAL'!$B$7=""),0,MAX(0,1-ABS(LOG10($H478/'NEW DEAL'!$B$7))/W_SIZEHW)))+ROW()/1000000</f>
        <v/>
      </c>
    </row>
    <row r="479">
      <c r="A479" s="23" t="inlineStr">
        <is>
          <t>6658</t>
        </is>
      </c>
      <c r="B479" s="22" t="inlineStr">
        <is>
          <t>LIULIUMEI</t>
        </is>
      </c>
      <c r="C479" s="22" t="n"/>
      <c r="D479" s="24" t="inlineStr">
        <is>
          <t>Consumer</t>
        </is>
      </c>
      <c r="E479" s="24" t="inlineStr">
        <is>
          <t>Beverages / packaged food</t>
        </is>
      </c>
      <c r="F479" s="22" t="inlineStr">
        <is>
          <t>Standard</t>
        </is>
      </c>
      <c r="G479" s="43" t="n">
        <v>46188</v>
      </c>
      <c r="H479" s="26" t="n">
        <v>499.6</v>
      </c>
      <c r="I479" s="22" t="inlineStr">
        <is>
          <t>gross (stated)</t>
        </is>
      </c>
      <c r="J479" s="27" t="n"/>
      <c r="K479" s="27" t="n">
        <v>43.58</v>
      </c>
      <c r="L479" s="44" t="n">
        <v>43.58</v>
      </c>
      <c r="M479" s="32" t="n"/>
      <c r="N479" s="29" t="inlineStr">
        <is>
          <t>Y</t>
        </is>
      </c>
      <c r="O479" s="26" t="n">
        <v>3434.6</v>
      </c>
      <c r="P479" s="46" t="n">
        <v>6586.73</v>
      </c>
      <c r="Q479" s="31" t="n">
        <v>2.64</v>
      </c>
      <c r="R479" s="45" t="n">
        <v>193.71</v>
      </c>
      <c r="S479" s="33" t="n">
        <v>29.55</v>
      </c>
      <c r="T479" s="32" t="n">
        <v>11.9</v>
      </c>
      <c r="U479" s="22" t="inlineStr">
        <is>
          <t>not-yet (at allotment)</t>
        </is>
      </c>
      <c r="V479" s="29" t="inlineStr">
        <is>
          <t>Y</t>
        </is>
      </c>
      <c r="W479" s="34" t="n">
        <v>17.1</v>
      </c>
      <c r="X479" s="34" t="n">
        <v>1.8</v>
      </c>
      <c r="Y479" s="36" t="n">
        <v>1881.8</v>
      </c>
      <c r="Z479" s="36" t="n">
        <v>200.3</v>
      </c>
      <c r="AA479" s="22" t="n"/>
      <c r="AB479" s="22" t="n"/>
      <c r="AC479" s="22" t="inlineStr">
        <is>
          <t>CITIC Securities (Hong Kong) Limited; Guoyuan Capital (Hong Kong) Limited</t>
        </is>
      </c>
      <c r="AD479" s="22" t="inlineStr">
        <is>
          <t>Managers and Capital Market Intermediaries CLSA Limited; Guoyuan Securities Brokerage (Hong Kong) Limited; Central, Hong Kong Zhongtai International Securities Limited; Central, Hong Kong Soochow Securities International Brokerage Limited; CEB International Capital Corporation Limited; Wan Chai, Hong Kong Huafu International Securities Limited; Sheung Wan, Hong Kong Orient Securities (Hong Kong) Limited</t>
        </is>
      </c>
      <c r="AE479" s="22" t="n"/>
      <c r="AK479">
        <f>IF(AND(Screener!$B$7&lt;&gt;"",$E479=Screener!$B$7),1,0)</f>
        <v/>
      </c>
      <c r="AL479">
        <f>IF(AND(Screener!$B$6&lt;&gt;"",$D479=Screener!$B$6),1,0)</f>
        <v/>
      </c>
      <c r="AM479">
        <f>IF(OR($H479="",Screener!$B$8=""),0,MAX(0,1-ABS(LOG10($H479/Screener!$B$8))/W_SIZEHW))</f>
        <v/>
      </c>
      <c r="AN479">
        <f>IF(OR($V479="",Screener!$B$9=""),0,IF($V479=Screener!$B$9,1,0))</f>
        <v/>
      </c>
      <c r="AO479">
        <f>IF(OR($AA479="",Screener!$B$10=""),0,IF($AA479=Screener!$B$10,1,0))</f>
        <v/>
      </c>
      <c r="AP479">
        <f>IF($G479="",0,MAX(0,1-(Screener!$B$12-$G479)/W_RECD))</f>
        <v/>
      </c>
      <c r="AQ479">
        <f>IF($B479=Screener!$B$3,-999999,W_SUB*AK479+W_SEC*AL479*(1-AK479)+W_SIZE*AM479+W_PROF*AN479+W_AH*AO479+W_REC*AP479)+ROW()/1000000</f>
        <v/>
      </c>
      <c r="AR479">
        <f>IF(OR('NEW DEAL'!$B$6="",$E479&lt;&gt;'NEW DEAL'!$B$6),-1,1+IF(OR($H479="",'NEW DEAL'!$B$7=""),0,MAX(0,1-ABS(LOG10($H479/'NEW DEAL'!$B$7))/W_SIZEHW)))+ROW()/1000000</f>
        <v/>
      </c>
    </row>
    <row r="480">
      <c r="A480" s="23" t="inlineStr">
        <is>
          <t>6675</t>
        </is>
      </c>
      <c r="B480" s="22" t="inlineStr">
        <is>
          <t>SENASIC</t>
        </is>
      </c>
      <c r="C480" s="22" t="inlineStr">
        <is>
          <t>琻捷電子科技</t>
        </is>
      </c>
      <c r="D480" s="24" t="inlineStr">
        <is>
          <t>Tech/AI</t>
        </is>
      </c>
      <c r="E480" s="24" t="inlineStr">
        <is>
          <t>AI chips &amp; semis</t>
        </is>
      </c>
      <c r="F480" s="22" t="inlineStr">
        <is>
          <t>Standard</t>
        </is>
      </c>
      <c r="G480" s="39" t="n">
        <v>46190</v>
      </c>
      <c r="H480" s="26" t="n">
        <v>980.55</v>
      </c>
      <c r="I480" s="22" t="inlineStr">
        <is>
          <t>gross (stated)</t>
        </is>
      </c>
      <c r="J480" s="27" t="n"/>
      <c r="K480" s="27" t="n">
        <v>18.36</v>
      </c>
      <c r="L480" s="44" t="n">
        <v>18.36</v>
      </c>
      <c r="M480" s="32" t="n"/>
      <c r="N480" s="29" t="inlineStr">
        <is>
          <t>Y</t>
        </is>
      </c>
      <c r="O480" s="26" t="n">
        <v>6178.6</v>
      </c>
      <c r="P480" s="46" t="n">
        <v>5144.97</v>
      </c>
      <c r="Q480" s="31" t="n">
        <v>4.44</v>
      </c>
      <c r="R480" s="45" t="n">
        <v>127.12</v>
      </c>
      <c r="S480" s="33" t="n">
        <v>28.86</v>
      </c>
      <c r="T480" s="32" t="n">
        <v>6.55</v>
      </c>
      <c r="U480" s="22" t="n"/>
      <c r="V480" s="29" t="inlineStr">
        <is>
          <t>N</t>
        </is>
      </c>
      <c r="W480" s="31" t="n"/>
      <c r="X480" s="31" t="n"/>
      <c r="Y480" s="35" t="n"/>
      <c r="Z480" s="36" t="n">
        <v>-386.5</v>
      </c>
      <c r="AA480" s="22" t="n"/>
      <c r="AB480" s="22" t="n"/>
      <c r="AC480" s="22" t="inlineStr">
        <is>
          <t>China International Capital Corporation Hong Kong Securities Limited; Guotai Junan Capital Limited</t>
        </is>
      </c>
      <c r="AD480" s="22" t="inlineStr">
        <is>
          <t>China International Capital Corporation Hong Kong Securities Limited; Guotai Junan Securities (Hong Kong) Limited; GF Securities (Hong Kong) Brokerage Limited; Daiwa Capital Markets Hong Kong Limited; ABCI Capital Limited; Futu Securities International (Hong Kong) Limited; Tiger Brokers (HK) Global Limited; SPDB International Capital Limited; CMBC Securities Company Limited; Shanxi Securities International Limited</t>
        </is>
      </c>
      <c r="AE480" s="22" t="n"/>
      <c r="AK480">
        <f>IF(AND(Screener!$B$7&lt;&gt;"",$E480=Screener!$B$7),1,0)</f>
        <v/>
      </c>
      <c r="AL480">
        <f>IF(AND(Screener!$B$6&lt;&gt;"",$D480=Screener!$B$6),1,0)</f>
        <v/>
      </c>
      <c r="AM480">
        <f>IF(OR($H480="",Screener!$B$8=""),0,MAX(0,1-ABS(LOG10($H480/Screener!$B$8))/W_SIZEHW))</f>
        <v/>
      </c>
      <c r="AN480">
        <f>IF(OR($V480="",Screener!$B$9=""),0,IF($V480=Screener!$B$9,1,0))</f>
        <v/>
      </c>
      <c r="AO480">
        <f>IF(OR($AA480="",Screener!$B$10=""),0,IF($AA480=Screener!$B$10,1,0))</f>
        <v/>
      </c>
      <c r="AP480">
        <f>IF($G480="",0,MAX(0,1-(Screener!$B$12-$G480)/W_RECD))</f>
        <v/>
      </c>
      <c r="AQ480">
        <f>IF($B480=Screener!$B$3,-999999,W_SUB*AK480+W_SEC*AL480*(1-AK480)+W_SIZE*AM480+W_PROF*AN480+W_AH*AO480+W_REC*AP480)+ROW()/1000000</f>
        <v/>
      </c>
      <c r="AR480">
        <f>IF(OR('NEW DEAL'!$B$6="",$E480&lt;&gt;'NEW DEAL'!$B$6),-1,1+IF(OR($H480="",'NEW DEAL'!$B$7=""),0,MAX(0,1-ABS(LOG10($H480/'NEW DEAL'!$B$7))/W_SIZEHW)))+ROW()/1000000</f>
        <v/>
      </c>
    </row>
    <row r="481">
      <c r="A481" s="23" t="inlineStr">
        <is>
          <t>1392</t>
        </is>
      </c>
      <c r="B481" s="22" t="inlineStr">
        <is>
          <t>HQVT</t>
        </is>
      </c>
      <c r="C481" s="22" t="n"/>
      <c r="D481" s="24" t="inlineStr">
        <is>
          <t>Tech/AI</t>
        </is>
      </c>
      <c r="E481" s="24" t="inlineStr">
        <is>
          <t>AI application / agent software</t>
        </is>
      </c>
      <c r="F481" s="22" t="inlineStr">
        <is>
          <t>Standard</t>
        </is>
      </c>
      <c r="G481" s="39" t="n">
        <v>46195</v>
      </c>
      <c r="H481" s="26" t="n">
        <v>613.17</v>
      </c>
      <c r="I481" s="22" t="inlineStr">
        <is>
          <t>gross (stated)</t>
        </is>
      </c>
      <c r="J481" s="27" t="n"/>
      <c r="K481" s="27" t="n">
        <v>7.2</v>
      </c>
      <c r="L481" s="44" t="n">
        <v>7.2</v>
      </c>
      <c r="M481" s="32" t="n"/>
      <c r="N481" s="29" t="inlineStr">
        <is>
          <t>Y</t>
        </is>
      </c>
      <c r="O481" s="26" t="n">
        <v>5574.3</v>
      </c>
      <c r="P481" s="46" t="n">
        <v>7181.21</v>
      </c>
      <c r="Q481" s="31" t="n">
        <v>4.81</v>
      </c>
      <c r="R481" s="45" t="n">
        <v>270.83</v>
      </c>
      <c r="S481" s="33" t="n"/>
      <c r="T481" s="32" t="n"/>
      <c r="U481" s="22" t="n"/>
      <c r="V481" s="29" t="inlineStr">
        <is>
          <t>Y</t>
        </is>
      </c>
      <c r="W481" s="34" t="n">
        <v>172.6</v>
      </c>
      <c r="X481" s="34" t="n">
        <v>7.6</v>
      </c>
      <c r="Y481" s="36" t="n">
        <v>735.4</v>
      </c>
      <c r="Z481" s="36" t="n">
        <v>32.3</v>
      </c>
      <c r="AA481" s="22" t="n"/>
      <c r="AB481" s="22" t="n"/>
      <c r="AC481" s="22" t="inlineStr">
        <is>
          <t>CMBC International Capital Limited; Central, Hong Kong SPDB International Capital Limited</t>
        </is>
      </c>
      <c r="AD481" s="22" t="inlineStr">
        <is>
          <t>Manager and Capital Market Intermediary Livermore Holdings Limited; Managers and Capital Market Intermediaries CCB International Capital Limited; Wanchai, Hong Kong CMB International Capital Limited; Central, Hong Kong DL Securities (HK) Limited; Central, Hong Kong Huafu International Securities Limited; Sheung Wan, Hong Kong Skyvast Securities Limited; Central, Hong Kong Somerley Capital Limited; Yuen Meta (International) Securities Limited; Wanchai, Hong Kong Yunfeng Securities Limited; Wanchai, Hong Kong Zheshang International Financial Holdings Co., Limited; Sheung Wan, Hong Kong Zhongtai International Securities Limited</t>
        </is>
      </c>
      <c r="AE481" s="22" t="n"/>
      <c r="AK481">
        <f>IF(AND(Screener!$B$7&lt;&gt;"",$E481=Screener!$B$7),1,0)</f>
        <v/>
      </c>
      <c r="AL481">
        <f>IF(AND(Screener!$B$6&lt;&gt;"",$D481=Screener!$B$6),1,0)</f>
        <v/>
      </c>
      <c r="AM481">
        <f>IF(OR($H481="",Screener!$B$8=""),0,MAX(0,1-ABS(LOG10($H481/Screener!$B$8))/W_SIZEHW))</f>
        <v/>
      </c>
      <c r="AN481">
        <f>IF(OR($V481="",Screener!$B$9=""),0,IF($V481=Screener!$B$9,1,0))</f>
        <v/>
      </c>
      <c r="AO481">
        <f>IF(OR($AA481="",Screener!$B$10=""),0,IF($AA481=Screener!$B$10,1,0))</f>
        <v/>
      </c>
      <c r="AP481">
        <f>IF($G481="",0,MAX(0,1-(Screener!$B$12-$G481)/W_RECD))</f>
        <v/>
      </c>
      <c r="AQ481">
        <f>IF($B481=Screener!$B$3,-999999,W_SUB*AK481+W_SEC*AL481*(1-AK481)+W_SIZE*AM481+W_PROF*AN481+W_AH*AO481+W_REC*AP481)+ROW()/1000000</f>
        <v/>
      </c>
      <c r="AR481">
        <f>IF(OR('NEW DEAL'!$B$6="",$E481&lt;&gt;'NEW DEAL'!$B$6),-1,1+IF(OR($H481="",'NEW DEAL'!$B$7=""),0,MAX(0,1-ABS(LOG10($H481/'NEW DEAL'!$B$7))/W_SIZEHW)))+ROW()/1000000</f>
        <v/>
      </c>
    </row>
    <row r="482">
      <c r="A482" s="23" t="inlineStr">
        <is>
          <t>6132</t>
        </is>
      </c>
      <c r="B482" s="22" t="inlineStr">
        <is>
          <t>HJ SCIENCE-B</t>
        </is>
      </c>
      <c r="C482" s="22" t="inlineStr">
        <is>
          <t>華健未來（成都）科技股份有限公司</t>
        </is>
      </c>
      <c r="D482" s="24" t="inlineStr">
        <is>
          <t>Healthcare</t>
        </is>
      </c>
      <c r="E482" s="24" t="inlineStr">
        <is>
          <t>Biotech pre-revenue (18A)</t>
        </is>
      </c>
      <c r="F482" s="38" t="inlineStr">
        <is>
          <t>18A</t>
        </is>
      </c>
      <c r="G482" s="43" t="n">
        <v>46196</v>
      </c>
      <c r="H482" s="26" t="n">
        <v>1112.5</v>
      </c>
      <c r="I482" s="22" t="inlineStr">
        <is>
          <t>gross (stated)</t>
        </is>
      </c>
      <c r="J482" s="27" t="n"/>
      <c r="K482" s="27" t="n">
        <v>81.8</v>
      </c>
      <c r="L482" s="44" t="n">
        <v>81.8</v>
      </c>
      <c r="M482" s="32" t="n"/>
      <c r="N482" s="29" t="inlineStr">
        <is>
          <t>Y</t>
        </is>
      </c>
      <c r="O482" s="35" t="n"/>
      <c r="P482" s="46" t="n">
        <v>2007.6</v>
      </c>
      <c r="Q482" s="31" t="n">
        <v>7</v>
      </c>
      <c r="R482" s="45" t="n">
        <v>-56.89</v>
      </c>
      <c r="S482" s="33" t="n">
        <v>34.66</v>
      </c>
      <c r="T482" s="32" t="n">
        <v>7.5</v>
      </c>
      <c r="U482" s="22" t="n"/>
      <c r="V482" s="22" t="n"/>
      <c r="W482" s="31" t="n"/>
      <c r="X482" s="31" t="n"/>
      <c r="Y482" s="36" t="n">
        <v>14.3</v>
      </c>
      <c r="Z482" s="35" t="n"/>
      <c r="AA482" s="22" t="n"/>
      <c r="AB482" s="22" t="n"/>
      <c r="AC482" s="22" t="inlineStr">
        <is>
          <t>CITIC Securities (Hong Kong) Limited</t>
        </is>
      </c>
      <c r="AD482" s="22" t="inlineStr">
        <is>
          <t>CLSA Limited; Sole Lead Manager CLSA Limited</t>
        </is>
      </c>
      <c r="AE482" s="22" t="n"/>
      <c r="AK482">
        <f>IF(AND(Screener!$B$7&lt;&gt;"",$E482=Screener!$B$7),1,0)</f>
        <v/>
      </c>
      <c r="AL482">
        <f>IF(AND(Screener!$B$6&lt;&gt;"",$D482=Screener!$B$6),1,0)</f>
        <v/>
      </c>
      <c r="AM482">
        <f>IF(OR($H482="",Screener!$B$8=""),0,MAX(0,1-ABS(LOG10($H482/Screener!$B$8))/W_SIZEHW))</f>
        <v/>
      </c>
      <c r="AN482">
        <f>IF(OR($V482="",Screener!$B$9=""),0,IF($V482=Screener!$B$9,1,0))</f>
        <v/>
      </c>
      <c r="AO482">
        <f>IF(OR($AA482="",Screener!$B$10=""),0,IF($AA482=Screener!$B$10,1,0))</f>
        <v/>
      </c>
      <c r="AP482">
        <f>IF($G482="",0,MAX(0,1-(Screener!$B$12-$G482)/W_RECD))</f>
        <v/>
      </c>
      <c r="AQ482">
        <f>IF($B482=Screener!$B$3,-999999,W_SUB*AK482+W_SEC*AL482*(1-AK482)+W_SIZE*AM482+W_PROF*AN482+W_AH*AO482+W_REC*AP482)+ROW()/1000000</f>
        <v/>
      </c>
      <c r="AR482">
        <f>IF(OR('NEW DEAL'!$B$6="",$E482&lt;&gt;'NEW DEAL'!$B$6),-1,1+IF(OR($H482="",'NEW DEAL'!$B$7=""),0,MAX(0,1-ABS(LOG10($H482/'NEW DEAL'!$B$7))/W_SIZEHW)))+ROW()/1000000</f>
        <v/>
      </c>
    </row>
    <row r="483">
      <c r="A483" s="23" t="inlineStr">
        <is>
          <t>6067</t>
        </is>
      </c>
      <c r="B483" s="22" t="inlineStr">
        <is>
          <t>SENIOR MATERIAL</t>
        </is>
      </c>
      <c r="C483" s="22" t="n"/>
      <c r="D483" s="24" t="inlineStr">
        <is>
          <t>Industrials</t>
        </is>
      </c>
      <c r="E483" s="24" t="inlineStr">
        <is>
          <t>Batteries / energy storage</t>
        </is>
      </c>
      <c r="F483" s="22" t="inlineStr">
        <is>
          <t>Standard</t>
        </is>
      </c>
      <c r="G483" s="39" t="n">
        <v>46196</v>
      </c>
      <c r="H483" s="26" t="n">
        <v>1342.7</v>
      </c>
      <c r="I483" s="22" t="inlineStr">
        <is>
          <t>gross (stated)</t>
        </is>
      </c>
      <c r="J483" s="27" t="n"/>
      <c r="K483" s="27" t="n">
        <v>8.98</v>
      </c>
      <c r="L483" s="44" t="n">
        <v>8.98</v>
      </c>
      <c r="M483" s="32" t="n"/>
      <c r="N483" s="29" t="inlineStr">
        <is>
          <t>Y</t>
        </is>
      </c>
      <c r="O483" s="26" t="n">
        <v>13427.2</v>
      </c>
      <c r="P483" s="46" t="n">
        <v>1563.16</v>
      </c>
      <c r="Q483" s="31" t="n">
        <v>14.34</v>
      </c>
      <c r="R483" s="45" t="n">
        <v>22.49</v>
      </c>
      <c r="S483" s="33" t="n">
        <v>45.14</v>
      </c>
      <c r="T483" s="32" t="n"/>
      <c r="U483" s="22" t="n"/>
      <c r="V483" s="29" t="inlineStr">
        <is>
          <t>Y</t>
        </is>
      </c>
      <c r="W483" s="34" t="n">
        <v>85.3</v>
      </c>
      <c r="X483" s="34" t="n">
        <v>3</v>
      </c>
      <c r="Y483" s="36" t="n">
        <v>4484.5</v>
      </c>
      <c r="Z483" s="36" t="n">
        <v>157.4</v>
      </c>
      <c r="AA483" s="22" t="inlineStr">
        <is>
          <t>Y</t>
        </is>
      </c>
      <c r="AB483" s="22" t="inlineStr">
        <is>
          <t>300568.SZ</t>
        </is>
      </c>
      <c r="AC483" s="22" t="inlineStr">
        <is>
          <t>China Securities (International) Corporate Finance Company Limited</t>
        </is>
      </c>
      <c r="AD483" s="22" t="inlineStr">
        <is>
          <t>Joint Lead Managers CMBC Securities Company Limited; Jinluo Securities Limited; New Industrial Financial Holdings Limited; China Industrial Securities International Capital Limited; Managers Futu Securities International (Hong Kong) Limited; Tiger Brokers (HK) Global Limited; China Securities (International) Corporate Finance Company Limited; Huatai Financial Holdings (Hong Kong) Limited; ICBC International Securities Limited; CMBC Securities Company Limited; Futu Securities International (Hong Kong) Limited</t>
        </is>
      </c>
      <c r="AE483" s="22" t="n"/>
      <c r="AK483">
        <f>IF(AND(Screener!$B$7&lt;&gt;"",$E483=Screener!$B$7),1,0)</f>
        <v/>
      </c>
      <c r="AL483">
        <f>IF(AND(Screener!$B$6&lt;&gt;"",$D483=Screener!$B$6),1,0)</f>
        <v/>
      </c>
      <c r="AM483">
        <f>IF(OR($H483="",Screener!$B$8=""),0,MAX(0,1-ABS(LOG10($H483/Screener!$B$8))/W_SIZEHW))</f>
        <v/>
      </c>
      <c r="AN483">
        <f>IF(OR($V483="",Screener!$B$9=""),0,IF($V483=Screener!$B$9,1,0))</f>
        <v/>
      </c>
      <c r="AO483">
        <f>IF(OR($AA483="",Screener!$B$10=""),0,IF($AA483=Screener!$B$10,1,0))</f>
        <v/>
      </c>
      <c r="AP483">
        <f>IF($G483="",0,MAX(0,1-(Screener!$B$12-$G483)/W_RECD))</f>
        <v/>
      </c>
      <c r="AQ483">
        <f>IF($B483=Screener!$B$3,-999999,W_SUB*AK483+W_SEC*AL483*(1-AK483)+W_SIZE*AM483+W_PROF*AN483+W_AH*AO483+W_REC*AP483)+ROW()/1000000</f>
        <v/>
      </c>
      <c r="AR483">
        <f>IF(OR('NEW DEAL'!$B$6="",$E483&lt;&gt;'NEW DEAL'!$B$6),-1,1+IF(OR($H483="",'NEW DEAL'!$B$7=""),0,MAX(0,1-ABS(LOG10($H483/'NEW DEAL'!$B$7))/W_SIZEHW)))+ROW()/1000000</f>
        <v/>
      </c>
    </row>
    <row r="484">
      <c r="A484" s="23" t="inlineStr">
        <is>
          <t>2335</t>
        </is>
      </c>
      <c r="B484" s="22" t="inlineStr">
        <is>
          <t>MICOT PHARMA-B</t>
        </is>
      </c>
      <c r="C484" s="22" t="n"/>
      <c r="D484" s="24" t="inlineStr">
        <is>
          <t>Healthcare</t>
        </is>
      </c>
      <c r="E484" s="24" t="inlineStr">
        <is>
          <t>Biotech pre-revenue (18A)</t>
        </is>
      </c>
      <c r="F484" s="38" t="inlineStr">
        <is>
          <t>18A</t>
        </is>
      </c>
      <c r="G484" s="43" t="n">
        <v>46197</v>
      </c>
      <c r="H484" s="26" t="n">
        <v>1056.6</v>
      </c>
      <c r="I484" s="22" t="inlineStr">
        <is>
          <t>gross (stated)</t>
        </is>
      </c>
      <c r="J484" s="27" t="n">
        <v>18.2</v>
      </c>
      <c r="K484" s="27" t="n">
        <v>21</v>
      </c>
      <c r="L484" s="44" t="n">
        <v>18.2</v>
      </c>
      <c r="M484" s="28" t="n">
        <v>0</v>
      </c>
      <c r="N484" s="29" t="inlineStr">
        <is>
          <t>N</t>
        </is>
      </c>
      <c r="O484" s="26" t="n">
        <v>6037.7</v>
      </c>
      <c r="P484" s="46" t="n">
        <v>1181.46</v>
      </c>
      <c r="Q484" s="31" t="n">
        <v>2.52</v>
      </c>
      <c r="R484" s="45" t="n">
        <v>102.75</v>
      </c>
      <c r="S484" s="33" t="n">
        <v>42.51</v>
      </c>
      <c r="T484" s="32" t="n">
        <v>8.24</v>
      </c>
      <c r="U484" s="22" t="inlineStr">
        <is>
          <t>not-yet (at allotment)</t>
        </is>
      </c>
      <c r="V484" s="29" t="inlineStr">
        <is>
          <t>N</t>
        </is>
      </c>
      <c r="W484" s="31" t="n"/>
      <c r="X484" s="31" t="n"/>
      <c r="Y484" s="35" t="n"/>
      <c r="Z484" s="36" t="n">
        <v>-203.4</v>
      </c>
      <c r="AA484" s="22" t="n"/>
      <c r="AB484" s="22" t="n"/>
      <c r="AC484" s="22" t="n"/>
      <c r="AD484" s="22" t="n"/>
      <c r="AE484" s="22" t="n"/>
      <c r="AK484">
        <f>IF(AND(Screener!$B$7&lt;&gt;"",$E484=Screener!$B$7),1,0)</f>
        <v/>
      </c>
      <c r="AL484">
        <f>IF(AND(Screener!$B$6&lt;&gt;"",$D484=Screener!$B$6),1,0)</f>
        <v/>
      </c>
      <c r="AM484">
        <f>IF(OR($H484="",Screener!$B$8=""),0,MAX(0,1-ABS(LOG10($H484/Screener!$B$8))/W_SIZEHW))</f>
        <v/>
      </c>
      <c r="AN484">
        <f>IF(OR($V484="",Screener!$B$9=""),0,IF($V484=Screener!$B$9,1,0))</f>
        <v/>
      </c>
      <c r="AO484">
        <f>IF(OR($AA484="",Screener!$B$10=""),0,IF($AA484=Screener!$B$10,1,0))</f>
        <v/>
      </c>
      <c r="AP484">
        <f>IF($G484="",0,MAX(0,1-(Screener!$B$12-$G484)/W_RECD))</f>
        <v/>
      </c>
      <c r="AQ484">
        <f>IF($B484=Screener!$B$3,-999999,W_SUB*AK484+W_SEC*AL484*(1-AK484)+W_SIZE*AM484+W_PROF*AN484+W_AH*AO484+W_REC*AP484)+ROW()/1000000</f>
        <v/>
      </c>
      <c r="AR484">
        <f>IF(OR('NEW DEAL'!$B$6="",$E484&lt;&gt;'NEW DEAL'!$B$6),-1,1+IF(OR($H484="",'NEW DEAL'!$B$7=""),0,MAX(0,1-ABS(LOG10($H484/'NEW DEAL'!$B$7))/W_SIZEHW)))+ROW()/1000000</f>
        <v/>
      </c>
    </row>
    <row r="485">
      <c r="A485" s="23" t="inlineStr">
        <is>
          <t>6106</t>
        </is>
      </c>
      <c r="B485" s="22" t="inlineStr">
        <is>
          <t>SEER TECH</t>
        </is>
      </c>
      <c r="C485" s="22" t="inlineStr">
        <is>
          <t>上海仙工智能科技股份有限公司</t>
        </is>
      </c>
      <c r="D485" s="24" t="inlineStr">
        <is>
          <t>Tech/AI</t>
        </is>
      </c>
      <c r="E485" s="24" t="inlineStr">
        <is>
          <t>Robotics &amp; autonomous driving</t>
        </is>
      </c>
      <c r="F485" s="22" t="inlineStr">
        <is>
          <t>Standard</t>
        </is>
      </c>
      <c r="G485" s="43" t="n">
        <v>46197</v>
      </c>
      <c r="H485" s="26" t="n">
        <v>1066.5</v>
      </c>
      <c r="I485" s="22" t="inlineStr">
        <is>
          <t>gross (stated)</t>
        </is>
      </c>
      <c r="J485" s="27" t="n"/>
      <c r="K485" s="27" t="n">
        <v>101.6</v>
      </c>
      <c r="L485" s="44" t="n">
        <v>101.6</v>
      </c>
      <c r="M485" s="32" t="n"/>
      <c r="N485" s="29" t="inlineStr">
        <is>
          <t>Y</t>
        </is>
      </c>
      <c r="O485" s="26" t="n">
        <v>9902.5</v>
      </c>
      <c r="P485" s="46" t="n">
        <v>5934.56</v>
      </c>
      <c r="Q485" s="31" t="n">
        <v>21.29</v>
      </c>
      <c r="R485" s="45" t="n">
        <v>4.33</v>
      </c>
      <c r="S485" s="42" t="n">
        <v>43.2</v>
      </c>
      <c r="T485" s="32" t="n">
        <v>10.77</v>
      </c>
      <c r="U485" s="22" t="n"/>
      <c r="V485" s="29" t="inlineStr">
        <is>
          <t>N</t>
        </is>
      </c>
      <c r="W485" s="31" t="n"/>
      <c r="X485" s="34" t="n">
        <v>20.4</v>
      </c>
      <c r="Y485" s="36" t="n">
        <v>486.1</v>
      </c>
      <c r="Z485" s="36" t="n">
        <v>-51.8</v>
      </c>
      <c r="AA485" s="22" t="n"/>
      <c r="AB485" s="22" t="n"/>
      <c r="AC485" s="22" t="n"/>
      <c r="AD485" s="22" t="inlineStr">
        <is>
          <t>Kong Securities Limited; CMB International Capital Limited; Soochow Securities International Brokerage Limited; BOCI Asia Limited; Futu Securities International (Hong Kong) Limited; Tiger Brokers (HK) Global Limited; Central, Hong Kong Zheshang International Financial Holdings Co., Limited; DIRECTORS AND PARTIES INVOLVED IN THE GLOBAL OFFERING –6 5– ABCI Capital Limited; ABCI Securities Company Limited</t>
        </is>
      </c>
      <c r="AE485" s="22" t="n"/>
      <c r="AK485">
        <f>IF(AND(Screener!$B$7&lt;&gt;"",$E485=Screener!$B$7),1,0)</f>
        <v/>
      </c>
      <c r="AL485">
        <f>IF(AND(Screener!$B$6&lt;&gt;"",$D485=Screener!$B$6),1,0)</f>
        <v/>
      </c>
      <c r="AM485">
        <f>IF(OR($H485="",Screener!$B$8=""),0,MAX(0,1-ABS(LOG10($H485/Screener!$B$8))/W_SIZEHW))</f>
        <v/>
      </c>
      <c r="AN485">
        <f>IF(OR($V485="",Screener!$B$9=""),0,IF($V485=Screener!$B$9,1,0))</f>
        <v/>
      </c>
      <c r="AO485">
        <f>IF(OR($AA485="",Screener!$B$10=""),0,IF($AA485=Screener!$B$10,1,0))</f>
        <v/>
      </c>
      <c r="AP485">
        <f>IF($G485="",0,MAX(0,1-(Screener!$B$12-$G485)/W_RECD))</f>
        <v/>
      </c>
      <c r="AQ485">
        <f>IF($B485=Screener!$B$3,-999999,W_SUB*AK485+W_SEC*AL485*(1-AK485)+W_SIZE*AM485+W_PROF*AN485+W_AH*AO485+W_REC*AP485)+ROW()/1000000</f>
        <v/>
      </c>
      <c r="AR485">
        <f>IF(OR('NEW DEAL'!$B$6="",$E485&lt;&gt;'NEW DEAL'!$B$6),-1,1+IF(OR($H485="",'NEW DEAL'!$B$7=""),0,MAX(0,1-ABS(LOG10($H485/'NEW DEAL'!$B$7))/W_SIZEHW)))+ROW()/1000000</f>
        <v/>
      </c>
    </row>
    <row r="486">
      <c r="A486" s="23" t="inlineStr">
        <is>
          <t>2272</t>
        </is>
      </c>
      <c r="B486" s="22" t="inlineStr">
        <is>
          <t>KEYTOP PARKING</t>
        </is>
      </c>
      <c r="C486" s="22" t="inlineStr">
        <is>
          <t>廈門科拓通訊技術股份有限公司</t>
        </is>
      </c>
      <c r="D486" s="24" t="inlineStr">
        <is>
          <t>Tech/AI</t>
        </is>
      </c>
      <c r="E486" s="24" t="inlineStr">
        <is>
          <t>SaaS / enterprise software</t>
        </is>
      </c>
      <c r="F486" s="22" t="inlineStr">
        <is>
          <t>Standard</t>
        </is>
      </c>
      <c r="G486" s="43" t="n">
        <v>46199</v>
      </c>
      <c r="H486" s="26" t="n">
        <v>399.9</v>
      </c>
      <c r="I486" s="22" t="inlineStr">
        <is>
          <t>gross (stated)</t>
        </is>
      </c>
      <c r="J486" s="27" t="n"/>
      <c r="K486" s="27" t="n">
        <v>39.55</v>
      </c>
      <c r="L486" s="44" t="n">
        <v>39.55</v>
      </c>
      <c r="M486" s="32" t="n"/>
      <c r="N486" s="29" t="inlineStr">
        <is>
          <t>Y</t>
        </is>
      </c>
      <c r="O486" s="26" t="n">
        <v>3529.6</v>
      </c>
      <c r="P486" s="46" t="n">
        <v>2115.21</v>
      </c>
      <c r="Q486" s="31" t="n">
        <v>5.56</v>
      </c>
      <c r="R486" s="45" t="n">
        <v>203.92</v>
      </c>
      <c r="S486" s="33" t="n">
        <v>0</v>
      </c>
      <c r="T486" s="32" t="n">
        <v>10</v>
      </c>
      <c r="U486" s="22" t="inlineStr">
        <is>
          <t>not-yet (at allotment)</t>
        </is>
      </c>
      <c r="V486" s="29" t="inlineStr">
        <is>
          <t>Y</t>
        </is>
      </c>
      <c r="W486" s="34" t="n">
        <v>34.3</v>
      </c>
      <c r="X486" s="34" t="n">
        <v>3.9</v>
      </c>
      <c r="Y486" s="36" t="n">
        <v>913.7</v>
      </c>
      <c r="Z486" s="36" t="n">
        <v>103</v>
      </c>
      <c r="AA486" s="22" t="n"/>
      <c r="AB486" s="22" t="n"/>
      <c r="AC486" s="22" t="inlineStr">
        <is>
          <t>China International Capital Corporation Hong Kong Securities Limited; Sponsor-OCs China International Capital Corporation Hong Kong Securities Limited; CMBC Securities Company Limited</t>
        </is>
      </c>
      <c r="AD486" s="22" t="inlineStr">
        <is>
          <t>CMB International Capital Limited; Shenwan Hongyuan Securities (H.K.) Limited; CCB International Capital Limited; Somerley Capital Limited; Huafu International Securities Limited; Yue Xiu Securities Company Limited; Yuen Meta (International) Securities Limited; TFI Securities and Futures Limited</t>
        </is>
      </c>
      <c r="AE486" s="22" t="n"/>
      <c r="AK486">
        <f>IF(AND(Screener!$B$7&lt;&gt;"",$E486=Screener!$B$7),1,0)</f>
        <v/>
      </c>
      <c r="AL486">
        <f>IF(AND(Screener!$B$6&lt;&gt;"",$D486=Screener!$B$6),1,0)</f>
        <v/>
      </c>
      <c r="AM486">
        <f>IF(OR($H486="",Screener!$B$8=""),0,MAX(0,1-ABS(LOG10($H486/Screener!$B$8))/W_SIZEHW))</f>
        <v/>
      </c>
      <c r="AN486">
        <f>IF(OR($V486="",Screener!$B$9=""),0,IF($V486=Screener!$B$9,1,0))</f>
        <v/>
      </c>
      <c r="AO486">
        <f>IF(OR($AA486="",Screener!$B$10=""),0,IF($AA486=Screener!$B$10,1,0))</f>
        <v/>
      </c>
      <c r="AP486">
        <f>IF($G486="",0,MAX(0,1-(Screener!$B$12-$G486)/W_RECD))</f>
        <v/>
      </c>
      <c r="AQ486">
        <f>IF($B486=Screener!$B$3,-999999,W_SUB*AK486+W_SEC*AL486*(1-AK486)+W_SIZE*AM486+W_PROF*AN486+W_AH*AO486+W_REC*AP486)+ROW()/1000000</f>
        <v/>
      </c>
      <c r="AR486">
        <f>IF(OR('NEW DEAL'!$B$6="",$E486&lt;&gt;'NEW DEAL'!$B$6),-1,1+IF(OR($H486="",'NEW DEAL'!$B$7=""),0,MAX(0,1-ABS(LOG10($H486/'NEW DEAL'!$B$7))/W_SIZEHW)))+ROW()/1000000</f>
        <v/>
      </c>
    </row>
    <row r="487">
      <c r="A487" s="23" t="inlineStr">
        <is>
          <t>1956</t>
        </is>
      </c>
      <c r="B487" s="22" t="inlineStr">
        <is>
          <t>WENGE AI</t>
        </is>
      </c>
      <c r="C487" s="22" t="inlineStr">
        <is>
          <t>北京中科聞歌科技股份有限公司</t>
        </is>
      </c>
      <c r="D487" s="24" t="inlineStr">
        <is>
          <t>Tech/AI</t>
        </is>
      </c>
      <c r="E487" s="24" t="inlineStr">
        <is>
          <t>AI application / agent software</t>
        </is>
      </c>
      <c r="F487" s="22" t="inlineStr">
        <is>
          <t>Standard</t>
        </is>
      </c>
      <c r="G487" s="43" t="n">
        <v>46199</v>
      </c>
      <c r="H487" s="26" t="n">
        <v>900.5</v>
      </c>
      <c r="I487" s="22" t="inlineStr">
        <is>
          <t>gross (stated)</t>
        </is>
      </c>
      <c r="J487" s="27" t="n"/>
      <c r="K487" s="27" t="n">
        <v>60.7</v>
      </c>
      <c r="L487" s="44" t="n">
        <v>60.7</v>
      </c>
      <c r="M487" s="32" t="n"/>
      <c r="N487" s="29" t="inlineStr">
        <is>
          <t>Y</t>
        </is>
      </c>
      <c r="O487" s="26" t="n">
        <v>10507.6</v>
      </c>
      <c r="P487" s="46" t="n">
        <v>5966.78</v>
      </c>
      <c r="Q487" s="31" t="n">
        <v>20.7</v>
      </c>
      <c r="R487" s="45" t="n">
        <v>84.02</v>
      </c>
      <c r="S487" s="33" t="n">
        <v>26.97</v>
      </c>
      <c r="T487" s="32" t="n">
        <v>20</v>
      </c>
      <c r="U487" s="22" t="n"/>
      <c r="V487" s="22" t="n"/>
      <c r="W487" s="31" t="n"/>
      <c r="X487" s="34" t="n">
        <v>23.6</v>
      </c>
      <c r="Y487" s="36" t="n">
        <v>445.8</v>
      </c>
      <c r="Z487" s="35" t="n"/>
      <c r="AA487" s="22" t="n"/>
      <c r="AB487" s="22" t="n"/>
      <c r="AC487" s="22" t="n"/>
      <c r="AD487" s="22" t="inlineStr">
        <is>
          <t>China International Capital Corporation Hong Kong Securities Limited; ABCI Capital Limited; China Galaxy International Securities (Hong Kong) Co., Limited; SPDB International Capital Limited; CCB International Capital Limited; Futu Securities International (Hong Kong) Limited; CMB International Capital Limited; Tiger Brokers (HK) Global Limited; Livermore Holdings Limited</t>
        </is>
      </c>
      <c r="AE487" s="22" t="n"/>
      <c r="AK487">
        <f>IF(AND(Screener!$B$7&lt;&gt;"",$E487=Screener!$B$7),1,0)</f>
        <v/>
      </c>
      <c r="AL487">
        <f>IF(AND(Screener!$B$6&lt;&gt;"",$D487=Screener!$B$6),1,0)</f>
        <v/>
      </c>
      <c r="AM487">
        <f>IF(OR($H487="",Screener!$B$8=""),0,MAX(0,1-ABS(LOG10($H487/Screener!$B$8))/W_SIZEHW))</f>
        <v/>
      </c>
      <c r="AN487">
        <f>IF(OR($V487="",Screener!$B$9=""),0,IF($V487=Screener!$B$9,1,0))</f>
        <v/>
      </c>
      <c r="AO487">
        <f>IF(OR($AA487="",Screener!$B$10=""),0,IF($AA487=Screener!$B$10,1,0))</f>
        <v/>
      </c>
      <c r="AP487">
        <f>IF($G487="",0,MAX(0,1-(Screener!$B$12-$G487)/W_RECD))</f>
        <v/>
      </c>
      <c r="AQ487">
        <f>IF($B487=Screener!$B$3,-999999,W_SUB*AK487+W_SEC*AL487*(1-AK487)+W_SIZE*AM487+W_PROF*AN487+W_AH*AO487+W_REC*AP487)+ROW()/1000000</f>
        <v/>
      </c>
      <c r="AR487">
        <f>IF(OR('NEW DEAL'!$B$6="",$E487&lt;&gt;'NEW DEAL'!$B$6),-1,1+IF(OR($H487="",'NEW DEAL'!$B$7=""),0,MAX(0,1-ABS(LOG10($H487/'NEW DEAL'!$B$7))/W_SIZEHW)))+ROW()/1000000</f>
        <v/>
      </c>
    </row>
    <row r="488">
      <c r="A488" s="23" t="inlineStr">
        <is>
          <t>3661</t>
        </is>
      </c>
      <c r="B488" s="22" t="inlineStr">
        <is>
          <t>SG MICRO</t>
        </is>
      </c>
      <c r="C488" s="22" t="n"/>
      <c r="D488" s="24" t="inlineStr">
        <is>
          <t>Tech/AI</t>
        </is>
      </c>
      <c r="E488" s="24" t="inlineStr">
        <is>
          <t>AI chips &amp; semis</t>
        </is>
      </c>
      <c r="F488" s="22" t="inlineStr">
        <is>
          <t>Standard</t>
        </is>
      </c>
      <c r="G488" s="43" t="n">
        <v>46199</v>
      </c>
      <c r="H488" s="26" t="n">
        <v>4600.9</v>
      </c>
      <c r="I488" s="22" t="inlineStr">
        <is>
          <t>gross (stated)</t>
        </is>
      </c>
      <c r="J488" s="27" t="n"/>
      <c r="K488" s="27" t="n"/>
      <c r="L488" s="44" t="n">
        <v>85.2</v>
      </c>
      <c r="M488" s="32" t="n"/>
      <c r="N488" s="22" t="n"/>
      <c r="O488" s="35" t="n"/>
      <c r="P488" s="46" t="n">
        <v>251.73</v>
      </c>
      <c r="Q488" s="31" t="n">
        <v>23.5</v>
      </c>
      <c r="R488" s="45" t="n">
        <v>47.07</v>
      </c>
      <c r="S488" s="33" t="n">
        <v>49.89</v>
      </c>
      <c r="T488" s="28" t="n">
        <v>15</v>
      </c>
      <c r="U488" s="22" t="n"/>
      <c r="V488" s="29" t="inlineStr">
        <is>
          <t>Y</t>
        </is>
      </c>
      <c r="W488" s="31" t="n"/>
      <c r="X488" s="31" t="n"/>
      <c r="Y488" s="36" t="n">
        <v>4287.9</v>
      </c>
      <c r="Z488" s="36" t="n">
        <v>587.8</v>
      </c>
      <c r="AA488" s="22" t="inlineStr">
        <is>
          <t>Y</t>
        </is>
      </c>
      <c r="AB488" s="22" t="inlineStr">
        <is>
          <t>300661.SZ</t>
        </is>
      </c>
      <c r="AC488" s="22" t="n"/>
      <c r="AD488" s="22" t="n"/>
      <c r="AE488" s="22" t="n"/>
      <c r="AK488">
        <f>IF(AND(Screener!$B$7&lt;&gt;"",$E488=Screener!$B$7),1,0)</f>
        <v/>
      </c>
      <c r="AL488">
        <f>IF(AND(Screener!$B$6&lt;&gt;"",$D488=Screener!$B$6),1,0)</f>
        <v/>
      </c>
      <c r="AM488">
        <f>IF(OR($H488="",Screener!$B$8=""),0,MAX(0,1-ABS(LOG10($H488/Screener!$B$8))/W_SIZEHW))</f>
        <v/>
      </c>
      <c r="AN488">
        <f>IF(OR($V488="",Screener!$B$9=""),0,IF($V488=Screener!$B$9,1,0))</f>
        <v/>
      </c>
      <c r="AO488">
        <f>IF(OR($AA488="",Screener!$B$10=""),0,IF($AA488=Screener!$B$10,1,0))</f>
        <v/>
      </c>
      <c r="AP488">
        <f>IF($G488="",0,MAX(0,1-(Screener!$B$12-$G488)/W_RECD))</f>
        <v/>
      </c>
      <c r="AQ488">
        <f>IF($B488=Screener!$B$3,-999999,W_SUB*AK488+W_SEC*AL488*(1-AK488)+W_SIZE*AM488+W_PROF*AN488+W_AH*AO488+W_REC*AP488)+ROW()/1000000</f>
        <v/>
      </c>
      <c r="AR488">
        <f>IF(OR('NEW DEAL'!$B$6="",$E488&lt;&gt;'NEW DEAL'!$B$6),-1,1+IF(OR($H488="",'NEW DEAL'!$B$7=""),0,MAX(0,1-ABS(LOG10($H488/'NEW DEAL'!$B$7))/W_SIZEHW)))+ROW()/1000000</f>
        <v/>
      </c>
    </row>
    <row r="489">
      <c r="A489" s="23" t="inlineStr">
        <is>
          <t>1688</t>
        </is>
      </c>
      <c r="B489" s="22" t="inlineStr">
        <is>
          <t>LINGYI ITECH</t>
        </is>
      </c>
      <c r="C489" s="22" t="n"/>
      <c r="D489" s="24" t="inlineStr">
        <is>
          <t>Tech/AI</t>
        </is>
      </c>
      <c r="E489" s="24" t="inlineStr">
        <is>
          <t>Smart hardware / consumer electronics</t>
        </is>
      </c>
      <c r="F489" s="22" t="inlineStr">
        <is>
          <t>Standard</t>
        </is>
      </c>
      <c r="G489" s="43" t="n">
        <v>46199</v>
      </c>
      <c r="H489" s="26" t="n">
        <v>8264.200000000001</v>
      </c>
      <c r="I489" s="22" t="inlineStr">
        <is>
          <t>gross (stated)</t>
        </is>
      </c>
      <c r="J489" s="27" t="n"/>
      <c r="K489" s="27" t="n">
        <v>10.18</v>
      </c>
      <c r="L489" s="44" t="n">
        <v>10.18</v>
      </c>
      <c r="M489" s="32" t="n"/>
      <c r="N489" s="29" t="inlineStr">
        <is>
          <t>Y</t>
        </is>
      </c>
      <c r="O489" s="26" t="n">
        <v>82661.7</v>
      </c>
      <c r="P489" s="46" t="n">
        <v>96.16</v>
      </c>
      <c r="Q489" s="31" t="n"/>
      <c r="R489" s="45" t="n">
        <v>-4.62</v>
      </c>
      <c r="S489" s="33" t="n"/>
      <c r="T489" s="32" t="n"/>
      <c r="U489" s="22" t="n"/>
      <c r="V489" s="22" t="n"/>
      <c r="W489" s="31" t="n"/>
      <c r="X489" s="31" t="n"/>
      <c r="Y489" s="35" t="n"/>
      <c r="Z489" s="35" t="n"/>
      <c r="AA489" s="22" t="inlineStr">
        <is>
          <t>Y</t>
        </is>
      </c>
      <c r="AB489" s="22" t="inlineStr">
        <is>
          <t>002600.SZ</t>
        </is>
      </c>
      <c r="AC489" s="22" t="n"/>
      <c r="AD489" s="22" t="n"/>
      <c r="AE489" s="22" t="n"/>
      <c r="AK489">
        <f>IF(AND(Screener!$B$7&lt;&gt;"",$E489=Screener!$B$7),1,0)</f>
        <v/>
      </c>
      <c r="AL489">
        <f>IF(AND(Screener!$B$6&lt;&gt;"",$D489=Screener!$B$6),1,0)</f>
        <v/>
      </c>
      <c r="AM489">
        <f>IF(OR($H489="",Screener!$B$8=""),0,MAX(0,1-ABS(LOG10($H489/Screener!$B$8))/W_SIZEHW))</f>
        <v/>
      </c>
      <c r="AN489">
        <f>IF(OR($V489="",Screener!$B$9=""),0,IF($V489=Screener!$B$9,1,0))</f>
        <v/>
      </c>
      <c r="AO489">
        <f>IF(OR($AA489="",Screener!$B$10=""),0,IF($AA489=Screener!$B$10,1,0))</f>
        <v/>
      </c>
      <c r="AP489">
        <f>IF($G489="",0,MAX(0,1-(Screener!$B$12-$G489)/W_RECD))</f>
        <v/>
      </c>
      <c r="AQ489">
        <f>IF($B489=Screener!$B$3,-999999,W_SUB*AK489+W_SEC*AL489*(1-AK489)+W_SIZE*AM489+W_PROF*AN489+W_AH*AO489+W_REC*AP489)+ROW()/1000000</f>
        <v/>
      </c>
      <c r="AR489">
        <f>IF(OR('NEW DEAL'!$B$6="",$E489&lt;&gt;'NEW DEAL'!$B$6),-1,1+IF(OR($H489="",'NEW DEAL'!$B$7=""),0,MAX(0,1-ABS(LOG10($H489/'NEW DEAL'!$B$7))/W_SIZEHW)))+ROW()/1000000</f>
        <v/>
      </c>
    </row>
    <row r="490">
      <c r="A490" s="23" t="inlineStr">
        <is>
          <t>9630</t>
        </is>
      </c>
      <c r="B490" s="22" t="inlineStr">
        <is>
          <t>CFMEE</t>
        </is>
      </c>
      <c r="C490" s="22" t="n"/>
      <c r="D490" s="24" t="inlineStr">
        <is>
          <t>Tech/AI</t>
        </is>
      </c>
      <c r="E490" s="24" t="inlineStr">
        <is>
          <t>AI chips &amp; semis</t>
        </is>
      </c>
      <c r="F490" s="22" t="inlineStr">
        <is>
          <t>Standard</t>
        </is>
      </c>
      <c r="G490" s="43" t="n">
        <v>46199</v>
      </c>
      <c r="H490" s="26" t="n">
        <v>3244.7</v>
      </c>
      <c r="I490" s="22" t="inlineStr">
        <is>
          <t>gross (stated)</t>
        </is>
      </c>
      <c r="J490" s="27" t="n"/>
      <c r="K490" s="27" t="n">
        <v>252.73</v>
      </c>
      <c r="L490" s="27" t="n">
        <v>252.73</v>
      </c>
      <c r="M490" s="32" t="n"/>
      <c r="N490" s="29" t="inlineStr">
        <is>
          <t>Y</t>
        </is>
      </c>
      <c r="O490" s="26" t="n">
        <v>32189.5</v>
      </c>
      <c r="P490" s="46" t="n">
        <v>1007.22</v>
      </c>
      <c r="Q490" s="31" t="n">
        <v>1</v>
      </c>
      <c r="R490" s="45" t="n">
        <v>103.77</v>
      </c>
      <c r="S490" s="33" t="n">
        <v>49.98</v>
      </c>
      <c r="T490" s="32" t="n">
        <v>8.880000000000001</v>
      </c>
      <c r="U490" s="22" t="n"/>
      <c r="V490" s="29" t="inlineStr">
        <is>
          <t>Y</t>
        </is>
      </c>
      <c r="W490" s="34" t="n">
        <v>100.9</v>
      </c>
      <c r="X490" s="34" t="n">
        <v>20.8</v>
      </c>
      <c r="Y490" s="36" t="n">
        <v>1548.9</v>
      </c>
      <c r="Z490" s="36" t="n">
        <v>318.9</v>
      </c>
      <c r="AA490" s="22" t="inlineStr">
        <is>
          <t>Y</t>
        </is>
      </c>
      <c r="AB490" s="22" t="inlineStr">
        <is>
          <t>688630.SS</t>
        </is>
      </c>
      <c r="AC490" s="22" t="n"/>
      <c r="AD490" s="22" t="inlineStr">
        <is>
          <t>Manager BOCI Asia Limited</t>
        </is>
      </c>
      <c r="AE490" s="22" t="n"/>
      <c r="AK490">
        <f>IF(AND(Screener!$B$7&lt;&gt;"",$E490=Screener!$B$7),1,0)</f>
        <v/>
      </c>
      <c r="AL490">
        <f>IF(AND(Screener!$B$6&lt;&gt;"",$D490=Screener!$B$6),1,0)</f>
        <v/>
      </c>
      <c r="AM490">
        <f>IF(OR($H490="",Screener!$B$8=""),0,MAX(0,1-ABS(LOG10($H490/Screener!$B$8))/W_SIZEHW))</f>
        <v/>
      </c>
      <c r="AN490">
        <f>IF(OR($V490="",Screener!$B$9=""),0,IF($V490=Screener!$B$9,1,0))</f>
        <v/>
      </c>
      <c r="AO490">
        <f>IF(OR($AA490="",Screener!$B$10=""),0,IF($AA490=Screener!$B$10,1,0))</f>
        <v/>
      </c>
      <c r="AP490">
        <f>IF($G490="",0,MAX(0,1-(Screener!$B$12-$G490)/W_RECD))</f>
        <v/>
      </c>
      <c r="AQ490">
        <f>IF($B490=Screener!$B$3,-999999,W_SUB*AK490+W_SEC*AL490*(1-AK490)+W_SIZE*AM490+W_PROF*AN490+W_AH*AO490+W_REC*AP490)+ROW()/1000000</f>
        <v/>
      </c>
      <c r="AR490">
        <f>IF(OR('NEW DEAL'!$B$6="",$E490&lt;&gt;'NEW DEAL'!$B$6),-1,1+IF(OR($H490="",'NEW DEAL'!$B$7=""),0,MAX(0,1-ABS(LOG10($H490/'NEW DEAL'!$B$7))/W_SIZEHW)))+ROW()/1000000</f>
        <v/>
      </c>
    </row>
    <row r="491">
      <c r="A491" s="23" t="inlineStr">
        <is>
          <t>6228</t>
        </is>
      </c>
      <c r="B491" s="22" t="inlineStr">
        <is>
          <t>MERDEKAGOLD-DRS</t>
        </is>
      </c>
      <c r="C491" s="22" t="n"/>
      <c r="D491" s="24" t="inlineStr">
        <is>
          <t>Materials/Energy</t>
        </is>
      </c>
      <c r="E491" s="24" t="inlineStr">
        <is>
          <t>Mining / metals</t>
        </is>
      </c>
      <c r="F491" s="22" t="inlineStr">
        <is>
          <t>Standard</t>
        </is>
      </c>
      <c r="G491" s="39" t="n">
        <v>46199</v>
      </c>
      <c r="H491" s="26" t="n">
        <v>2385.18</v>
      </c>
      <c r="I491" s="22" t="inlineStr">
        <is>
          <t>gross (stated)</t>
        </is>
      </c>
      <c r="J491" s="27" t="n"/>
      <c r="K491" s="27" t="n">
        <v>26.6</v>
      </c>
      <c r="L491" s="44" t="n">
        <v>26.6</v>
      </c>
      <c r="M491" s="32" t="n"/>
      <c r="N491" s="29" t="inlineStr">
        <is>
          <t>Y</t>
        </is>
      </c>
      <c r="O491" s="26" t="n">
        <v>34074</v>
      </c>
      <c r="P491" s="46" t="n">
        <v>4.42</v>
      </c>
      <c r="Q491" s="31" t="n">
        <v>7.67</v>
      </c>
      <c r="R491" s="45" t="n">
        <v>-6.54</v>
      </c>
      <c r="S491" s="33" t="n"/>
      <c r="T491" s="32" t="n">
        <v>15</v>
      </c>
      <c r="U491" s="22" t="n"/>
      <c r="V491" s="29" t="inlineStr">
        <is>
          <t>Y</t>
        </is>
      </c>
      <c r="W491" s="34" t="n">
        <v>343.8</v>
      </c>
      <c r="X491" s="34" t="n">
        <v>34074</v>
      </c>
      <c r="Y491" s="36" t="n">
        <v>1</v>
      </c>
      <c r="Z491" s="36" t="n">
        <v>99.09999999999999</v>
      </c>
      <c r="AA491" s="22" t="n"/>
      <c r="AB491" s="22" t="n"/>
      <c r="AC491" s="22" t="inlineStr">
        <is>
          <t>UBS Securities Hong Kong Limited; CITIC Securities (Hong Kong) Limited</t>
        </is>
      </c>
      <c r="AD491" s="22" t="inlineStr">
        <is>
          <t>UBS AG Hong Kong Branch; DIRECTORS, COMMISSIONERS AND PARTIES INVOLVED IN THE GLOBAL OFFERING – 85 – CLSA Limited; Morgan Stanley Asia Limited; The Hongkong and Shanghai Banking Corporation Limited; China International Capital Corporation Hong Kong Securities Limited; Macquarie Capital Limited; CLSA Limited; Morgan Stanley &amp; Co. International plc; DBS Asia Capital Limited; Mizuho Securities Asia Limited; Natixis Hong Kong Branch; Oversea-Chinese Banking Corporation Limited</t>
        </is>
      </c>
      <c r="AE491" s="22" t="n"/>
      <c r="AK491">
        <f>IF(AND(Screener!$B$7&lt;&gt;"",$E491=Screener!$B$7),1,0)</f>
        <v/>
      </c>
      <c r="AL491">
        <f>IF(AND(Screener!$B$6&lt;&gt;"",$D491=Screener!$B$6),1,0)</f>
        <v/>
      </c>
      <c r="AM491">
        <f>IF(OR($H491="",Screener!$B$8=""),0,MAX(0,1-ABS(LOG10($H491/Screener!$B$8))/W_SIZEHW))</f>
        <v/>
      </c>
      <c r="AN491">
        <f>IF(OR($V491="",Screener!$B$9=""),0,IF($V491=Screener!$B$9,1,0))</f>
        <v/>
      </c>
      <c r="AO491">
        <f>IF(OR($AA491="",Screener!$B$10=""),0,IF($AA491=Screener!$B$10,1,0))</f>
        <v/>
      </c>
      <c r="AP491">
        <f>IF($G491="",0,MAX(0,1-(Screener!$B$12-$G491)/W_RECD))</f>
        <v/>
      </c>
      <c r="AQ491">
        <f>IF($B491=Screener!$B$3,-999999,W_SUB*AK491+W_SEC*AL491*(1-AK491)+W_SIZE*AM491+W_PROF*AN491+W_AH*AO491+W_REC*AP491)+ROW()/1000000</f>
        <v/>
      </c>
      <c r="AR491">
        <f>IF(OR('NEW DEAL'!$B$6="",$E491&lt;&gt;'NEW DEAL'!$B$6),-1,1+IF(OR($H491="",'NEW DEAL'!$B$7=""),0,MAX(0,1-ABS(LOG10($H491/'NEW DEAL'!$B$7))/W_SIZEHW)))+ROW()/1000000</f>
        <v/>
      </c>
    </row>
    <row r="492">
      <c r="A492" s="23" t="inlineStr">
        <is>
          <t>2672</t>
        </is>
      </c>
      <c r="B492" s="22" t="inlineStr">
        <is>
          <t>BAIGE DIGITAL</t>
        </is>
      </c>
      <c r="C492" s="22" t="inlineStr">
        <is>
          <t>白鴿在線</t>
        </is>
      </c>
      <c r="D492" s="24" t="inlineStr">
        <is>
          <t>Financials</t>
        </is>
      </c>
      <c r="E492" s="24" t="inlineStr">
        <is>
          <t>Insurance</t>
        </is>
      </c>
      <c r="F492" s="22" t="inlineStr">
        <is>
          <t>Standard</t>
        </is>
      </c>
      <c r="G492" s="43" t="n">
        <v>46202</v>
      </c>
      <c r="H492" s="26" t="n">
        <v>520.2</v>
      </c>
      <c r="I492" s="22" t="inlineStr">
        <is>
          <t>gross (price x shares)</t>
        </is>
      </c>
      <c r="J492" s="27" t="n"/>
      <c r="K492" s="27" t="n">
        <v>20.28</v>
      </c>
      <c r="L492" s="44" t="n">
        <v>15.6</v>
      </c>
      <c r="M492" s="32" t="n"/>
      <c r="N492" s="29" t="inlineStr">
        <is>
          <t>N</t>
        </is>
      </c>
      <c r="O492" s="26" t="n">
        <v>5001.7</v>
      </c>
      <c r="P492" s="46" t="n">
        <v>242.05</v>
      </c>
      <c r="Q492" s="31" t="n">
        <v>2.44</v>
      </c>
      <c r="R492" s="45" t="n">
        <v>367.95</v>
      </c>
      <c r="S492" s="33" t="n">
        <v>3.84</v>
      </c>
      <c r="T492" s="32" t="n">
        <v>11.8</v>
      </c>
      <c r="U492" s="22" t="inlineStr">
        <is>
          <t>not-yet (at allotment)</t>
        </is>
      </c>
      <c r="V492" s="29" t="inlineStr">
        <is>
          <t>N</t>
        </is>
      </c>
      <c r="W492" s="31" t="n"/>
      <c r="X492" s="34" t="n">
        <v>3.7</v>
      </c>
      <c r="Y492" s="36" t="n">
        <v>1349.8</v>
      </c>
      <c r="Z492" s="36" t="n">
        <v>-51.3</v>
      </c>
      <c r="AA492" s="22" t="n"/>
      <c r="AB492" s="22" t="n"/>
      <c r="AC492" s="22" t="inlineStr">
        <is>
          <t>CMBC International Capital Limited; BOCI Asia Limited</t>
        </is>
      </c>
      <c r="AD492" s="22" t="inlineStr">
        <is>
          <t>Managers and Capital Market Intermediaries ICBC International Securities Limited</t>
        </is>
      </c>
      <c r="AE492" s="22" t="n"/>
      <c r="AK492">
        <f>IF(AND(Screener!$B$7&lt;&gt;"",$E492=Screener!$B$7),1,0)</f>
        <v/>
      </c>
      <c r="AL492">
        <f>IF(AND(Screener!$B$6&lt;&gt;"",$D492=Screener!$B$6),1,0)</f>
        <v/>
      </c>
      <c r="AM492">
        <f>IF(OR($H492="",Screener!$B$8=""),0,MAX(0,1-ABS(LOG10($H492/Screener!$B$8))/W_SIZEHW))</f>
        <v/>
      </c>
      <c r="AN492">
        <f>IF(OR($V492="",Screener!$B$9=""),0,IF($V492=Screener!$B$9,1,0))</f>
        <v/>
      </c>
      <c r="AO492">
        <f>IF(OR($AA492="",Screener!$B$10=""),0,IF($AA492=Screener!$B$10,1,0))</f>
        <v/>
      </c>
      <c r="AP492">
        <f>IF($G492="",0,MAX(0,1-(Screener!$B$12-$G492)/W_RECD))</f>
        <v/>
      </c>
      <c r="AQ492">
        <f>IF($B492=Screener!$B$3,-999999,W_SUB*AK492+W_SEC*AL492*(1-AK492)+W_SIZE*AM492+W_PROF*AN492+W_AH*AO492+W_REC*AP492)+ROW()/1000000</f>
        <v/>
      </c>
      <c r="AR492">
        <f>IF(OR('NEW DEAL'!$B$6="",$E492&lt;&gt;'NEW DEAL'!$B$6),-1,1+IF(OR($H492="",'NEW DEAL'!$B$7=""),0,MAX(0,1-ABS(LOG10($H492/'NEW DEAL'!$B$7))/W_SIZEHW)))+ROW()/1000000</f>
        <v/>
      </c>
    </row>
    <row r="493">
      <c r="A493" s="23" t="inlineStr">
        <is>
          <t>1191</t>
        </is>
      </c>
      <c r="B493" s="22" t="inlineStr">
        <is>
          <t>CREALIGHTS</t>
        </is>
      </c>
      <c r="C493" s="22" t="n"/>
      <c r="D493" s="24" t="inlineStr">
        <is>
          <t>Tech/AI</t>
        </is>
      </c>
      <c r="E493" s="24" t="inlineStr">
        <is>
          <t>Smart hardware / consumer electronics</t>
        </is>
      </c>
      <c r="F493" s="22" t="inlineStr">
        <is>
          <t>Standard</t>
        </is>
      </c>
      <c r="G493" s="39" t="n">
        <v>46202</v>
      </c>
      <c r="H493" s="26" t="n">
        <v>1531.19</v>
      </c>
      <c r="I493" s="22" t="inlineStr">
        <is>
          <t>gross (stated)</t>
        </is>
      </c>
      <c r="J493" s="27" t="n"/>
      <c r="K493" s="27" t="n"/>
      <c r="L493" s="44" t="n">
        <v>114</v>
      </c>
      <c r="M493" s="32" t="n"/>
      <c r="N493" s="22" t="n"/>
      <c r="O493" s="35" t="n"/>
      <c r="P493" s="46" t="n">
        <v>1296.89</v>
      </c>
      <c r="Q493" s="31" t="n">
        <v>15.51</v>
      </c>
      <c r="R493" s="45" t="n">
        <v>44.74</v>
      </c>
      <c r="S493" s="33" t="n"/>
      <c r="T493" s="32" t="n"/>
      <c r="U493" s="22" t="n"/>
      <c r="V493" s="22" t="n"/>
      <c r="W493" s="31" t="n"/>
      <c r="X493" s="31" t="n"/>
      <c r="Y493" s="35" t="n"/>
      <c r="Z493" s="35" t="n"/>
      <c r="AA493" s="22" t="n"/>
      <c r="AB493" s="22" t="n"/>
      <c r="AC493" s="22" t="n"/>
      <c r="AD493" s="22" t="n"/>
      <c r="AE493" s="22" t="n"/>
      <c r="AK493">
        <f>IF(AND(Screener!$B$7&lt;&gt;"",$E493=Screener!$B$7),1,0)</f>
        <v/>
      </c>
      <c r="AL493">
        <f>IF(AND(Screener!$B$6&lt;&gt;"",$D493=Screener!$B$6),1,0)</f>
        <v/>
      </c>
      <c r="AM493">
        <f>IF(OR($H493="",Screener!$B$8=""),0,MAX(0,1-ABS(LOG10($H493/Screener!$B$8))/W_SIZEHW))</f>
        <v/>
      </c>
      <c r="AN493">
        <f>IF(OR($V493="",Screener!$B$9=""),0,IF($V493=Screener!$B$9,1,0))</f>
        <v/>
      </c>
      <c r="AO493">
        <f>IF(OR($AA493="",Screener!$B$10=""),0,IF($AA493=Screener!$B$10,1,0))</f>
        <v/>
      </c>
      <c r="AP493">
        <f>IF($G493="",0,MAX(0,1-(Screener!$B$12-$G493)/W_RECD))</f>
        <v/>
      </c>
      <c r="AQ493">
        <f>IF($B493=Screener!$B$3,-999999,W_SUB*AK493+W_SEC*AL493*(1-AK493)+W_SIZE*AM493+W_PROF*AN493+W_AH*AO493+W_REC*AP493)+ROW()/1000000</f>
        <v/>
      </c>
      <c r="AR493">
        <f>IF(OR('NEW DEAL'!$B$6="",$E493&lt;&gt;'NEW DEAL'!$B$6),-1,1+IF(OR($H493="",'NEW DEAL'!$B$7=""),0,MAX(0,1-ABS(LOG10($H493/'NEW DEAL'!$B$7))/W_SIZEHW)))+ROW()/1000000</f>
        <v/>
      </c>
    </row>
    <row r="494">
      <c r="A494" s="23" t="inlineStr">
        <is>
          <t>9637</t>
        </is>
      </c>
      <c r="B494" s="22" t="inlineStr">
        <is>
          <t>ALEBUND-B</t>
        </is>
      </c>
      <c r="C494" s="22" t="inlineStr">
        <is>
          <t>禮邦醫藥</t>
        </is>
      </c>
      <c r="D494" s="24" t="inlineStr">
        <is>
          <t>Healthcare</t>
        </is>
      </c>
      <c r="E494" s="24" t="inlineStr">
        <is>
          <t>Biotech pre-revenue (18A)</t>
        </is>
      </c>
      <c r="F494" s="38" t="inlineStr">
        <is>
          <t>18A</t>
        </is>
      </c>
      <c r="G494" s="43" t="n">
        <v>46202</v>
      </c>
      <c r="H494" s="26" t="n">
        <v>1282.7</v>
      </c>
      <c r="I494" s="22" t="inlineStr">
        <is>
          <t>gross (stated)</t>
        </is>
      </c>
      <c r="J494" s="27" t="n"/>
      <c r="K494" s="27" t="n">
        <v>22.6</v>
      </c>
      <c r="L494" s="44" t="n">
        <v>22.6</v>
      </c>
      <c r="M494" s="32" t="n"/>
      <c r="N494" s="29" t="inlineStr">
        <is>
          <t>Y</t>
        </is>
      </c>
      <c r="O494" s="26" t="n">
        <v>6859.4</v>
      </c>
      <c r="P494" s="46" t="n">
        <v>963.5599999999999</v>
      </c>
      <c r="Q494" s="31" t="n">
        <v>19.77</v>
      </c>
      <c r="R494" s="45" t="n">
        <v>103.54</v>
      </c>
      <c r="S494" s="33" t="n">
        <v>49.78</v>
      </c>
      <c r="T494" s="32" t="n">
        <v>7.9</v>
      </c>
      <c r="U494" s="22" t="n"/>
      <c r="V494" s="29" t="inlineStr">
        <is>
          <t>N</t>
        </is>
      </c>
      <c r="W494" s="31" t="n"/>
      <c r="X494" s="31" t="n"/>
      <c r="Y494" s="35" t="n"/>
      <c r="Z494" s="36" t="n">
        <v>-827</v>
      </c>
      <c r="AA494" s="22" t="n"/>
      <c r="AB494" s="22" t="n"/>
      <c r="AC494" s="22" t="n"/>
      <c r="AD494" s="22" t="inlineStr">
        <is>
          <t>Managers and Capital Market Intermediaries BOCI Asia Limited</t>
        </is>
      </c>
      <c r="AE494" s="22" t="n"/>
      <c r="AK494">
        <f>IF(AND(Screener!$B$7&lt;&gt;"",$E494=Screener!$B$7),1,0)</f>
        <v/>
      </c>
      <c r="AL494">
        <f>IF(AND(Screener!$B$6&lt;&gt;"",$D494=Screener!$B$6),1,0)</f>
        <v/>
      </c>
      <c r="AM494">
        <f>IF(OR($H494="",Screener!$B$8=""),0,MAX(0,1-ABS(LOG10($H494/Screener!$B$8))/W_SIZEHW))</f>
        <v/>
      </c>
      <c r="AN494">
        <f>IF(OR($V494="",Screener!$B$9=""),0,IF($V494=Screener!$B$9,1,0))</f>
        <v/>
      </c>
      <c r="AO494">
        <f>IF(OR($AA494="",Screener!$B$10=""),0,IF($AA494=Screener!$B$10,1,0))</f>
        <v/>
      </c>
      <c r="AP494">
        <f>IF($G494="",0,MAX(0,1-(Screener!$B$12-$G494)/W_RECD))</f>
        <v/>
      </c>
      <c r="AQ494">
        <f>IF($B494=Screener!$B$3,-999999,W_SUB*AK494+W_SEC*AL494*(1-AK494)+W_SIZE*AM494+W_PROF*AN494+W_AH*AO494+W_REC*AP494)+ROW()/1000000</f>
        <v/>
      </c>
      <c r="AR494">
        <f>IF(OR('NEW DEAL'!$B$6="",$E494&lt;&gt;'NEW DEAL'!$B$6),-1,1+IF(OR($H494="",'NEW DEAL'!$B$7=""),0,MAX(0,1-ABS(LOG10($H494/'NEW DEAL'!$B$7))/W_SIZEHW)))+ROW()/1000000</f>
        <v/>
      </c>
    </row>
    <row r="495">
      <c r="A495" s="23" t="inlineStr">
        <is>
          <t>2697</t>
        </is>
      </c>
      <c r="B495" s="22" t="inlineStr">
        <is>
          <t>TH MEDICAL-B</t>
        </is>
      </c>
      <c r="C495" s="22" t="inlineStr">
        <is>
          <t>廣東真健康醫療科技開發股份有限公司</t>
        </is>
      </c>
      <c r="D495" s="24" t="inlineStr">
        <is>
          <t>Healthcare</t>
        </is>
      </c>
      <c r="E495" s="24" t="inlineStr">
        <is>
          <t>Medical devices</t>
        </is>
      </c>
      <c r="F495" s="38" t="inlineStr">
        <is>
          <t>18A</t>
        </is>
      </c>
      <c r="G495" s="43" t="n">
        <v>46203</v>
      </c>
      <c r="H495" s="26" t="n">
        <v>449.9</v>
      </c>
      <c r="I495" s="22" t="inlineStr">
        <is>
          <t>gross (stated)</t>
        </is>
      </c>
      <c r="J495" s="27" t="n"/>
      <c r="K495" s="27" t="n">
        <v>135.4</v>
      </c>
      <c r="L495" s="44" t="n">
        <v>126.2</v>
      </c>
      <c r="M495" s="32" t="n"/>
      <c r="N495" s="29" t="inlineStr">
        <is>
          <t>N</t>
        </is>
      </c>
      <c r="O495" s="26" t="n">
        <v>4498.7</v>
      </c>
      <c r="P495" s="46" t="n">
        <v>1790.4</v>
      </c>
      <c r="Q495" s="31" t="n">
        <v>2.2</v>
      </c>
      <c r="R495" s="45" t="n">
        <v>216.96</v>
      </c>
      <c r="S495" s="33" t="n">
        <v>0</v>
      </c>
      <c r="T495" s="32" t="n">
        <v>14.5</v>
      </c>
      <c r="U495" s="22" t="n"/>
      <c r="V495" s="29" t="inlineStr">
        <is>
          <t>N</t>
        </is>
      </c>
      <c r="W495" s="31" t="n"/>
      <c r="X495" s="34" t="n">
        <v>335.7</v>
      </c>
      <c r="Y495" s="36" t="n">
        <v>13.4</v>
      </c>
      <c r="Z495" s="36" t="n">
        <v>-99.09999999999999</v>
      </c>
      <c r="AA495" s="22" t="n"/>
      <c r="AB495" s="22" t="n"/>
      <c r="AC495" s="22" t="inlineStr">
        <is>
          <t>China International Capital Corporation Hong Kong Securities Limited; DBS Asia Capital Limited</t>
        </is>
      </c>
      <c r="AD495" s="22" t="inlineStr">
        <is>
          <t>China International Capital Corporation Hong Kong Securities Limited; DBS Asia Capital Limited; ABCI Capital Limited; DIRECTORS AND PARTIES INVOLVED IN THE GLOBAL OFFERING –7 9– DBS Asia Capital Limited; Funde Securities Limited; CMBC Securities Company Limited; Livermore Holdings Limited; Open Securities Limited; SPDB International Capital Limited</t>
        </is>
      </c>
      <c r="AE495" s="22" t="n"/>
      <c r="AK495">
        <f>IF(AND(Screener!$B$7&lt;&gt;"",$E495=Screener!$B$7),1,0)</f>
        <v/>
      </c>
      <c r="AL495">
        <f>IF(AND(Screener!$B$6&lt;&gt;"",$D495=Screener!$B$6),1,0)</f>
        <v/>
      </c>
      <c r="AM495">
        <f>IF(OR($H495="",Screener!$B$8=""),0,MAX(0,1-ABS(LOG10($H495/Screener!$B$8))/W_SIZEHW))</f>
        <v/>
      </c>
      <c r="AN495">
        <f>IF(OR($V495="",Screener!$B$9=""),0,IF($V495=Screener!$B$9,1,0))</f>
        <v/>
      </c>
      <c r="AO495">
        <f>IF(OR($AA495="",Screener!$B$10=""),0,IF($AA495=Screener!$B$10,1,0))</f>
        <v/>
      </c>
      <c r="AP495">
        <f>IF($G495="",0,MAX(0,1-(Screener!$B$12-$G495)/W_RECD))</f>
        <v/>
      </c>
      <c r="AQ495">
        <f>IF($B495=Screener!$B$3,-999999,W_SUB*AK495+W_SEC*AL495*(1-AK495)+W_SIZE*AM495+W_PROF*AN495+W_AH*AO495+W_REC*AP495)+ROW()/1000000</f>
        <v/>
      </c>
      <c r="AR495">
        <f>IF(OR('NEW DEAL'!$B$6="",$E495&lt;&gt;'NEW DEAL'!$B$6),-1,1+IF(OR($H495="",'NEW DEAL'!$B$7=""),0,MAX(0,1-ABS(LOG10($H495/'NEW DEAL'!$B$7))/W_SIZEHW)))+ROW()/1000000</f>
        <v/>
      </c>
    </row>
    <row r="496">
      <c r="A496" s="23" t="inlineStr">
        <is>
          <t>6915</t>
        </is>
      </c>
      <c r="B496" s="22" t="inlineStr">
        <is>
          <t>JIANGXI BIO</t>
        </is>
      </c>
      <c r="C496" s="22" t="n"/>
      <c r="D496" s="24" t="inlineStr">
        <is>
          <t>Healthcare</t>
        </is>
      </c>
      <c r="E496" s="24" t="inlineStr">
        <is>
          <t>Biopharma commercial</t>
        </is>
      </c>
      <c r="F496" s="22" t="inlineStr">
        <is>
          <t>Standard</t>
        </is>
      </c>
      <c r="G496" s="43" t="n">
        <v>46203</v>
      </c>
      <c r="H496" s="26" t="n">
        <v>405.83</v>
      </c>
      <c r="I496" s="22" t="inlineStr">
        <is>
          <t>gross (stated)</t>
        </is>
      </c>
      <c r="J496" s="27" t="n">
        <v>9.33</v>
      </c>
      <c r="K496" s="27" t="n">
        <v>13.06</v>
      </c>
      <c r="L496" s="44" t="n">
        <v>11.2</v>
      </c>
      <c r="M496" s="28" t="n">
        <v>50.1</v>
      </c>
      <c r="N496" s="29" t="inlineStr">
        <is>
          <t>N</t>
        </is>
      </c>
      <c r="O496" s="26" t="n">
        <v>3453.9</v>
      </c>
      <c r="P496" s="46" t="n">
        <v>476.56</v>
      </c>
      <c r="Q496" s="31" t="n">
        <v>4.25</v>
      </c>
      <c r="R496" s="45" t="n">
        <v>-12.68</v>
      </c>
      <c r="S496" s="33" t="n">
        <v>13.07</v>
      </c>
      <c r="T496" s="32" t="n">
        <v>15</v>
      </c>
      <c r="U496" s="22" t="n"/>
      <c r="V496" s="22" t="n"/>
      <c r="W496" s="31" t="n"/>
      <c r="X496" s="34" t="n">
        <v>14.2</v>
      </c>
      <c r="Y496" s="36" t="n">
        <v>242.8</v>
      </c>
      <c r="Z496" s="35" t="n"/>
      <c r="AA496" s="22" t="n"/>
      <c r="AB496" s="22" t="n"/>
      <c r="AC496" s="22" t="inlineStr">
        <is>
          <t>China Merchants Securities (HK) Co., Limited</t>
        </is>
      </c>
      <c r="AD496" s="22" t="inlineStr">
        <is>
          <t>Securities Limited; China Merchants Securities (HK) Co., Limited; Futu Securities International (Hong Kong) Limited; CMBC Securities Company Limited; Arta Asset Management Limited</t>
        </is>
      </c>
      <c r="AE496" s="22" t="n"/>
      <c r="AK496">
        <f>IF(AND(Screener!$B$7&lt;&gt;"",$E496=Screener!$B$7),1,0)</f>
        <v/>
      </c>
      <c r="AL496">
        <f>IF(AND(Screener!$B$6&lt;&gt;"",$D496=Screener!$B$6),1,0)</f>
        <v/>
      </c>
      <c r="AM496">
        <f>IF(OR($H496="",Screener!$B$8=""),0,MAX(0,1-ABS(LOG10($H496/Screener!$B$8))/W_SIZEHW))</f>
        <v/>
      </c>
      <c r="AN496">
        <f>IF(OR($V496="",Screener!$B$9=""),0,IF($V496=Screener!$B$9,1,0))</f>
        <v/>
      </c>
      <c r="AO496">
        <f>IF(OR($AA496="",Screener!$B$10=""),0,IF($AA496=Screener!$B$10,1,0))</f>
        <v/>
      </c>
      <c r="AP496">
        <f>IF($G496="",0,MAX(0,1-(Screener!$B$12-$G496)/W_RECD))</f>
        <v/>
      </c>
      <c r="AQ496">
        <f>IF($B496=Screener!$B$3,-999999,W_SUB*AK496+W_SEC*AL496*(1-AK496)+W_SIZE*AM496+W_PROF*AN496+W_AH*AO496+W_REC*AP496)+ROW()/1000000</f>
        <v/>
      </c>
      <c r="AR496">
        <f>IF(OR('NEW DEAL'!$B$6="",$E496&lt;&gt;'NEW DEAL'!$B$6),-1,1+IF(OR($H496="",'NEW DEAL'!$B$7=""),0,MAX(0,1-ABS(LOG10($H496/'NEW DEAL'!$B$7))/W_SIZEHW)))+ROW()/1000000</f>
        <v/>
      </c>
    </row>
    <row r="497">
      <c r="A497" s="23" t="inlineStr">
        <is>
          <t>3952</t>
        </is>
      </c>
      <c r="B497" s="22" t="inlineStr">
        <is>
          <t>LAIFUAL</t>
        </is>
      </c>
      <c r="C497" s="22" t="inlineStr">
        <is>
          <t>浙江來福諧波傳動股份有限公司</t>
        </is>
      </c>
      <c r="D497" s="24" t="inlineStr">
        <is>
          <t>Industrials</t>
        </is>
      </c>
      <c r="E497" s="24" t="inlineStr">
        <is>
          <t>Capital goods / machinery</t>
        </is>
      </c>
      <c r="F497" s="22" t="inlineStr">
        <is>
          <t>Standard</t>
        </is>
      </c>
      <c r="G497" s="43" t="n">
        <v>46203</v>
      </c>
      <c r="H497" s="26" t="n">
        <v>1149.3</v>
      </c>
      <c r="I497" s="22" t="inlineStr">
        <is>
          <t>gross (stated)</t>
        </is>
      </c>
      <c r="J497" s="27" t="n"/>
      <c r="K497" s="27" t="n">
        <v>85.5</v>
      </c>
      <c r="L497" s="44" t="n">
        <v>85.5</v>
      </c>
      <c r="M497" s="32" t="n"/>
      <c r="N497" s="29" t="inlineStr">
        <is>
          <t>Y</t>
        </is>
      </c>
      <c r="O497" s="26" t="n">
        <v>8840.6</v>
      </c>
      <c r="P497" s="46" t="n">
        <v>4571.99</v>
      </c>
      <c r="Q497" s="31" t="n">
        <v>7.89</v>
      </c>
      <c r="R497" s="45" t="n">
        <v>-14.62</v>
      </c>
      <c r="S497" s="33" t="n">
        <v>5</v>
      </c>
      <c r="T497" s="32" t="n">
        <v>8.699999999999999</v>
      </c>
      <c r="U497" s="22" t="n"/>
      <c r="V497" s="29" t="inlineStr">
        <is>
          <t>N</t>
        </is>
      </c>
      <c r="W497" s="31" t="n"/>
      <c r="X497" s="31" t="n"/>
      <c r="Y497" s="35" t="n"/>
      <c r="Z497" s="36" t="n">
        <v>-185.7</v>
      </c>
      <c r="AA497" s="22" t="n"/>
      <c r="AB497" s="22" t="n"/>
      <c r="AC497" s="22" t="inlineStr">
        <is>
          <t>CMB International Capital Limited</t>
        </is>
      </c>
      <c r="AD497" s="22" t="inlineStr">
        <is>
          <t>CMB International Capital Limited; Sole Lead Manager CMB International Capital Limited</t>
        </is>
      </c>
      <c r="AE497" s="22" t="n"/>
      <c r="AK497">
        <f>IF(AND(Screener!$B$7&lt;&gt;"",$E497=Screener!$B$7),1,0)</f>
        <v/>
      </c>
      <c r="AL497">
        <f>IF(AND(Screener!$B$6&lt;&gt;"",$D497=Screener!$B$6),1,0)</f>
        <v/>
      </c>
      <c r="AM497">
        <f>IF(OR($H497="",Screener!$B$8=""),0,MAX(0,1-ABS(LOG10($H497/Screener!$B$8))/W_SIZEHW))</f>
        <v/>
      </c>
      <c r="AN497">
        <f>IF(OR($V497="",Screener!$B$9=""),0,IF($V497=Screener!$B$9,1,0))</f>
        <v/>
      </c>
      <c r="AO497">
        <f>IF(OR($AA497="",Screener!$B$10=""),0,IF($AA497=Screener!$B$10,1,0))</f>
        <v/>
      </c>
      <c r="AP497">
        <f>IF($G497="",0,MAX(0,1-(Screener!$B$12-$G497)/W_RECD))</f>
        <v/>
      </c>
      <c r="AQ497">
        <f>IF($B497=Screener!$B$3,-999999,W_SUB*AK497+W_SEC*AL497*(1-AK497)+W_SIZE*AM497+W_PROF*AN497+W_AH*AO497+W_REC*AP497)+ROW()/1000000</f>
        <v/>
      </c>
      <c r="AR497">
        <f>IF(OR('NEW DEAL'!$B$6="",$E497&lt;&gt;'NEW DEAL'!$B$6),-1,1+IF(OR($H497="",'NEW DEAL'!$B$7=""),0,MAX(0,1-ABS(LOG10($H497/'NEW DEAL'!$B$7))/W_SIZEHW)))+ROW()/1000000</f>
        <v/>
      </c>
    </row>
    <row r="498">
      <c r="A498" s="23" t="inlineStr">
        <is>
          <t>6715</t>
        </is>
      </c>
      <c r="B498" s="22" t="inlineStr">
        <is>
          <t>XUNLONG SCITECH</t>
        </is>
      </c>
      <c r="C498" s="22" t="n"/>
      <c r="D498" s="24" t="inlineStr">
        <is>
          <t>Consumer</t>
        </is>
      </c>
      <c r="E498" s="24" t="inlineStr">
        <is>
          <t>Beverages / packaged food</t>
        </is>
      </c>
      <c r="F498" s="22" t="inlineStr">
        <is>
          <t>Standard</t>
        </is>
      </c>
      <c r="G498" s="43" t="n">
        <v>46203</v>
      </c>
      <c r="H498" s="26" t="n">
        <v>1233.1</v>
      </c>
      <c r="I498" s="22" t="inlineStr">
        <is>
          <t>gross (stated)</t>
        </is>
      </c>
      <c r="J498" s="27" t="n"/>
      <c r="K498" s="27" t="n">
        <v>75.5</v>
      </c>
      <c r="L498" s="44" t="n">
        <v>75.5</v>
      </c>
      <c r="M498" s="32" t="n"/>
      <c r="N498" s="29" t="inlineStr">
        <is>
          <t>Y</t>
        </is>
      </c>
      <c r="O498" s="35" t="n"/>
      <c r="P498" s="46" t="n">
        <v>2134.81</v>
      </c>
      <c r="Q498" s="31" t="n">
        <v>19.87</v>
      </c>
      <c r="R498" s="45" t="n">
        <v>50.99</v>
      </c>
      <c r="S498" s="42" t="n">
        <v>49.7</v>
      </c>
      <c r="T498" s="32" t="n">
        <v>15</v>
      </c>
      <c r="U498" s="22" t="n"/>
      <c r="V498" s="22" t="n"/>
      <c r="W498" s="31" t="n"/>
      <c r="X498" s="31" t="n"/>
      <c r="Y498" s="35" t="n"/>
      <c r="Z498" s="35" t="n"/>
      <c r="AA498" s="22" t="n"/>
      <c r="AB498" s="22" t="n"/>
      <c r="AC498" s="22" t="inlineStr">
        <is>
          <t>CITIC Securities (Hong Kong) Limited; China Securities (Internat ional) Corporate Finance Company Limited; Sponsor-Overall Coor dinators CLSA Limited</t>
        </is>
      </c>
      <c r="AD498" s="22" t="n"/>
      <c r="AE498" s="22" t="n"/>
      <c r="AK498">
        <f>IF(AND(Screener!$B$7&lt;&gt;"",$E498=Screener!$B$7),1,0)</f>
        <v/>
      </c>
      <c r="AL498">
        <f>IF(AND(Screener!$B$6&lt;&gt;"",$D498=Screener!$B$6),1,0)</f>
        <v/>
      </c>
      <c r="AM498">
        <f>IF(OR($H498="",Screener!$B$8=""),0,MAX(0,1-ABS(LOG10($H498/Screener!$B$8))/W_SIZEHW))</f>
        <v/>
      </c>
      <c r="AN498">
        <f>IF(OR($V498="",Screener!$B$9=""),0,IF($V498=Screener!$B$9,1,0))</f>
        <v/>
      </c>
      <c r="AO498">
        <f>IF(OR($AA498="",Screener!$B$10=""),0,IF($AA498=Screener!$B$10,1,0))</f>
        <v/>
      </c>
      <c r="AP498">
        <f>IF($G498="",0,MAX(0,1-(Screener!$B$12-$G498)/W_RECD))</f>
        <v/>
      </c>
      <c r="AQ498">
        <f>IF($B498=Screener!$B$3,-999999,W_SUB*AK498+W_SEC*AL498*(1-AK498)+W_SIZE*AM498+W_PROF*AN498+W_AH*AO498+W_REC*AP498)+ROW()/1000000</f>
        <v/>
      </c>
      <c r="AR498">
        <f>IF(OR('NEW DEAL'!$B$6="",$E498&lt;&gt;'NEW DEAL'!$B$6),-1,1+IF(OR($H498="",'NEW DEAL'!$B$7=""),0,MAX(0,1-ABS(LOG10($H498/'NEW DEAL'!$B$7))/W_SIZEHW)))+ROW()/1000000</f>
        <v/>
      </c>
    </row>
    <row r="499">
      <c r="A499" s="23" t="inlineStr">
        <is>
          <t>0668</t>
        </is>
      </c>
      <c r="B499" s="22" t="inlineStr">
        <is>
          <t>ANKER</t>
        </is>
      </c>
      <c r="C499" s="22" t="n"/>
      <c r="D499" s="24" t="inlineStr">
        <is>
          <t>Tech/AI</t>
        </is>
      </c>
      <c r="E499" s="24" t="inlineStr">
        <is>
          <t>Smart hardware / consumer electronics</t>
        </is>
      </c>
      <c r="F499" s="22" t="inlineStr">
        <is>
          <t>Standard</t>
        </is>
      </c>
      <c r="G499" s="43" t="n">
        <v>46205</v>
      </c>
      <c r="H499" s="26" t="n">
        <v>4631.6</v>
      </c>
      <c r="I499" s="22" t="inlineStr">
        <is>
          <t>gross (stated)</t>
        </is>
      </c>
      <c r="J499" s="27" t="n"/>
      <c r="K499" s="27" t="n"/>
      <c r="L499" s="44" t="n">
        <v>99.31999999999999</v>
      </c>
      <c r="M499" s="32" t="n"/>
      <c r="N499" s="22" t="n"/>
      <c r="O499" s="26" t="n">
        <v>57894.5</v>
      </c>
      <c r="P499" s="46" t="n">
        <v>27.57</v>
      </c>
      <c r="Q499" s="31" t="n">
        <v>10.24</v>
      </c>
      <c r="R499" s="47" t="n">
        <v>17.7</v>
      </c>
      <c r="S499" s="33" t="n">
        <v>49.9</v>
      </c>
      <c r="T499" s="32" t="n"/>
      <c r="U499" s="22" t="n"/>
      <c r="V499" s="22" t="n"/>
      <c r="W499" s="31" t="n"/>
      <c r="X499" s="31" t="n"/>
      <c r="Y499" s="35" t="n"/>
      <c r="Z499" s="35" t="n"/>
      <c r="AA499" s="22" t="inlineStr">
        <is>
          <t>Y</t>
        </is>
      </c>
      <c r="AB499" s="22" t="inlineStr">
        <is>
          <t>300866.SZ</t>
        </is>
      </c>
      <c r="AC499" s="22" t="n"/>
      <c r="AD499" s="22" t="n"/>
      <c r="AE499" s="22" t="n"/>
      <c r="AK499">
        <f>IF(AND(Screener!$B$7&lt;&gt;"",$E499=Screener!$B$7),1,0)</f>
        <v/>
      </c>
      <c r="AL499">
        <f>IF(AND(Screener!$B$6&lt;&gt;"",$D499=Screener!$B$6),1,0)</f>
        <v/>
      </c>
      <c r="AM499">
        <f>IF(OR($H499="",Screener!$B$8=""),0,MAX(0,1-ABS(LOG10($H499/Screener!$B$8))/W_SIZEHW))</f>
        <v/>
      </c>
      <c r="AN499">
        <f>IF(OR($V499="",Screener!$B$9=""),0,IF($V499=Screener!$B$9,1,0))</f>
        <v/>
      </c>
      <c r="AO499">
        <f>IF(OR($AA499="",Screener!$B$10=""),0,IF($AA499=Screener!$B$10,1,0))</f>
        <v/>
      </c>
      <c r="AP499">
        <f>IF($G499="",0,MAX(0,1-(Screener!$B$12-$G499)/W_RECD))</f>
        <v/>
      </c>
      <c r="AQ499">
        <f>IF($B499=Screener!$B$3,-999999,W_SUB*AK499+W_SEC*AL499*(1-AK499)+W_SIZE*AM499+W_PROF*AN499+W_AH*AO499+W_REC*AP499)+ROW()/1000000</f>
        <v/>
      </c>
      <c r="AR499">
        <f>IF(OR('NEW DEAL'!$B$6="",$E499&lt;&gt;'NEW DEAL'!$B$6),-1,1+IF(OR($H499="",'NEW DEAL'!$B$7=""),0,MAX(0,1-ABS(LOG10($H499/'NEW DEAL'!$B$7))/W_SIZEHW)))+ROW()/1000000</f>
        <v/>
      </c>
    </row>
    <row r="500">
      <c r="A500" s="23" t="inlineStr">
        <is>
          <t>2667</t>
        </is>
      </c>
      <c r="B500" s="22" t="inlineStr">
        <is>
          <t>TONGRENTANGCARE</t>
        </is>
      </c>
      <c r="C500" s="22" t="inlineStr">
        <is>
          <t>北京同仁堂醫養投資股份有限公司</t>
        </is>
      </c>
      <c r="D500" s="24" t="inlineStr">
        <is>
          <t>Healthcare</t>
        </is>
      </c>
      <c r="E500" s="24" t="inlineStr">
        <is>
          <t>TCM</t>
        </is>
      </c>
      <c r="F500" s="22" t="inlineStr">
        <is>
          <t>Standard</t>
        </is>
      </c>
      <c r="G500" s="43" t="n">
        <v>46210</v>
      </c>
      <c r="H500" s="26" t="n">
        <v>594.8</v>
      </c>
      <c r="I500" s="22" t="inlineStr">
        <is>
          <t>gross (stated)</t>
        </is>
      </c>
      <c r="J500" s="27" t="n"/>
      <c r="K500" s="27" t="n">
        <v>6.21</v>
      </c>
      <c r="L500" s="44" t="n">
        <v>5.5</v>
      </c>
      <c r="M500" s="32" t="n"/>
      <c r="N500" s="29" t="inlineStr">
        <is>
          <t>N</t>
        </is>
      </c>
      <c r="O500" s="36" t="n">
        <v>2550.2</v>
      </c>
      <c r="P500" s="46" t="n">
        <v>251.74</v>
      </c>
      <c r="Q500" s="31" t="n">
        <v>2.84</v>
      </c>
      <c r="R500" s="45" t="n">
        <v>-39.09</v>
      </c>
      <c r="S500" s="33" t="n">
        <v>44.08</v>
      </c>
      <c r="T500" s="32" t="n">
        <v>15</v>
      </c>
      <c r="U500" s="22" t="n"/>
      <c r="V500" s="29" t="inlineStr">
        <is>
          <t>Y</t>
        </is>
      </c>
      <c r="W500" s="34" t="n">
        <v>68.7</v>
      </c>
      <c r="X500" s="34" t="n">
        <v>2</v>
      </c>
      <c r="Y500" s="36" t="n">
        <v>1288.4</v>
      </c>
      <c r="Z500" s="36" t="n">
        <v>37.1</v>
      </c>
      <c r="AA500" s="22" t="n"/>
      <c r="AB500" s="22" t="n"/>
      <c r="AC500" s="22" t="n"/>
      <c r="AD500" s="22" t="inlineStr">
        <is>
          <t>China International Capital Corporation Hong Kong Securities Limited; ICBC International Securities Limited; Kong GF Securities (Hong Kong) Brokerage Limited; Chai, Hong Kong ABCI Capital Limited; West Bull Securities Limited; V oeux Rd Central, Sheung Wan, Hong Kong Patrons Securities Limited</t>
        </is>
      </c>
      <c r="AE500" s="22" t="n"/>
      <c r="AK500">
        <f>IF(AND(Screener!$B$7&lt;&gt;"",$E500=Screener!$B$7),1,0)</f>
        <v/>
      </c>
      <c r="AL500">
        <f>IF(AND(Screener!$B$6&lt;&gt;"",$D500=Screener!$B$6),1,0)</f>
        <v/>
      </c>
      <c r="AM500">
        <f>IF(OR($H500="",Screener!$B$8=""),0,MAX(0,1-ABS(LOG10($H500/Screener!$B$8))/W_SIZEHW))</f>
        <v/>
      </c>
      <c r="AN500">
        <f>IF(OR($V500="",Screener!$B$9=""),0,IF($V500=Screener!$B$9,1,0))</f>
        <v/>
      </c>
      <c r="AO500">
        <f>IF(OR($AA500="",Screener!$B$10=""),0,IF($AA500=Screener!$B$10,1,0))</f>
        <v/>
      </c>
      <c r="AP500">
        <f>IF($G500="",0,MAX(0,1-(Screener!$B$12-$G500)/W_RECD))</f>
        <v/>
      </c>
      <c r="AQ500">
        <f>IF($B500=Screener!$B$3,-999999,W_SUB*AK500+W_SEC*AL500*(1-AK500)+W_SIZE*AM500+W_PROF*AN500+W_AH*AO500+W_REC*AP500)+ROW()/1000000</f>
        <v/>
      </c>
      <c r="AR500">
        <f>IF(OR('NEW DEAL'!$B$6="",$E500&lt;&gt;'NEW DEAL'!$B$6),-1,1+IF(OR($H500="",'NEW DEAL'!$B$7=""),0,MAX(0,1-ABS(LOG10($H500/'NEW DEAL'!$B$7))/W_SIZEHW)))+ROW()/1000000</f>
        <v/>
      </c>
    </row>
    <row r="501">
      <c r="A501" s="23" t="inlineStr">
        <is>
          <t>7656</t>
        </is>
      </c>
      <c r="B501" s="22" t="inlineStr">
        <is>
          <t>RECONOVA</t>
        </is>
      </c>
      <c r="C501" s="22" t="inlineStr">
        <is>
          <t>廈門瑞為信息技術股份有限公司</t>
        </is>
      </c>
      <c r="D501" s="24" t="inlineStr">
        <is>
          <t>Tech/AI</t>
        </is>
      </c>
      <c r="E501" s="24" t="inlineStr">
        <is>
          <t>AI application / agent software</t>
        </is>
      </c>
      <c r="F501" s="22" t="inlineStr">
        <is>
          <t>Standard</t>
        </is>
      </c>
      <c r="G501" s="43" t="n">
        <v>46211</v>
      </c>
      <c r="H501" s="26" t="n">
        <v>608.4</v>
      </c>
      <c r="I501" s="22" t="inlineStr">
        <is>
          <t>gross (stated)</t>
        </is>
      </c>
      <c r="J501" s="27" t="n"/>
      <c r="K501" s="27" t="n">
        <v>21.66</v>
      </c>
      <c r="L501" s="44" t="n">
        <v>21.66</v>
      </c>
      <c r="M501" s="32" t="n"/>
      <c r="N501" s="29" t="inlineStr">
        <is>
          <t>Y</t>
        </is>
      </c>
      <c r="O501" s="26" t="n">
        <v>6612.6</v>
      </c>
      <c r="P501" s="46" t="n">
        <v>3646.06</v>
      </c>
      <c r="Q501" s="31" t="n">
        <v>3.08</v>
      </c>
      <c r="R501" s="45" t="n">
        <v>-3.05</v>
      </c>
      <c r="S501" s="33" t="n">
        <v>0</v>
      </c>
      <c r="T501" s="32" t="n"/>
      <c r="U501" s="22" t="n"/>
      <c r="V501" s="29" t="inlineStr">
        <is>
          <t>N</t>
        </is>
      </c>
      <c r="W501" s="31" t="n"/>
      <c r="X501" s="31" t="n"/>
      <c r="Y501" s="35" t="n"/>
      <c r="Z501" s="36" t="n">
        <v>-75</v>
      </c>
      <c r="AA501" s="22" t="n"/>
      <c r="AB501" s="22" t="n"/>
      <c r="AC501" s="22" t="inlineStr">
        <is>
          <t>and Joint Sponsor-OCs Huatai Financial Holdings (Hong Kong) Limited; CCB International Capital Limited; Central, Hong Kong ABCI Capital Limited</t>
        </is>
      </c>
      <c r="AD501" s="22" t="inlineStr">
        <is>
          <t>Huatai Financial Holdings (Hong Kong) Limited; CCB International Capital Limited; Central, Hong Kong ABCI Capital Limited; CMBC Securities Company Limited; Huafu International Securities Limited; Sheung Wan, Hong Kong Shenwan Hongyuan Securities (H.K.) Limited; Sunfund Securities Limited; Futu Securities International (Hong Kong) Limited; Admiralty, Hong Kong Yuet Sheung International Securities Limited</t>
        </is>
      </c>
      <c r="AE501" s="22" t="n"/>
      <c r="AK501">
        <f>IF(AND(Screener!$B$7&lt;&gt;"",$E501=Screener!$B$7),1,0)</f>
        <v/>
      </c>
      <c r="AL501">
        <f>IF(AND(Screener!$B$6&lt;&gt;"",$D501=Screener!$B$6),1,0)</f>
        <v/>
      </c>
      <c r="AM501">
        <f>IF(OR($H501="",Screener!$B$8=""),0,MAX(0,1-ABS(LOG10($H501/Screener!$B$8))/W_SIZEHW))</f>
        <v/>
      </c>
      <c r="AN501">
        <f>IF(OR($V501="",Screener!$B$9=""),0,IF($V501=Screener!$B$9,1,0))</f>
        <v/>
      </c>
      <c r="AO501">
        <f>IF(OR($AA501="",Screener!$B$10=""),0,IF($AA501=Screener!$B$10,1,0))</f>
        <v/>
      </c>
      <c r="AP501">
        <f>IF($G501="",0,MAX(0,1-(Screener!$B$12-$G501)/W_RECD))</f>
        <v/>
      </c>
      <c r="AQ501">
        <f>IF($B501=Screener!$B$3,-999999,W_SUB*AK501+W_SEC*AL501*(1-AK501)+W_SIZE*AM501+W_PROF*AN501+W_AH*AO501+W_REC*AP501)+ROW()/1000000</f>
        <v/>
      </c>
      <c r="AR501">
        <f>IF(OR('NEW DEAL'!$B$6="",$E501&lt;&gt;'NEW DEAL'!$B$6),-1,1+IF(OR($H501="",'NEW DEAL'!$B$7=""),0,MAX(0,1-ABS(LOG10($H501/'NEW DEAL'!$B$7))/W_SIZEHW)))+ROW()/1000000</f>
        <v/>
      </c>
    </row>
    <row r="502">
      <c r="A502" s="23" t="inlineStr">
        <is>
          <t>9971</t>
        </is>
      </c>
      <c r="B502" s="22" t="inlineStr">
        <is>
          <t>BASICSEMI</t>
        </is>
      </c>
      <c r="C502" s="22" t="inlineStr">
        <is>
          <t>深圳基本半導體股份有限公司</t>
        </is>
      </c>
      <c r="D502" s="24" t="inlineStr">
        <is>
          <t>Tech/AI</t>
        </is>
      </c>
      <c r="E502" s="24" t="inlineStr">
        <is>
          <t>AI chips &amp; semis</t>
        </is>
      </c>
      <c r="F502" s="22" t="inlineStr">
        <is>
          <t>Standard</t>
        </is>
      </c>
      <c r="G502" s="43" t="n">
        <v>46211</v>
      </c>
      <c r="H502" s="26" t="n">
        <v>865.95</v>
      </c>
      <c r="I502" s="22" t="inlineStr">
        <is>
          <t>gross (stated)</t>
        </is>
      </c>
      <c r="J502" s="27" t="n"/>
      <c r="K502" s="27" t="n">
        <v>31.62</v>
      </c>
      <c r="L502" s="44" t="n">
        <v>31.62</v>
      </c>
      <c r="M502" s="32" t="n"/>
      <c r="N502" s="29" t="inlineStr">
        <is>
          <t>Y</t>
        </is>
      </c>
      <c r="O502" s="26" t="n">
        <v>9621.6</v>
      </c>
      <c r="P502" s="46" t="n">
        <v>4812.72</v>
      </c>
      <c r="Q502" s="31" t="n">
        <v>2.98</v>
      </c>
      <c r="R502" s="45" t="n">
        <v>5.06</v>
      </c>
      <c r="S502" s="33" t="n"/>
      <c r="T502" s="32" t="n">
        <v>17.41</v>
      </c>
      <c r="U502" s="22" t="inlineStr">
        <is>
          <t>not-yet (at allotment)</t>
        </is>
      </c>
      <c r="V502" s="29" t="inlineStr">
        <is>
          <t>N</t>
        </is>
      </c>
      <c r="W502" s="31" t="n"/>
      <c r="X502" s="34" t="n">
        <v>28.1</v>
      </c>
      <c r="Y502" s="36" t="n">
        <v>342.3</v>
      </c>
      <c r="Z502" s="36" t="n">
        <v>-260.8</v>
      </c>
      <c r="AA502" s="22" t="n"/>
      <c r="AB502" s="22" t="n"/>
      <c r="AC502" s="22" t="inlineStr">
        <is>
          <t>Sinolink Securities (Hong Kong) Company Limited; Sheung Wan, Hong Kong BOCI Asia Limited</t>
        </is>
      </c>
      <c r="AD502" s="22" t="inlineStr">
        <is>
          <t>Managers and Capital Market Intermediaries Fortune (HK) Securities Limited; Futu Securities International (Hong Kong) Limited; Guosen Securities (HK) Capital Company Limited; Patrons Securities Limited; Tiger Brokers (HK) Global Limited; DIRECTORS AND PARTIES INVOLVED IN THE GLOBAL OFFERING –6 2– TradeGo Markets Limited; Yue Xiu Securities Company Limited</t>
        </is>
      </c>
      <c r="AE502" s="22" t="n"/>
      <c r="AK502">
        <f>IF(AND(Screener!$B$7&lt;&gt;"",$E502=Screener!$B$7),1,0)</f>
        <v/>
      </c>
      <c r="AL502">
        <f>IF(AND(Screener!$B$6&lt;&gt;"",$D502=Screener!$B$6),1,0)</f>
        <v/>
      </c>
      <c r="AM502">
        <f>IF(OR($H502="",Screener!$B$8=""),0,MAX(0,1-ABS(LOG10($H502/Screener!$B$8))/W_SIZEHW))</f>
        <v/>
      </c>
      <c r="AN502">
        <f>IF(OR($V502="",Screener!$B$9=""),0,IF($V502=Screener!$B$9,1,0))</f>
        <v/>
      </c>
      <c r="AO502">
        <f>IF(OR($AA502="",Screener!$B$10=""),0,IF($AA502=Screener!$B$10,1,0))</f>
        <v/>
      </c>
      <c r="AP502">
        <f>IF($G502="",0,MAX(0,1-(Screener!$B$12-$G502)/W_RECD))</f>
        <v/>
      </c>
      <c r="AQ502">
        <f>IF($B502=Screener!$B$3,-999999,W_SUB*AK502+W_SEC*AL502*(1-AK502)+W_SIZE*AM502+W_PROF*AN502+W_AH*AO502+W_REC*AP502)+ROW()/1000000</f>
        <v/>
      </c>
      <c r="AR502">
        <f>IF(OR('NEW DEAL'!$B$6="",$E502&lt;&gt;'NEW DEAL'!$B$6),-1,1+IF(OR($H502="",'NEW DEAL'!$B$7=""),0,MAX(0,1-ABS(LOG10($H502/'NEW DEAL'!$B$7))/W_SIZEHW)))+ROW()/1000000</f>
        <v/>
      </c>
    </row>
    <row r="503">
      <c r="A503" s="23" t="inlineStr">
        <is>
          <t>6880</t>
        </is>
      </c>
      <c r="B503" s="22" t="inlineStr">
        <is>
          <t>MOMENTA-W</t>
        </is>
      </c>
      <c r="C503" s="22" t="n"/>
      <c r="D503" s="24" t="inlineStr">
        <is>
          <t>Tech/AI</t>
        </is>
      </c>
      <c r="E503" s="24" t="inlineStr">
        <is>
          <t>Robotics &amp; autonomous driving</t>
        </is>
      </c>
      <c r="F503" s="38" t="inlineStr">
        <is>
          <t>WVR</t>
        </is>
      </c>
      <c r="G503" s="43" t="n">
        <v>46211</v>
      </c>
      <c r="H503" s="26" t="n">
        <v>5893.8</v>
      </c>
      <c r="I503" s="22" t="inlineStr">
        <is>
          <t>gross (stated)</t>
        </is>
      </c>
      <c r="J503" s="27" t="n"/>
      <c r="K503" s="27" t="n"/>
      <c r="L503" s="44" t="n">
        <v>295.6</v>
      </c>
      <c r="M503" s="32" t="n"/>
      <c r="N503" s="22" t="n"/>
      <c r="O503" s="35" t="n"/>
      <c r="P503" s="46" t="n">
        <v>413.63</v>
      </c>
      <c r="Q503" s="31" t="n">
        <v>20.31</v>
      </c>
      <c r="R503" s="45" t="n">
        <v>0</v>
      </c>
      <c r="S503" s="33" t="n">
        <v>49.95</v>
      </c>
      <c r="T503" s="28" t="n">
        <v>15</v>
      </c>
      <c r="U503" s="22" t="n"/>
      <c r="V503" s="22" t="n"/>
      <c r="W503" s="31" t="n"/>
      <c r="X503" s="31" t="n"/>
      <c r="Y503" s="35" t="n"/>
      <c r="Z503" s="35" t="n"/>
      <c r="AA503" s="22" t="n"/>
      <c r="AB503" s="22" t="n"/>
      <c r="AC503" s="22" t="n"/>
      <c r="AD503" s="22" t="n"/>
      <c r="AE503" s="22" t="n"/>
      <c r="AK503">
        <f>IF(AND(Screener!$B$7&lt;&gt;"",$E503=Screener!$B$7),1,0)</f>
        <v/>
      </c>
      <c r="AL503">
        <f>IF(AND(Screener!$B$6&lt;&gt;"",$D503=Screener!$B$6),1,0)</f>
        <v/>
      </c>
      <c r="AM503">
        <f>IF(OR($H503="",Screener!$B$8=""),0,MAX(0,1-ABS(LOG10($H503/Screener!$B$8))/W_SIZEHW))</f>
        <v/>
      </c>
      <c r="AN503">
        <f>IF(OR($V503="",Screener!$B$9=""),0,IF($V503=Screener!$B$9,1,0))</f>
        <v/>
      </c>
      <c r="AO503">
        <f>IF(OR($AA503="",Screener!$B$10=""),0,IF($AA503=Screener!$B$10,1,0))</f>
        <v/>
      </c>
      <c r="AP503">
        <f>IF($G503="",0,MAX(0,1-(Screener!$B$12-$G503)/W_RECD))</f>
        <v/>
      </c>
      <c r="AQ503">
        <f>IF($B503=Screener!$B$3,-999999,W_SUB*AK503+W_SEC*AL503*(1-AK503)+W_SIZE*AM503+W_PROF*AN503+W_AH*AO503+W_REC*AP503)+ROW()/1000000</f>
        <v/>
      </c>
      <c r="AR503">
        <f>IF(OR('NEW DEAL'!$B$6="",$E503&lt;&gt;'NEW DEAL'!$B$6),-1,1+IF(OR($H503="",'NEW DEAL'!$B$7=""),0,MAX(0,1-ABS(LOG10($H503/'NEW DEAL'!$B$7))/W_SIZEHW)))+ROW()/1000000</f>
        <v/>
      </c>
    </row>
    <row r="504">
      <c r="A504" s="23" t="inlineStr">
        <is>
          <t>7687</t>
        </is>
      </c>
      <c r="B504" s="22" t="inlineStr">
        <is>
          <t>EACON</t>
        </is>
      </c>
      <c r="C504" s="22" t="inlineStr">
        <is>
          <t>易控智駕科技股份有限公司</t>
        </is>
      </c>
      <c r="D504" s="24" t="inlineStr">
        <is>
          <t>Tech/AI</t>
        </is>
      </c>
      <c r="E504" s="24" t="inlineStr">
        <is>
          <t>Robotics &amp; autonomous driving</t>
        </is>
      </c>
      <c r="F504" s="22" t="inlineStr">
        <is>
          <t>Standard</t>
        </is>
      </c>
      <c r="G504" s="43" t="n">
        <v>46211</v>
      </c>
      <c r="H504" s="26" t="n">
        <v>2297.53</v>
      </c>
      <c r="I504" s="22" t="inlineStr">
        <is>
          <t>gross (stated)</t>
        </is>
      </c>
      <c r="J504" s="27" t="n">
        <v>81.16</v>
      </c>
      <c r="K504" s="27" t="n">
        <v>87.92</v>
      </c>
      <c r="L504" s="44" t="n">
        <v>87.92</v>
      </c>
      <c r="M504" s="28" t="n">
        <v>100</v>
      </c>
      <c r="N504" s="29" t="inlineStr">
        <is>
          <t>Y</t>
        </is>
      </c>
      <c r="O504" s="26" t="n">
        <v>11603.7</v>
      </c>
      <c r="P504" s="46" t="n">
        <v>157.82</v>
      </c>
      <c r="Q504" s="31" t="n">
        <v>10.5</v>
      </c>
      <c r="R504" s="45" t="n">
        <v>9.99</v>
      </c>
      <c r="S504" s="33" t="n">
        <v>49.79</v>
      </c>
      <c r="T504" s="32" t="n">
        <v>6.2</v>
      </c>
      <c r="U504" s="22" t="n"/>
      <c r="V504" s="29" t="inlineStr">
        <is>
          <t>N</t>
        </is>
      </c>
      <c r="W504" s="31" t="n"/>
      <c r="X504" s="34" t="n">
        <v>7.3</v>
      </c>
      <c r="Y504" s="36" t="n">
        <v>1578.8</v>
      </c>
      <c r="Z504" s="36" t="n">
        <v>-567.1</v>
      </c>
      <c r="AA504" s="22" t="n"/>
      <c r="AB504" s="22" t="n"/>
      <c r="AC504" s="22" t="inlineStr">
        <is>
          <t>Haitong International Capital Limited</t>
        </is>
      </c>
      <c r="AD504" s="22" t="inlineStr">
        <is>
          <t>Haitong International Securities Company Limited; Macquarie Capital Limited; CLSA Limited; CMB International Capital Limited; China Industrial Securities International Capital Limited; Mizuho Securities Asia Limited; Futu Securities International (Hong Kong) Limited; Tiger Brokers (HK) Global Limited</t>
        </is>
      </c>
      <c r="AE504" s="22" t="n"/>
      <c r="AK504">
        <f>IF(AND(Screener!$B$7&lt;&gt;"",$E504=Screener!$B$7),1,0)</f>
        <v/>
      </c>
      <c r="AL504">
        <f>IF(AND(Screener!$B$6&lt;&gt;"",$D504=Screener!$B$6),1,0)</f>
        <v/>
      </c>
      <c r="AM504">
        <f>IF(OR($H504="",Screener!$B$8=""),0,MAX(0,1-ABS(LOG10($H504/Screener!$B$8))/W_SIZEHW))</f>
        <v/>
      </c>
      <c r="AN504">
        <f>IF(OR($V504="",Screener!$B$9=""),0,IF($V504=Screener!$B$9,1,0))</f>
        <v/>
      </c>
      <c r="AO504">
        <f>IF(OR($AA504="",Screener!$B$10=""),0,IF($AA504=Screener!$B$10,1,0))</f>
        <v/>
      </c>
      <c r="AP504">
        <f>IF($G504="",0,MAX(0,1-(Screener!$B$12-$G504)/W_RECD))</f>
        <v/>
      </c>
      <c r="AQ504">
        <f>IF($B504=Screener!$B$3,-999999,W_SUB*AK504+W_SEC*AL504*(1-AK504)+W_SIZE*AM504+W_PROF*AN504+W_AH*AO504+W_REC*AP504)+ROW()/1000000</f>
        <v/>
      </c>
      <c r="AR504">
        <f>IF(OR('NEW DEAL'!$B$6="",$E504&lt;&gt;'NEW DEAL'!$B$6),-1,1+IF(OR($H504="",'NEW DEAL'!$B$7=""),0,MAX(0,1-ABS(LOG10($H504/'NEW DEAL'!$B$7))/W_SIZEHW)))+ROW()/1000000</f>
        <v/>
      </c>
    </row>
    <row r="505">
      <c r="A505" s="23" t="inlineStr">
        <is>
          <t>2797</t>
        </is>
      </c>
      <c r="B505" s="22" t="inlineStr">
        <is>
          <t>QIYUNSHAN FOOD</t>
        </is>
      </c>
      <c r="C505" s="22" t="inlineStr">
        <is>
          <t>江西齊雲山食品股份有限公司</t>
        </is>
      </c>
      <c r="D505" s="24" t="inlineStr">
        <is>
          <t>Consumer</t>
        </is>
      </c>
      <c r="E505" s="24" t="inlineStr">
        <is>
          <t>Beverages / packaged food</t>
        </is>
      </c>
      <c r="F505" s="22" t="inlineStr">
        <is>
          <t>Standard</t>
        </is>
      </c>
      <c r="G505" s="39" t="n">
        <v>46212</v>
      </c>
      <c r="H505" s="26" t="n">
        <v>200</v>
      </c>
      <c r="I505" s="22" t="inlineStr">
        <is>
          <t>gross (stated)</t>
        </is>
      </c>
      <c r="J505" s="27" t="n"/>
      <c r="K505" s="27" t="n">
        <v>8</v>
      </c>
      <c r="L505" s="44" t="n">
        <v>8</v>
      </c>
      <c r="M505" s="32" t="n"/>
      <c r="N505" s="29" t="inlineStr">
        <is>
          <t>Y</t>
        </is>
      </c>
      <c r="O505" s="26" t="n">
        <v>800</v>
      </c>
      <c r="P505" s="46" t="n">
        <v>1688.1</v>
      </c>
      <c r="Q505" s="31" t="n">
        <v>1.51</v>
      </c>
      <c r="R505" s="45" t="n">
        <v>162.5</v>
      </c>
      <c r="S505" s="33" t="n">
        <v>0</v>
      </c>
      <c r="T505" s="32" t="n">
        <v>15</v>
      </c>
      <c r="U505" s="22" t="inlineStr">
        <is>
          <t>not-yet (at allotment)</t>
        </is>
      </c>
      <c r="V505" s="22" t="n"/>
      <c r="W505" s="31" t="n"/>
      <c r="X505" s="31" t="n"/>
      <c r="Y505" s="35" t="n"/>
      <c r="Z505" s="35" t="n"/>
      <c r="AA505" s="22" t="n"/>
      <c r="AB505" s="22" t="n"/>
      <c r="AC505" s="22" t="inlineStr">
        <is>
          <t>Zhongtai Inte rnational Capital Limited</t>
        </is>
      </c>
      <c r="AD505" s="22" t="inlineStr">
        <is>
          <t>Managers and Capital Market Intermediaries CCB International Capital Limited; ABCI Capital Limited</t>
        </is>
      </c>
      <c r="AE505" s="22" t="n"/>
      <c r="AK505">
        <f>IF(AND(Screener!$B$7&lt;&gt;"",$E505=Screener!$B$7),1,0)</f>
        <v/>
      </c>
      <c r="AL505">
        <f>IF(AND(Screener!$B$6&lt;&gt;"",$D505=Screener!$B$6),1,0)</f>
        <v/>
      </c>
      <c r="AM505">
        <f>IF(OR($H505="",Screener!$B$8=""),0,MAX(0,1-ABS(LOG10($H505/Screener!$B$8))/W_SIZEHW))</f>
        <v/>
      </c>
      <c r="AN505">
        <f>IF(OR($V505="",Screener!$B$9=""),0,IF($V505=Screener!$B$9,1,0))</f>
        <v/>
      </c>
      <c r="AO505">
        <f>IF(OR($AA505="",Screener!$B$10=""),0,IF($AA505=Screener!$B$10,1,0))</f>
        <v/>
      </c>
      <c r="AP505">
        <f>IF($G505="",0,MAX(0,1-(Screener!$B$12-$G505)/W_RECD))</f>
        <v/>
      </c>
      <c r="AQ505">
        <f>IF($B505=Screener!$B$3,-999999,W_SUB*AK505+W_SEC*AL505*(1-AK505)+W_SIZE*AM505+W_PROF*AN505+W_AH*AO505+W_REC*AP505)+ROW()/1000000</f>
        <v/>
      </c>
      <c r="AR505">
        <f>IF(OR('NEW DEAL'!$B$6="",$E505&lt;&gt;'NEW DEAL'!$B$6),-1,1+IF(OR($H505="",'NEW DEAL'!$B$7=""),0,MAX(0,1-ABS(LOG10($H505/'NEW DEAL'!$B$7))/W_SIZEHW)))+ROW()/1000000</f>
        <v/>
      </c>
    </row>
    <row r="506">
      <c r="A506" s="23" t="inlineStr">
        <is>
          <t>1770</t>
        </is>
      </c>
      <c r="B506" s="22" t="inlineStr">
        <is>
          <t>DKE</t>
        </is>
      </c>
      <c r="C506" s="22" t="n"/>
      <c r="D506" s="24" t="inlineStr">
        <is>
          <t>Tech/AI</t>
        </is>
      </c>
      <c r="E506" s="24" t="inlineStr">
        <is>
          <t>Smart hardware / consumer electronics</t>
        </is>
      </c>
      <c r="F506" s="22" t="inlineStr">
        <is>
          <t>Standard</t>
        </is>
      </c>
      <c r="G506" s="43" t="n">
        <v>46212</v>
      </c>
      <c r="H506" s="26" t="n">
        <v>402.53</v>
      </c>
      <c r="I506" s="22" t="inlineStr">
        <is>
          <t>gross (stated)</t>
        </is>
      </c>
      <c r="J506" s="27" t="n"/>
      <c r="K506" s="27" t="n">
        <v>101.11</v>
      </c>
      <c r="L506" s="44" t="n">
        <v>78.64</v>
      </c>
      <c r="M506" s="32" t="n"/>
      <c r="N506" s="29" t="inlineStr">
        <is>
          <t>N</t>
        </is>
      </c>
      <c r="O506" s="26" t="n">
        <v>4025.2</v>
      </c>
      <c r="P506" s="46" t="n">
        <v>1067.54</v>
      </c>
      <c r="Q506" s="31" t="n">
        <v>3.69</v>
      </c>
      <c r="R506" s="45" t="n">
        <v>1.73</v>
      </c>
      <c r="S506" s="33" t="n">
        <v>0</v>
      </c>
      <c r="T506" s="32" t="n">
        <v>10</v>
      </c>
      <c r="U506" s="22" t="inlineStr">
        <is>
          <t>not-yet (at allotment)</t>
        </is>
      </c>
      <c r="V506" s="29" t="inlineStr">
        <is>
          <t>Y</t>
        </is>
      </c>
      <c r="W506" s="34" t="n">
        <v>45.6</v>
      </c>
      <c r="X506" s="31" t="n"/>
      <c r="Y506" s="35" t="n"/>
      <c r="Z506" s="36" t="n">
        <v>88.3</v>
      </c>
      <c r="AA506" s="22" t="n"/>
      <c r="AB506" s="22" t="n"/>
      <c r="AC506" s="22" t="inlineStr">
        <is>
          <t>CITIC Securities (Hong Kong) Limited</t>
        </is>
      </c>
      <c r="AD506" s="22" t="inlineStr">
        <is>
          <t>Wanchai, Hong Kong CMBC Securities Company Limited; JA Securities Limited</t>
        </is>
      </c>
      <c r="AE506" s="22" t="n"/>
      <c r="AK506">
        <f>IF(AND(Screener!$B$7&lt;&gt;"",$E506=Screener!$B$7),1,0)</f>
        <v/>
      </c>
      <c r="AL506">
        <f>IF(AND(Screener!$B$6&lt;&gt;"",$D506=Screener!$B$6),1,0)</f>
        <v/>
      </c>
      <c r="AM506">
        <f>IF(OR($H506="",Screener!$B$8=""),0,MAX(0,1-ABS(LOG10($H506/Screener!$B$8))/W_SIZEHW))</f>
        <v/>
      </c>
      <c r="AN506">
        <f>IF(OR($V506="",Screener!$B$9=""),0,IF($V506=Screener!$B$9,1,0))</f>
        <v/>
      </c>
      <c r="AO506">
        <f>IF(OR($AA506="",Screener!$B$10=""),0,IF($AA506=Screener!$B$10,1,0))</f>
        <v/>
      </c>
      <c r="AP506">
        <f>IF($G506="",0,MAX(0,1-(Screener!$B$12-$G506)/W_RECD))</f>
        <v/>
      </c>
      <c r="AQ506">
        <f>IF($B506=Screener!$B$3,-999999,W_SUB*AK506+W_SEC*AL506*(1-AK506)+W_SIZE*AM506+W_PROF*AN506+W_AH*AO506+W_REC*AP506)+ROW()/1000000</f>
        <v/>
      </c>
      <c r="AR506">
        <f>IF(OR('NEW DEAL'!$B$6="",$E506&lt;&gt;'NEW DEAL'!$B$6),-1,1+IF(OR($H506="",'NEW DEAL'!$B$7=""),0,MAX(0,1-ABS(LOG10($H506/'NEW DEAL'!$B$7))/W_SIZEHW)))+ROW()/1000000</f>
        <v/>
      </c>
    </row>
    <row r="507">
      <c r="A507" s="23" t="inlineStr">
        <is>
          <t>3752</t>
        </is>
      </c>
      <c r="B507" s="22" t="inlineStr">
        <is>
          <t>ROKAE ROBOTICS</t>
        </is>
      </c>
      <c r="C507" s="22" t="inlineStr">
        <is>
          <t>機器人集團股份有限公司</t>
        </is>
      </c>
      <c r="D507" s="24" t="inlineStr">
        <is>
          <t>Tech/AI</t>
        </is>
      </c>
      <c r="E507" s="24" t="inlineStr">
        <is>
          <t>Robotics &amp; autonomous driving</t>
        </is>
      </c>
      <c r="F507" s="22" t="inlineStr">
        <is>
          <t>Standard</t>
        </is>
      </c>
      <c r="G507" s="43" t="n">
        <v>46212</v>
      </c>
      <c r="H507" s="26" t="n">
        <v>875.2</v>
      </c>
      <c r="I507" s="22" t="inlineStr">
        <is>
          <t>gross (stated)</t>
        </is>
      </c>
      <c r="J507" s="27" t="n"/>
      <c r="K507" s="27" t="n">
        <v>38</v>
      </c>
      <c r="L507" s="44" t="n">
        <v>38</v>
      </c>
      <c r="M507" s="32" t="n"/>
      <c r="N507" s="29" t="inlineStr">
        <is>
          <t>Y</t>
        </is>
      </c>
      <c r="O507" s="36" t="n">
        <v>9950</v>
      </c>
      <c r="P507" s="46" t="n">
        <v>156.58</v>
      </c>
      <c r="Q507" s="31" t="n">
        <v>11.96</v>
      </c>
      <c r="R507" s="45" t="n">
        <v>15.21</v>
      </c>
      <c r="S507" s="42" t="n">
        <v>31.4</v>
      </c>
      <c r="T507" s="32" t="n">
        <v>15</v>
      </c>
      <c r="U507" s="22" t="n"/>
      <c r="V507" s="29" t="inlineStr">
        <is>
          <t>N</t>
        </is>
      </c>
      <c r="W507" s="31" t="n"/>
      <c r="X507" s="31" t="n"/>
      <c r="Y507" s="35" t="n"/>
      <c r="Z507" s="36" t="n">
        <v>-197.2</v>
      </c>
      <c r="AA507" s="22" t="n"/>
      <c r="AB507" s="22" t="n"/>
      <c r="AC507" s="22" t="inlineStr">
        <is>
          <t>China International Capital Corporation Hong Kong Securities Limited; Guotai Junan Capital Limited</t>
        </is>
      </c>
      <c r="AD507" s="22" t="inlineStr">
        <is>
          <t>China International Capital Corporation Hong Kong Securities Limited; Guotai Junan Securities (Hong Kong) Limited; Guosen Securities (HK) Brokerage Company, Limited; Futu Securities International (Hong Kong) Limited; Kingsway Financial Services Group Limited</t>
        </is>
      </c>
      <c r="AE507" s="22" t="n"/>
      <c r="AK507">
        <f>IF(AND(Screener!$B$7&lt;&gt;"",$E507=Screener!$B$7),1,0)</f>
        <v/>
      </c>
      <c r="AL507">
        <f>IF(AND(Screener!$B$6&lt;&gt;"",$D507=Screener!$B$6),1,0)</f>
        <v/>
      </c>
      <c r="AM507">
        <f>IF(OR($H507="",Screener!$B$8=""),0,MAX(0,1-ABS(LOG10($H507/Screener!$B$8))/W_SIZEHW))</f>
        <v/>
      </c>
      <c r="AN507">
        <f>IF(OR($V507="",Screener!$B$9=""),0,IF($V507=Screener!$B$9,1,0))</f>
        <v/>
      </c>
      <c r="AO507">
        <f>IF(OR($AA507="",Screener!$B$10=""),0,IF($AA507=Screener!$B$10,1,0))</f>
        <v/>
      </c>
      <c r="AP507">
        <f>IF($G507="",0,MAX(0,1-(Screener!$B$12-$G507)/W_RECD))</f>
        <v/>
      </c>
      <c r="AQ507">
        <f>IF($B507=Screener!$B$3,-999999,W_SUB*AK507+W_SEC*AL507*(1-AK507)+W_SIZE*AM507+W_PROF*AN507+W_AH*AO507+W_REC*AP507)+ROW()/1000000</f>
        <v/>
      </c>
      <c r="AR507">
        <f>IF(OR('NEW DEAL'!$B$6="",$E507&lt;&gt;'NEW DEAL'!$B$6),-1,1+IF(OR($H507="",'NEW DEAL'!$B$7=""),0,MAX(0,1-ABS(LOG10($H507/'NEW DEAL'!$B$7))/W_SIZEHW)))+ROW()/1000000</f>
        <v/>
      </c>
    </row>
    <row r="508">
      <c r="A508" s="23" t="inlineStr">
        <is>
          <t>0537</t>
        </is>
      </c>
      <c r="B508" s="22" t="inlineStr">
        <is>
          <t>RIGOL</t>
        </is>
      </c>
      <c r="C508" s="22" t="n"/>
      <c r="D508" s="24" t="inlineStr">
        <is>
          <t>Industrials</t>
        </is>
      </c>
      <c r="E508" s="24" t="inlineStr">
        <is>
          <t>Capital goods / machinery</t>
        </is>
      </c>
      <c r="F508" s="22" t="inlineStr">
        <is>
          <t>Standard</t>
        </is>
      </c>
      <c r="G508" s="39" t="n">
        <v>46212</v>
      </c>
      <c r="H508" s="26" t="n">
        <v>1140.4</v>
      </c>
      <c r="I508" s="22" t="inlineStr">
        <is>
          <t>gross (stated)</t>
        </is>
      </c>
      <c r="J508" s="27" t="n"/>
      <c r="K508" s="27" t="n">
        <v>45.98</v>
      </c>
      <c r="L508" s="44" t="n">
        <v>45.98</v>
      </c>
      <c r="M508" s="32" t="n"/>
      <c r="N508" s="29" t="inlineStr">
        <is>
          <t>Y</t>
        </is>
      </c>
      <c r="O508" s="26" t="n">
        <v>10054.8</v>
      </c>
      <c r="P508" s="46" t="n">
        <v>356.86</v>
      </c>
      <c r="Q508" s="31" t="n">
        <v>9.17</v>
      </c>
      <c r="R508" s="45" t="n">
        <v>-37.36</v>
      </c>
      <c r="S508" s="33" t="n">
        <v>42.11</v>
      </c>
      <c r="T508" s="32" t="n"/>
      <c r="U508" s="22" t="n"/>
      <c r="V508" s="29" t="inlineStr">
        <is>
          <t>Y</t>
        </is>
      </c>
      <c r="W508" s="34" t="n">
        <v>106.2</v>
      </c>
      <c r="X508" s="34" t="n">
        <v>11.8</v>
      </c>
      <c r="Y508" s="36" t="n">
        <v>853.4</v>
      </c>
      <c r="Z508" s="36" t="n">
        <v>94.7</v>
      </c>
      <c r="AA508" s="22" t="inlineStr">
        <is>
          <t>Y</t>
        </is>
      </c>
      <c r="AB508" s="22" t="inlineStr">
        <is>
          <t>688337.SS</t>
        </is>
      </c>
      <c r="AC508" s="22" t="inlineStr">
        <is>
          <t>CITIC Securities (Hong Kong) Limited</t>
        </is>
      </c>
      <c r="AD508" s="22" t="n"/>
      <c r="AE508" s="22" t="n"/>
      <c r="AK508">
        <f>IF(AND(Screener!$B$7&lt;&gt;"",$E508=Screener!$B$7),1,0)</f>
        <v/>
      </c>
      <c r="AL508">
        <f>IF(AND(Screener!$B$6&lt;&gt;"",$D508=Screener!$B$6),1,0)</f>
        <v/>
      </c>
      <c r="AM508">
        <f>IF(OR($H508="",Screener!$B$8=""),0,MAX(0,1-ABS(LOG10($H508/Screener!$B$8))/W_SIZEHW))</f>
        <v/>
      </c>
      <c r="AN508">
        <f>IF(OR($V508="",Screener!$B$9=""),0,IF($V508=Screener!$B$9,1,0))</f>
        <v/>
      </c>
      <c r="AO508">
        <f>IF(OR($AA508="",Screener!$B$10=""),0,IF($AA508=Screener!$B$10,1,0))</f>
        <v/>
      </c>
      <c r="AP508">
        <f>IF($G508="",0,MAX(0,1-(Screener!$B$12-$G508)/W_RECD))</f>
        <v/>
      </c>
      <c r="AQ508">
        <f>IF($B508=Screener!$B$3,-999999,W_SUB*AK508+W_SEC*AL508*(1-AK508)+W_SIZE*AM508+W_PROF*AN508+W_AH*AO508+W_REC*AP508)+ROW()/1000000</f>
        <v/>
      </c>
      <c r="AR508">
        <f>IF(OR('NEW DEAL'!$B$6="",$E508&lt;&gt;'NEW DEAL'!$B$6),-1,1+IF(OR($H508="",'NEW DEAL'!$B$7=""),0,MAX(0,1-ABS(LOG10($H508/'NEW DEAL'!$B$7))/W_SIZEHW)))+ROW()/1000000</f>
        <v/>
      </c>
    </row>
    <row r="509">
      <c r="A509" s="23" t="inlineStr">
        <is>
          <t>2475</t>
        </is>
      </c>
      <c r="B509" s="22" t="inlineStr">
        <is>
          <t>LUXSHARE ICT</t>
        </is>
      </c>
      <c r="C509" s="22" t="n"/>
      <c r="D509" s="24" t="inlineStr">
        <is>
          <t>Tech/AI</t>
        </is>
      </c>
      <c r="E509" s="24" t="inlineStr">
        <is>
          <t>Smart hardware / consumer electronics</t>
        </is>
      </c>
      <c r="F509" s="22" t="inlineStr">
        <is>
          <t>Standard</t>
        </is>
      </c>
      <c r="G509" s="43" t="n">
        <v>46212</v>
      </c>
      <c r="H509" s="26" t="n">
        <v>24266.2</v>
      </c>
      <c r="I509" s="22" t="inlineStr">
        <is>
          <t>gross (stated)</t>
        </is>
      </c>
      <c r="J509" s="27" t="n"/>
      <c r="K509" s="27" t="n">
        <v>63.28</v>
      </c>
      <c r="L509" s="44" t="n">
        <v>63.28</v>
      </c>
      <c r="M509" s="32" t="n"/>
      <c r="N509" s="29" t="inlineStr">
        <is>
          <t>Y</t>
        </is>
      </c>
      <c r="O509" s="35" t="n"/>
      <c r="P509" s="46" t="n">
        <v>3.78</v>
      </c>
      <c r="Q509" s="31" t="n">
        <v>9.460000000000001</v>
      </c>
      <c r="R509" s="45" t="n">
        <v>-1.55</v>
      </c>
      <c r="S509" s="33" t="n"/>
      <c r="T509" s="28" t="n">
        <v>15</v>
      </c>
      <c r="U509" s="22" t="n"/>
      <c r="V509" s="29" t="inlineStr">
        <is>
          <t>Y</t>
        </is>
      </c>
      <c r="W509" s="31" t="n"/>
      <c r="X509" s="31" t="n"/>
      <c r="Y509" s="36" t="n">
        <v>365578.9</v>
      </c>
      <c r="Z509" s="36" t="n">
        <v>19987.3</v>
      </c>
      <c r="AA509" s="22" t="inlineStr">
        <is>
          <t>Y</t>
        </is>
      </c>
      <c r="AB509" s="38" t="inlineStr">
        <is>
          <t>002475.SZ</t>
        </is>
      </c>
      <c r="AC509" s="22" t="n"/>
      <c r="AD509" s="22" t="n"/>
      <c r="AE509" s="22" t="n"/>
      <c r="AK509">
        <f>IF(AND(Screener!$B$7&lt;&gt;"",$E509=Screener!$B$7),1,0)</f>
        <v/>
      </c>
      <c r="AL509">
        <f>IF(AND(Screener!$B$6&lt;&gt;"",$D509=Screener!$B$6),1,0)</f>
        <v/>
      </c>
      <c r="AM509">
        <f>IF(OR($H509="",Screener!$B$8=""),0,MAX(0,1-ABS(LOG10($H509/Screener!$B$8))/W_SIZEHW))</f>
        <v/>
      </c>
      <c r="AN509">
        <f>IF(OR($V509="",Screener!$B$9=""),0,IF($V509=Screener!$B$9,1,0))</f>
        <v/>
      </c>
      <c r="AO509">
        <f>IF(OR($AA509="",Screener!$B$10=""),0,IF($AA509=Screener!$B$10,1,0))</f>
        <v/>
      </c>
      <c r="AP509">
        <f>IF($G509="",0,MAX(0,1-(Screener!$B$12-$G509)/W_RECD))</f>
        <v/>
      </c>
      <c r="AQ509">
        <f>IF($B509=Screener!$B$3,-999999,W_SUB*AK509+W_SEC*AL509*(1-AK509)+W_SIZE*AM509+W_PROF*AN509+W_AH*AO509+W_REC*AP509)+ROW()/1000000</f>
        <v/>
      </c>
      <c r="AR509">
        <f>IF(OR('NEW DEAL'!$B$6="",$E509&lt;&gt;'NEW DEAL'!$B$6),-1,1+IF(OR($H509="",'NEW DEAL'!$B$7=""),0,MAX(0,1-ABS(LOG10($H509/'NEW DEAL'!$B$7))/W_SIZEHW)))+ROW()/1000000</f>
        <v/>
      </c>
    </row>
    <row r="510">
      <c r="A510" s="23" t="inlineStr">
        <is>
          <t>6951</t>
        </is>
      </c>
      <c r="B510" s="22" t="inlineStr">
        <is>
          <t>CCTC</t>
        </is>
      </c>
      <c r="C510" s="22" t="inlineStr">
        <is>
          <t>潮州三環</t>
        </is>
      </c>
      <c r="D510" s="24" t="inlineStr">
        <is>
          <t>Tech/AI</t>
        </is>
      </c>
      <c r="E510" s="24" t="inlineStr">
        <is>
          <t>Smart hardware / consumer electronics</t>
        </is>
      </c>
      <c r="F510" s="22" t="inlineStr">
        <is>
          <t>Standard</t>
        </is>
      </c>
      <c r="G510" s="43" t="n">
        <v>46212</v>
      </c>
      <c r="H510" s="26" t="n">
        <v>7157.8</v>
      </c>
      <c r="I510" s="22" t="inlineStr">
        <is>
          <t>gross (stated)</t>
        </is>
      </c>
      <c r="J510" s="27" t="n"/>
      <c r="K510" s="27" t="n">
        <v>100.3</v>
      </c>
      <c r="L510" s="44" t="n">
        <v>100.3</v>
      </c>
      <c r="M510" s="32" t="n"/>
      <c r="N510" s="29" t="inlineStr">
        <is>
          <t>Y</t>
        </is>
      </c>
      <c r="O510" s="26" t="n">
        <v>199382.5</v>
      </c>
      <c r="P510" s="46" t="n">
        <v>327.49</v>
      </c>
      <c r="Q510" s="31" t="n">
        <v>16.24</v>
      </c>
      <c r="R510" s="45" t="n">
        <v>4.69</v>
      </c>
      <c r="S510" s="33" t="n">
        <v>49.81</v>
      </c>
      <c r="T510" s="32" t="n">
        <v>15</v>
      </c>
      <c r="U510" s="22" t="n"/>
      <c r="V510" s="29" t="inlineStr">
        <is>
          <t>Y</t>
        </is>
      </c>
      <c r="W510" s="34" t="n">
        <v>69.3</v>
      </c>
      <c r="X510" s="34" t="n">
        <v>20.4</v>
      </c>
      <c r="Y510" s="36" t="n">
        <v>9755.4</v>
      </c>
      <c r="Z510" s="36" t="n">
        <v>2878.7</v>
      </c>
      <c r="AA510" s="22" t="inlineStr">
        <is>
          <t>Y</t>
        </is>
      </c>
      <c r="AB510" s="38" t="inlineStr">
        <is>
          <t>300408.SZ</t>
        </is>
      </c>
      <c r="AC510" s="22" t="inlineStr">
        <is>
          <t>China Galaxy International Securities (Hong Kong) Co., Limited</t>
        </is>
      </c>
      <c r="AD510" s="22" t="inlineStr">
        <is>
          <t>Managers and Capital Market Intermediaries CCB International Capital Limited</t>
        </is>
      </c>
      <c r="AE510" s="22" t="n"/>
      <c r="AK510">
        <f>IF(AND(Screener!$B$7&lt;&gt;"",$E510=Screener!$B$7),1,0)</f>
        <v/>
      </c>
      <c r="AL510">
        <f>IF(AND(Screener!$B$6&lt;&gt;"",$D510=Screener!$B$6),1,0)</f>
        <v/>
      </c>
      <c r="AM510">
        <f>IF(OR($H510="",Screener!$B$8=""),0,MAX(0,1-ABS(LOG10($H510/Screener!$B$8))/W_SIZEHW))</f>
        <v/>
      </c>
      <c r="AN510">
        <f>IF(OR($V510="",Screener!$B$9=""),0,IF($V510=Screener!$B$9,1,0))</f>
        <v/>
      </c>
      <c r="AO510">
        <f>IF(OR($AA510="",Screener!$B$10=""),0,IF($AA510=Screener!$B$10,1,0))</f>
        <v/>
      </c>
      <c r="AP510">
        <f>IF($G510="",0,MAX(0,1-(Screener!$B$12-$G510)/W_RECD))</f>
        <v/>
      </c>
      <c r="AQ510">
        <f>IF($B510=Screener!$B$3,-999999,W_SUB*AK510+W_SEC*AL510*(1-AK510)+W_SIZE*AM510+W_PROF*AN510+W_AH*AO510+W_REC*AP510)+ROW()/1000000</f>
        <v/>
      </c>
      <c r="AR510">
        <f>IF(OR('NEW DEAL'!$B$6="",$E510&lt;&gt;'NEW DEAL'!$B$6),-1,1+IF(OR($H510="",'NEW DEAL'!$B$7=""),0,MAX(0,1-ABS(LOG10($H510/'NEW DEAL'!$B$7))/W_SIZEHW)))+ROW()/1000000</f>
        <v/>
      </c>
    </row>
    <row r="511">
      <c r="A511" s="23" t="inlineStr">
        <is>
          <t>1377</t>
        </is>
      </c>
      <c r="B511" s="22" t="inlineStr">
        <is>
          <t>DTECH</t>
        </is>
      </c>
      <c r="C511" s="22" t="n"/>
      <c r="D511" s="24" t="inlineStr">
        <is>
          <t>Tech/AI</t>
        </is>
      </c>
      <c r="E511" s="24" t="inlineStr">
        <is>
          <t>Smart hardware / consumer electronics</t>
        </is>
      </c>
      <c r="F511" s="22" t="inlineStr">
        <is>
          <t>Standard</t>
        </is>
      </c>
      <c r="G511" s="43" t="n">
        <v>46212</v>
      </c>
      <c r="H511" s="26" t="n">
        <v>4800.2</v>
      </c>
      <c r="I511" s="22" t="inlineStr">
        <is>
          <t>gross (stated)</t>
        </is>
      </c>
      <c r="J511" s="27" t="n"/>
      <c r="K511" s="27" t="n">
        <v>380</v>
      </c>
      <c r="L511" s="44" t="n">
        <v>380</v>
      </c>
      <c r="M511" s="32" t="n"/>
      <c r="N511" s="29" t="inlineStr">
        <is>
          <t>Y</t>
        </is>
      </c>
      <c r="O511" s="26" t="n">
        <v>161137.1</v>
      </c>
      <c r="P511" s="48" t="n">
        <v>354.64</v>
      </c>
      <c r="Q511" s="31" t="n"/>
      <c r="R511" s="45" t="n">
        <v>-1.79</v>
      </c>
      <c r="S511" s="33" t="n">
        <v>41.45</v>
      </c>
      <c r="T511" s="32" t="n">
        <v>15</v>
      </c>
      <c r="U511" s="22" t="n"/>
      <c r="V511" s="29" t="inlineStr">
        <is>
          <t>Y</t>
        </is>
      </c>
      <c r="W511" s="34" t="n">
        <v>339.4</v>
      </c>
      <c r="X511" s="31" t="n"/>
      <c r="Y511" s="35" t="n"/>
      <c r="Z511" s="36" t="n">
        <v>474.8</v>
      </c>
      <c r="AA511" s="22" t="inlineStr">
        <is>
          <t>Y</t>
        </is>
      </c>
      <c r="AB511" s="22" t="inlineStr">
        <is>
          <t>301377.SZ</t>
        </is>
      </c>
      <c r="AC511" s="22" t="inlineStr">
        <is>
          <t>CITIC Securities (Hong Kong) Limited; HSBC Corporate Finance (Hong Kong) Limited</t>
        </is>
      </c>
      <c r="AD511" s="22" t="inlineStr">
        <is>
          <t>Managers and Capital Market Intermediaries CLSA Limited; The Hongkong and Shanghai Banking Corporation Limited; ABCI Capital Limited; GF Securities (Hong Kong) Brokerage Limited; Huatai Financial Holdings (Hong Kong) Limited</t>
        </is>
      </c>
      <c r="AE511" s="22" t="n"/>
      <c r="AK511">
        <f>IF(AND(Screener!$B$7&lt;&gt;"",$E511=Screener!$B$7),1,0)</f>
        <v/>
      </c>
      <c r="AL511">
        <f>IF(AND(Screener!$B$6&lt;&gt;"",$D511=Screener!$B$6),1,0)</f>
        <v/>
      </c>
      <c r="AM511">
        <f>IF(OR($H511="",Screener!$B$8=""),0,MAX(0,1-ABS(LOG10($H511/Screener!$B$8))/W_SIZEHW))</f>
        <v/>
      </c>
      <c r="AN511">
        <f>IF(OR($V511="",Screener!$B$9=""),0,IF($V511=Screener!$B$9,1,0))</f>
        <v/>
      </c>
      <c r="AO511">
        <f>IF(OR($AA511="",Screener!$B$10=""),0,IF($AA511=Screener!$B$10,1,0))</f>
        <v/>
      </c>
      <c r="AP511">
        <f>IF($G511="",0,MAX(0,1-(Screener!$B$12-$G511)/W_RECD))</f>
        <v/>
      </c>
      <c r="AQ511">
        <f>IF($B511=Screener!$B$3,-999999,W_SUB*AK511+W_SEC*AL511*(1-AK511)+W_SIZE*AM511+W_PROF*AN511+W_AH*AO511+W_REC*AP511)+ROW()/1000000</f>
        <v/>
      </c>
      <c r="AR511">
        <f>IF(OR('NEW DEAL'!$B$6="",$E511&lt;&gt;'NEW DEAL'!$B$6),-1,1+IF(OR($H511="",'NEW DEAL'!$B$7=""),0,MAX(0,1-ABS(LOG10($H511/'NEW DEAL'!$B$7))/W_SIZEHW)))+ROW()/1000000</f>
        <v/>
      </c>
    </row>
    <row r="512">
      <c r="A512" s="23" t="inlineStr">
        <is>
          <t>6745</t>
        </is>
      </c>
      <c r="B512" s="22" t="inlineStr">
        <is>
          <t>BEFAR GROUP</t>
        </is>
      </c>
      <c r="C512" s="22" t="inlineStr">
        <is>
          <t>濱化集團股份有限公司</t>
        </is>
      </c>
      <c r="D512" s="24" t="inlineStr">
        <is>
          <t>Materials/Energy</t>
        </is>
      </c>
      <c r="E512" s="24" t="inlineStr">
        <is>
          <t>Chemicals</t>
        </is>
      </c>
      <c r="F512" s="22" t="inlineStr">
        <is>
          <t>Standard</t>
        </is>
      </c>
      <c r="G512" s="43" t="n">
        <v>46213</v>
      </c>
      <c r="H512" s="26" t="n">
        <v>1225.4</v>
      </c>
      <c r="I512" s="22" t="inlineStr">
        <is>
          <t>gross (stated)</t>
        </is>
      </c>
      <c r="J512" s="27" t="n"/>
      <c r="K512" s="27" t="n">
        <v>3.59</v>
      </c>
      <c r="L512" s="44" t="n">
        <v>3.48</v>
      </c>
      <c r="M512" s="32" t="n"/>
      <c r="N512" s="29" t="inlineStr">
        <is>
          <t>N</t>
        </is>
      </c>
      <c r="O512" s="36" t="n">
        <v>8000</v>
      </c>
      <c r="P512" s="46" t="n">
        <v>227.58</v>
      </c>
      <c r="Q512" s="31" t="n">
        <v>4.26</v>
      </c>
      <c r="R512" s="45" t="n">
        <v>-18.68</v>
      </c>
      <c r="S512" s="33" t="n">
        <v>30.91</v>
      </c>
      <c r="T512" s="32" t="n"/>
      <c r="U512" s="22" t="n"/>
      <c r="V512" s="29" t="inlineStr">
        <is>
          <t>Y</t>
        </is>
      </c>
      <c r="W512" s="34" t="n">
        <v>8.699999999999999</v>
      </c>
      <c r="X512" s="34" t="n">
        <v>0.5</v>
      </c>
      <c r="Y512" s="36" t="n">
        <v>16320.1</v>
      </c>
      <c r="Z512" s="36" t="n">
        <v>918.8</v>
      </c>
      <c r="AA512" s="22" t="inlineStr">
        <is>
          <t>Y</t>
        </is>
      </c>
      <c r="AB512" s="22" t="inlineStr">
        <is>
          <t>601678.SS</t>
        </is>
      </c>
      <c r="AC512" s="22" t="inlineStr">
        <is>
          <t>Huatai Financial Holdings (Hong Kong) Limited; CCB International Capital Limited</t>
        </is>
      </c>
      <c r="AD512" s="22" t="inlineStr">
        <is>
          <t>Joint Lead Managers Huafu International Securities Limited; Central China International Securities Co., Limited; Manager CMB International Capital Limited; Huatai Financial Holdings (Hong Kong) Limited; CCB International Capital Limited; Zhongtai International Securities Limited; Huafu International Securities Limited; CMB International Capital Limited</t>
        </is>
      </c>
      <c r="AE512" s="22" t="n"/>
      <c r="AK512">
        <f>IF(AND(Screener!$B$7&lt;&gt;"",$E512=Screener!$B$7),1,0)</f>
        <v/>
      </c>
      <c r="AL512">
        <f>IF(AND(Screener!$B$6&lt;&gt;"",$D512=Screener!$B$6),1,0)</f>
        <v/>
      </c>
      <c r="AM512">
        <f>IF(OR($H512="",Screener!$B$8=""),0,MAX(0,1-ABS(LOG10($H512/Screener!$B$8))/W_SIZEHW))</f>
        <v/>
      </c>
      <c r="AN512">
        <f>IF(OR($V512="",Screener!$B$9=""),0,IF($V512=Screener!$B$9,1,0))</f>
        <v/>
      </c>
      <c r="AO512">
        <f>IF(OR($AA512="",Screener!$B$10=""),0,IF($AA512=Screener!$B$10,1,0))</f>
        <v/>
      </c>
      <c r="AP512">
        <f>IF($G512="",0,MAX(0,1-(Screener!$B$12-$G512)/W_RECD))</f>
        <v/>
      </c>
      <c r="AQ512">
        <f>IF($B512=Screener!$B$3,-999999,W_SUB*AK512+W_SEC*AL512*(1-AK512)+W_SIZE*AM512+W_PROF*AN512+W_AH*AO512+W_REC*AP512)+ROW()/1000000</f>
        <v/>
      </c>
      <c r="AR512">
        <f>IF(OR('NEW DEAL'!$B$6="",$E512&lt;&gt;'NEW DEAL'!$B$6),-1,1+IF(OR($H512="",'NEW DEAL'!$B$7=""),0,MAX(0,1-ABS(LOG10($H512/'NEW DEAL'!$B$7))/W_SIZEHW)))+ROW()/1000000</f>
        <v/>
      </c>
    </row>
    <row r="513">
      <c r="A513" s="23" t="inlineStr">
        <is>
          <t>2249</t>
        </is>
      </c>
      <c r="B513" s="22" t="inlineStr">
        <is>
          <t>NEXCHIP</t>
        </is>
      </c>
      <c r="C513" s="22" t="inlineStr">
        <is>
          <t>合肥晶合集成電路股份有限公司</t>
        </is>
      </c>
      <c r="D513" s="24" t="inlineStr">
        <is>
          <t>Tech/AI</t>
        </is>
      </c>
      <c r="E513" s="24" t="inlineStr">
        <is>
          <t>AI chips &amp; semis</t>
        </is>
      </c>
      <c r="F513" s="22" t="inlineStr">
        <is>
          <t>Standard</t>
        </is>
      </c>
      <c r="G513" s="43" t="n">
        <v>46213</v>
      </c>
      <c r="H513" s="26" t="n">
        <v>6982.19</v>
      </c>
      <c r="I513" s="22" t="inlineStr">
        <is>
          <t>gross (stated)</t>
        </is>
      </c>
      <c r="J513" s="27" t="n"/>
      <c r="K513" s="27" t="n">
        <v>32.3</v>
      </c>
      <c r="L513" s="44" t="n">
        <v>32.3</v>
      </c>
      <c r="M513" s="32" t="n"/>
      <c r="N513" s="29" t="inlineStr">
        <is>
          <t>Y</t>
        </is>
      </c>
      <c r="O513" s="26" t="n">
        <v>27928.8</v>
      </c>
      <c r="P513" s="46" t="n">
        <v>344.26</v>
      </c>
      <c r="Q513" s="31" t="n">
        <v>14.62</v>
      </c>
      <c r="R513" s="45" t="n">
        <v>0</v>
      </c>
      <c r="S513" s="33" t="n">
        <v>49.92</v>
      </c>
      <c r="T513" s="28" t="n">
        <v>15</v>
      </c>
      <c r="U513" s="22" t="n"/>
      <c r="V513" s="29" t="inlineStr">
        <is>
          <t>Y</t>
        </is>
      </c>
      <c r="W513" s="34" t="n">
        <v>54.4</v>
      </c>
      <c r="X513" s="31" t="n"/>
      <c r="Y513" s="35" t="n"/>
      <c r="Z513" s="36" t="n">
        <v>513.1</v>
      </c>
      <c r="AA513" s="22" t="inlineStr">
        <is>
          <t>Y</t>
        </is>
      </c>
      <c r="AB513" s="22" t="inlineStr">
        <is>
          <t>688249.SS</t>
        </is>
      </c>
      <c r="AC513" s="22" t="n"/>
      <c r="AD513" s="22" t="inlineStr">
        <is>
          <t>Managers, Capital Market Intermediaries BOCI Asia Limited; ICBC International Securities Limited; Futu Securities International (Hong Kong) Limited</t>
        </is>
      </c>
      <c r="AE513" s="22" t="n"/>
      <c r="AK513">
        <f>IF(AND(Screener!$B$7&lt;&gt;"",$E513=Screener!$B$7),1,0)</f>
        <v/>
      </c>
      <c r="AL513">
        <f>IF(AND(Screener!$B$6&lt;&gt;"",$D513=Screener!$B$6),1,0)</f>
        <v/>
      </c>
      <c r="AM513">
        <f>IF(OR($H513="",Screener!$B$8=""),0,MAX(0,1-ABS(LOG10($H513/Screener!$B$8))/W_SIZEHW))</f>
        <v/>
      </c>
      <c r="AN513">
        <f>IF(OR($V513="",Screener!$B$9=""),0,IF($V513=Screener!$B$9,1,0))</f>
        <v/>
      </c>
      <c r="AO513">
        <f>IF(OR($AA513="",Screener!$B$10=""),0,IF($AA513=Screener!$B$10,1,0))</f>
        <v/>
      </c>
      <c r="AP513">
        <f>IF($G513="",0,MAX(0,1-(Screener!$B$12-$G513)/W_RECD))</f>
        <v/>
      </c>
      <c r="AQ513">
        <f>IF($B513=Screener!$B$3,-999999,W_SUB*AK513+W_SEC*AL513*(1-AK513)+W_SIZE*AM513+W_PROF*AN513+W_AH*AO513+W_REC*AP513)+ROW()/1000000</f>
        <v/>
      </c>
      <c r="AR513">
        <f>IF(OR('NEW DEAL'!$B$6="",$E513&lt;&gt;'NEW DEAL'!$B$6),-1,1+IF(OR($H513="",'NEW DEAL'!$B$7=""),0,MAX(0,1-ABS(LOG10($H513/'NEW DEAL'!$B$7))/W_SIZEHW)))+ROW()/1000000</f>
        <v/>
      </c>
    </row>
    <row r="514">
      <c r="A514" s="23" t="inlineStr">
        <is>
          <t>3308</t>
        </is>
      </c>
      <c r="B514" s="22" t="inlineStr">
        <is>
          <t>ZJ INNOLIGHT</t>
        </is>
      </c>
      <c r="C514" s="22" t="n"/>
      <c r="D514" s="24" t="inlineStr">
        <is>
          <t>Tech/AI</t>
        </is>
      </c>
      <c r="E514" s="24" t="inlineStr">
        <is>
          <t>Smart hardware / consumer electronics</t>
        </is>
      </c>
      <c r="F514" s="22" t="inlineStr">
        <is>
          <t>Standard</t>
        </is>
      </c>
      <c r="G514" s="43" t="n">
        <v>46233</v>
      </c>
      <c r="H514" s="26" t="n">
        <v>53410</v>
      </c>
      <c r="I514" s="22" t="inlineStr">
        <is>
          <t>gross (stated)</t>
        </is>
      </c>
      <c r="J514" s="27" t="n"/>
      <c r="K514" s="27" t="n">
        <v>1010</v>
      </c>
      <c r="L514" s="44" t="n">
        <v>980</v>
      </c>
      <c r="M514" s="32" t="n"/>
      <c r="N514" s="29" t="inlineStr">
        <is>
          <t>N</t>
        </is>
      </c>
      <c r="O514" s="35" t="n"/>
      <c r="P514" s="46" t="n">
        <v>16.84</v>
      </c>
      <c r="Q514" s="31" t="n">
        <v>9.73</v>
      </c>
      <c r="R514" s="45" t="n">
        <v>-2.04</v>
      </c>
      <c r="S514" s="33" t="n">
        <v>50</v>
      </c>
      <c r="T514" s="32" t="n"/>
      <c r="U514" s="22" t="n"/>
      <c r="V514" s="22" t="n"/>
      <c r="W514" s="31" t="n"/>
      <c r="X514" s="31" t="n"/>
      <c r="Y514" s="35" t="n"/>
      <c r="Z514" s="35" t="n"/>
      <c r="AA514" s="22" t="inlineStr">
        <is>
          <t>Y</t>
        </is>
      </c>
      <c r="AB514" s="38" t="inlineStr">
        <is>
          <t>300308.SZ</t>
        </is>
      </c>
      <c r="AC514" s="22" t="n"/>
      <c r="AD514" s="22" t="n"/>
      <c r="AE514" s="22" t="n"/>
      <c r="AK514">
        <f>IF(AND(Screener!$B$7&lt;&gt;"",$E514=Screener!$B$7),1,0)</f>
        <v/>
      </c>
      <c r="AL514">
        <f>IF(AND(Screener!$B$6&lt;&gt;"",$D514=Screener!$B$6),1,0)</f>
        <v/>
      </c>
      <c r="AM514">
        <f>IF(OR($H514="",Screener!$B$8=""),0,MAX(0,1-ABS(LOG10($H514/Screener!$B$8))/W_SIZEHW))</f>
        <v/>
      </c>
      <c r="AN514">
        <f>IF(OR($V514="",Screener!$B$9=""),0,IF($V514=Screener!$B$9,1,0))</f>
        <v/>
      </c>
      <c r="AO514">
        <f>IF(OR($AA514="",Screener!$B$10=""),0,IF($AA514=Screener!$B$10,1,0))</f>
        <v/>
      </c>
      <c r="AP514">
        <f>IF($G514="",0,MAX(0,1-(Screener!$B$12-$G514)/W_RECD))</f>
        <v/>
      </c>
      <c r="AQ514">
        <f>IF($B514=Screener!$B$3,-999999,W_SUB*AK514+W_SEC*AL514*(1-AK514)+W_SIZE*AM514+W_PROF*AN514+W_AH*AO514+W_REC*AP514)+ROW()/1000000</f>
        <v/>
      </c>
      <c r="AR514">
        <f>IF(OR('NEW DEAL'!$B$6="",$E514&lt;&gt;'NEW DEAL'!$B$6),-1,1+IF(OR($H514="",'NEW DEAL'!$B$7=""),0,MAX(0,1-ABS(LOG10($H514/'NEW DEAL'!$B$7))/W_SIZEHW)))+ROW()/1000000</f>
        <v/>
      </c>
    </row>
    <row r="515">
      <c r="A515" s="23" t="inlineStr">
        <is>
          <t>2261</t>
        </is>
      </c>
      <c r="B515" s="22" t="inlineStr">
        <is>
          <t>NASN TECH</t>
        </is>
      </c>
      <c r="C515" s="22" t="n"/>
      <c r="D515" s="24" t="inlineStr">
        <is>
          <t>Consumer</t>
        </is>
      </c>
      <c r="E515" s="24" t="inlineStr">
        <is>
          <t>Auto parts / supply chain</t>
        </is>
      </c>
      <c r="F515" s="22" t="inlineStr">
        <is>
          <t>Standard</t>
        </is>
      </c>
      <c r="G515" s="43" t="n">
        <v>46241</v>
      </c>
      <c r="H515" s="26" t="n">
        <v>600.1</v>
      </c>
      <c r="I515" s="22" t="inlineStr">
        <is>
          <t>gross (price x shares)</t>
        </is>
      </c>
      <c r="J515" s="27" t="n"/>
      <c r="K515" s="27" t="n">
        <v>11.18</v>
      </c>
      <c r="L515" s="44" t="n">
        <v>10.42</v>
      </c>
      <c r="M515" s="32" t="n"/>
      <c r="N515" s="29" t="inlineStr">
        <is>
          <t>N</t>
        </is>
      </c>
      <c r="O515" s="26" t="n">
        <v>6199.7</v>
      </c>
      <c r="P515" s="46" t="n">
        <v>2513.54</v>
      </c>
      <c r="Q515" s="31" t="n">
        <v>2.12</v>
      </c>
      <c r="R515" s="45" t="n">
        <v>64.11</v>
      </c>
      <c r="S515" s="33" t="n">
        <v>0</v>
      </c>
      <c r="T515" s="32" t="n">
        <v>10.12</v>
      </c>
      <c r="U515" s="22" t="inlineStr">
        <is>
          <t>not-yet (at allotment)</t>
        </is>
      </c>
      <c r="V515" s="29" t="inlineStr">
        <is>
          <t>N</t>
        </is>
      </c>
      <c r="W515" s="31" t="n"/>
      <c r="X515" s="34" t="n">
        <v>9.199999999999999</v>
      </c>
      <c r="Y515" s="36" t="n">
        <v>676</v>
      </c>
      <c r="Z515" s="36" t="n">
        <v>-208.5</v>
      </c>
      <c r="AA515" s="22" t="n"/>
      <c r="AB515" s="22" t="n"/>
      <c r="AC515" s="22" t="inlineStr">
        <is>
          <t>Haitong International Capital Limited; BOCI Asia Limited</t>
        </is>
      </c>
      <c r="AD515" s="22" t="inlineStr">
        <is>
          <t>Haitong International Securities Company Limited; BOCI Asia Limited; SDIC Securities (Hong Kong) Limited; Orient Securities (Hong Kong) Limited; TradeMaster Securities (Hong Kong) Limited; SPDB International Capital Limited</t>
        </is>
      </c>
      <c r="AE515" s="22" t="n"/>
      <c r="AK515">
        <f>IF(AND(Screener!$B$7&lt;&gt;"",$E515=Screener!$B$7),1,0)</f>
        <v/>
      </c>
      <c r="AL515">
        <f>IF(AND(Screener!$B$6&lt;&gt;"",$D515=Screener!$B$6),1,0)</f>
        <v/>
      </c>
      <c r="AM515">
        <f>IF(OR($H515="",Screener!$B$8=""),0,MAX(0,1-ABS(LOG10($H515/Screener!$B$8))/W_SIZEHW))</f>
        <v/>
      </c>
      <c r="AN515">
        <f>IF(OR($V515="",Screener!$B$9=""),0,IF($V515=Screener!$B$9,1,0))</f>
        <v/>
      </c>
      <c r="AO515">
        <f>IF(OR($AA515="",Screener!$B$10=""),0,IF($AA515=Screener!$B$10,1,0))</f>
        <v/>
      </c>
      <c r="AP515">
        <f>IF($G515="",0,MAX(0,1-(Screener!$B$12-$G515)/W_RECD))</f>
        <v/>
      </c>
      <c r="AQ515">
        <f>IF($B515=Screener!$B$3,-999999,W_SUB*AK515+W_SEC*AL515*(1-AK515)+W_SIZE*AM515+W_PROF*AN515+W_AH*AO515+W_REC*AP515)+ROW()/1000000</f>
        <v/>
      </c>
      <c r="AR515">
        <f>IF(OR('NEW DEAL'!$B$6="",$E515&lt;&gt;'NEW DEAL'!$B$6),-1,1+IF(OR($H515="",'NEW DEAL'!$B$7=""),0,MAX(0,1-ABS(LOG10($H515/'NEW DEAL'!$B$7))/W_SIZEHW)))+ROW()/1000000</f>
        <v/>
      </c>
    </row>
  </sheetData>
  <autoFilter ref="A4:AE5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2" customWidth="1" min="3" max="3"/>
    <col width="12" customWidth="1" min="4" max="4"/>
    <col width="22" customWidth="1" min="5" max="5"/>
    <col width="13" customWidth="1" min="6" max="6"/>
    <col width="10" customWidth="1" min="7" max="7"/>
    <col width="10" customWidth="1" min="8" max="8"/>
    <col width="11" customWidth="1" min="9" max="9"/>
    <col width="11" customWidth="1" min="10" max="10"/>
    <col width="8" customWidth="1" min="11" max="11"/>
    <col width="7" customWidth="1" min="12" max="12"/>
    <col width="11" customWidth="1" min="13" max="13"/>
    <col width="26" customWidth="1" min="14" max="14"/>
    <col width="46" customWidth="1" min="15" max="15"/>
    <col width="40" customWidth="1" min="16" max="16"/>
  </cols>
  <sheetData>
    <row r="1">
      <c r="A1" s="1" t="inlineStr">
        <is>
          <t>ACTIVE PIPELINE</t>
        </is>
      </c>
    </row>
    <row r="2">
      <c r="A2" s="2" t="inlineStr">
        <is>
          <t>expected size/timing are INPUT-BLUE — update as terms firm up; screener reads columns D/E/F/J/K/L</t>
        </is>
      </c>
    </row>
    <row r="4">
      <c r="A4" s="22" t="inlineStr"/>
    </row>
    <row r="5">
      <c r="A5" s="14" t="inlineStr">
        <is>
          <t>Code</t>
        </is>
      </c>
      <c r="B5" s="14" t="inlineStr">
        <is>
          <t>Name</t>
        </is>
      </c>
      <c r="C5" s="14" t="inlineStr">
        <is>
          <t>Name (CN)</t>
        </is>
      </c>
      <c r="D5" s="14" t="inlineStr">
        <is>
          <t>Sector</t>
        </is>
      </c>
      <c r="E5" s="14" t="inlineStr">
        <is>
          <t>Subsector</t>
        </is>
      </c>
      <c r="F5" s="14" t="inlineStr">
        <is>
          <t>Expected size (HK$m)</t>
        </is>
      </c>
      <c r="G5" s="14" t="inlineStr">
        <is>
          <t>Size lo (US$m)</t>
        </is>
      </c>
      <c r="H5" s="14" t="inlineStr">
        <is>
          <t>Size hi (US$m)</t>
        </is>
      </c>
      <c r="I5" s="14" t="inlineStr">
        <is>
          <t>Status</t>
        </is>
      </c>
      <c r="J5" s="14" t="inlineStr">
        <is>
          <t>Expected timing</t>
        </is>
      </c>
      <c r="K5" s="14" t="inlineStr">
        <is>
          <t>Profitable</t>
        </is>
      </c>
      <c r="L5" s="14" t="inlineStr">
        <is>
          <t>H-share</t>
        </is>
      </c>
      <c r="M5" s="14" t="inlineStr">
        <is>
          <t>A-share code</t>
        </is>
      </c>
      <c r="N5" s="14" t="inlineStr">
        <is>
          <t>Sponsors</t>
        </is>
      </c>
      <c r="O5" s="14" t="inlineStr">
        <is>
          <t>Business</t>
        </is>
      </c>
      <c r="P5" s="14" t="inlineStr">
        <is>
          <t>Valuation notes</t>
        </is>
      </c>
    </row>
    <row r="6">
      <c r="A6" s="22" t="n"/>
      <c r="B6" s="22" t="inlineStr">
        <is>
          <t>Shein Group</t>
        </is>
      </c>
      <c r="C6" s="22" t="inlineStr">
        <is>
          <t>希音</t>
        </is>
      </c>
      <c r="D6" s="22" t="inlineStr">
        <is>
          <t>Tech/AI</t>
        </is>
      </c>
      <c r="E6" s="22" t="inlineStr">
        <is>
          <t>Internet platform / e-commerce</t>
        </is>
      </c>
      <c r="F6" s="6" t="n">
        <v>18720</v>
      </c>
      <c r="G6" s="6" t="n">
        <v>2000</v>
      </c>
      <c r="H6" s="6" t="n">
        <v>2800</v>
      </c>
      <c r="I6" s="5" t="inlineStr">
        <is>
          <t>PHIP</t>
        </is>
      </c>
      <c r="J6" s="5" t="inlineStr">
        <is>
          <t>2026-08-28 listing (expected)</t>
        </is>
      </c>
      <c r="K6" s="22" t="n"/>
      <c r="L6" s="22" t="inlineStr">
        <is>
          <t>N</t>
        </is>
      </c>
      <c r="M6" s="22" t="n"/>
      <c r="N6" s="22" t="inlineStr">
        <is>
          <t>Goldman Sachs; Morgan Stanley; J.P. Morgan</t>
        </is>
      </c>
      <c r="O6" s="22" t="n"/>
      <c r="P6" s="22" t="inlineStr">
        <is>
          <t>Targeting USD 30-40bn valuation (Reuters); syndicate pitching below USD 30bn to ~35bn per SCMP; far below the ~USD 100bn 2022 round. Existing shareholders may sell up to about half the deal.</t>
        </is>
      </c>
    </row>
    <row r="7">
      <c r="A7" s="22" t="n"/>
      <c r="B7" s="22" t="inlineStr">
        <is>
          <t>Xiaohongshu (RedNote)</t>
        </is>
      </c>
      <c r="C7" s="22" t="inlineStr">
        <is>
          <t>小红书</t>
        </is>
      </c>
      <c r="D7" s="22" t="inlineStr">
        <is>
          <t>Tech/AI</t>
        </is>
      </c>
      <c r="E7" s="22" t="inlineStr">
        <is>
          <t>Internet platform / e-commerce</t>
        </is>
      </c>
      <c r="F7" s="6" t="n"/>
      <c r="G7" s="6" t="n"/>
      <c r="H7" s="6" t="n"/>
      <c r="I7" s="5" t="inlineStr">
        <is>
          <t>A1 filed</t>
        </is>
      </c>
      <c r="J7" s="5" t="inlineStr">
        <is>
          <t>2026 H2, as early as year-end 2026</t>
        </is>
      </c>
      <c r="K7" s="22" t="n"/>
      <c r="L7" s="22" t="inlineStr">
        <is>
          <t>N</t>
        </is>
      </c>
      <c r="M7" s="22" t="n"/>
      <c r="N7" s="22" t="inlineStr">
        <is>
          <t>Goldman Sachs; CICC</t>
        </is>
      </c>
      <c r="O7" s="22" t="n"/>
      <c r="P7" s="22" t="inlineStr">
        <is>
          <t>Targeting &gt;USD 70bn valuation (WSJ via The Standard, 2026-06); above the ~USD 50bn seen in recent private secondary trades; would be one of HK's largest tech IPOs. Company publicly denied some IPO rumours amid compliance dispute (The Standard, 2026-07).</t>
        </is>
      </c>
    </row>
    <row r="8">
      <c r="A8" s="22" t="n"/>
      <c r="B8" s="22" t="inlineStr">
        <is>
          <t>AgiBot (AgiBot Innovation / Zhiyuan Robotics)</t>
        </is>
      </c>
      <c r="C8" s="22" t="inlineStr">
        <is>
          <t>智元机器人</t>
        </is>
      </c>
      <c r="D8" s="22" t="inlineStr">
        <is>
          <t>Tech/AI</t>
        </is>
      </c>
      <c r="E8" s="22" t="inlineStr">
        <is>
          <t>Robotics &amp; autonomous driving</t>
        </is>
      </c>
      <c r="F8" s="6" t="n">
        <v>7800</v>
      </c>
      <c r="G8" s="6" t="n">
        <v>1000</v>
      </c>
      <c r="H8" s="6" t="n">
        <v>1000</v>
      </c>
      <c r="I8" s="5" t="inlineStr">
        <is>
          <t>A1 filed</t>
        </is>
      </c>
      <c r="J8" s="5" t="inlineStr">
        <is>
          <t>2026 H2 (possibly as early as Aug-Sep 2026)</t>
        </is>
      </c>
      <c r="K8" s="22" t="n"/>
      <c r="L8" s="22" t="inlineStr">
        <is>
          <t>N</t>
        </is>
      </c>
      <c r="M8" s="22" t="n"/>
      <c r="N8" s="22" t="inlineStr">
        <is>
          <t>CITIC Securities; CICC; Morgan Stanley</t>
        </is>
      </c>
      <c r="O8" s="22" t="n"/>
      <c r="P8" s="22" t="inlineStr">
        <is>
          <t>Cornerstone/valuation target HK$40-50bn (~USD 5.1-6.4bn); plans to sell 15-25% of shares, potentially raising &gt;USD 1bn. Last private rounds valued it above RMB 20bn (~USD 3bn) per Caixin.</t>
        </is>
      </c>
    </row>
    <row r="9">
      <c r="A9" s="22" t="n"/>
      <c r="B9" s="22" t="inlineStr">
        <is>
          <t>Moonshot AI</t>
        </is>
      </c>
      <c r="C9" s="22" t="inlineStr">
        <is>
          <t>月之暗面</t>
        </is>
      </c>
      <c r="D9" s="22" t="inlineStr">
        <is>
          <t>Tech/AI</t>
        </is>
      </c>
      <c r="E9" s="22" t="inlineStr">
        <is>
          <t>LLM / foundation model</t>
        </is>
      </c>
      <c r="F9" s="6" t="n"/>
      <c r="G9" s="6" t="n"/>
      <c r="H9" s="6" t="n"/>
      <c r="I9" s="5" t="n"/>
      <c r="J9" s="5" t="inlineStr">
        <is>
          <t>filing 2026 H2; listing as early as end-2026</t>
        </is>
      </c>
      <c r="K9" s="22" t="n"/>
      <c r="L9" s="22" t="inlineStr">
        <is>
          <t>N</t>
        </is>
      </c>
      <c r="M9" s="22" t="n"/>
      <c r="N9" s="22" t="n"/>
      <c r="O9" s="22" t="n"/>
      <c r="P9" s="22" t="inlineStr">
        <is>
          <t>Closed USD 3.5bn round at USD 35bn valuation (Bloomberg, 2026-07-29), up from ~USD 4bn end-2025; in talks for a final pre-IPO round at USD 50bn pre-money (Bloomberg, 2026-07-21).</t>
        </is>
      </c>
    </row>
    <row r="10">
      <c r="A10" s="22" t="n"/>
      <c r="B10" s="22" t="inlineStr">
        <is>
          <t>Sungrow Power Supply</t>
        </is>
      </c>
      <c r="C10" s="22" t="inlineStr">
        <is>
          <t>阳光电源</t>
        </is>
      </c>
      <c r="D10" s="22" t="inlineStr">
        <is>
          <t>Industrials</t>
        </is>
      </c>
      <c r="E10" s="22" t="inlineStr">
        <is>
          <t>Solar / wind supply chain</t>
        </is>
      </c>
      <c r="F10" s="6" t="n"/>
      <c r="G10" s="6" t="n"/>
      <c r="H10" s="6" t="n"/>
      <c r="I10" s="5" t="inlineStr">
        <is>
          <t>A1 filed</t>
        </is>
      </c>
      <c r="J10" s="5" t="inlineStr">
        <is>
          <t>2026 H2 (application refiled Apr 2026, 6-month validity)</t>
        </is>
      </c>
      <c r="K10" s="22" t="n"/>
      <c r="L10" s="22" t="inlineStr">
        <is>
          <t>Y</t>
        </is>
      </c>
      <c r="M10" s="22" t="inlineStr">
        <is>
          <t>300274.SZ</t>
        </is>
      </c>
      <c r="N10" s="22" t="inlineStr">
        <is>
          <t>CICC</t>
        </is>
      </c>
      <c r="O10" s="22" t="n"/>
      <c r="P10" s="22" t="inlineStr">
        <is>
          <t>A-share market cap ~RMB 277-330bn (USD 40-47bn) in Apr 2026. Early reports cited a HK$987m (USD 126.7m) raise target from the Oct-2025 filing — treat with caution, small vs peers' A+H raises; no updated size disclosed on the Apr 2026 refiling.</t>
        </is>
      </c>
    </row>
    <row r="12">
      <c r="A12" s="2" t="inlineStr">
        <is>
          <t>HKD size = midpoint of US$ range × 7.8 where not explicitly reported (blue = editable).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4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0" customWidth="1" min="3" max="3"/>
    <col width="11" customWidth="1" min="4" max="4"/>
    <col width="10" customWidth="1" min="5" max="5"/>
    <col width="9" customWidth="1" min="6" max="6"/>
    <col width="11" customWidth="1" min="7" max="7"/>
    <col width="10" customWidth="1" min="8" max="8"/>
    <col width="10" customWidth="1" min="9" max="9"/>
    <col width="9" customWidth="1" min="10" max="10"/>
    <col width="11" customWidth="1" min="11" max="11"/>
    <col width="11" customWidth="1" min="12" max="12"/>
    <col width="34" customWidth="1" min="13" max="13"/>
  </cols>
  <sheetData>
    <row r="1">
      <c r="A1" s="1" t="inlineStr">
        <is>
          <t>A/H SPREAD MONITOR</t>
        </is>
      </c>
    </row>
    <row r="2">
      <c r="A2" s="2" t="inlineStr">
        <is>
          <t>premium = H×HKD ÷ (A×CNY→HKD) − 1 · + = H rich vs A · LIVE columns are Bloomberg BDP (work on the terminal only — mnemonics await terminal verify) · BLUE overrides beat live · snapshot column as of 2026-08-17</t>
        </is>
      </c>
    </row>
    <row r="4">
      <c r="A4" s="21" t="inlineStr">
        <is>
          <t>CNYHKD</t>
        </is>
      </c>
      <c r="B4" s="12">
        <f>BDP("CNYHKD Curncy","PX_LAST")</f>
        <v/>
      </c>
      <c r="C4" s="5" t="n"/>
      <c r="D4" s="49">
        <f>IF($C$4&lt;&gt;"",$C$4,$B$4)</f>
        <v/>
      </c>
      <c r="E4" s="2" t="inlineStr">
        <is>
          <t>live / override / effective</t>
        </is>
      </c>
    </row>
    <row r="6">
      <c r="A6" s="14" t="inlineStr">
        <is>
          <t>H code</t>
        </is>
      </c>
      <c r="B6" s="14" t="inlineStr">
        <is>
          <t>Name</t>
        </is>
      </c>
      <c r="C6" s="14" t="inlineStr">
        <is>
          <t>Subsector</t>
        </is>
      </c>
      <c r="D6" s="14" t="inlineStr">
        <is>
          <t>H live (BDP)</t>
        </is>
      </c>
      <c r="E6" s="14" t="inlineStr">
        <is>
          <t>H override</t>
        </is>
      </c>
      <c r="F6" s="14" t="inlineStr">
        <is>
          <t>H eff</t>
        </is>
      </c>
      <c r="G6" s="14" t="inlineStr">
        <is>
          <t>A code</t>
        </is>
      </c>
      <c r="H6" s="14" t="inlineStr">
        <is>
          <t>A live (BDP)</t>
        </is>
      </c>
      <c r="I6" s="14" t="inlineStr">
        <is>
          <t>A override</t>
        </is>
      </c>
      <c r="J6" s="14" t="inlineStr">
        <is>
          <t>A eff</t>
        </is>
      </c>
      <c r="K6" s="14" t="inlineStr">
        <is>
          <t>A/H premium</t>
        </is>
      </c>
      <c r="L6" s="14" t="inlineStr">
        <is>
          <t>Snapshot prem</t>
        </is>
      </c>
      <c r="M6" s="14" t="inlineStr">
        <is>
          <t>Note</t>
        </is>
      </c>
    </row>
    <row r="7">
      <c r="A7" s="50" t="inlineStr">
        <is>
          <t>6127</t>
        </is>
      </c>
      <c r="B7" s="4" t="inlineStr">
        <is>
          <t>JOINN</t>
        </is>
      </c>
      <c r="C7" s="4" t="inlineStr">
        <is>
          <t>CXO / pharma services</t>
        </is>
      </c>
      <c r="D7" s="51">
        <f>BDP("6127 HK Equity","PX_LAST")</f>
        <v/>
      </c>
      <c r="E7" s="7" t="n"/>
      <c r="F7" s="51">
        <f>IF($E7&lt;&gt;"",$E7,$D7)</f>
        <v/>
      </c>
      <c r="G7" s="4" t="inlineStr">
        <is>
          <t>603127.SS</t>
        </is>
      </c>
      <c r="H7" s="51">
        <f>BDP("603127 CH Equity","PX_LAST")</f>
        <v/>
      </c>
      <c r="I7" s="7" t="n"/>
      <c r="J7" s="51">
        <f>IF($I7&lt;&gt;"",$I7,$H7)</f>
        <v/>
      </c>
      <c r="K7" s="52">
        <f>IF(OR($F7="",$J7="",$D$4=""),"",$F7/($J7*$D$4)-1)</f>
        <v/>
      </c>
      <c r="L7" s="53" t="n">
        <v>-0.5799</v>
      </c>
      <c r="M7" s="2" t="inlineStr">
        <is>
          <t>H listed Feb 2021; CRO safety-evaluation leader</t>
        </is>
      </c>
    </row>
    <row r="8">
      <c r="A8" s="50" t="inlineStr">
        <is>
          <t>6821</t>
        </is>
      </c>
      <c r="B8" s="4" t="inlineStr">
        <is>
          <t>ASYMCHEM</t>
        </is>
      </c>
      <c r="C8" s="4" t="inlineStr">
        <is>
          <t>CXO / pharma services</t>
        </is>
      </c>
      <c r="D8" s="51">
        <f>BDP("6821 HK Equity","PX_LAST")</f>
        <v/>
      </c>
      <c r="E8" s="7" t="n"/>
      <c r="F8" s="51">
        <f>IF($E8&lt;&gt;"",$E8,$D8)</f>
        <v/>
      </c>
      <c r="G8" s="4" t="inlineStr">
        <is>
          <t>002821.SZ</t>
        </is>
      </c>
      <c r="H8" s="51">
        <f>BDP("002821 CH Equity","PX_LAST")</f>
        <v/>
      </c>
      <c r="I8" s="7" t="n"/>
      <c r="J8" s="51">
        <f>IF($I8&lt;&gt;"",$I8,$H8)</f>
        <v/>
      </c>
      <c r="K8" s="52">
        <f>IF(OR($F8="",$J8="",$D$4=""),"",$F8/($J8*$D$4)-1)</f>
        <v/>
      </c>
      <c r="L8" s="53" t="n">
        <v>-0.4258</v>
      </c>
      <c r="M8" s="2" t="inlineStr">
        <is>
          <t>H listed Dec 2021 (CDMO)</t>
        </is>
      </c>
    </row>
    <row r="9">
      <c r="A9" s="50" t="inlineStr">
        <is>
          <t>6680</t>
        </is>
      </c>
      <c r="B9" s="4" t="inlineStr">
        <is>
          <t>JLMAG</t>
        </is>
      </c>
      <c r="C9" s="4" t="inlineStr">
        <is>
          <t>Capital goods / machinery</t>
        </is>
      </c>
      <c r="D9" s="51">
        <f>BDP("6680 HK Equity","PX_LAST")</f>
        <v/>
      </c>
      <c r="E9" s="7" t="n"/>
      <c r="F9" s="51">
        <f>IF($E9&lt;&gt;"",$E9,$D9)</f>
        <v/>
      </c>
      <c r="G9" s="4" t="inlineStr">
        <is>
          <t>300748.SZ</t>
        </is>
      </c>
      <c r="H9" s="51">
        <f>BDP("300748 CH Equity","PX_LAST")</f>
        <v/>
      </c>
      <c r="I9" s="7" t="n"/>
      <c r="J9" s="51">
        <f>IF($I9&lt;&gt;"",$I9,$H9)</f>
        <v/>
      </c>
      <c r="K9" s="52">
        <f>IF(OR($F9="",$J9="",$D$4=""),"",$F9/($J9*$D$4)-1)</f>
        <v/>
      </c>
      <c r="L9" s="53" t="n">
        <v>-0.4669</v>
      </c>
      <c r="M9" s="2" t="inlineStr">
        <is>
          <t>H listed Jan 2022 (NdFeB magnets)</t>
        </is>
      </c>
    </row>
    <row r="10">
      <c r="A10" s="50" t="inlineStr">
        <is>
          <t>9696</t>
        </is>
      </c>
      <c r="B10" s="4" t="inlineStr">
        <is>
          <t>TIANQI LITHIUM</t>
        </is>
      </c>
      <c r="C10" s="4" t="inlineStr">
        <is>
          <t>Mining / metals</t>
        </is>
      </c>
      <c r="D10" s="51">
        <f>BDP("9696 HK Equity","PX_LAST")</f>
        <v/>
      </c>
      <c r="E10" s="7" t="n"/>
      <c r="F10" s="51">
        <f>IF($E10&lt;&gt;"",$E10,$D10)</f>
        <v/>
      </c>
      <c r="G10" s="4" t="inlineStr">
        <is>
          <t>002466.SZ</t>
        </is>
      </c>
      <c r="H10" s="51">
        <f>BDP("002466 CH Equity","PX_LAST")</f>
        <v/>
      </c>
      <c r="I10" s="7" t="n"/>
      <c r="J10" s="51">
        <f>IF($I10&lt;&gt;"",$I10,$H10)</f>
        <v/>
      </c>
      <c r="K10" s="52">
        <f>IF(OR($F10="",$J10="",$D$4=""),"",$F10/($J10*$D$4)-1)</f>
        <v/>
      </c>
      <c r="L10" s="53" t="n">
        <v>-0.3708</v>
      </c>
      <c r="M10" s="2" t="inlineStr">
        <is>
          <t>Jul 2022, ~US$1.7bn — largest HK IPO of 2022 at pricing</t>
        </is>
      </c>
    </row>
    <row r="11">
      <c r="A11" s="50" t="inlineStr">
        <is>
          <t>1880</t>
        </is>
      </c>
      <c r="B11" s="4" t="inlineStr">
        <is>
          <t>CTG DUTY-FREE</t>
        </is>
      </c>
      <c r="C11" s="4" t="inlineStr">
        <is>
          <t>Retail / distribution</t>
        </is>
      </c>
      <c r="D11" s="51">
        <f>BDP("1880 HK Equity","PX_LAST")</f>
        <v/>
      </c>
      <c r="E11" s="7" t="n"/>
      <c r="F11" s="51">
        <f>IF($E11&lt;&gt;"",$E11,$D11)</f>
        <v/>
      </c>
      <c r="G11" s="4" t="inlineStr">
        <is>
          <t>601888.SS</t>
        </is>
      </c>
      <c r="H11" s="51">
        <f>BDP("601888 CH Equity","PX_LAST")</f>
        <v/>
      </c>
      <c r="I11" s="7" t="n"/>
      <c r="J11" s="51">
        <f>IF($I11&lt;&gt;"",$I11,$H11)</f>
        <v/>
      </c>
      <c r="K11" s="52">
        <f>IF(OR($F11="",$J11="",$D$4=""),"",$F11/($J11*$D$4)-1)</f>
        <v/>
      </c>
      <c r="L11" s="53" t="n">
        <v>-0.21</v>
      </c>
      <c r="M11" s="2" t="inlineStr">
        <is>
          <t>Aug 2022, ~US$2.1bn H offering</t>
        </is>
      </c>
    </row>
    <row r="12">
      <c r="A12" s="50" t="inlineStr">
        <is>
          <t>2315</t>
        </is>
      </c>
      <c r="B12" s="4" t="inlineStr">
        <is>
          <t>BIOCYTOGEN-B</t>
        </is>
      </c>
      <c r="C12" s="4" t="inlineStr">
        <is>
          <t>Biotech pre-revenue (18A)</t>
        </is>
      </c>
      <c r="D12" s="51">
        <f>BDP("2315 HK Equity","PX_LAST")</f>
        <v/>
      </c>
      <c r="E12" s="7" t="n"/>
      <c r="F12" s="51">
        <f>IF($E12&lt;&gt;"",$E12,$D12)</f>
        <v/>
      </c>
      <c r="G12" s="4" t="inlineStr">
        <is>
          <t>688796.SS</t>
        </is>
      </c>
      <c r="H12" s="51">
        <f>BDP("688796 CH Equity","PX_LAST")</f>
        <v/>
      </c>
      <c r="I12" s="7" t="n"/>
      <c r="J12" s="51">
        <f>IF($I12&lt;&gt;"",$I12,$H12)</f>
        <v/>
      </c>
      <c r="K12" s="52">
        <f>IF(OR($F12="",$J12="",$D$4=""),"",$F12/($J12*$D$4)-1)</f>
        <v/>
      </c>
      <c r="L12" s="53" t="n">
        <v>-0.6004</v>
      </c>
      <c r="M12" s="2" t="inlineStr">
        <is>
          <t>H first (2022), STAR A-listing followed — now A+H</t>
        </is>
      </c>
    </row>
    <row r="13">
      <c r="A13" s="50" t="inlineStr">
        <is>
          <t>2402</t>
        </is>
      </c>
      <c r="B13" s="4" t="inlineStr">
        <is>
          <t>SINOHYTEC</t>
        </is>
      </c>
      <c r="C13" s="4" t="inlineStr">
        <is>
          <t>Batteries / energy storage</t>
        </is>
      </c>
      <c r="D13" s="51">
        <f>BDP("2402 HK Equity","PX_LAST")</f>
        <v/>
      </c>
      <c r="E13" s="7" t="n"/>
      <c r="F13" s="51">
        <f>IF($E13&lt;&gt;"",$E13,$D13)</f>
        <v/>
      </c>
      <c r="G13" s="4" t="inlineStr">
        <is>
          <t>688339.SS</t>
        </is>
      </c>
      <c r="H13" s="51">
        <f>BDP("688339 CH Equity","PX_LAST")</f>
        <v/>
      </c>
      <c r="I13" s="7" t="n"/>
      <c r="J13" s="51">
        <f>IF($I13&lt;&gt;"",$I13,$H13)</f>
        <v/>
      </c>
      <c r="K13" s="52">
        <f>IF(OR($F13="",$J13="",$D$4=""),"",$F13/($J13*$D$4)-1)</f>
        <v/>
      </c>
      <c r="L13" s="53" t="n">
        <v>-0.3644</v>
      </c>
      <c r="M13" s="2" t="inlineStr">
        <is>
          <t>H listed Jan 2023 (hydrogen fuel cells); A+H on STAR</t>
        </is>
      </c>
    </row>
    <row r="14">
      <c r="A14" s="50" t="inlineStr">
        <is>
          <t>0300</t>
        </is>
      </c>
      <c r="B14" s="4" t="inlineStr">
        <is>
          <t>MIDEA GROUP</t>
        </is>
      </c>
      <c r="C14" s="4" t="inlineStr">
        <is>
          <t>Smart hardware / consumer electronics</t>
        </is>
      </c>
      <c r="D14" s="51">
        <f>BDP("300 HK Equity","PX_LAST")</f>
        <v/>
      </c>
      <c r="E14" s="7" t="n"/>
      <c r="F14" s="51">
        <f>IF($E14&lt;&gt;"",$E14,$D14)</f>
        <v/>
      </c>
      <c r="G14" s="4" t="inlineStr">
        <is>
          <t>000333.SZ</t>
        </is>
      </c>
      <c r="H14" s="51">
        <f>BDP("000333 CH Equity","PX_LAST")</f>
        <v/>
      </c>
      <c r="I14" s="7" t="n"/>
      <c r="J14" s="51">
        <f>IF($I14&lt;&gt;"",$I14,$H14)</f>
        <v/>
      </c>
      <c r="K14" s="52">
        <f>IF(OR($F14="",$J14="",$D$4=""),"",$F14/($J14*$D$4)-1)</f>
        <v/>
      </c>
      <c r="L14" s="53" t="n">
        <v>-0.0075</v>
      </c>
      <c r="M14" s="2" t="inlineStr">
        <is>
          <t>Sep 2024, ~US$4.0bn+greenshoe — the deal that opened the A-to-H wave; H priced at a double-digit discount to A</t>
        </is>
      </c>
    </row>
    <row r="15">
      <c r="A15" s="50" t="inlineStr">
        <is>
          <t>2465</t>
        </is>
      </c>
      <c r="B15" s="4" t="inlineStr">
        <is>
          <t>LOPAL TECH</t>
        </is>
      </c>
      <c r="C15" s="4" t="inlineStr">
        <is>
          <t>Batteries / energy storage</t>
        </is>
      </c>
      <c r="D15" s="51">
        <f>BDP("2465 HK Equity","PX_LAST")</f>
        <v/>
      </c>
      <c r="E15" s="7" t="n"/>
      <c r="F15" s="51">
        <f>IF($E15&lt;&gt;"",$E15,$D15)</f>
        <v/>
      </c>
      <c r="G15" s="4" t="inlineStr">
        <is>
          <t>603906.SS</t>
        </is>
      </c>
      <c r="H15" s="51">
        <f>BDP("603906 CH Equity","PX_LAST")</f>
        <v/>
      </c>
      <c r="I15" s="7" t="n"/>
      <c r="J15" s="51">
        <f>IF($I15&lt;&gt;"",$I15,$H15)</f>
        <v/>
      </c>
      <c r="K15" s="52">
        <f>IF(OR($F15="",$J15="",$D$4=""),"",$F15/($J15*$D$4)-1)</f>
        <v/>
      </c>
      <c r="L15" s="53" t="n">
        <v>-0.5701000000000001</v>
      </c>
      <c r="M15" s="2" t="inlineStr">
        <is>
          <t>Oct 2024 H listing (LFP cathode/adblue)</t>
        </is>
      </c>
    </row>
    <row r="16">
      <c r="A16" s="50" t="inlineStr">
        <is>
          <t>6936</t>
        </is>
      </c>
      <c r="B16" s="4" t="inlineStr">
        <is>
          <t>SF HOLDING</t>
        </is>
      </c>
      <c r="C16" s="4" t="inlineStr">
        <is>
          <t>Logistics</t>
        </is>
      </c>
      <c r="D16" s="51">
        <f>BDP("6936 HK Equity","PX_LAST")</f>
        <v/>
      </c>
      <c r="E16" s="7" t="n"/>
      <c r="F16" s="51">
        <f>IF($E16&lt;&gt;"",$E16,$D16)</f>
        <v/>
      </c>
      <c r="G16" s="4" t="inlineStr">
        <is>
          <t>002352.SZ</t>
        </is>
      </c>
      <c r="H16" s="51">
        <f>BDP("002352 CH Equity","PX_LAST")</f>
        <v/>
      </c>
      <c r="I16" s="7" t="n"/>
      <c r="J16" s="51">
        <f>IF($I16&lt;&gt;"",$I16,$H16)</f>
        <v/>
      </c>
      <c r="K16" s="52">
        <f>IF(OR($F16="",$J16="",$D$4=""),"",$F16/($J16*$D$4)-1)</f>
        <v/>
      </c>
      <c r="L16" s="53" t="n">
        <v>-0.1544</v>
      </c>
      <c r="M16" s="2" t="inlineStr">
        <is>
          <t>Nov 2024, ~US$750m; first A+H express logistics name</t>
        </is>
      </c>
    </row>
    <row r="17">
      <c r="A17" s="50" t="inlineStr">
        <is>
          <t>6693</t>
        </is>
      </c>
      <c r="B17" s="4" t="inlineStr">
        <is>
          <t>CHIFENG GOLD</t>
        </is>
      </c>
      <c r="C17" s="4" t="inlineStr">
        <is>
          <t>Mining / metals</t>
        </is>
      </c>
      <c r="D17" s="51">
        <f>BDP("6693 HK Equity","PX_LAST")</f>
        <v/>
      </c>
      <c r="E17" s="7" t="n"/>
      <c r="F17" s="51">
        <f>IF($E17&lt;&gt;"",$E17,$D17)</f>
        <v/>
      </c>
      <c r="G17" s="4" t="inlineStr">
        <is>
          <t>600988.SS</t>
        </is>
      </c>
      <c r="H17" s="51">
        <f>BDP("600988 CH Equity","PX_LAST")</f>
        <v/>
      </c>
      <c r="I17" s="7" t="n"/>
      <c r="J17" s="51">
        <f>IF($I17&lt;&gt;"",$I17,$H17)</f>
        <v/>
      </c>
      <c r="K17" s="52">
        <f>IF(OR($F17="",$J17="",$D$4=""),"",$F17/($J17*$D$4)-1)</f>
        <v/>
      </c>
      <c r="L17" s="53" t="n">
        <v>-0.2007</v>
      </c>
      <c r="M17" s="2" t="inlineStr">
        <is>
          <t>Mar 2025 H listing (gold miner)</t>
        </is>
      </c>
    </row>
    <row r="18">
      <c r="A18" s="50" t="inlineStr">
        <is>
          <t>2865</t>
        </is>
      </c>
      <c r="B18" s="4" t="inlineStr">
        <is>
          <t>DRINDA</t>
        </is>
      </c>
      <c r="C18" s="4" t="inlineStr">
        <is>
          <t>Solar / wind supply chain</t>
        </is>
      </c>
      <c r="D18" s="51">
        <f>BDP("2865 HK Equity","PX_LAST")</f>
        <v/>
      </c>
      <c r="E18" s="7" t="n"/>
      <c r="F18" s="51">
        <f>IF($E18&lt;&gt;"",$E18,$D18)</f>
        <v/>
      </c>
      <c r="G18" s="4" t="inlineStr">
        <is>
          <t>002865.SZ</t>
        </is>
      </c>
      <c r="H18" s="51">
        <f>BDP("002865 CH Equity","PX_LAST")</f>
        <v/>
      </c>
      <c r="I18" s="7" t="n"/>
      <c r="J18" s="51">
        <f>IF($I18&lt;&gt;"",$I18,$H18)</f>
        <v/>
      </c>
      <c r="K18" s="52">
        <f>IF(OR($F18="",$J18="",$D$4=""),"",$F18/($J18*$D$4)-1)</f>
        <v/>
      </c>
      <c r="L18" s="53" t="n">
        <v>-0.654</v>
      </c>
      <c r="M18" s="2" t="inlineStr">
        <is>
          <t>May 2025 H listing (TOPCon solar cells)</t>
        </is>
      </c>
    </row>
    <row r="19">
      <c r="A19" s="50" t="inlineStr">
        <is>
          <t>3750</t>
        </is>
      </c>
      <c r="B19" s="4" t="inlineStr">
        <is>
          <t>CATL</t>
        </is>
      </c>
      <c r="C19" s="4" t="inlineStr">
        <is>
          <t>Batteries / energy storage</t>
        </is>
      </c>
      <c r="D19" s="51">
        <f>BDP("3750 HK Equity","PX_LAST")</f>
        <v/>
      </c>
      <c r="E19" s="7" t="n"/>
      <c r="F19" s="51">
        <f>IF($E19&lt;&gt;"",$E19,$D19)</f>
        <v/>
      </c>
      <c r="G19" s="4" t="inlineStr">
        <is>
          <t>300750.SZ</t>
        </is>
      </c>
      <c r="H19" s="51">
        <f>BDP("300750 CH Equity","PX_LAST")</f>
        <v/>
      </c>
      <c r="I19" s="7" t="n"/>
      <c r="J19" s="51">
        <f>IF($I19&lt;&gt;"",$I19,$H19)</f>
        <v/>
      </c>
      <c r="K19" s="52">
        <f>IF(OR($F19="",$J19="",$D$4=""),"",$F19/($J19*$D$4)-1)</f>
        <v/>
      </c>
      <c r="L19" s="53" t="n">
        <v>0.3993</v>
      </c>
      <c r="M19" s="2" t="inlineStr">
        <is>
          <t>May 2025, ~US$4.6bn (US$5.3bn w/ shoe) — world's largest listing of 2025; H priced at a slim discount to A and surged on debut</t>
        </is>
      </c>
    </row>
    <row r="20">
      <c r="A20" s="50" t="inlineStr">
        <is>
          <t>1276</t>
        </is>
      </c>
      <c r="B20" s="4" t="inlineStr">
        <is>
          <t>HENGRUI PHARMA</t>
        </is>
      </c>
      <c r="C20" s="4" t="inlineStr">
        <is>
          <t>Biopharma commercial</t>
        </is>
      </c>
      <c r="D20" s="51">
        <f>BDP("1276 HK Equity","PX_LAST")</f>
        <v/>
      </c>
      <c r="E20" s="7" t="n"/>
      <c r="F20" s="51">
        <f>IF($E20&lt;&gt;"",$E20,$D20)</f>
        <v/>
      </c>
      <c r="G20" s="4" t="inlineStr">
        <is>
          <t>600276.SS</t>
        </is>
      </c>
      <c r="H20" s="51">
        <f>BDP("600276 CH Equity","PX_LAST")</f>
        <v/>
      </c>
      <c r="I20" s="7" t="n"/>
      <c r="J20" s="51">
        <f>IF($I20&lt;&gt;"",$I20,$H20)</f>
        <v/>
      </c>
      <c r="K20" s="52">
        <f>IF(OR($F20="",$J20="",$D$4=""),"",$F20/($J20*$D$4)-1)</f>
        <v/>
      </c>
      <c r="L20" s="53" t="n">
        <v>-0.1378</v>
      </c>
      <c r="M20" s="2" t="inlineStr">
        <is>
          <t>May 2025, raised ~HK$9.9bn (~US$1.3bn)</t>
        </is>
      </c>
    </row>
    <row r="21">
      <c r="A21" s="50" t="inlineStr">
        <is>
          <t>2603</t>
        </is>
      </c>
      <c r="B21" s="4" t="inlineStr">
        <is>
          <t>JIHONG CO</t>
        </is>
      </c>
      <c r="C21" s="4" t="inlineStr">
        <is>
          <t>Internet platform / e-commerce</t>
        </is>
      </c>
      <c r="D21" s="51">
        <f>BDP("2603 HK Equity","PX_LAST")</f>
        <v/>
      </c>
      <c r="E21" s="7" t="n"/>
      <c r="F21" s="51">
        <f>IF($E21&lt;&gt;"",$E21,$D21)</f>
        <v/>
      </c>
      <c r="G21" s="4" t="inlineStr">
        <is>
          <t>002803.SZ</t>
        </is>
      </c>
      <c r="H21" s="51">
        <f>BDP("002803 CH Equity","PX_LAST")</f>
        <v/>
      </c>
      <c r="I21" s="7" t="n"/>
      <c r="J21" s="51">
        <f>IF($I21&lt;&gt;"",$I21,$H21)</f>
        <v/>
      </c>
      <c r="K21" s="52">
        <f>IF(OR($F21="",$J21="",$D$4=""),"",$F21/($J21*$D$4)-1)</f>
        <v/>
      </c>
      <c r="L21" s="53" t="n">
        <v>-0.457</v>
      </c>
      <c r="M21" s="2" t="inlineStr">
        <is>
          <t>May 2025 H listing (packaging + cross-border e-commerce)</t>
        </is>
      </c>
    </row>
    <row r="22">
      <c r="A22" s="50" t="inlineStr">
        <is>
          <t>3288</t>
        </is>
      </c>
      <c r="B22" s="4" t="inlineStr">
        <is>
          <t>HAITIAN FLAV</t>
        </is>
      </c>
      <c r="C22" s="4" t="inlineStr">
        <is>
          <t>Beverages / packaged food</t>
        </is>
      </c>
      <c r="D22" s="51">
        <f>BDP("3288 HK Equity","PX_LAST")</f>
        <v/>
      </c>
      <c r="E22" s="7" t="n"/>
      <c r="F22" s="51">
        <f>IF($E22&lt;&gt;"",$E22,$D22)</f>
        <v/>
      </c>
      <c r="G22" s="4" t="inlineStr">
        <is>
          <t>603288.SS</t>
        </is>
      </c>
      <c r="H22" s="51">
        <f>BDP("603288 CH Equity","PX_LAST")</f>
        <v/>
      </c>
      <c r="I22" s="7" t="n"/>
      <c r="J22" s="51">
        <f>IF($I22&lt;&gt;"",$I22,$H22)</f>
        <v/>
      </c>
      <c r="K22" s="52">
        <f>IF(OR($F22="",$J22="",$D$4=""),"",$F22/($J22*$D$4)-1)</f>
        <v/>
      </c>
      <c r="L22" s="53" t="n">
        <v>-0.2285</v>
      </c>
      <c r="M22" s="2" t="inlineStr">
        <is>
          <t>Jun 2025, ~US$1.3bn; condiments leader</t>
        </is>
      </c>
    </row>
    <row r="23">
      <c r="A23" s="50" t="inlineStr">
        <is>
          <t>2050</t>
        </is>
      </c>
      <c r="B23" s="4" t="inlineStr">
        <is>
          <t>SANHUA</t>
        </is>
      </c>
      <c r="C23" s="4" t="inlineStr">
        <is>
          <t>Auto parts / supply chain</t>
        </is>
      </c>
      <c r="D23" s="51">
        <f>BDP("2050 HK Equity","PX_LAST")</f>
        <v/>
      </c>
      <c r="E23" s="7" t="n"/>
      <c r="F23" s="51">
        <f>IF($E23&lt;&gt;"",$E23,$D23)</f>
        <v/>
      </c>
      <c r="G23" s="4" t="inlineStr">
        <is>
          <t>002050.SZ</t>
        </is>
      </c>
      <c r="H23" s="51">
        <f>BDP("002050 CH Equity","PX_LAST")</f>
        <v/>
      </c>
      <c r="I23" s="7" t="n"/>
      <c r="J23" s="51">
        <f>IF($I23&lt;&gt;"",$I23,$H23)</f>
        <v/>
      </c>
      <c r="K23" s="52">
        <f>IF(OR($F23="",$J23="",$D$4=""),"",$F23/($J23*$D$4)-1)</f>
        <v/>
      </c>
      <c r="L23" s="53" t="n">
        <v>-0.4135</v>
      </c>
      <c r="M23" s="2" t="inlineStr">
        <is>
          <t>Jun 2025 H listing (thermal management/humanoid actuators)</t>
        </is>
      </c>
    </row>
    <row r="24">
      <c r="A24" s="50" t="inlineStr">
        <is>
          <t>2648</t>
        </is>
      </c>
      <c r="B24" s="4" t="inlineStr">
        <is>
          <t>ANJOY FOOD</t>
        </is>
      </c>
      <c r="C24" s="4" t="inlineStr">
        <is>
          <t>Beverages / packaged food</t>
        </is>
      </c>
      <c r="D24" s="51">
        <f>BDP("2648 HK Equity","PX_LAST")</f>
        <v/>
      </c>
      <c r="E24" s="7" t="n"/>
      <c r="F24" s="51">
        <f>IF($E24&lt;&gt;"",$E24,$D24)</f>
        <v/>
      </c>
      <c r="G24" s="4" t="inlineStr">
        <is>
          <t>603345.SS</t>
        </is>
      </c>
      <c r="H24" s="51">
        <f>BDP("603345 CH Equity","PX_LAST")</f>
        <v/>
      </c>
      <c r="I24" s="7" t="n"/>
      <c r="J24" s="51">
        <f>IF($I24&lt;&gt;"",$I24,$H24)</f>
        <v/>
      </c>
      <c r="K24" s="52">
        <f>IF(OR($F24="",$J24="",$D$4=""),"",$F24/($J24*$D$4)-1)</f>
        <v/>
      </c>
      <c r="L24" s="53" t="n">
        <v>-0.2882</v>
      </c>
      <c r="M24" s="2" t="inlineStr">
        <is>
          <t>Jul 2025 H listing (frozen foods)</t>
        </is>
      </c>
    </row>
    <row r="25">
      <c r="A25" s="50" t="inlineStr">
        <is>
          <t>1304</t>
        </is>
      </c>
      <c r="B25" s="4" t="inlineStr">
        <is>
          <t>FORTIOR</t>
        </is>
      </c>
      <c r="C25" s="4" t="inlineStr">
        <is>
          <t>AI chips &amp; semis</t>
        </is>
      </c>
      <c r="D25" s="51">
        <f>BDP("1304 HK Equity","PX_LAST")</f>
        <v/>
      </c>
      <c r="E25" s="7" t="n"/>
      <c r="F25" s="51">
        <f>IF($E25&lt;&gt;"",$E25,$D25)</f>
        <v/>
      </c>
      <c r="G25" s="4" t="inlineStr">
        <is>
          <t>688279.SS</t>
        </is>
      </c>
      <c r="H25" s="51">
        <f>BDP("688279 CH Equity","PX_LAST")</f>
        <v/>
      </c>
      <c r="I25" s="7" t="n"/>
      <c r="J25" s="51">
        <f>IF($I25&lt;&gt;"",$I25,$H25)</f>
        <v/>
      </c>
      <c r="K25" s="52">
        <f>IF(OR($F25="",$J25="",$D$4=""),"",$F25/($J25*$D$4)-1)</f>
        <v/>
      </c>
      <c r="L25" s="53" t="n">
        <v>-0.4318</v>
      </c>
      <c r="M25" s="2" t="inlineStr">
        <is>
          <t>Jul 2025 H listing (BLDC motor-driver chips)</t>
        </is>
      </c>
    </row>
    <row r="26">
      <c r="A26" s="50" t="inlineStr">
        <is>
          <t>6613</t>
        </is>
      </c>
      <c r="B26" s="4" t="inlineStr">
        <is>
          <t>LENS</t>
        </is>
      </c>
      <c r="C26" s="4" t="inlineStr">
        <is>
          <t>Smart hardware / consumer electronics</t>
        </is>
      </c>
      <c r="D26" s="51">
        <f>BDP("6613 HK Equity","PX_LAST")</f>
        <v/>
      </c>
      <c r="E26" s="7" t="n"/>
      <c r="F26" s="51">
        <f>IF($E26&lt;&gt;"",$E26,$D26)</f>
        <v/>
      </c>
      <c r="G26" s="4" t="inlineStr">
        <is>
          <t>300433.SZ</t>
        </is>
      </c>
      <c r="H26" s="51">
        <f>BDP("300433 CH Equity","PX_LAST")</f>
        <v/>
      </c>
      <c r="I26" s="7" t="n"/>
      <c r="J26" s="51">
        <f>IF($I26&lt;&gt;"",$I26,$H26)</f>
        <v/>
      </c>
      <c r="K26" s="52">
        <f>IF(OR($F26="",$J26="",$D$4=""),"",$F26/($J26*$D$4)-1)</f>
        <v/>
      </c>
      <c r="L26" s="53" t="n">
        <v>-0.4581</v>
      </c>
      <c r="M26" s="2" t="inlineStr">
        <is>
          <t>Jul 2025 H listing (cover glass, Apple chain)</t>
        </is>
      </c>
    </row>
    <row r="27">
      <c r="A27" s="50" t="inlineStr">
        <is>
          <t>2631</t>
        </is>
      </c>
      <c r="B27" s="4" t="inlineStr">
        <is>
          <t>SICC</t>
        </is>
      </c>
      <c r="C27" s="4" t="inlineStr">
        <is>
          <t>AI chips &amp; semis</t>
        </is>
      </c>
      <c r="D27" s="51">
        <f>BDP("2631 HK Equity","PX_LAST")</f>
        <v/>
      </c>
      <c r="E27" s="7" t="n"/>
      <c r="F27" s="51">
        <f>IF($E27&lt;&gt;"",$E27,$D27)</f>
        <v/>
      </c>
      <c r="G27" s="4" t="inlineStr">
        <is>
          <t>688234.SS</t>
        </is>
      </c>
      <c r="H27" s="51">
        <f>BDP("688234 CH Equity","PX_LAST")</f>
        <v/>
      </c>
      <c r="I27" s="7" t="n"/>
      <c r="J27" s="51">
        <f>IF($I27&lt;&gt;"",$I27,$H27)</f>
        <v/>
      </c>
      <c r="K27" s="52">
        <f>IF(OR($F27="",$J27="",$D$4=""),"",$F27/($J27*$D$4)-1)</f>
        <v/>
      </c>
      <c r="L27" s="53" t="n">
        <v>-0.368</v>
      </c>
      <c r="M27" s="2" t="inlineStr">
        <is>
          <t>Aug 2025 H listing (SiC substrates)</t>
        </is>
      </c>
    </row>
    <row r="28">
      <c r="A28" s="50" t="inlineStr">
        <is>
          <t>0638</t>
        </is>
      </c>
      <c r="B28" s="4" t="inlineStr">
        <is>
          <t>FIBOCOM</t>
        </is>
      </c>
      <c r="C28" s="4" t="inlineStr">
        <is>
          <t>Smart hardware / consumer electronics</t>
        </is>
      </c>
      <c r="D28" s="51">
        <f>BDP("638 HK Equity","PX_LAST")</f>
        <v/>
      </c>
      <c r="E28" s="7" t="n"/>
      <c r="F28" s="51">
        <f>IF($E28&lt;&gt;"",$E28,$D28)</f>
        <v/>
      </c>
      <c r="G28" s="4" t="inlineStr">
        <is>
          <t>300638.SZ</t>
        </is>
      </c>
      <c r="H28" s="51">
        <f>BDP("300638 CH Equity","PX_LAST")</f>
        <v/>
      </c>
      <c r="I28" s="7" t="n"/>
      <c r="J28" s="51">
        <f>IF($I28&lt;&gt;"",$I28,$H28)</f>
        <v/>
      </c>
      <c r="K28" s="52">
        <f>IF(OR($F28="",$J28="",$D$4=""),"",$F28/($J28*$D$4)-1)</f>
        <v/>
      </c>
      <c r="L28" s="53" t="n">
        <v>-0.6618000000000001</v>
      </c>
      <c r="M28" s="2" t="inlineStr">
        <is>
          <t>Oct 2025 H listing (IoT wireless modules)</t>
        </is>
      </c>
    </row>
    <row r="29">
      <c r="A29" s="50" t="inlineStr">
        <is>
          <t>6031</t>
        </is>
      </c>
      <c r="B29" s="4" t="inlineStr">
        <is>
          <t>SANY HEAVY IND</t>
        </is>
      </c>
      <c r="C29" s="4" t="inlineStr">
        <is>
          <t>Capital goods / machinery</t>
        </is>
      </c>
      <c r="D29" s="51">
        <f>BDP("6031 HK Equity","PX_LAST")</f>
        <v/>
      </c>
      <c r="E29" s="7" t="n"/>
      <c r="F29" s="51">
        <f>IF($E29&lt;&gt;"",$E29,$D29)</f>
        <v/>
      </c>
      <c r="G29" s="4" t="inlineStr">
        <is>
          <t>600031.SS</t>
        </is>
      </c>
      <c r="H29" s="51">
        <f>BDP("600031 CH Equity","PX_LAST")</f>
        <v/>
      </c>
      <c r="I29" s="7" t="n"/>
      <c r="J29" s="51">
        <f>IF($I29&lt;&gt;"",$I29,$H29)</f>
        <v/>
      </c>
      <c r="K29" s="52">
        <f>IF(OR($F29="",$J29="",$D$4=""),"",$F29/($J29*$D$4)-1)</f>
        <v/>
      </c>
      <c r="L29" s="53" t="n">
        <v>-0.1595</v>
      </c>
      <c r="M29" s="2" t="inlineStr">
        <is>
          <t>Oct 2025, ~US$1.72bn</t>
        </is>
      </c>
    </row>
    <row r="30">
      <c r="A30" s="50" t="inlineStr">
        <is>
          <t>6166</t>
        </is>
      </c>
      <c r="B30" s="4" t="inlineStr">
        <is>
          <t>CIG</t>
        </is>
      </c>
      <c r="C30" s="4" t="inlineStr">
        <is>
          <t>Smart hardware / consumer electronics</t>
        </is>
      </c>
      <c r="D30" s="51">
        <f>BDP("6166 HK Equity","PX_LAST")</f>
        <v/>
      </c>
      <c r="E30" s="7" t="n"/>
      <c r="F30" s="51">
        <f>IF($E30&lt;&gt;"",$E30,$D30)</f>
        <v/>
      </c>
      <c r="G30" s="4" t="inlineStr">
        <is>
          <t>603083.SS</t>
        </is>
      </c>
      <c r="H30" s="51">
        <f>BDP("603083 CH Equity","PX_LAST")</f>
        <v/>
      </c>
      <c r="I30" s="7" t="n"/>
      <c r="J30" s="51">
        <f>IF($I30&lt;&gt;"",$I30,$H30)</f>
        <v/>
      </c>
      <c r="K30" s="52">
        <f>IF(OR($F30="",$J30="",$D$4=""),"",$F30/($J30*$D$4)-1)</f>
        <v/>
      </c>
      <c r="L30" s="53" t="n">
        <v>-0.5368000000000001</v>
      </c>
      <c r="M30" s="2" t="inlineStr">
        <is>
          <t>Oct 2025 H listing (telecom/AI networking hardware)</t>
        </is>
      </c>
    </row>
    <row r="31">
      <c r="A31" s="50" t="inlineStr">
        <is>
          <t>9927</t>
        </is>
      </c>
      <c r="B31" s="4" t="inlineStr">
        <is>
          <t>SERES</t>
        </is>
      </c>
      <c r="C31" s="4" t="inlineStr">
        <is>
          <t>Autos (NEV OEM)</t>
        </is>
      </c>
      <c r="D31" s="51">
        <f>BDP("9927 HK Equity","PX_LAST")</f>
        <v/>
      </c>
      <c r="E31" s="7" t="n"/>
      <c r="F31" s="51">
        <f>IF($E31&lt;&gt;"",$E31,$D31)</f>
        <v/>
      </c>
      <c r="G31" s="4" t="inlineStr">
        <is>
          <t>601127.SS</t>
        </is>
      </c>
      <c r="H31" s="51">
        <f>BDP("601127 CH Equity","PX_LAST")</f>
        <v/>
      </c>
      <c r="I31" s="7" t="n"/>
      <c r="J31" s="51">
        <f>IF($I31&lt;&gt;"",$I31,$H31)</f>
        <v/>
      </c>
      <c r="K31" s="52">
        <f>IF(OR($F31="",$J31="",$D$4=""),"",$F31/($J31*$D$4)-1)</f>
        <v/>
      </c>
      <c r="L31" s="53" t="n">
        <v>-0.3297</v>
      </c>
      <c r="M31" s="2" t="inlineStr">
        <is>
          <t>Nov 2025, HK$14.28bn (~US$1.8bn) — 3rd-largest HK IPO of 2025; flat debut</t>
        </is>
      </c>
    </row>
    <row r="32">
      <c r="A32" s="50" t="inlineStr">
        <is>
          <t>0699</t>
        </is>
      </c>
      <c r="B32" s="4" t="inlineStr">
        <is>
          <t>JOYSON ELEC</t>
        </is>
      </c>
      <c r="C32" s="4" t="inlineStr">
        <is>
          <t>Auto parts / supply chain</t>
        </is>
      </c>
      <c r="D32" s="51">
        <f>BDP("699 HK Equity","PX_LAST")</f>
        <v/>
      </c>
      <c r="E32" s="7" t="n"/>
      <c r="F32" s="51">
        <f>IF($E32&lt;&gt;"",$E32,$D32)</f>
        <v/>
      </c>
      <c r="G32" s="4" t="inlineStr">
        <is>
          <t>600699.SS</t>
        </is>
      </c>
      <c r="H32" s="51">
        <f>BDP("600699 CH Equity","PX_LAST")</f>
        <v/>
      </c>
      <c r="I32" s="7" t="n"/>
      <c r="J32" s="51">
        <f>IF($I32&lt;&gt;"",$I32,$H32)</f>
        <v/>
      </c>
      <c r="K32" s="52">
        <f>IF(OR($F32="",$J32="",$D$4=""),"",$F32/($J32*$D$4)-1)</f>
        <v/>
      </c>
      <c r="L32" s="53" t="n">
        <v>-0.4566</v>
      </c>
      <c r="M32" s="2" t="inlineStr">
        <is>
          <t>Nov 2025 H listing (auto electronics/safety)</t>
        </is>
      </c>
    </row>
    <row r="33">
      <c r="A33" s="50" t="inlineStr">
        <is>
          <t>2579</t>
        </is>
      </c>
      <c r="B33" s="4" t="inlineStr">
        <is>
          <t>CNGR</t>
        </is>
      </c>
      <c r="C33" s="4" t="inlineStr">
        <is>
          <t>Batteries / energy storage</t>
        </is>
      </c>
      <c r="D33" s="51">
        <f>BDP("2579 HK Equity","PX_LAST")</f>
        <v/>
      </c>
      <c r="E33" s="7" t="n"/>
      <c r="F33" s="51">
        <f>IF($E33&lt;&gt;"",$E33,$D33)</f>
        <v/>
      </c>
      <c r="G33" s="4" t="inlineStr">
        <is>
          <t>300919.SZ</t>
        </is>
      </c>
      <c r="H33" s="51">
        <f>BDP("300919 CH Equity","PX_LAST")</f>
        <v/>
      </c>
      <c r="I33" s="7" t="n"/>
      <c r="J33" s="51">
        <f>IF($I33&lt;&gt;"",$I33,$H33)</f>
        <v/>
      </c>
      <c r="K33" s="52">
        <f>IF(OR($F33="",$J33="",$D$4=""),"",$F33/($J33*$D$4)-1)</f>
        <v/>
      </c>
      <c r="L33" s="53" t="n">
        <v>-0.4726</v>
      </c>
      <c r="M33" s="2" t="inlineStr">
        <is>
          <t>Nov 2025 H listing (battery precursor materials)</t>
        </is>
      </c>
    </row>
    <row r="34">
      <c r="A34" s="50" t="inlineStr">
        <is>
          <t>2676</t>
        </is>
      </c>
      <c r="B34" s="4" t="inlineStr">
        <is>
          <t>NOVOSENSE</t>
        </is>
      </c>
      <c r="C34" s="4" t="inlineStr">
        <is>
          <t>AI chips &amp; semis</t>
        </is>
      </c>
      <c r="D34" s="51">
        <f>BDP("2676 HK Equity","PX_LAST")</f>
        <v/>
      </c>
      <c r="E34" s="7" t="n"/>
      <c r="F34" s="51">
        <f>IF($E34&lt;&gt;"",$E34,$D34)</f>
        <v/>
      </c>
      <c r="G34" s="4" t="inlineStr">
        <is>
          <t>688052.SS</t>
        </is>
      </c>
      <c r="H34" s="51">
        <f>BDP("688052 CH Equity","PX_LAST")</f>
        <v/>
      </c>
      <c r="I34" s="7" t="n"/>
      <c r="J34" s="51">
        <f>IF($I34&lt;&gt;"",$I34,$H34)</f>
        <v/>
      </c>
      <c r="K34" s="52">
        <f>IF(OR($F34="",$J34="",$D$4=""),"",$F34/($J34*$D$4)-1)</f>
        <v/>
      </c>
      <c r="L34" s="53" t="n">
        <v>-0.4025</v>
      </c>
      <c r="M34" s="2" t="inlineStr">
        <is>
          <t>Dec 2025 H listing (analog/mixed-signal chips)</t>
        </is>
      </c>
    </row>
    <row r="35">
      <c r="A35" s="50" t="inlineStr">
        <is>
          <t>2691</t>
        </is>
      </c>
      <c r="B35" s="4" t="inlineStr">
        <is>
          <t>NANHUA FUTURES</t>
        </is>
      </c>
      <c r="C35" s="4" t="inlineStr">
        <is>
          <t>Brokers / asset management</t>
        </is>
      </c>
      <c r="D35" s="51">
        <f>BDP("2691 HK Equity","PX_LAST")</f>
        <v/>
      </c>
      <c r="E35" s="7" t="n"/>
      <c r="F35" s="51">
        <f>IF($E35&lt;&gt;"",$E35,$D35)</f>
        <v/>
      </c>
      <c r="G35" s="4" t="inlineStr">
        <is>
          <t>603093.SS</t>
        </is>
      </c>
      <c r="H35" s="51">
        <f>BDP("603093 CH Equity","PX_LAST")</f>
        <v/>
      </c>
      <c r="I35" s="7" t="n"/>
      <c r="J35" s="51">
        <f>IF($I35&lt;&gt;"",$I35,$H35)</f>
        <v/>
      </c>
      <c r="K35" s="52">
        <f>IF(OR($F35="",$J35="",$D$4=""),"",$F35/($J35*$D$4)-1)</f>
        <v/>
      </c>
      <c r="L35" s="53" t="n">
        <v>-0.5396</v>
      </c>
      <c r="M35" s="2" t="inlineStr">
        <is>
          <t>Dec 2025 H listing (futures broker)</t>
        </is>
      </c>
    </row>
    <row r="36">
      <c r="A36" s="50" t="inlineStr">
        <is>
          <t>0501</t>
        </is>
      </c>
      <c r="B36" s="4" t="inlineStr">
        <is>
          <t>OMNIVISION</t>
        </is>
      </c>
      <c r="C36" s="4" t="inlineStr">
        <is>
          <t>AI chips &amp; semis</t>
        </is>
      </c>
      <c r="D36" s="51">
        <f>BDP("501 HK Equity","PX_LAST")</f>
        <v/>
      </c>
      <c r="E36" s="7" t="n"/>
      <c r="F36" s="51">
        <f>IF($E36&lt;&gt;"",$E36,$D36)</f>
        <v/>
      </c>
      <c r="G36" s="4" t="inlineStr">
        <is>
          <t>603501.SS</t>
        </is>
      </c>
      <c r="H36" s="51">
        <f>BDP("603501 CH Equity","PX_LAST")</f>
        <v/>
      </c>
      <c r="I36" s="7" t="n"/>
      <c r="J36" s="51">
        <f>IF($I36&lt;&gt;"",$I36,$H36)</f>
        <v/>
      </c>
      <c r="K36" s="52">
        <f>IF(OR($F36="",$J36="",$D$4=""),"",$F36/($J36*$D$4)-1)</f>
        <v/>
      </c>
      <c r="L36" s="53" t="n">
        <v>-0.2679</v>
      </c>
      <c r="M36" s="2" t="inlineStr">
        <is>
          <t>Jan 2026, US$616m offering; rose on debut</t>
        </is>
      </c>
    </row>
    <row r="37">
      <c r="A37" s="50" t="inlineStr">
        <is>
          <t>3986</t>
        </is>
      </c>
      <c r="B37" s="4" t="inlineStr">
        <is>
          <t>GIGADEVICE</t>
        </is>
      </c>
      <c r="C37" s="4" t="inlineStr">
        <is>
          <t>AI chips &amp; semis</t>
        </is>
      </c>
      <c r="D37" s="51">
        <f>BDP("3986 HK Equity","PX_LAST")</f>
        <v/>
      </c>
      <c r="E37" s="7" t="n"/>
      <c r="F37" s="51">
        <f>IF($E37&lt;&gt;"",$E37,$D37)</f>
        <v/>
      </c>
      <c r="G37" s="4" t="inlineStr">
        <is>
          <t>603986.SS</t>
        </is>
      </c>
      <c r="H37" s="51">
        <f>BDP("603986 CH Equity","PX_LAST")</f>
        <v/>
      </c>
      <c r="I37" s="7" t="n"/>
      <c r="J37" s="51">
        <f>IF($I37&lt;&gt;"",$I37,$H37)</f>
        <v/>
      </c>
      <c r="K37" s="52">
        <f>IF(OR($F37="",$J37="",$D$4=""),"",$F37/($J37*$D$4)-1)</f>
        <v/>
      </c>
      <c r="L37" s="53" t="n">
        <v>0.0518</v>
      </c>
      <c r="M37" s="2" t="inlineStr">
        <is>
          <t>Jan 2026, ~US$600m at top of range; closed +37.5% on debut</t>
        </is>
      </c>
    </row>
    <row r="38">
      <c r="A38" s="50" t="inlineStr">
        <is>
          <t>9611</t>
        </is>
      </c>
      <c r="B38" s="4" t="inlineStr">
        <is>
          <t>LONGCHEER</t>
        </is>
      </c>
      <c r="C38" s="4" t="inlineStr">
        <is>
          <t>Smart hardware / consumer electronics</t>
        </is>
      </c>
      <c r="D38" s="51">
        <f>BDP("9611 HK Equity","PX_LAST")</f>
        <v/>
      </c>
      <c r="E38" s="7" t="n"/>
      <c r="F38" s="51">
        <f>IF($E38&lt;&gt;"",$E38,$D38)</f>
        <v/>
      </c>
      <c r="G38" s="4" t="inlineStr">
        <is>
          <t>603341.SS</t>
        </is>
      </c>
      <c r="H38" s="51">
        <f>BDP("603341 CH Equity","PX_LAST")</f>
        <v/>
      </c>
      <c r="I38" s="7" t="n"/>
      <c r="J38" s="51">
        <f>IF($I38&lt;&gt;"",$I38,$H38)</f>
        <v/>
      </c>
      <c r="K38" s="52">
        <f>IF(OR($F38="",$J38="",$D$4=""),"",$F38/($J38*$D$4)-1)</f>
        <v/>
      </c>
      <c r="L38" s="53" t="n">
        <v>-0.5021</v>
      </c>
      <c r="M38" s="2" t="inlineStr">
        <is>
          <t>Jan 2026 H listing (smart-device ODM)</t>
        </is>
      </c>
    </row>
    <row r="39">
      <c r="A39" s="50" t="inlineStr">
        <is>
          <t>9980</t>
        </is>
      </c>
      <c r="B39" s="4" t="inlineStr">
        <is>
          <t>EASTROC</t>
        </is>
      </c>
      <c r="C39" s="4" t="inlineStr">
        <is>
          <t>Beverages / packaged food</t>
        </is>
      </c>
      <c r="D39" s="51">
        <f>BDP("9980 HK Equity","PX_LAST")</f>
        <v/>
      </c>
      <c r="E39" s="7" t="n"/>
      <c r="F39" s="51">
        <f>IF($E39&lt;&gt;"",$E39,$D39)</f>
        <v/>
      </c>
      <c r="G39" s="4" t="inlineStr">
        <is>
          <t>605499.SS</t>
        </is>
      </c>
      <c r="H39" s="51">
        <f>BDP("605499 CH Equity","PX_LAST")</f>
        <v/>
      </c>
      <c r="I39" s="7" t="n"/>
      <c r="J39" s="51">
        <f>IF($I39&lt;&gt;"",$I39,$H39)</f>
        <v/>
      </c>
      <c r="K39" s="52">
        <f>IF(OR($F39="",$J39="",$D$4=""),"",$F39/($J39*$D$4)-1)</f>
        <v/>
      </c>
      <c r="L39" s="53" t="n">
        <v>-0.1807</v>
      </c>
      <c r="M39" s="2" t="inlineStr">
        <is>
          <t>Feb 2026, ~HK$10.1bn at HK$248/sh — largest HK IPO of early 2026</t>
        </is>
      </c>
    </row>
    <row r="40">
      <c r="A40" s="50" t="inlineStr">
        <is>
          <t>2768</t>
        </is>
      </c>
      <c r="B40" s="4" t="inlineStr">
        <is>
          <t>GON TECHNOLOGY</t>
        </is>
      </c>
      <c r="C40" s="4" t="inlineStr">
        <is>
          <t>Smart hardware / consumer electronics</t>
        </is>
      </c>
      <c r="D40" s="51">
        <f>BDP("2768 HK Equity","PX_LAST")</f>
        <v/>
      </c>
      <c r="E40" s="7" t="n"/>
      <c r="F40" s="51">
        <f>IF($E40&lt;&gt;"",$E40,$D40)</f>
        <v/>
      </c>
      <c r="G40" s="4" t="inlineStr">
        <is>
          <t>002768.SZ</t>
        </is>
      </c>
      <c r="H40" s="51">
        <f>BDP("002768 CH Equity","PX_LAST")</f>
        <v/>
      </c>
      <c r="I40" s="7" t="n"/>
      <c r="J40" s="51">
        <f>IF($I40&lt;&gt;"",$I40,$H40)</f>
        <v/>
      </c>
      <c r="K40" s="52">
        <f>IF(OR($F40="",$J40="",$D$4=""),"",$F40/($J40*$D$4)-1)</f>
        <v/>
      </c>
      <c r="L40" s="53" t="n">
        <v>-0.443</v>
      </c>
      <c r="M40" s="2" t="inlineStr">
        <is>
          <t>Feb 2026 H listing (polymer materials)</t>
        </is>
      </c>
    </row>
    <row r="41">
      <c r="A41" s="50" t="inlineStr">
        <is>
          <t>3200</t>
        </is>
      </c>
      <c r="B41" s="4" t="inlineStr">
        <is>
          <t>HANS CNC</t>
        </is>
      </c>
      <c r="C41" s="4" t="inlineStr">
        <is>
          <t>Capital goods / machinery</t>
        </is>
      </c>
      <c r="D41" s="51">
        <f>BDP("3200 HK Equity","PX_LAST")</f>
        <v/>
      </c>
      <c r="E41" s="7" t="n"/>
      <c r="F41" s="51">
        <f>IF($E41&lt;&gt;"",$E41,$D41)</f>
        <v/>
      </c>
      <c r="G41" s="4" t="inlineStr">
        <is>
          <t>301200.SZ</t>
        </is>
      </c>
      <c r="H41" s="51">
        <f>BDP("301200 CH Equity","PX_LAST")</f>
        <v/>
      </c>
      <c r="I41" s="7" t="n"/>
      <c r="J41" s="51">
        <f>IF($I41&lt;&gt;"",$I41,$H41)</f>
        <v/>
      </c>
      <c r="K41" s="52">
        <f>IF(OR($F41="",$J41="",$D$4=""),"",$F41/($J41*$D$4)-1)</f>
        <v/>
      </c>
      <c r="L41" s="53" t="n">
        <v>-0.6753</v>
      </c>
      <c r="M41" s="2" t="inlineStr">
        <is>
          <t>Feb 2026 H listing (PCB drilling equipment)</t>
        </is>
      </c>
    </row>
    <row r="42">
      <c r="A42" s="50" t="inlineStr">
        <is>
          <t>2714</t>
        </is>
      </c>
      <c r="B42" s="4" t="inlineStr">
        <is>
          <t>MUYUAN</t>
        </is>
      </c>
      <c r="C42" s="4" t="inlineStr">
        <is>
          <t>Beverages / packaged food</t>
        </is>
      </c>
      <c r="D42" s="51">
        <f>BDP("2714 HK Equity","PX_LAST")</f>
        <v/>
      </c>
      <c r="E42" s="7" t="n"/>
      <c r="F42" s="51">
        <f>IF($E42&lt;&gt;"",$E42,$D42)</f>
        <v/>
      </c>
      <c r="G42" s="4" t="inlineStr">
        <is>
          <t>002714.SZ</t>
        </is>
      </c>
      <c r="H42" s="51">
        <f>BDP("002714 CH Equity","PX_LAST")</f>
        <v/>
      </c>
      <c r="I42" s="7" t="n"/>
      <c r="J42" s="51">
        <f>IF($I42&lt;&gt;"",$I42,$H42)</f>
        <v/>
      </c>
      <c r="K42" s="52">
        <f>IF(OR($F42="",$J42="",$D$4=""),"",$F42/($J42*$D$4)-1)</f>
        <v/>
      </c>
      <c r="L42" s="53" t="n">
        <v>-0.2564</v>
      </c>
      <c r="M42" s="2" t="inlineStr">
        <is>
          <t>Feb 2026, net proceeds up to HK$12.0bn w/ greenshoe; subdued debut</t>
        </is>
      </c>
    </row>
    <row r="43">
      <c r="A43" s="50" t="inlineStr">
        <is>
          <t>6809</t>
        </is>
      </c>
      <c r="B43" s="4" t="inlineStr">
        <is>
          <t>MONTAGE TECH</t>
        </is>
      </c>
      <c r="C43" s="4" t="inlineStr">
        <is>
          <t>AI chips &amp; semis</t>
        </is>
      </c>
      <c r="D43" s="51">
        <f>BDP("6809 HK Equity","PX_LAST")</f>
        <v/>
      </c>
      <c r="E43" s="7" t="n"/>
      <c r="F43" s="51">
        <f>IF($E43&lt;&gt;"",$E43,$D43)</f>
        <v/>
      </c>
      <c r="G43" s="4" t="inlineStr">
        <is>
          <t>688008.SS</t>
        </is>
      </c>
      <c r="H43" s="51">
        <f>BDP("688008 CH Equity","PX_LAST")</f>
        <v/>
      </c>
      <c r="I43" s="7" t="n"/>
      <c r="J43" s="51">
        <f>IF($I43&lt;&gt;"",$I43,$H43)</f>
        <v/>
      </c>
      <c r="K43" s="52">
        <f>IF(OR($F43="",$J43="",$D$4=""),"",$F43/($J43*$D$4)-1)</f>
        <v/>
      </c>
      <c r="L43" s="53" t="n">
        <v>0.1508</v>
      </c>
      <c r="M43" s="2" t="inlineStr">
        <is>
          <t>Feb 2026 H listing (memory interface chips)</t>
        </is>
      </c>
    </row>
    <row r="44">
      <c r="A44" s="50" t="inlineStr">
        <is>
          <t>0470</t>
        </is>
      </c>
      <c r="B44" s="4" t="inlineStr">
        <is>
          <t>WUXI LEAD</t>
        </is>
      </c>
      <c r="C44" s="4" t="inlineStr">
        <is>
          <t>Capital goods / machinery</t>
        </is>
      </c>
      <c r="D44" s="51">
        <f>BDP("470 HK Equity","PX_LAST")</f>
        <v/>
      </c>
      <c r="E44" s="7" t="n"/>
      <c r="F44" s="51">
        <f>IF($E44&lt;&gt;"",$E44,$D44)</f>
        <v/>
      </c>
      <c r="G44" s="4" t="inlineStr">
        <is>
          <t>300450.SZ</t>
        </is>
      </c>
      <c r="H44" s="51">
        <f>BDP("300450 CH Equity","PX_LAST")</f>
        <v/>
      </c>
      <c r="I44" s="7" t="n"/>
      <c r="J44" s="51">
        <f>IF($I44&lt;&gt;"",$I44,$H44)</f>
        <v/>
      </c>
      <c r="K44" s="52">
        <f>IF(OR($F44="",$J44="",$D$4=""),"",$F44/($J44*$D$4)-1)</f>
        <v/>
      </c>
      <c r="L44" s="53" t="n">
        <v>-0.2128</v>
      </c>
      <c r="M44" s="2" t="inlineStr">
        <is>
          <t>Feb 2026 H listing (battery-making equipment)</t>
        </is>
      </c>
    </row>
    <row r="45">
      <c r="A45" s="50" t="inlineStr">
        <is>
          <t>9981</t>
        </is>
      </c>
      <c r="B45" s="4" t="inlineStr">
        <is>
          <t>WOER</t>
        </is>
      </c>
      <c r="C45" s="4" t="inlineStr">
        <is>
          <t>Chemicals</t>
        </is>
      </c>
      <c r="D45" s="51">
        <f>BDP("9981 HK Equity","PX_LAST")</f>
        <v/>
      </c>
      <c r="E45" s="7" t="n"/>
      <c r="F45" s="51">
        <f>IF($E45&lt;&gt;"",$E45,$D45)</f>
        <v/>
      </c>
      <c r="G45" s="4" t="inlineStr">
        <is>
          <t>002130.SZ</t>
        </is>
      </c>
      <c r="H45" s="51">
        <f>BDP("002130 CH Equity","PX_LAST")</f>
        <v/>
      </c>
      <c r="I45" s="7" t="n"/>
      <c r="J45" s="51">
        <f>IF($I45&lt;&gt;"",$I45,$H45)</f>
        <v/>
      </c>
      <c r="K45" s="52">
        <f>IF(OR($F45="",$J45="",$D$4=""),"",$F45/($J45*$D$4)-1)</f>
        <v/>
      </c>
      <c r="L45" s="53" t="n">
        <v>-0.4662</v>
      </c>
      <c r="M45" s="2" t="inlineStr">
        <is>
          <t>Feb 2026 H listing</t>
        </is>
      </c>
    </row>
    <row r="46">
      <c r="A46" s="50" t="inlineStr">
        <is>
          <t>2715</t>
        </is>
      </c>
      <c r="B46" s="4" t="inlineStr">
        <is>
          <t>ESTUN</t>
        </is>
      </c>
      <c r="C46" s="4" t="inlineStr">
        <is>
          <t>Robotics &amp; autonomous driving</t>
        </is>
      </c>
      <c r="D46" s="51">
        <f>BDP("2715 HK Equity","PX_LAST")</f>
        <v/>
      </c>
      <c r="E46" s="7" t="n"/>
      <c r="F46" s="51">
        <f>IF($E46&lt;&gt;"",$E46,$D46)</f>
        <v/>
      </c>
      <c r="G46" s="4" t="inlineStr">
        <is>
          <t>002747.SZ</t>
        </is>
      </c>
      <c r="H46" s="51">
        <f>BDP("002747 CH Equity","PX_LAST")</f>
        <v/>
      </c>
      <c r="I46" s="7" t="n"/>
      <c r="J46" s="51">
        <f>IF($I46&lt;&gt;"",$I46,$H46)</f>
        <v/>
      </c>
      <c r="K46" s="52">
        <f>IF(OR($F46="",$J46="",$D$4=""),"",$F46/($J46*$D$4)-1)</f>
        <v/>
      </c>
      <c r="L46" s="53" t="n">
        <v>-0.5494</v>
      </c>
      <c r="M46" s="2" t="inlineStr">
        <is>
          <t>Mar 2026 H listing (industrial robots)</t>
        </is>
      </c>
    </row>
    <row r="47">
      <c r="A47" s="50" t="inlineStr">
        <is>
          <t>2692</t>
        </is>
      </c>
      <c r="B47" s="4" t="inlineStr">
        <is>
          <t>ZHAOWEI</t>
        </is>
      </c>
      <c r="C47" s="4" t="inlineStr">
        <is>
          <t>Capital goods / machinery</t>
        </is>
      </c>
      <c r="D47" s="51">
        <f>BDP("2692 HK Equity","PX_LAST")</f>
        <v/>
      </c>
      <c r="E47" s="7" t="n"/>
      <c r="F47" s="51">
        <f>IF($E47&lt;&gt;"",$E47,$D47)</f>
        <v/>
      </c>
      <c r="G47" s="4" t="inlineStr">
        <is>
          <t>003021.SZ</t>
        </is>
      </c>
      <c r="H47" s="51">
        <f>BDP("003021 CH Equity","PX_LAST")</f>
        <v/>
      </c>
      <c r="I47" s="7" t="n"/>
      <c r="J47" s="51">
        <f>IF($I47&lt;&gt;"",$I47,$H47)</f>
        <v/>
      </c>
      <c r="K47" s="52">
        <f>IF(OR($F47="",$J47="",$D$4=""),"",$F47/($J47*$D$4)-1)</f>
        <v/>
      </c>
      <c r="L47" s="53" t="n">
        <v>-0.508</v>
      </c>
      <c r="M47" s="2" t="inlineStr">
        <is>
          <t>Mar 2026 H listing (micro drive systems/dexterous hands)</t>
        </is>
      </c>
    </row>
    <row r="48">
      <c r="A48" s="50" t="inlineStr">
        <is>
          <t>3268</t>
        </is>
      </c>
      <c r="B48" s="4" t="inlineStr">
        <is>
          <t>MEIG</t>
        </is>
      </c>
      <c r="C48" s="4" t="inlineStr">
        <is>
          <t>Smart hardware / consumer electronics</t>
        </is>
      </c>
      <c r="D48" s="51">
        <f>BDP("3268 HK Equity","PX_LAST")</f>
        <v/>
      </c>
      <c r="E48" s="7" t="n"/>
      <c r="F48" s="51">
        <f>IF($E48&lt;&gt;"",$E48,$D48)</f>
        <v/>
      </c>
      <c r="G48" s="4" t="inlineStr">
        <is>
          <t>002881.SZ</t>
        </is>
      </c>
      <c r="H48" s="51">
        <f>BDP("002881 CH Equity","PX_LAST")</f>
        <v/>
      </c>
      <c r="I48" s="7" t="n"/>
      <c r="J48" s="51">
        <f>IF($I48&lt;&gt;"",$I48,$H48)</f>
        <v/>
      </c>
      <c r="K48" s="52">
        <f>IF(OR($F48="",$J48="",$D$4=""),"",$F48/($J48*$D$4)-1)</f>
        <v/>
      </c>
      <c r="L48" s="53" t="n">
        <v>-0.6074000000000001</v>
      </c>
      <c r="M48" s="2" t="inlineStr">
        <is>
          <t>Mar 2026 H listing (IoT modules)</t>
        </is>
      </c>
    </row>
    <row r="49">
      <c r="A49" s="50" t="inlineStr">
        <is>
          <t>1989</t>
        </is>
      </c>
      <c r="B49" s="4" t="inlineStr">
        <is>
          <t>DELTON</t>
        </is>
      </c>
      <c r="C49" s="4" t="inlineStr">
        <is>
          <t>Smart hardware / consumer electronics</t>
        </is>
      </c>
      <c r="D49" s="51">
        <f>BDP("1989 HK Equity","PX_LAST")</f>
        <v/>
      </c>
      <c r="E49" s="7" t="n"/>
      <c r="F49" s="51">
        <f>IF($E49&lt;&gt;"",$E49,$D49)</f>
        <v/>
      </c>
      <c r="G49" s="4" t="inlineStr">
        <is>
          <t>001389.SZ</t>
        </is>
      </c>
      <c r="H49" s="51">
        <f>BDP("001389 CH Equity","PX_LAST")</f>
        <v/>
      </c>
      <c r="I49" s="7" t="n"/>
      <c r="J49" s="51">
        <f>IF($I49&lt;&gt;"",$I49,$H49)</f>
        <v/>
      </c>
      <c r="K49" s="52">
        <f>IF(OR($F49="",$J49="",$D$4=""),"",$F49/($J49*$D$4)-1)</f>
        <v/>
      </c>
      <c r="L49" s="53" t="n">
        <v>-0.2901</v>
      </c>
      <c r="M49" s="2" t="inlineStr">
        <is>
          <t>Mar 2026 H listing (PCB)</t>
        </is>
      </c>
    </row>
    <row r="50">
      <c r="A50" s="50" t="inlineStr">
        <is>
          <t>2701</t>
        </is>
      </c>
      <c r="B50" s="4" t="inlineStr">
        <is>
          <t>NSING TECH</t>
        </is>
      </c>
      <c r="C50" s="4" t="inlineStr">
        <is>
          <t>AI chips &amp; semis</t>
        </is>
      </c>
      <c r="D50" s="51">
        <f>BDP("2701 HK Equity","PX_LAST")</f>
        <v/>
      </c>
      <c r="E50" s="7" t="n"/>
      <c r="F50" s="51">
        <f>IF($E50&lt;&gt;"",$E50,$D50)</f>
        <v/>
      </c>
      <c r="G50" s="4" t="inlineStr">
        <is>
          <t>300077.SZ</t>
        </is>
      </c>
      <c r="H50" s="51">
        <f>BDP("300077 CH Equity","PX_LAST")</f>
        <v/>
      </c>
      <c r="I50" s="7" t="n"/>
      <c r="J50" s="51">
        <f>IF($I50&lt;&gt;"",$I50,$H50)</f>
        <v/>
      </c>
      <c r="K50" s="52">
        <f>IF(OR($F50="",$J50="",$D$4=""),"",$F50/($J50*$D$4)-1)</f>
        <v/>
      </c>
      <c r="L50" s="53" t="n">
        <v>-0.5963000000000001</v>
      </c>
      <c r="M50" s="2" t="inlineStr">
        <is>
          <t>Mar 2026 H listing (security/MCU chips)</t>
        </is>
      </c>
    </row>
    <row r="51">
      <c r="A51" s="50" t="inlineStr">
        <is>
          <t>2476</t>
        </is>
      </c>
      <c r="B51" s="4" t="inlineStr">
        <is>
          <t>VGT</t>
        </is>
      </c>
      <c r="C51" s="4" t="inlineStr">
        <is>
          <t>Smart hardware / consumer electronics</t>
        </is>
      </c>
      <c r="D51" s="51">
        <f>BDP("2476 HK Equity","PX_LAST")</f>
        <v/>
      </c>
      <c r="E51" s="7" t="n"/>
      <c r="F51" s="51">
        <f>IF($E51&lt;&gt;"",$E51,$D51)</f>
        <v/>
      </c>
      <c r="G51" s="4" t="inlineStr">
        <is>
          <t>300476.SZ</t>
        </is>
      </c>
      <c r="H51" s="51">
        <f>BDP("300476 CH Equity","PX_LAST")</f>
        <v/>
      </c>
      <c r="I51" s="7" t="n"/>
      <c r="J51" s="51">
        <f>IF($I51&lt;&gt;"",$I51,$H51)</f>
        <v/>
      </c>
      <c r="K51" s="52">
        <f>IF(OR($F51="",$J51="",$D$4=""),"",$F51/($J51*$D$4)-1)</f>
        <v/>
      </c>
      <c r="L51" s="53" t="n">
        <v>-0.2311</v>
      </c>
      <c r="M51" s="2" t="inlineStr">
        <is>
          <t>Apr 2026, HK$20.1bn (~US$2.57bn); +60% debut — Nvidia AI-PCB supplier</t>
        </is>
      </c>
    </row>
    <row r="52">
      <c r="A52" s="50" t="inlineStr">
        <is>
          <t>3296</t>
        </is>
      </c>
      <c r="B52" s="4" t="inlineStr">
        <is>
          <t>HUAQIN</t>
        </is>
      </c>
      <c r="C52" s="4" t="inlineStr">
        <is>
          <t>Smart hardware / consumer electronics</t>
        </is>
      </c>
      <c r="D52" s="51">
        <f>BDP("3296 HK Equity","PX_LAST")</f>
        <v/>
      </c>
      <c r="E52" s="7" t="n"/>
      <c r="F52" s="51">
        <f>IF($E52&lt;&gt;"",$E52,$D52)</f>
        <v/>
      </c>
      <c r="G52" s="4" t="inlineStr">
        <is>
          <t>603296.SS</t>
        </is>
      </c>
      <c r="H52" s="51">
        <f>BDP("603296 CH Equity","PX_LAST")</f>
        <v/>
      </c>
      <c r="I52" s="7" t="n"/>
      <c r="J52" s="51">
        <f>IF($I52&lt;&gt;"",$I52,$H52)</f>
        <v/>
      </c>
      <c r="K52" s="52">
        <f>IF(OR($F52="",$J52="",$D$4=""),"",$F52/($J52*$D$4)-1)</f>
        <v/>
      </c>
      <c r="L52" s="53" t="n">
        <v>-0.2428</v>
      </c>
      <c r="M52" s="2" t="inlineStr">
        <is>
          <t>Apr 2026 H listing (smart-hardware ODM)</t>
        </is>
      </c>
    </row>
    <row r="53">
      <c r="A53" s="50" t="inlineStr">
        <is>
          <t>2493</t>
        </is>
      </c>
      <c r="B53" s="4" t="inlineStr">
        <is>
          <t>MABWELL-B</t>
        </is>
      </c>
      <c r="C53" s="4" t="inlineStr">
        <is>
          <t>Biotech pre-revenue (18A)</t>
        </is>
      </c>
      <c r="D53" s="51">
        <f>BDP("2493 HK Equity","PX_LAST")</f>
        <v/>
      </c>
      <c r="E53" s="7" t="n"/>
      <c r="F53" s="51">
        <f>IF($E53&lt;&gt;"",$E53,$D53)</f>
        <v/>
      </c>
      <c r="G53" s="4" t="inlineStr">
        <is>
          <t>688062.SS</t>
        </is>
      </c>
      <c r="H53" s="51">
        <f>BDP("688062 CH Equity","PX_LAST")</f>
        <v/>
      </c>
      <c r="I53" s="7" t="n"/>
      <c r="J53" s="51">
        <f>IF($I53&lt;&gt;"",$I53,$H53)</f>
        <v/>
      </c>
      <c r="K53" s="52">
        <f>IF(OR($F53="",$J53="",$D$4=""),"",$F53/($J53*$D$4)-1)</f>
        <v/>
      </c>
      <c r="L53" s="53" t="n">
        <v>-0.4035</v>
      </c>
      <c r="M53" s="2" t="inlineStr">
        <is>
          <t>Apr 2026 H listing (ADC biotech); A+H on STAR</t>
        </is>
      </c>
    </row>
    <row r="54">
      <c r="A54" s="50" t="inlineStr">
        <is>
          <t>1187</t>
        </is>
      </c>
      <c r="B54" s="4" t="inlineStr">
        <is>
          <t>COFOE MEDICAL</t>
        </is>
      </c>
      <c r="C54" s="4" t="inlineStr">
        <is>
          <t>Medical devices</t>
        </is>
      </c>
      <c r="D54" s="51">
        <f>BDP("1187 HK Equity","PX_LAST")</f>
        <v/>
      </c>
      <c r="E54" s="7" t="n"/>
      <c r="F54" s="51">
        <f>IF($E54&lt;&gt;"",$E54,$D54)</f>
        <v/>
      </c>
      <c r="G54" s="4" t="inlineStr">
        <is>
          <t>301087.SZ</t>
        </is>
      </c>
      <c r="H54" s="51">
        <f>BDP("301087 CH Equity","PX_LAST")</f>
        <v/>
      </c>
      <c r="I54" s="7" t="n"/>
      <c r="J54" s="51">
        <f>IF($I54&lt;&gt;"",$I54,$H54)</f>
        <v/>
      </c>
      <c r="K54" s="52">
        <f>IF(OR($F54="",$J54="",$D$4=""),"",$F54/($J54*$D$4)-1)</f>
        <v/>
      </c>
      <c r="L54" s="53" t="n">
        <v>-0.4627</v>
      </c>
      <c r="M54" s="2" t="inlineStr">
        <is>
          <t>May 2026 H listing (home medical devices)</t>
        </is>
      </c>
    </row>
    <row r="55">
      <c r="A55" s="50" t="inlineStr">
        <is>
          <t>1081</t>
        </is>
      </c>
      <c r="B55" s="4" t="inlineStr">
        <is>
          <t>DAJIN</t>
        </is>
      </c>
      <c r="C55" s="4" t="inlineStr">
        <is>
          <t>Solar / wind supply chain</t>
        </is>
      </c>
      <c r="D55" s="51">
        <f>BDP("1081 HK Equity","PX_LAST")</f>
        <v/>
      </c>
      <c r="E55" s="7" t="n"/>
      <c r="F55" s="51">
        <f>IF($E55&lt;&gt;"",$E55,$D55)</f>
        <v/>
      </c>
      <c r="G55" s="4" t="inlineStr">
        <is>
          <t>002487.SZ</t>
        </is>
      </c>
      <c r="H55" s="51">
        <f>BDP("002487 CH Equity","PX_LAST")</f>
        <v/>
      </c>
      <c r="I55" s="7" t="n"/>
      <c r="J55" s="51">
        <f>IF($I55&lt;&gt;"",$I55,$H55)</f>
        <v/>
      </c>
      <c r="K55" s="52">
        <f>IF(OR($F55="",$J55="",$D$4=""),"",$F55/($J55*$D$4)-1)</f>
        <v/>
      </c>
      <c r="L55" s="53" t="n">
        <v>-0.2883</v>
      </c>
      <c r="M55" s="2" t="inlineStr">
        <is>
          <t>Jun 2026 H listing (offshore wind towers/monopiles)</t>
        </is>
      </c>
    </row>
    <row r="56">
      <c r="A56" s="50" t="inlineStr">
        <is>
          <t>6067</t>
        </is>
      </c>
      <c r="B56" s="4" t="inlineStr">
        <is>
          <t>SENIOR MATERIAL</t>
        </is>
      </c>
      <c r="C56" s="4" t="inlineStr">
        <is>
          <t>Batteries / energy storage</t>
        </is>
      </c>
      <c r="D56" s="51">
        <f>BDP("6067 HK Equity","PX_LAST")</f>
        <v/>
      </c>
      <c r="E56" s="7" t="n"/>
      <c r="F56" s="51">
        <f>IF($E56&lt;&gt;"",$E56,$D56)</f>
        <v/>
      </c>
      <c r="G56" s="4" t="inlineStr">
        <is>
          <t>300568.SZ</t>
        </is>
      </c>
      <c r="H56" s="51">
        <f>BDP("300568 CH Equity","PX_LAST")</f>
        <v/>
      </c>
      <c r="I56" s="7" t="n"/>
      <c r="J56" s="51">
        <f>IF($I56&lt;&gt;"",$I56,$H56)</f>
        <v/>
      </c>
      <c r="K56" s="52">
        <f>IF(OR($F56="",$J56="",$D$4=""),"",$F56/($J56*$D$4)-1)</f>
        <v/>
      </c>
      <c r="L56" s="53" t="n">
        <v>-0.531</v>
      </c>
      <c r="M56" s="2" t="inlineStr">
        <is>
          <t>Jun 2026 H listing (battery separators)</t>
        </is>
      </c>
    </row>
    <row r="57">
      <c r="A57" s="50" t="inlineStr">
        <is>
          <t>3661</t>
        </is>
      </c>
      <c r="B57" s="4" t="inlineStr">
        <is>
          <t>SG MICRO</t>
        </is>
      </c>
      <c r="C57" s="4" t="inlineStr">
        <is>
          <t>AI chips &amp; semis</t>
        </is>
      </c>
      <c r="D57" s="51">
        <f>BDP("3661 HK Equity","PX_LAST")</f>
        <v/>
      </c>
      <c r="E57" s="7" t="n"/>
      <c r="F57" s="51">
        <f>IF($E57&lt;&gt;"",$E57,$D57)</f>
        <v/>
      </c>
      <c r="G57" s="4" t="inlineStr">
        <is>
          <t>300661.SZ</t>
        </is>
      </c>
      <c r="H57" s="51">
        <f>BDP("300661 CH Equity","PX_LAST")</f>
        <v/>
      </c>
      <c r="I57" s="7" t="n"/>
      <c r="J57" s="51">
        <f>IF($I57&lt;&gt;"",$I57,$H57)</f>
        <v/>
      </c>
      <c r="K57" s="52">
        <f>IF(OR($F57="",$J57="",$D$4=""),"",$F57/($J57*$D$4)-1)</f>
        <v/>
      </c>
      <c r="L57" s="53" t="n">
        <v>-0.2769</v>
      </c>
      <c r="M57" s="2" t="inlineStr">
        <is>
          <t>Jun 2026 H listing (analog chips)</t>
        </is>
      </c>
    </row>
    <row r="58">
      <c r="A58" s="50" t="inlineStr">
        <is>
          <t>1688</t>
        </is>
      </c>
      <c r="B58" s="4" t="inlineStr">
        <is>
          <t>LINGYI ITECH</t>
        </is>
      </c>
      <c r="C58" s="4" t="inlineStr">
        <is>
          <t>Smart hardware / consumer electronics</t>
        </is>
      </c>
      <c r="D58" s="51">
        <f>BDP("1688 HK Equity","PX_LAST")</f>
        <v/>
      </c>
      <c r="E58" s="7" t="n"/>
      <c r="F58" s="51">
        <f>IF($E58&lt;&gt;"",$E58,$D58)</f>
        <v/>
      </c>
      <c r="G58" s="4" t="inlineStr">
        <is>
          <t>002600.SZ</t>
        </is>
      </c>
      <c r="H58" s="51">
        <f>BDP("002600 CH Equity","PX_LAST")</f>
        <v/>
      </c>
      <c r="I58" s="7" t="n"/>
      <c r="J58" s="51">
        <f>IF($I58&lt;&gt;"",$I58,$H58)</f>
        <v/>
      </c>
      <c r="K58" s="52">
        <f>IF(OR($F58="",$J58="",$D$4=""),"",$F58/($J58*$D$4)-1)</f>
        <v/>
      </c>
      <c r="L58" s="53" t="n">
        <v>-0.5659</v>
      </c>
      <c r="M58" s="2" t="inlineStr">
        <is>
          <t>Jun 2026 H listing (consumer-electronics precision parts)</t>
        </is>
      </c>
    </row>
    <row r="59">
      <c r="A59" s="50" t="inlineStr">
        <is>
          <t>9630</t>
        </is>
      </c>
      <c r="B59" s="4" t="inlineStr">
        <is>
          <t>CFMEE</t>
        </is>
      </c>
      <c r="C59" s="4" t="inlineStr">
        <is>
          <t>AI chips &amp; semis</t>
        </is>
      </c>
      <c r="D59" s="51">
        <f>BDP("9630 HK Equity","PX_LAST")</f>
        <v/>
      </c>
      <c r="E59" s="7" t="n"/>
      <c r="F59" s="51">
        <f>IF($E59&lt;&gt;"",$E59,$D59)</f>
        <v/>
      </c>
      <c r="G59" s="4" t="inlineStr">
        <is>
          <t>688630.SS</t>
        </is>
      </c>
      <c r="H59" s="51">
        <f>BDP("688630 CH Equity","PX_LAST")</f>
        <v/>
      </c>
      <c r="I59" s="7" t="n"/>
      <c r="J59" s="51">
        <f>IF($I59&lt;&gt;"",$I59,$H59)</f>
        <v/>
      </c>
      <c r="K59" s="52">
        <f>IF(OR($F59="",$J59="",$D$4=""),"",$F59/($J59*$D$4)-1)</f>
        <v/>
      </c>
      <c r="L59" s="53" t="n">
        <v>-0.3228</v>
      </c>
      <c r="M59" s="2" t="inlineStr">
        <is>
          <t>Jun 2026 H listing (direct-write lithography equipment)</t>
        </is>
      </c>
    </row>
    <row r="60">
      <c r="A60" s="50" t="inlineStr">
        <is>
          <t>0668</t>
        </is>
      </c>
      <c r="B60" s="4" t="inlineStr">
        <is>
          <t>ANKER</t>
        </is>
      </c>
      <c r="C60" s="4" t="inlineStr">
        <is>
          <t>Smart hardware / consumer electronics</t>
        </is>
      </c>
      <c r="D60" s="51">
        <f>BDP("668 HK Equity","PX_LAST")</f>
        <v/>
      </c>
      <c r="E60" s="7" t="n"/>
      <c r="F60" s="51">
        <f>IF($E60&lt;&gt;"",$E60,$D60)</f>
        <v/>
      </c>
      <c r="G60" s="4" t="inlineStr">
        <is>
          <t>300866.SZ</t>
        </is>
      </c>
      <c r="H60" s="51">
        <f>BDP("300866 CH Equity","PX_LAST")</f>
        <v/>
      </c>
      <c r="I60" s="7" t="n"/>
      <c r="J60" s="51">
        <f>IF($I60&lt;&gt;"",$I60,$H60)</f>
        <v/>
      </c>
      <c r="K60" s="52">
        <f>IF(OR($F60="",$J60="",$D$4=""),"",$F60/($J60*$D$4)-1)</f>
        <v/>
      </c>
      <c r="L60" s="53" t="n">
        <v>-0.1322</v>
      </c>
      <c r="M60" s="2" t="inlineStr">
        <is>
          <t>Jun 2026 H listing (consumer charging/power brands)</t>
        </is>
      </c>
    </row>
    <row r="61">
      <c r="A61" s="50" t="inlineStr">
        <is>
          <t>0537</t>
        </is>
      </c>
      <c r="B61" s="4" t="inlineStr">
        <is>
          <t>RIGOL</t>
        </is>
      </c>
      <c r="C61" s="4" t="inlineStr">
        <is>
          <t>Capital goods / machinery</t>
        </is>
      </c>
      <c r="D61" s="51">
        <f>BDP("537 HK Equity","PX_LAST")</f>
        <v/>
      </c>
      <c r="E61" s="7" t="n"/>
      <c r="F61" s="51">
        <f>IF($E61&lt;&gt;"",$E61,$D61)</f>
        <v/>
      </c>
      <c r="G61" s="4" t="inlineStr">
        <is>
          <t>688337.SS</t>
        </is>
      </c>
      <c r="H61" s="51">
        <f>BDP("688337 CH Equity","PX_LAST")</f>
        <v/>
      </c>
      <c r="I61" s="7" t="n"/>
      <c r="J61" s="51">
        <f>IF($I61&lt;&gt;"",$I61,$H61)</f>
        <v/>
      </c>
      <c r="K61" s="52">
        <f>IF(OR($F61="",$J61="",$D$4=""),"",$F61/($J61*$D$4)-1)</f>
        <v/>
      </c>
      <c r="L61" s="53" t="n">
        <v>-0.5108</v>
      </c>
      <c r="M61" s="2" t="inlineStr">
        <is>
          <t>Jul 2026 H listing (electronic test &amp; measurement)</t>
        </is>
      </c>
    </row>
    <row r="62">
      <c r="A62" s="50" t="inlineStr">
        <is>
          <t>2475</t>
        </is>
      </c>
      <c r="B62" s="4" t="inlineStr">
        <is>
          <t>LUXSHARE ICT</t>
        </is>
      </c>
      <c r="C62" s="4" t="inlineStr">
        <is>
          <t>Smart hardware / consumer electronics</t>
        </is>
      </c>
      <c r="D62" s="51">
        <f>BDP("2475 HK Equity","PX_LAST")</f>
        <v/>
      </c>
      <c r="E62" s="7" t="n"/>
      <c r="F62" s="51">
        <f>IF($E62&lt;&gt;"",$E62,$D62)</f>
        <v/>
      </c>
      <c r="G62" s="4" t="inlineStr">
        <is>
          <t>002475.SZ</t>
        </is>
      </c>
      <c r="H62" s="51">
        <f>BDP("002475 CH Equity","PX_LAST")</f>
        <v/>
      </c>
      <c r="I62" s="7" t="n"/>
      <c r="J62" s="51">
        <f>IF($I62&lt;&gt;"",$I62,$H62)</f>
        <v/>
      </c>
      <c r="K62" s="52">
        <f>IF(OR($F62="",$J62="",$D$4=""),"",$F62/($J62*$D$4)-1)</f>
        <v/>
      </c>
      <c r="L62" s="53" t="n">
        <v>-0.0827</v>
      </c>
      <c r="M62" s="2" t="inlineStr">
        <is>
          <t>Jul 2026, ~US$3.1bn — largest HK IPO of 2026 until Innolight</t>
        </is>
      </c>
    </row>
    <row r="63">
      <c r="A63" s="50" t="inlineStr">
        <is>
          <t>6951</t>
        </is>
      </c>
      <c r="B63" s="4" t="inlineStr">
        <is>
          <t>CCTC</t>
        </is>
      </c>
      <c r="C63" s="4" t="inlineStr">
        <is>
          <t>Smart hardware / consumer electronics</t>
        </is>
      </c>
      <c r="D63" s="51">
        <f>BDP("6951 HK Equity","PX_LAST")</f>
        <v/>
      </c>
      <c r="E63" s="7" t="n"/>
      <c r="F63" s="51">
        <f>IF($E63&lt;&gt;"",$E63,$D63)</f>
        <v/>
      </c>
      <c r="G63" s="4" t="inlineStr">
        <is>
          <t>300408.SZ</t>
        </is>
      </c>
      <c r="H63" s="51">
        <f>BDP("300408 CH Equity","PX_LAST")</f>
        <v/>
      </c>
      <c r="I63" s="7" t="n"/>
      <c r="J63" s="51">
        <f>IF($I63&lt;&gt;"",$I63,$H63)</f>
        <v/>
      </c>
      <c r="K63" s="52">
        <f>IF(OR($F63="",$J63="",$D$4=""),"",$F63/($J63*$D$4)-1)</f>
        <v/>
      </c>
      <c r="L63" s="53" t="n">
        <v>-0.1386</v>
      </c>
      <c r="M63" s="2" t="inlineStr">
        <is>
          <t>Jul 2026 H listing (ceramic components; targeted ~US$1bn)</t>
        </is>
      </c>
    </row>
    <row r="64">
      <c r="A64" s="50" t="inlineStr">
        <is>
          <t>1377</t>
        </is>
      </c>
      <c r="B64" s="4" t="inlineStr">
        <is>
          <t>DTECH</t>
        </is>
      </c>
      <c r="C64" s="4" t="inlineStr">
        <is>
          <t>Smart hardware / consumer electronics</t>
        </is>
      </c>
      <c r="D64" s="51">
        <f>BDP("1377 HK Equity","PX_LAST")</f>
        <v/>
      </c>
      <c r="E64" s="7" t="n"/>
      <c r="F64" s="51">
        <f>IF($E64&lt;&gt;"",$E64,$D64)</f>
        <v/>
      </c>
      <c r="G64" s="4" t="inlineStr">
        <is>
          <t>301377.SZ</t>
        </is>
      </c>
      <c r="H64" s="51">
        <f>BDP("301377 CH Equity","PX_LAST")</f>
        <v/>
      </c>
      <c r="I64" s="7" t="n"/>
      <c r="J64" s="51">
        <f>IF($I64&lt;&gt;"",$I64,$H64)</f>
        <v/>
      </c>
      <c r="K64" s="52">
        <f>IF(OR($F64="",$J64="",$D$4=""),"",$F64/($J64*$D$4)-1)</f>
        <v/>
      </c>
      <c r="L64" s="53" t="n">
        <v>-0.2946</v>
      </c>
      <c r="M64" s="2" t="inlineStr">
        <is>
          <t>Jul 2026 H listing (PCB drilling tools)</t>
        </is>
      </c>
    </row>
    <row r="65">
      <c r="A65" s="50" t="inlineStr">
        <is>
          <t>6745</t>
        </is>
      </c>
      <c r="B65" s="4" t="inlineStr">
        <is>
          <t>BEFAR GROUP</t>
        </is>
      </c>
      <c r="C65" s="4" t="inlineStr">
        <is>
          <t>Chemicals</t>
        </is>
      </c>
      <c r="D65" s="51">
        <f>BDP("6745 HK Equity","PX_LAST")</f>
        <v/>
      </c>
      <c r="E65" s="7" t="n"/>
      <c r="F65" s="51">
        <f>IF($E65&lt;&gt;"",$E65,$D65)</f>
        <v/>
      </c>
      <c r="G65" s="4" t="inlineStr">
        <is>
          <t>601678.SS</t>
        </is>
      </c>
      <c r="H65" s="51">
        <f>BDP("601678 CH Equity","PX_LAST")</f>
        <v/>
      </c>
      <c r="I65" s="7" t="n"/>
      <c r="J65" s="51">
        <f>IF($I65&lt;&gt;"",$I65,$H65)</f>
        <v/>
      </c>
      <c r="K65" s="52">
        <f>IF(OR($F65="",$J65="",$D$4=""),"",$F65/($J65*$D$4)-1)</f>
        <v/>
      </c>
      <c r="L65" s="53" t="n">
        <v>-0.6196</v>
      </c>
      <c r="M65" s="2" t="inlineStr">
        <is>
          <t>Jul 2026 H listing (chlor-alkali/chemicals)</t>
        </is>
      </c>
    </row>
    <row r="66">
      <c r="A66" s="50" t="inlineStr">
        <is>
          <t>2249</t>
        </is>
      </c>
      <c r="B66" s="4" t="inlineStr">
        <is>
          <t>NEXCHIP</t>
        </is>
      </c>
      <c r="C66" s="4" t="inlineStr">
        <is>
          <t>AI chips &amp; semis</t>
        </is>
      </c>
      <c r="D66" s="51">
        <f>BDP("2249 HK Equity","PX_LAST")</f>
        <v/>
      </c>
      <c r="E66" s="7" t="n"/>
      <c r="F66" s="51">
        <f>IF($E66&lt;&gt;"",$E66,$D66)</f>
        <v/>
      </c>
      <c r="G66" s="4" t="inlineStr">
        <is>
          <t>688249.SS</t>
        </is>
      </c>
      <c r="H66" s="51">
        <f>BDP("688249 CH Equity","PX_LAST")</f>
        <v/>
      </c>
      <c r="I66" s="7" t="n"/>
      <c r="J66" s="51">
        <f>IF($I66&lt;&gt;"",$I66,$H66)</f>
        <v/>
      </c>
      <c r="K66" s="52">
        <f>IF(OR($F66="",$J66="",$D$4=""),"",$F66/($J66*$D$4)-1)</f>
        <v/>
      </c>
      <c r="L66" s="53" t="n">
        <v>-0.258</v>
      </c>
      <c r="M66" s="2" t="inlineStr">
        <is>
          <t>Jul 2026 H listing (foundry)</t>
        </is>
      </c>
    </row>
    <row r="67">
      <c r="A67" s="50" t="inlineStr">
        <is>
          <t>3308</t>
        </is>
      </c>
      <c r="B67" s="4" t="inlineStr">
        <is>
          <t>ZJ INNOLIGHT</t>
        </is>
      </c>
      <c r="C67" s="4" t="inlineStr">
        <is>
          <t>Smart hardware / consumer electronics</t>
        </is>
      </c>
      <c r="D67" s="51">
        <f>BDP("3308 HK Equity","PX_LAST")</f>
        <v/>
      </c>
      <c r="E67" s="7" t="n"/>
      <c r="F67" s="51">
        <f>IF($E67&lt;&gt;"",$E67,$D67)</f>
        <v/>
      </c>
      <c r="G67" s="4" t="inlineStr">
        <is>
          <t>300308.SZ</t>
        </is>
      </c>
      <c r="H67" s="51">
        <f>BDP("300308 CH Equity","PX_LAST")</f>
        <v/>
      </c>
      <c r="I67" s="7" t="n"/>
      <c r="J67" s="51">
        <f>IF($I67&lt;&gt;"",$I67,$H67)</f>
        <v/>
      </c>
      <c r="K67" s="52">
        <f>IF(OR($F67="",$J67="",$D$4=""),"",$F67/($J67*$D$4)-1)</f>
        <v/>
      </c>
      <c r="L67" s="53" t="n">
        <v>0.0698</v>
      </c>
      <c r="M67" s="2" t="inlineStr">
        <is>
          <t>Jul 2026 — Hong Kong's largest IPO in seven years (optical transceivers for AI datacenters)</t>
        </is>
      </c>
    </row>
    <row r="70">
      <c r="A70" s="3" t="inlineStr">
        <is>
          <t>NO A-SHARE LINE — closest pure-A proxies</t>
        </is>
      </c>
    </row>
    <row r="71">
      <c r="A71" s="14" t="inlineStr">
        <is>
          <t>H code</t>
        </is>
      </c>
      <c r="B71" s="14" t="inlineStr">
        <is>
          <t>Name</t>
        </is>
      </c>
      <c r="C71" s="14" t="inlineStr">
        <is>
          <t>Proxy A code</t>
        </is>
      </c>
      <c r="D71" s="14" t="inlineStr">
        <is>
          <t>Proxy name</t>
        </is>
      </c>
      <c r="E71" s="14" t="inlineStr">
        <is>
          <t>Rationale</t>
        </is>
      </c>
    </row>
    <row r="72">
      <c r="A72" s="50" t="inlineStr">
        <is>
          <t>1024</t>
        </is>
      </c>
      <c r="B72" s="4" t="inlineStr">
        <is>
          <t>KUAISHOU-W</t>
        </is>
      </c>
      <c r="C72" s="4" t="inlineStr">
        <is>
          <t>300413.SZ</t>
        </is>
      </c>
      <c r="D72" s="4" t="inlineStr">
        <is>
          <t>Mango Excellent Media</t>
        </is>
      </c>
      <c r="E72" s="2" t="inlineStr">
        <is>
          <t>A-shares have no short-video platform; Mango (Hunan TV streaming/content) is the standard A-share video-platform traffic-and-ads proxy.</t>
        </is>
      </c>
    </row>
    <row r="73">
      <c r="A73" s="50" t="inlineStr">
        <is>
          <t>0020</t>
        </is>
      </c>
      <c r="B73" s="4" t="inlineStr">
        <is>
          <t>SENSETIME-W</t>
        </is>
      </c>
      <c r="C73" s="4" t="inlineStr">
        <is>
          <t>688327.SS</t>
        </is>
      </c>
      <c r="D73" s="4" t="inlineStr">
        <is>
          <t>CloudWalk Technology</t>
        </is>
      </c>
      <c r="E73" s="2" t="inlineStr">
        <is>
          <t>Pure A-share computer-vision AI platform ('AI four dragons' peer) — the direct A analogue.</t>
        </is>
      </c>
    </row>
    <row r="74">
      <c r="A74" s="50" t="inlineStr">
        <is>
          <t>6682</t>
        </is>
      </c>
      <c r="B74" s="4" t="inlineStr">
        <is>
          <t>FOURTH PARADIGM</t>
        </is>
      </c>
      <c r="C74" s="4" t="inlineStr">
        <is>
          <t>600588.SS</t>
        </is>
      </c>
      <c r="D74" s="4" t="inlineStr">
        <is>
          <t>Yonyou Network</t>
        </is>
      </c>
      <c r="E74" s="2" t="inlineStr">
        <is>
          <t>Enterprise-software platform embedding AI into corporate decision/ERP workflows — closest A-share enterprise-AI software exposure.</t>
        </is>
      </c>
    </row>
    <row r="75">
      <c r="A75" s="50" t="inlineStr">
        <is>
          <t>6181</t>
        </is>
      </c>
      <c r="B75" s="4" t="inlineStr">
        <is>
          <t>LAOPU GOLD</t>
        </is>
      </c>
      <c r="C75" s="4" t="inlineStr">
        <is>
          <t>002345.SZ</t>
        </is>
      </c>
      <c r="D75" s="4" t="inlineStr">
        <is>
          <t>Chow Hong Ji (CHJ Jewellery)</t>
        </is>
      </c>
      <c r="E75" s="2" t="inlineStr">
        <is>
          <t>A-listed fashion/heritage gold jewellery brand with craftsmanship positioning — nearest to Laopu's ancient-gold premium retail model (large-cap alternative: Lao Feng Xiang 600612.SS).</t>
        </is>
      </c>
    </row>
    <row r="76">
      <c r="A76" s="50" t="inlineStr">
        <is>
          <t>9660</t>
        </is>
      </c>
      <c r="B76" s="4" t="inlineStr">
        <is>
          <t>HORIZONROBOT-W</t>
        </is>
      </c>
      <c r="C76" s="4" t="inlineStr">
        <is>
          <t>002920.SZ</t>
        </is>
      </c>
      <c r="D76" s="4" t="inlineStr">
        <is>
          <t>Desay SV Automotive</t>
        </is>
      </c>
      <c r="E76" s="2" t="inlineStr">
        <is>
          <t>Leading A-share intelligent-driving domain-controller/ADAS tier-1 — the closest pure-A exposure to the China ADAS adoption curve that Horizon's Journey SoCs ride.</t>
        </is>
      </c>
    </row>
    <row r="77">
      <c r="A77" s="50" t="inlineStr">
        <is>
          <t>0325</t>
        </is>
      </c>
      <c r="B77" s="4" t="inlineStr">
        <is>
          <t>BLOKS</t>
        </is>
      </c>
      <c r="C77" s="4" t="inlineStr">
        <is>
          <t>002292.SZ</t>
        </is>
      </c>
      <c r="D77" s="4" t="inlineStr">
        <is>
          <t>Alpha Group</t>
        </is>
      </c>
      <c r="E77" s="2" t="inlineStr">
        <is>
          <t>Pop Mart/Bloks-style IP toys have no A pure-play; Alpha is the A-share IP toy and animation-merchandise name.</t>
        </is>
      </c>
    </row>
    <row r="78">
      <c r="A78" s="50" t="inlineStr">
        <is>
          <t>2097</t>
        </is>
      </c>
      <c r="B78" s="4" t="inlineStr">
        <is>
          <t>MIXUE GROUP</t>
        </is>
      </c>
      <c r="C78" s="4" t="inlineStr">
        <is>
          <t>603711.SS</t>
        </is>
      </c>
      <c r="D78" s="4" t="inlineStr">
        <is>
          <t>Xiangpiaopiao Food</t>
        </is>
      </c>
      <c r="E78" s="2" t="inlineStr">
        <is>
          <t>No A-listed freshly-made-drinks chain exists; Xiangpiaopiao is the A-share mass-market tea-drink franchise/brand play closest to Mixue's price point.</t>
        </is>
      </c>
    </row>
    <row r="79">
      <c r="A79" s="50" t="inlineStr">
        <is>
          <t>9678</t>
        </is>
      </c>
      <c r="B79" s="4" t="inlineStr">
        <is>
          <t>UNISOUND</t>
        </is>
      </c>
      <c r="C79" s="4" t="inlineStr">
        <is>
          <t>002230.SZ</t>
        </is>
      </c>
      <c r="D79" s="4" t="inlineStr">
        <is>
          <t>iFlytek</t>
        </is>
      </c>
      <c r="E79" s="2" t="inlineStr">
        <is>
          <t>Direct A-share competitor in voice AI and speech-centric LLMs (Spark model).</t>
        </is>
      </c>
    </row>
    <row r="80">
      <c r="A80" s="50" t="inlineStr">
        <is>
          <t>6082</t>
        </is>
      </c>
      <c r="B80" s="4" t="inlineStr">
        <is>
          <t>BIREN TECH</t>
        </is>
      </c>
      <c r="C80" s="4" t="inlineStr">
        <is>
          <t>688256.SS</t>
        </is>
      </c>
      <c r="D80" s="4" t="inlineStr">
        <is>
          <t>Cambricon Technologies</t>
        </is>
      </c>
      <c r="E80" s="2" t="inlineStr">
        <is>
          <t>The A-share domestic AI-compute (GPGPU/accelerator) pure-play — closest proxy for Biren's training-GPU story.</t>
        </is>
      </c>
    </row>
    <row r="81">
      <c r="A81" s="50" t="inlineStr">
        <is>
          <t>9903</t>
        </is>
      </c>
      <c r="B81" s="4" t="inlineStr">
        <is>
          <t>ILUVATAR COREX</t>
        </is>
      </c>
      <c r="C81" s="4" t="inlineStr">
        <is>
          <t>688256.SS</t>
        </is>
      </c>
      <c r="D81" s="4" t="inlineStr">
        <is>
          <t>Cambricon Technologies</t>
        </is>
      </c>
      <c r="E81" s="2" t="inlineStr">
        <is>
          <t>Same domestic AI-accelerator substitution theme; Cambricon is the only liquid A pure-play.</t>
        </is>
      </c>
    </row>
    <row r="82">
      <c r="A82" s="50" t="inlineStr">
        <is>
          <t>0100</t>
        </is>
      </c>
      <c r="B82" s="4" t="inlineStr">
        <is>
          <t>MINIMAX-WP</t>
        </is>
      </c>
      <c r="C82" s="4" t="inlineStr">
        <is>
          <t>300418.SZ</t>
        </is>
      </c>
      <c r="D82" s="4" t="inlineStr">
        <is>
          <t>Kunlun Tech</t>
        </is>
      </c>
      <c r="E82" s="2" t="inlineStr">
        <is>
          <t>Owns the in-house Skywork/Tiangong LLM family — the nearest A-share to a pure LLM-developer exposure.</t>
        </is>
      </c>
    </row>
    <row r="83">
      <c r="A83" s="50" t="inlineStr">
        <is>
          <t>0600</t>
        </is>
      </c>
      <c r="B83" s="4" t="inlineStr">
        <is>
          <t>AXERA</t>
        </is>
      </c>
      <c r="C83" s="4" t="inlineStr">
        <is>
          <t>603893.SS</t>
        </is>
      </c>
      <c r="D83" s="4" t="inlineStr">
        <is>
          <t>Rockchip Electronics</t>
        </is>
      </c>
      <c r="E83" s="2" t="inlineStr">
        <is>
          <t>A-share edge-AI SoC designer — nearest listed comp to Axera's smart-vision/edge inference chips.</t>
        </is>
      </c>
    </row>
    <row r="84">
      <c r="A84" s="50" t="inlineStr">
        <is>
          <t>1956</t>
        </is>
      </c>
      <c r="B84" s="4" t="inlineStr">
        <is>
          <t>WENGE AI</t>
        </is>
      </c>
      <c r="C84" s="4" t="inlineStr">
        <is>
          <t>300229.SZ</t>
        </is>
      </c>
      <c r="D84" s="4" t="inlineStr">
        <is>
          <t>TRS Information Technology</t>
        </is>
      </c>
      <c r="E84" s="2" t="inlineStr">
        <is>
          <t>A-share NLP/big-data software house serving media and government analytics — same niche as Wenge's decision-intelligence LLM stack.</t>
        </is>
      </c>
    </row>
  </sheetData>
  <conditionalFormatting sqref="K7:K67">
    <cfRule type="expression" priority="1" dxfId="2">
      <formula>ABS(K7)&gt;0.3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6"/>
  <sheetViews>
    <sheetView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14" customWidth="1" min="3" max="3"/>
    <col width="8" customWidth="1" min="4" max="4"/>
    <col width="13" customWidth="1" min="5" max="5"/>
    <col width="10" customWidth="1" min="6" max="6"/>
  </cols>
  <sheetData>
    <row r="1">
      <c r="A1" s="1" t="inlineStr">
        <is>
          <t>DAY-1 ANALOGS — what deals like this actually did</t>
        </is>
      </c>
    </row>
    <row r="2">
      <c r="A2" s="2" t="inlineStr">
        <is>
          <t>built from 511 deals with a listing-day price, 2021, 2022, 2023, 2024, 2025, 2026. 'Hit-rate' = % that closed above the offer price. Read n before trusting a cell.</t>
        </is>
      </c>
    </row>
    <row r="4">
      <c r="A4" s="3" t="inlineStr">
        <is>
          <t>BY SUBSCRIPTION LEVEL (all deals)</t>
        </is>
      </c>
    </row>
    <row r="5">
      <c r="A5" s="14" t="inlineStr">
        <is>
          <t>Subscription</t>
        </is>
      </c>
      <c r="B5" s="14" t="inlineStr">
        <is>
          <t>n</t>
        </is>
      </c>
      <c r="C5" s="14" t="inlineStr">
        <is>
          <t>Median day-1</t>
        </is>
      </c>
      <c r="D5" s="14" t="inlineStr">
        <is>
          <t>Hit-rate</t>
        </is>
      </c>
      <c r="E5" s="14" t="inlineStr">
        <is>
          <t>P25</t>
        </is>
      </c>
      <c r="F5" s="14" t="inlineStr">
        <is>
          <t>P75</t>
        </is>
      </c>
    </row>
    <row r="6">
      <c r="A6" s="4" t="inlineStr">
        <is>
          <t>&lt;10x</t>
        </is>
      </c>
      <c r="B6" s="54" t="n">
        <v>161</v>
      </c>
      <c r="C6" s="55" t="n">
        <v>0</v>
      </c>
      <c r="D6" s="56" t="n">
        <v>39</v>
      </c>
      <c r="E6" s="55" t="n">
        <v>-5.6</v>
      </c>
      <c r="F6" s="55" t="n">
        <v>2.5</v>
      </c>
    </row>
    <row r="7">
      <c r="A7" s="4" t="inlineStr">
        <is>
          <t>10-100x</t>
        </is>
      </c>
      <c r="B7" s="54" t="n">
        <v>124</v>
      </c>
      <c r="C7" s="55" t="n">
        <v>1.3</v>
      </c>
      <c r="D7" s="56" t="n">
        <v>56</v>
      </c>
      <c r="E7" s="55" t="n">
        <v>-11.4</v>
      </c>
      <c r="F7" s="55" t="n">
        <v>20</v>
      </c>
    </row>
    <row r="8">
      <c r="A8" s="4" t="inlineStr">
        <is>
          <t>100-1000x</t>
        </is>
      </c>
      <c r="B8" s="54" t="n">
        <v>114</v>
      </c>
      <c r="C8" s="55" t="n">
        <v>3</v>
      </c>
      <c r="D8" s="56" t="n">
        <v>56</v>
      </c>
      <c r="E8" s="55" t="n">
        <v>-12.5</v>
      </c>
      <c r="F8" s="55" t="n">
        <v>26.9</v>
      </c>
    </row>
    <row r="9">
      <c r="A9" s="4" t="inlineStr">
        <is>
          <t>&gt;=1000x</t>
        </is>
      </c>
      <c r="B9" s="54" t="n">
        <v>106</v>
      </c>
      <c r="C9" s="55" t="n">
        <v>76</v>
      </c>
      <c r="D9" s="56" t="n">
        <v>92</v>
      </c>
      <c r="E9" s="55" t="n">
        <v>21.9</v>
      </c>
      <c r="F9" s="55" t="n">
        <v>127.1</v>
      </c>
    </row>
    <row r="11">
      <c r="A11" s="3" t="inlineStr">
        <is>
          <t>BY SUBSECTOR x SUBSCRIPTION  (lookup key in col A)</t>
        </is>
      </c>
    </row>
    <row r="12">
      <c r="A12" s="14" t="inlineStr">
        <is>
          <t>Key</t>
        </is>
      </c>
      <c r="B12" s="14" t="inlineStr">
        <is>
          <t>Subsector</t>
        </is>
      </c>
      <c r="C12" s="14" t="inlineStr">
        <is>
          <t>Subscription</t>
        </is>
      </c>
      <c r="D12" s="14" t="inlineStr">
        <is>
          <t>n</t>
        </is>
      </c>
      <c r="E12" s="14" t="inlineStr">
        <is>
          <t>Median day-1</t>
        </is>
      </c>
      <c r="F12" s="14" t="inlineStr">
        <is>
          <t>Hit-rate</t>
        </is>
      </c>
    </row>
    <row r="13">
      <c r="A13" s="57" t="inlineStr">
        <is>
          <t>AI application / agent software|10-100x</t>
        </is>
      </c>
      <c r="B13" s="4" t="inlineStr">
        <is>
          <t>AI application / agent software</t>
        </is>
      </c>
      <c r="C13" s="4" t="inlineStr">
        <is>
          <t>10-100x</t>
        </is>
      </c>
      <c r="D13" s="54" t="n">
        <v>3</v>
      </c>
      <c r="E13" s="55" t="n">
        <v>5.2</v>
      </c>
      <c r="F13" s="56" t="n">
        <v>67</v>
      </c>
    </row>
    <row r="14">
      <c r="A14" s="57" t="inlineStr">
        <is>
          <t>AI application / agent software|100-1000x</t>
        </is>
      </c>
      <c r="B14" s="4" t="inlineStr">
        <is>
          <t>AI application / agent software</t>
        </is>
      </c>
      <c r="C14" s="4" t="inlineStr">
        <is>
          <t>100-1000x</t>
        </is>
      </c>
      <c r="D14" s="54" t="n">
        <v>2</v>
      </c>
      <c r="E14" s="55" t="n">
        <v>3.3</v>
      </c>
      <c r="F14" s="56" t="n">
        <v>50</v>
      </c>
    </row>
    <row r="15">
      <c r="A15" s="57" t="inlineStr">
        <is>
          <t>AI application / agent software|&lt;10x</t>
        </is>
      </c>
      <c r="B15" s="4" t="inlineStr">
        <is>
          <t>AI application / agent software</t>
        </is>
      </c>
      <c r="C15" s="4" t="inlineStr">
        <is>
          <t>&lt;10x</t>
        </is>
      </c>
      <c r="D15" s="54" t="n">
        <v>1</v>
      </c>
      <c r="E15" s="55" t="n">
        <v>7.3</v>
      </c>
      <c r="F15" s="56" t="n">
        <v>100</v>
      </c>
    </row>
    <row r="16">
      <c r="A16" s="57" t="inlineStr">
        <is>
          <t>AI application / agent software|&gt;=1000x</t>
        </is>
      </c>
      <c r="B16" s="4" t="inlineStr">
        <is>
          <t>AI application / agent software</t>
        </is>
      </c>
      <c r="C16" s="4" t="inlineStr">
        <is>
          <t>&gt;=1000x</t>
        </is>
      </c>
      <c r="D16" s="54" t="n">
        <v>10</v>
      </c>
      <c r="E16" s="55" t="n">
        <v>150.3</v>
      </c>
      <c r="F16" s="56" t="n">
        <v>90</v>
      </c>
    </row>
    <row r="17">
      <c r="A17" s="57" t="inlineStr">
        <is>
          <t>AI chips &amp; semis|10-100x</t>
        </is>
      </c>
      <c r="B17" s="4" t="inlineStr">
        <is>
          <t>AI chips &amp; semis</t>
        </is>
      </c>
      <c r="C17" s="4" t="inlineStr">
        <is>
          <t>10-100x</t>
        </is>
      </c>
      <c r="D17" s="54" t="n">
        <v>5</v>
      </c>
      <c r="E17" s="55" t="n">
        <v>2.8</v>
      </c>
      <c r="F17" s="56" t="n">
        <v>60</v>
      </c>
    </row>
    <row r="18">
      <c r="A18" s="57" t="inlineStr">
        <is>
          <t>AI chips &amp; semis|100-1000x</t>
        </is>
      </c>
      <c r="B18" s="4" t="inlineStr">
        <is>
          <t>AI chips &amp; semis</t>
        </is>
      </c>
      <c r="C18" s="4" t="inlineStr">
        <is>
          <t>100-1000x</t>
        </is>
      </c>
      <c r="D18" s="54" t="n">
        <v>8</v>
      </c>
      <c r="E18" s="55" t="n">
        <v>12.2</v>
      </c>
      <c r="F18" s="56" t="n">
        <v>75</v>
      </c>
    </row>
    <row r="19">
      <c r="A19" s="57" t="inlineStr">
        <is>
          <t>AI chips &amp; semis|&lt;10x</t>
        </is>
      </c>
      <c r="B19" s="4" t="inlineStr">
        <is>
          <t>AI chips &amp; semis</t>
        </is>
      </c>
      <c r="C19" s="4" t="inlineStr">
        <is>
          <t>&lt;10x</t>
        </is>
      </c>
      <c r="D19" s="54" t="n">
        <v>4</v>
      </c>
      <c r="E19" s="55" t="n">
        <v>-21.7</v>
      </c>
      <c r="F19" s="56" t="n">
        <v>25</v>
      </c>
    </row>
    <row r="20">
      <c r="A20" s="57" t="inlineStr">
        <is>
          <t>AI chips &amp; semis|&gt;=1000x</t>
        </is>
      </c>
      <c r="B20" s="4" t="inlineStr">
        <is>
          <t>AI chips &amp; semis</t>
        </is>
      </c>
      <c r="C20" s="4" t="inlineStr">
        <is>
          <t>&gt;=1000x</t>
        </is>
      </c>
      <c r="D20" s="54" t="n">
        <v>9</v>
      </c>
      <c r="E20" s="55" t="n">
        <v>75.8</v>
      </c>
      <c r="F20" s="56" t="n">
        <v>100</v>
      </c>
    </row>
    <row r="21">
      <c r="A21" s="57" t="inlineStr">
        <is>
          <t>Apparel / luxury|10-100x</t>
        </is>
      </c>
      <c r="B21" s="4" t="inlineStr">
        <is>
          <t>Apparel / luxury</t>
        </is>
      </c>
      <c r="C21" s="4" t="inlineStr">
        <is>
          <t>10-100x</t>
        </is>
      </c>
      <c r="D21" s="54" t="n">
        <v>1</v>
      </c>
      <c r="E21" s="55" t="n">
        <v>7.5</v>
      </c>
      <c r="F21" s="56" t="n">
        <v>100</v>
      </c>
    </row>
    <row r="22">
      <c r="A22" s="57" t="inlineStr">
        <is>
          <t>Apparel / luxury|100-1000x</t>
        </is>
      </c>
      <c r="B22" s="4" t="inlineStr">
        <is>
          <t>Apparel / luxury</t>
        </is>
      </c>
      <c r="C22" s="4" t="inlineStr">
        <is>
          <t>100-1000x</t>
        </is>
      </c>
      <c r="D22" s="54" t="n">
        <v>2</v>
      </c>
      <c r="E22" s="55" t="n">
        <v>48.9</v>
      </c>
      <c r="F22" s="56" t="n">
        <v>100</v>
      </c>
    </row>
    <row r="23">
      <c r="A23" s="57" t="inlineStr">
        <is>
          <t>Apparel / luxury|&lt;10x</t>
        </is>
      </c>
      <c r="B23" s="4" t="inlineStr">
        <is>
          <t>Apparel / luxury</t>
        </is>
      </c>
      <c r="C23" s="4" t="inlineStr">
        <is>
          <t>&lt;10x</t>
        </is>
      </c>
      <c r="D23" s="54" t="n">
        <v>1</v>
      </c>
      <c r="E23" s="55" t="n">
        <v>-0.1</v>
      </c>
      <c r="F23" s="56" t="n">
        <v>0</v>
      </c>
    </row>
    <row r="24">
      <c r="A24" s="57" t="inlineStr">
        <is>
          <t>Apparel / luxury|&gt;=1000x</t>
        </is>
      </c>
      <c r="B24" s="4" t="inlineStr">
        <is>
          <t>Apparel / luxury</t>
        </is>
      </c>
      <c r="C24" s="4" t="inlineStr">
        <is>
          <t>&gt;=1000x</t>
        </is>
      </c>
      <c r="D24" s="54" t="n">
        <v>1</v>
      </c>
      <c r="E24" s="55" t="n">
        <v>258.1</v>
      </c>
      <c r="F24" s="56" t="n">
        <v>100</v>
      </c>
    </row>
    <row r="25">
      <c r="A25" s="57" t="inlineStr">
        <is>
          <t>Auto parts / supply chain|10-100x</t>
        </is>
      </c>
      <c r="B25" s="4" t="inlineStr">
        <is>
          <t>Auto parts / supply chain</t>
        </is>
      </c>
      <c r="C25" s="4" t="inlineStr">
        <is>
          <t>10-100x</t>
        </is>
      </c>
      <c r="D25" s="54" t="n">
        <v>3</v>
      </c>
      <c r="E25" s="55" t="n">
        <v>-36.9</v>
      </c>
      <c r="F25" s="56" t="n">
        <v>33</v>
      </c>
    </row>
    <row r="26">
      <c r="A26" s="57" t="inlineStr">
        <is>
          <t>Auto parts / supply chain|100-1000x</t>
        </is>
      </c>
      <c r="B26" s="4" t="inlineStr">
        <is>
          <t>Auto parts / supply chain</t>
        </is>
      </c>
      <c r="C26" s="4" t="inlineStr">
        <is>
          <t>100-1000x</t>
        </is>
      </c>
      <c r="D26" s="54" t="n">
        <v>3</v>
      </c>
      <c r="E26" s="55" t="n">
        <v>-0.1</v>
      </c>
      <c r="F26" s="56" t="n">
        <v>33</v>
      </c>
    </row>
    <row r="27">
      <c r="A27" s="57" t="inlineStr">
        <is>
          <t>Auto parts / supply chain|&lt;10x</t>
        </is>
      </c>
      <c r="B27" s="4" t="inlineStr">
        <is>
          <t>Auto parts / supply chain</t>
        </is>
      </c>
      <c r="C27" s="4" t="inlineStr">
        <is>
          <t>&lt;10x</t>
        </is>
      </c>
      <c r="D27" s="54" t="n">
        <v>1</v>
      </c>
      <c r="E27" s="55" t="n">
        <v>2.1</v>
      </c>
      <c r="F27" s="56" t="n">
        <v>100</v>
      </c>
    </row>
    <row r="28">
      <c r="A28" s="57" t="inlineStr">
        <is>
          <t>Auto parts / supply chain|&gt;=1000x</t>
        </is>
      </c>
      <c r="B28" s="4" t="inlineStr">
        <is>
          <t>Auto parts / supply chain</t>
        </is>
      </c>
      <c r="C28" s="4" t="inlineStr">
        <is>
          <t>&gt;=1000x</t>
        </is>
      </c>
      <c r="D28" s="54" t="n">
        <v>2</v>
      </c>
      <c r="E28" s="55" t="n">
        <v>712.4</v>
      </c>
      <c r="F28" s="56" t="n">
        <v>100</v>
      </c>
    </row>
    <row r="29">
      <c r="A29" s="57" t="inlineStr">
        <is>
          <t>Autos (NEV OEM)|10-100x</t>
        </is>
      </c>
      <c r="B29" s="4" t="inlineStr">
        <is>
          <t>Autos (NEV OEM)</t>
        </is>
      </c>
      <c r="C29" s="4" t="inlineStr">
        <is>
          <t>10-100x</t>
        </is>
      </c>
      <c r="D29" s="54" t="n">
        <v>1</v>
      </c>
      <c r="E29" s="55" t="n">
        <v>0</v>
      </c>
      <c r="F29" s="56" t="n">
        <v>0</v>
      </c>
    </row>
    <row r="30">
      <c r="A30" s="57" t="inlineStr">
        <is>
          <t>Autos (NEV OEM)|100-1000x</t>
        </is>
      </c>
      <c r="B30" s="4" t="inlineStr">
        <is>
          <t>Autos (NEV OEM)</t>
        </is>
      </c>
      <c r="C30" s="4" t="inlineStr">
        <is>
          <t>100-1000x</t>
        </is>
      </c>
      <c r="D30" s="54" t="n">
        <v>2</v>
      </c>
      <c r="E30" s="55" t="n">
        <v>1.9</v>
      </c>
      <c r="F30" s="56" t="n">
        <v>50</v>
      </c>
    </row>
    <row r="31">
      <c r="A31" s="57" t="inlineStr">
        <is>
          <t>Autos (NEV OEM)|&lt;10x</t>
        </is>
      </c>
      <c r="B31" s="4" t="inlineStr">
        <is>
          <t>Autos (NEV OEM)</t>
        </is>
      </c>
      <c r="C31" s="4" t="inlineStr">
        <is>
          <t>&lt;10x</t>
        </is>
      </c>
      <c r="D31" s="54" t="n">
        <v>3</v>
      </c>
      <c r="E31" s="55" t="n">
        <v>-0.8</v>
      </c>
      <c r="F31" s="56" t="n">
        <v>33</v>
      </c>
    </row>
    <row r="32">
      <c r="A32" s="57" t="inlineStr">
        <is>
          <t>Banks|&lt;10x</t>
        </is>
      </c>
      <c r="B32" s="4" t="inlineStr">
        <is>
          <t>Banks</t>
        </is>
      </c>
      <c r="C32" s="4" t="inlineStr">
        <is>
          <t>&lt;10x</t>
        </is>
      </c>
      <c r="D32" s="54" t="n">
        <v>1</v>
      </c>
      <c r="E32" s="55" t="n">
        <v>0.8</v>
      </c>
      <c r="F32" s="56" t="n">
        <v>100</v>
      </c>
    </row>
    <row r="33">
      <c r="A33" s="57" t="inlineStr">
        <is>
          <t>Batteries / energy storage|10-100x</t>
        </is>
      </c>
      <c r="B33" s="4" t="inlineStr">
        <is>
          <t>Batteries / energy storage</t>
        </is>
      </c>
      <c r="C33" s="4" t="inlineStr">
        <is>
          <t>10-100x</t>
        </is>
      </c>
      <c r="D33" s="54" t="n">
        <v>2</v>
      </c>
      <c r="E33" s="55" t="n">
        <v>9.9</v>
      </c>
      <c r="F33" s="56" t="n">
        <v>50</v>
      </c>
    </row>
    <row r="34">
      <c r="A34" s="57" t="inlineStr">
        <is>
          <t>Batteries / energy storage|100-1000x</t>
        </is>
      </c>
      <c r="B34" s="4" t="inlineStr">
        <is>
          <t>Batteries / energy storage</t>
        </is>
      </c>
      <c r="C34" s="4" t="inlineStr">
        <is>
          <t>100-1000x</t>
        </is>
      </c>
      <c r="D34" s="54" t="n">
        <v>1</v>
      </c>
      <c r="E34" s="55" t="n">
        <v>16.4</v>
      </c>
      <c r="F34" s="56" t="n">
        <v>100</v>
      </c>
    </row>
    <row r="35">
      <c r="A35" s="57" t="inlineStr">
        <is>
          <t>Batteries / energy storage|&lt;10x</t>
        </is>
      </c>
      <c r="B35" s="4" t="inlineStr">
        <is>
          <t>Batteries / energy storage</t>
        </is>
      </c>
      <c r="C35" s="4" t="inlineStr">
        <is>
          <t>&lt;10x</t>
        </is>
      </c>
      <c r="D35" s="54" t="n">
        <v>7</v>
      </c>
      <c r="E35" s="55" t="n">
        <v>0.7</v>
      </c>
      <c r="F35" s="56" t="n">
        <v>71</v>
      </c>
    </row>
    <row r="36">
      <c r="A36" s="57" t="inlineStr">
        <is>
          <t>Batteries / energy storage|&gt;=1000x</t>
        </is>
      </c>
      <c r="B36" s="4" t="inlineStr">
        <is>
          <t>Batteries / energy storage</t>
        </is>
      </c>
      <c r="C36" s="4" t="inlineStr">
        <is>
          <t>&gt;=1000x</t>
        </is>
      </c>
      <c r="D36" s="54" t="n">
        <v>3</v>
      </c>
      <c r="E36" s="55" t="n">
        <v>31.3</v>
      </c>
      <c r="F36" s="56" t="n">
        <v>100</v>
      </c>
    </row>
    <row r="37">
      <c r="A37" s="57" t="inlineStr">
        <is>
          <t>Beauty / personal care|10-100x</t>
        </is>
      </c>
      <c r="B37" s="4" t="inlineStr">
        <is>
          <t>Beauty / personal care</t>
        </is>
      </c>
      <c r="C37" s="4" t="inlineStr">
        <is>
          <t>10-100x</t>
        </is>
      </c>
      <c r="D37" s="54" t="n">
        <v>2</v>
      </c>
      <c r="E37" s="55" t="n">
        <v>18.4</v>
      </c>
      <c r="F37" s="56" t="n">
        <v>50</v>
      </c>
    </row>
    <row r="38">
      <c r="A38" s="57" t="inlineStr">
        <is>
          <t>Beauty / personal care|100-1000x</t>
        </is>
      </c>
      <c r="B38" s="4" t="inlineStr">
        <is>
          <t>Beauty / personal care</t>
        </is>
      </c>
      <c r="C38" s="4" t="inlineStr">
        <is>
          <t>100-1000x</t>
        </is>
      </c>
      <c r="D38" s="54" t="n">
        <v>2</v>
      </c>
      <c r="E38" s="55" t="n">
        <v>31.7</v>
      </c>
      <c r="F38" s="56" t="n">
        <v>50</v>
      </c>
    </row>
    <row r="39">
      <c r="A39" s="57" t="inlineStr">
        <is>
          <t>Beauty / personal care|&lt;10x</t>
        </is>
      </c>
      <c r="B39" s="4" t="inlineStr">
        <is>
          <t>Beauty / personal care</t>
        </is>
      </c>
      <c r="C39" s="4" t="inlineStr">
        <is>
          <t>&lt;10x</t>
        </is>
      </c>
      <c r="D39" s="54" t="n">
        <v>2</v>
      </c>
      <c r="E39" s="55" t="n">
        <v>4.9</v>
      </c>
      <c r="F39" s="56" t="n">
        <v>50</v>
      </c>
    </row>
    <row r="40">
      <c r="A40" s="57" t="inlineStr">
        <is>
          <t>Beauty / personal care|&gt;=1000x</t>
        </is>
      </c>
      <c r="B40" s="4" t="inlineStr">
        <is>
          <t>Beauty / personal care</t>
        </is>
      </c>
      <c r="C40" s="4" t="inlineStr">
        <is>
          <t>&gt;=1000x</t>
        </is>
      </c>
      <c r="D40" s="54" t="n">
        <v>1</v>
      </c>
      <c r="E40" s="55" t="n">
        <v>9.300000000000001</v>
      </c>
      <c r="F40" s="56" t="n">
        <v>100</v>
      </c>
    </row>
    <row r="41">
      <c r="A41" s="57" t="inlineStr">
        <is>
          <t>Beverages / packaged food|10-100x</t>
        </is>
      </c>
      <c r="B41" s="4" t="inlineStr">
        <is>
          <t>Beverages / packaged food</t>
        </is>
      </c>
      <c r="C41" s="4" t="inlineStr">
        <is>
          <t>10-100x</t>
        </is>
      </c>
      <c r="D41" s="54" t="n">
        <v>9</v>
      </c>
      <c r="E41" s="55" t="n">
        <v>-5.1</v>
      </c>
      <c r="F41" s="56" t="n">
        <v>22</v>
      </c>
    </row>
    <row r="42">
      <c r="A42" s="57" t="inlineStr">
        <is>
          <t>Beverages / packaged food|100-1000x</t>
        </is>
      </c>
      <c r="B42" s="4" t="inlineStr">
        <is>
          <t>Beverages / packaged food</t>
        </is>
      </c>
      <c r="C42" s="4" t="inlineStr">
        <is>
          <t>100-1000x</t>
        </is>
      </c>
      <c r="D42" s="54" t="n">
        <v>4</v>
      </c>
      <c r="E42" s="55" t="n">
        <v>18.2</v>
      </c>
      <c r="F42" s="56" t="n">
        <v>100</v>
      </c>
    </row>
    <row r="43">
      <c r="A43" s="57" t="inlineStr">
        <is>
          <t>Beverages / packaged food|&lt;10x</t>
        </is>
      </c>
      <c r="B43" s="4" t="inlineStr">
        <is>
          <t>Beverages / packaged food</t>
        </is>
      </c>
      <c r="C43" s="4" t="inlineStr">
        <is>
          <t>&lt;10x</t>
        </is>
      </c>
      <c r="D43" s="54" t="n">
        <v>6</v>
      </c>
      <c r="E43" s="55" t="n">
        <v>0.5</v>
      </c>
      <c r="F43" s="56" t="n">
        <v>50</v>
      </c>
    </row>
    <row r="44">
      <c r="A44" s="57" t="inlineStr">
        <is>
          <t>Beverages / packaged food|&gt;=1000x</t>
        </is>
      </c>
      <c r="B44" s="4" t="inlineStr">
        <is>
          <t>Beverages / packaged food</t>
        </is>
      </c>
      <c r="C44" s="4" t="inlineStr">
        <is>
          <t>&gt;=1000x</t>
        </is>
      </c>
      <c r="D44" s="54" t="n">
        <v>5</v>
      </c>
      <c r="E44" s="55" t="n">
        <v>86.7</v>
      </c>
      <c r="F44" s="56" t="n">
        <v>100</v>
      </c>
    </row>
    <row r="45">
      <c r="A45" s="57" t="inlineStr">
        <is>
          <t>Biopharma commercial|10-100x</t>
        </is>
      </c>
      <c r="B45" s="4" t="inlineStr">
        <is>
          <t>Biopharma commercial</t>
        </is>
      </c>
      <c r="C45" s="4" t="inlineStr">
        <is>
          <t>10-100x</t>
        </is>
      </c>
      <c r="D45" s="54" t="n">
        <v>2</v>
      </c>
      <c r="E45" s="55" t="n">
        <v>122</v>
      </c>
      <c r="F45" s="56" t="n">
        <v>100</v>
      </c>
    </row>
    <row r="46">
      <c r="A46" s="57" t="inlineStr">
        <is>
          <t>Biopharma commercial|100-1000x</t>
        </is>
      </c>
      <c r="B46" s="4" t="inlineStr">
        <is>
          <t>Biopharma commercial</t>
        </is>
      </c>
      <c r="C46" s="4" t="inlineStr">
        <is>
          <t>100-1000x</t>
        </is>
      </c>
      <c r="D46" s="54" t="n">
        <v>3</v>
      </c>
      <c r="E46" s="55" t="n">
        <v>-12.7</v>
      </c>
      <c r="F46" s="56" t="n">
        <v>33</v>
      </c>
    </row>
    <row r="47">
      <c r="A47" s="57" t="inlineStr">
        <is>
          <t>Biopharma commercial|&lt;10x</t>
        </is>
      </c>
      <c r="B47" s="4" t="inlineStr">
        <is>
          <t>Biopharma commercial</t>
        </is>
      </c>
      <c r="C47" s="4" t="inlineStr">
        <is>
          <t>&lt;10x</t>
        </is>
      </c>
      <c r="D47" s="54" t="n">
        <v>1</v>
      </c>
      <c r="E47" s="55" t="n">
        <v>50.4</v>
      </c>
      <c r="F47" s="56" t="n">
        <v>100</v>
      </c>
    </row>
    <row r="48">
      <c r="A48" s="57" t="inlineStr">
        <is>
          <t>Biopharma commercial|&gt;=1000x</t>
        </is>
      </c>
      <c r="B48" s="4" t="inlineStr">
        <is>
          <t>Biopharma commercial</t>
        </is>
      </c>
      <c r="C48" s="4" t="inlineStr">
        <is>
          <t>&gt;=1000x</t>
        </is>
      </c>
      <c r="D48" s="54" t="n">
        <v>2</v>
      </c>
      <c r="E48" s="55" t="n">
        <v>106</v>
      </c>
      <c r="F48" s="56" t="n">
        <v>100</v>
      </c>
    </row>
    <row r="49">
      <c r="A49" s="57" t="inlineStr">
        <is>
          <t>Biotech pre-revenue (18A)|10-100x</t>
        </is>
      </c>
      <c r="B49" s="4" t="inlineStr">
        <is>
          <t>Biotech pre-revenue (18A)</t>
        </is>
      </c>
      <c r="C49" s="4" t="inlineStr">
        <is>
          <t>10-100x</t>
        </is>
      </c>
      <c r="D49" s="54" t="n">
        <v>10</v>
      </c>
      <c r="E49" s="55" t="n">
        <v>4.7</v>
      </c>
      <c r="F49" s="56" t="n">
        <v>60</v>
      </c>
    </row>
    <row r="50">
      <c r="A50" s="57" t="inlineStr">
        <is>
          <t>Biotech pre-revenue (18A)|100-1000x</t>
        </is>
      </c>
      <c r="B50" s="4" t="inlineStr">
        <is>
          <t>Biotech pre-revenue (18A)</t>
        </is>
      </c>
      <c r="C50" s="4" t="inlineStr">
        <is>
          <t>100-1000x</t>
        </is>
      </c>
      <c r="D50" s="54" t="n">
        <v>10</v>
      </c>
      <c r="E50" s="55" t="n">
        <v>13.4</v>
      </c>
      <c r="F50" s="56" t="n">
        <v>60</v>
      </c>
    </row>
    <row r="51">
      <c r="A51" s="57" t="inlineStr">
        <is>
          <t>Biotech pre-revenue (18A)|&lt;10x</t>
        </is>
      </c>
      <c r="B51" s="4" t="inlineStr">
        <is>
          <t>Biotech pre-revenue (18A)</t>
        </is>
      </c>
      <c r="C51" s="4" t="inlineStr">
        <is>
          <t>&lt;10x</t>
        </is>
      </c>
      <c r="D51" s="54" t="n">
        <v>13</v>
      </c>
      <c r="E51" s="55" t="n">
        <v>0.5</v>
      </c>
      <c r="F51" s="56" t="n">
        <v>62</v>
      </c>
    </row>
    <row r="52">
      <c r="A52" s="57" t="inlineStr">
        <is>
          <t>Biotech pre-revenue (18A)|&gt;=1000x</t>
        </is>
      </c>
      <c r="B52" s="4" t="inlineStr">
        <is>
          <t>Biotech pre-revenue (18A)</t>
        </is>
      </c>
      <c r="C52" s="4" t="inlineStr">
        <is>
          <t>&gt;=1000x</t>
        </is>
      </c>
      <c r="D52" s="54" t="n">
        <v>15</v>
      </c>
      <c r="E52" s="55" t="n">
        <v>108.3</v>
      </c>
      <c r="F52" s="56" t="n">
        <v>87</v>
      </c>
    </row>
    <row r="53">
      <c r="A53" s="57" t="inlineStr">
        <is>
          <t>Brokers / asset management|&lt;10x</t>
        </is>
      </c>
      <c r="B53" s="4" t="inlineStr">
        <is>
          <t>Brokers / asset management</t>
        </is>
      </c>
      <c r="C53" s="4" t="inlineStr">
        <is>
          <t>&lt;10x</t>
        </is>
      </c>
      <c r="D53" s="54" t="n">
        <v>4</v>
      </c>
      <c r="E53" s="55" t="n">
        <v>-14.3</v>
      </c>
      <c r="F53" s="56" t="n">
        <v>25</v>
      </c>
    </row>
    <row r="54">
      <c r="A54" s="57" t="inlineStr">
        <is>
          <t>CXO / pharma services|10-100x</t>
        </is>
      </c>
      <c r="B54" s="4" t="inlineStr">
        <is>
          <t>CXO / pharma services</t>
        </is>
      </c>
      <c r="C54" s="4" t="inlineStr">
        <is>
          <t>10-100x</t>
        </is>
      </c>
      <c r="D54" s="54" t="n">
        <v>1</v>
      </c>
      <c r="E54" s="55" t="n">
        <v>35.9</v>
      </c>
      <c r="F54" s="56" t="n">
        <v>100</v>
      </c>
    </row>
    <row r="55">
      <c r="A55" s="57" t="inlineStr">
        <is>
          <t>CXO / pharma services|100-1000x</t>
        </is>
      </c>
      <c r="B55" s="4" t="inlineStr">
        <is>
          <t>CXO / pharma services</t>
        </is>
      </c>
      <c r="C55" s="4" t="inlineStr">
        <is>
          <t>100-1000x</t>
        </is>
      </c>
      <c r="D55" s="54" t="n">
        <v>3</v>
      </c>
      <c r="E55" s="55" t="n">
        <v>-7.6</v>
      </c>
      <c r="F55" s="56" t="n">
        <v>33</v>
      </c>
    </row>
    <row r="56">
      <c r="A56" s="57" t="inlineStr">
        <is>
          <t>CXO / pharma services|&lt;10x</t>
        </is>
      </c>
      <c r="B56" s="4" t="inlineStr">
        <is>
          <t>CXO / pharma services</t>
        </is>
      </c>
      <c r="C56" s="4" t="inlineStr">
        <is>
          <t>&lt;10x</t>
        </is>
      </c>
      <c r="D56" s="54" t="n">
        <v>5</v>
      </c>
      <c r="E56" s="55" t="n">
        <v>1.1</v>
      </c>
      <c r="F56" s="56" t="n">
        <v>60</v>
      </c>
    </row>
    <row r="57">
      <c r="A57" s="57" t="inlineStr">
        <is>
          <t>Capital goods / machinery|10-100x</t>
        </is>
      </c>
      <c r="B57" s="4" t="inlineStr">
        <is>
          <t>Capital goods / machinery</t>
        </is>
      </c>
      <c r="C57" s="4" t="inlineStr">
        <is>
          <t>10-100x</t>
        </is>
      </c>
      <c r="D57" s="54" t="n">
        <v>7</v>
      </c>
      <c r="E57" s="55" t="n">
        <v>2.8</v>
      </c>
      <c r="F57" s="56" t="n">
        <v>71</v>
      </c>
    </row>
    <row r="58">
      <c r="A58" s="57" t="inlineStr">
        <is>
          <t>Capital goods / machinery|100-1000x</t>
        </is>
      </c>
      <c r="B58" s="4" t="inlineStr">
        <is>
          <t>Capital goods / machinery</t>
        </is>
      </c>
      <c r="C58" s="4" t="inlineStr">
        <is>
          <t>100-1000x</t>
        </is>
      </c>
      <c r="D58" s="54" t="n">
        <v>3</v>
      </c>
      <c r="E58" s="55" t="n">
        <v>14.8</v>
      </c>
      <c r="F58" s="56" t="n">
        <v>67</v>
      </c>
    </row>
    <row r="59">
      <c r="A59" s="57" t="inlineStr">
        <is>
          <t>Capital goods / machinery|&lt;10x</t>
        </is>
      </c>
      <c r="B59" s="4" t="inlineStr">
        <is>
          <t>Capital goods / machinery</t>
        </is>
      </c>
      <c r="C59" s="4" t="inlineStr">
        <is>
          <t>&lt;10x</t>
        </is>
      </c>
      <c r="D59" s="54" t="n">
        <v>5</v>
      </c>
      <c r="E59" s="55" t="n">
        <v>0</v>
      </c>
      <c r="F59" s="56" t="n">
        <v>40</v>
      </c>
    </row>
    <row r="60">
      <c r="A60" s="57" t="inlineStr">
        <is>
          <t>Capital goods / machinery|&gt;=1000x</t>
        </is>
      </c>
      <c r="B60" s="4" t="inlineStr">
        <is>
          <t>Capital goods / machinery</t>
        </is>
      </c>
      <c r="C60" s="4" t="inlineStr">
        <is>
          <t>&gt;=1000x</t>
        </is>
      </c>
      <c r="D60" s="54" t="n">
        <v>3</v>
      </c>
      <c r="E60" s="55" t="n">
        <v>2.4</v>
      </c>
      <c r="F60" s="56" t="n">
        <v>67</v>
      </c>
    </row>
    <row r="61">
      <c r="A61" s="57" t="inlineStr">
        <is>
          <t>Chemicals|10-100x</t>
        </is>
      </c>
      <c r="B61" s="4" t="inlineStr">
        <is>
          <t>Chemicals</t>
        </is>
      </c>
      <c r="C61" s="4" t="inlineStr">
        <is>
          <t>10-100x</t>
        </is>
      </c>
      <c r="D61" s="54" t="n">
        <v>4</v>
      </c>
      <c r="E61" s="55" t="n">
        <v>-13.8</v>
      </c>
      <c r="F61" s="56" t="n">
        <v>25</v>
      </c>
    </row>
    <row r="62">
      <c r="A62" s="57" t="inlineStr">
        <is>
          <t>Chemicals|100-1000x</t>
        </is>
      </c>
      <c r="B62" s="4" t="inlineStr">
        <is>
          <t>Chemicals</t>
        </is>
      </c>
      <c r="C62" s="4" t="inlineStr">
        <is>
          <t>100-1000x</t>
        </is>
      </c>
      <c r="D62" s="54" t="n">
        <v>4</v>
      </c>
      <c r="E62" s="55" t="n">
        <v>15.3</v>
      </c>
      <c r="F62" s="56" t="n">
        <v>75</v>
      </c>
    </row>
    <row r="63">
      <c r="A63" s="57" t="inlineStr">
        <is>
          <t>Chemicals|&lt;10x</t>
        </is>
      </c>
      <c r="B63" s="4" t="inlineStr">
        <is>
          <t>Chemicals</t>
        </is>
      </c>
      <c r="C63" s="4" t="inlineStr">
        <is>
          <t>&lt;10x</t>
        </is>
      </c>
      <c r="D63" s="54" t="n">
        <v>3</v>
      </c>
      <c r="E63" s="55" t="n">
        <v>-6.9</v>
      </c>
      <c r="F63" s="56" t="n">
        <v>33</v>
      </c>
    </row>
    <row r="64">
      <c r="A64" s="57" t="inlineStr">
        <is>
          <t>Chemicals|&gt;=1000x</t>
        </is>
      </c>
      <c r="B64" s="4" t="inlineStr">
        <is>
          <t>Chemicals</t>
        </is>
      </c>
      <c r="C64" s="4" t="inlineStr">
        <is>
          <t>&gt;=1000x</t>
        </is>
      </c>
      <c r="D64" s="54" t="n">
        <v>2</v>
      </c>
      <c r="E64" s="55" t="n">
        <v>10.6</v>
      </c>
      <c r="F64" s="56" t="n">
        <v>50</v>
      </c>
    </row>
    <row r="65">
      <c r="A65" s="57" t="inlineStr">
        <is>
          <t>Construction / engineering|10-100x</t>
        </is>
      </c>
      <c r="B65" s="4" t="inlineStr">
        <is>
          <t>Construction / engineering</t>
        </is>
      </c>
      <c r="C65" s="4" t="inlineStr">
        <is>
          <t>10-100x</t>
        </is>
      </c>
      <c r="D65" s="54" t="n">
        <v>9</v>
      </c>
      <c r="E65" s="55" t="n">
        <v>2.5</v>
      </c>
      <c r="F65" s="56" t="n">
        <v>56</v>
      </c>
    </row>
    <row r="66">
      <c r="A66" s="57" t="inlineStr">
        <is>
          <t>Construction / engineering|100-1000x</t>
        </is>
      </c>
      <c r="B66" s="4" t="inlineStr">
        <is>
          <t>Construction / engineering</t>
        </is>
      </c>
      <c r="C66" s="4" t="inlineStr">
        <is>
          <t>100-1000x</t>
        </is>
      </c>
      <c r="D66" s="54" t="n">
        <v>4</v>
      </c>
      <c r="E66" s="55" t="n">
        <v>-21.1</v>
      </c>
      <c r="F66" s="56" t="n">
        <v>25</v>
      </c>
    </row>
    <row r="67">
      <c r="A67" s="57" t="inlineStr">
        <is>
          <t>Construction / engineering|&lt;10x</t>
        </is>
      </c>
      <c r="B67" s="4" t="inlineStr">
        <is>
          <t>Construction / engineering</t>
        </is>
      </c>
      <c r="C67" s="4" t="inlineStr">
        <is>
          <t>&lt;10x</t>
        </is>
      </c>
      <c r="D67" s="54" t="n">
        <v>2</v>
      </c>
      <c r="E67" s="55" t="n">
        <v>5</v>
      </c>
      <c r="F67" s="56" t="n">
        <v>50</v>
      </c>
    </row>
    <row r="68">
      <c r="A68" s="57" t="inlineStr">
        <is>
          <t>Consumer services / education|10-100x</t>
        </is>
      </c>
      <c r="B68" s="4" t="inlineStr">
        <is>
          <t>Consumer services / education</t>
        </is>
      </c>
      <c r="C68" s="4" t="inlineStr">
        <is>
          <t>10-100x</t>
        </is>
      </c>
      <c r="D68" s="54" t="n">
        <v>2</v>
      </c>
      <c r="E68" s="55" t="n">
        <v>13.8</v>
      </c>
      <c r="F68" s="56" t="n">
        <v>100</v>
      </c>
    </row>
    <row r="69">
      <c r="A69" s="57" t="inlineStr">
        <is>
          <t>Consumer services / education|&lt;10x</t>
        </is>
      </c>
      <c r="B69" s="4" t="inlineStr">
        <is>
          <t>Consumer services / education</t>
        </is>
      </c>
      <c r="C69" s="4" t="inlineStr">
        <is>
          <t>&lt;10x</t>
        </is>
      </c>
      <c r="D69" s="54" t="n">
        <v>2</v>
      </c>
      <c r="E69" s="55" t="n">
        <v>-8.5</v>
      </c>
      <c r="F69" s="56" t="n">
        <v>0</v>
      </c>
    </row>
    <row r="70">
      <c r="A70" s="57" t="inlineStr">
        <is>
          <t>Data center / cloud infra|10-100x</t>
        </is>
      </c>
      <c r="B70" s="4" t="inlineStr">
        <is>
          <t>Data center / cloud infra</t>
        </is>
      </c>
      <c r="C70" s="4" t="inlineStr">
        <is>
          <t>10-100x</t>
        </is>
      </c>
      <c r="D70" s="54" t="n">
        <v>2</v>
      </c>
      <c r="E70" s="55" t="n">
        <v>-37.1</v>
      </c>
      <c r="F70" s="56" t="n">
        <v>0</v>
      </c>
    </row>
    <row r="71">
      <c r="A71" s="57" t="inlineStr">
        <is>
          <t>Developers|&lt;10x</t>
        </is>
      </c>
      <c r="B71" s="4" t="inlineStr">
        <is>
          <t>Developers</t>
        </is>
      </c>
      <c r="C71" s="4" t="inlineStr">
        <is>
          <t>&lt;10x</t>
        </is>
      </c>
      <c r="D71" s="54" t="n">
        <v>1</v>
      </c>
      <c r="E71" s="55" t="n">
        <v>0</v>
      </c>
      <c r="F71" s="56" t="n">
        <v>0</v>
      </c>
    </row>
    <row r="72">
      <c r="A72" s="57" t="inlineStr">
        <is>
          <t>Digital health|10-100x</t>
        </is>
      </c>
      <c r="B72" s="4" t="inlineStr">
        <is>
          <t>Digital health</t>
        </is>
      </c>
      <c r="C72" s="4" t="inlineStr">
        <is>
          <t>10-100x</t>
        </is>
      </c>
      <c r="D72" s="54" t="n">
        <v>3</v>
      </c>
      <c r="E72" s="55" t="n">
        <v>36.7</v>
      </c>
      <c r="F72" s="56" t="n">
        <v>67</v>
      </c>
    </row>
    <row r="73">
      <c r="A73" s="57" t="inlineStr">
        <is>
          <t>Digital health|100-1000x</t>
        </is>
      </c>
      <c r="B73" s="4" t="inlineStr">
        <is>
          <t>Digital health</t>
        </is>
      </c>
      <c r="C73" s="4" t="inlineStr">
        <is>
          <t>100-1000x</t>
        </is>
      </c>
      <c r="D73" s="54" t="n">
        <v>4</v>
      </c>
      <c r="E73" s="55" t="n">
        <v>20.1</v>
      </c>
      <c r="F73" s="56" t="n">
        <v>75</v>
      </c>
    </row>
    <row r="74">
      <c r="A74" s="57" t="inlineStr">
        <is>
          <t>Digital health|&lt;10x</t>
        </is>
      </c>
      <c r="B74" s="4" t="inlineStr">
        <is>
          <t>Digital health</t>
        </is>
      </c>
      <c r="C74" s="4" t="inlineStr">
        <is>
          <t>&lt;10x</t>
        </is>
      </c>
      <c r="D74" s="54" t="n">
        <v>8</v>
      </c>
      <c r="E74" s="55" t="n">
        <v>0</v>
      </c>
      <c r="F74" s="56" t="n">
        <v>38</v>
      </c>
    </row>
    <row r="75">
      <c r="A75" s="57" t="inlineStr">
        <is>
          <t>Digital health|&gt;=1000x</t>
        </is>
      </c>
      <c r="B75" s="4" t="inlineStr">
        <is>
          <t>Digital health</t>
        </is>
      </c>
      <c r="C75" s="4" t="inlineStr">
        <is>
          <t>&gt;=1000x</t>
        </is>
      </c>
      <c r="D75" s="54" t="n">
        <v>2</v>
      </c>
      <c r="E75" s="55" t="n">
        <v>80.59999999999999</v>
      </c>
      <c r="F75" s="56" t="n">
        <v>100</v>
      </c>
    </row>
    <row r="76">
      <c r="A76" s="57" t="inlineStr">
        <is>
          <t>F&amp;B chains / restaurants|10-100x</t>
        </is>
      </c>
      <c r="B76" s="4" t="inlineStr">
        <is>
          <t>F&amp;B chains / restaurants</t>
        </is>
      </c>
      <c r="C76" s="4" t="inlineStr">
        <is>
          <t>10-100x</t>
        </is>
      </c>
      <c r="D76" s="54" t="n">
        <v>1</v>
      </c>
      <c r="E76" s="55" t="n">
        <v>22.9</v>
      </c>
      <c r="F76" s="56" t="n">
        <v>100</v>
      </c>
    </row>
    <row r="77">
      <c r="A77" s="57" t="inlineStr">
        <is>
          <t>F&amp;B chains / restaurants|100-1000x</t>
        </is>
      </c>
      <c r="B77" s="4" t="inlineStr">
        <is>
          <t>F&amp;B chains / restaurants</t>
        </is>
      </c>
      <c r="C77" s="4" t="inlineStr">
        <is>
          <t>100-1000x</t>
        </is>
      </c>
      <c r="D77" s="54" t="n">
        <v>4</v>
      </c>
      <c r="E77" s="55" t="n">
        <v>-13</v>
      </c>
      <c r="F77" s="56" t="n">
        <v>0</v>
      </c>
    </row>
    <row r="78">
      <c r="A78" s="57" t="inlineStr">
        <is>
          <t>F&amp;B chains / restaurants|&lt;10x</t>
        </is>
      </c>
      <c r="B78" s="4" t="inlineStr">
        <is>
          <t>F&amp;B chains / restaurants</t>
        </is>
      </c>
      <c r="C78" s="4" t="inlineStr">
        <is>
          <t>&lt;10x</t>
        </is>
      </c>
      <c r="D78" s="54" t="n">
        <v>3</v>
      </c>
      <c r="E78" s="55" t="n">
        <v>-0.1</v>
      </c>
      <c r="F78" s="56" t="n">
        <v>33</v>
      </c>
    </row>
    <row r="79">
      <c r="A79" s="57" t="inlineStr">
        <is>
          <t>F&amp;B chains / restaurants|&gt;=1000x</t>
        </is>
      </c>
      <c r="B79" s="4" t="inlineStr">
        <is>
          <t>F&amp;B chains / restaurants</t>
        </is>
      </c>
      <c r="C79" s="4" t="inlineStr">
        <is>
          <t>&gt;=1000x</t>
        </is>
      </c>
      <c r="D79" s="54" t="n">
        <v>2</v>
      </c>
      <c r="E79" s="55" t="n">
        <v>41.6</v>
      </c>
      <c r="F79" s="56" t="n">
        <v>100</v>
      </c>
    </row>
    <row r="80">
      <c r="A80" s="57" t="inlineStr">
        <is>
          <t>Fintech platform|10-100x</t>
        </is>
      </c>
      <c r="B80" s="4" t="inlineStr">
        <is>
          <t>Fintech platform</t>
        </is>
      </c>
      <c r="C80" s="4" t="inlineStr">
        <is>
          <t>10-100x</t>
        </is>
      </c>
      <c r="D80" s="54" t="n">
        <v>2</v>
      </c>
      <c r="E80" s="55" t="n">
        <v>1.1</v>
      </c>
      <c r="F80" s="56" t="n">
        <v>50</v>
      </c>
    </row>
    <row r="81">
      <c r="A81" s="57" t="inlineStr">
        <is>
          <t>Fintech platform|100-1000x</t>
        </is>
      </c>
      <c r="B81" s="4" t="inlineStr">
        <is>
          <t>Fintech platform</t>
        </is>
      </c>
      <c r="C81" s="4" t="inlineStr">
        <is>
          <t>100-1000x</t>
        </is>
      </c>
      <c r="D81" s="54" t="n">
        <v>2</v>
      </c>
      <c r="E81" s="55" t="n">
        <v>-8.1</v>
      </c>
      <c r="F81" s="56" t="n">
        <v>0</v>
      </c>
    </row>
    <row r="82">
      <c r="A82" s="57" t="inlineStr">
        <is>
          <t>Fintech platform|&lt;10x</t>
        </is>
      </c>
      <c r="B82" s="4" t="inlineStr">
        <is>
          <t>Fintech platform</t>
        </is>
      </c>
      <c r="C82" s="4" t="inlineStr">
        <is>
          <t>&lt;10x</t>
        </is>
      </c>
      <c r="D82" s="54" t="n">
        <v>2</v>
      </c>
      <c r="E82" s="55" t="n">
        <v>-4</v>
      </c>
      <c r="F82" s="56" t="n">
        <v>50</v>
      </c>
    </row>
    <row r="83">
      <c r="A83" s="57" t="inlineStr">
        <is>
          <t>Gaming / entertainment tech|&lt;10x</t>
        </is>
      </c>
      <c r="B83" s="4" t="inlineStr">
        <is>
          <t>Gaming / entertainment tech</t>
        </is>
      </c>
      <c r="C83" s="4" t="inlineStr">
        <is>
          <t>&lt;10x</t>
        </is>
      </c>
      <c r="D83" s="54" t="n">
        <v>1</v>
      </c>
      <c r="E83" s="55" t="n">
        <v>-4.6</v>
      </c>
      <c r="F83" s="56" t="n">
        <v>0</v>
      </c>
    </row>
    <row r="84">
      <c r="A84" s="57" t="inlineStr">
        <is>
          <t>Hospitals / clinics|10-100x</t>
        </is>
      </c>
      <c r="B84" s="4" t="inlineStr">
        <is>
          <t>Hospitals / clinics</t>
        </is>
      </c>
      <c r="C84" s="4" t="inlineStr">
        <is>
          <t>10-100x</t>
        </is>
      </c>
      <c r="D84" s="54" t="n">
        <v>1</v>
      </c>
      <c r="E84" s="55" t="n">
        <v>-14.3</v>
      </c>
      <c r="F84" s="56" t="n">
        <v>0</v>
      </c>
    </row>
    <row r="85">
      <c r="A85" s="57" t="inlineStr">
        <is>
          <t>Hospitals / clinics|100-1000x</t>
        </is>
      </c>
      <c r="B85" s="4" t="inlineStr">
        <is>
          <t>Hospitals / clinics</t>
        </is>
      </c>
      <c r="C85" s="4" t="inlineStr">
        <is>
          <t>100-1000x</t>
        </is>
      </c>
      <c r="D85" s="54" t="n">
        <v>5</v>
      </c>
      <c r="E85" s="55" t="n">
        <v>5.1</v>
      </c>
      <c r="F85" s="56" t="n">
        <v>100</v>
      </c>
    </row>
    <row r="86">
      <c r="A86" s="57" t="inlineStr">
        <is>
          <t>Hospitals / clinics|&lt;10x</t>
        </is>
      </c>
      <c r="B86" s="4" t="inlineStr">
        <is>
          <t>Hospitals / clinics</t>
        </is>
      </c>
      <c r="C86" s="4" t="inlineStr">
        <is>
          <t>&lt;10x</t>
        </is>
      </c>
      <c r="D86" s="54" t="n">
        <v>3</v>
      </c>
      <c r="E86" s="55" t="n">
        <v>-5.6</v>
      </c>
      <c r="F86" s="56" t="n">
        <v>0</v>
      </c>
    </row>
    <row r="87">
      <c r="A87" s="57" t="inlineStr">
        <is>
          <t>Insurance|10-100x</t>
        </is>
      </c>
      <c r="B87" s="4" t="inlineStr">
        <is>
          <t>Insurance</t>
        </is>
      </c>
      <c r="C87" s="4" t="inlineStr">
        <is>
          <t>10-100x</t>
        </is>
      </c>
      <c r="D87" s="54" t="n">
        <v>2</v>
      </c>
      <c r="E87" s="55" t="n">
        <v>3</v>
      </c>
      <c r="F87" s="56" t="n">
        <v>100</v>
      </c>
    </row>
    <row r="88">
      <c r="A88" s="57" t="inlineStr">
        <is>
          <t>Insurance|100-1000x</t>
        </is>
      </c>
      <c r="B88" s="4" t="inlineStr">
        <is>
          <t>Insurance</t>
        </is>
      </c>
      <c r="C88" s="4" t="inlineStr">
        <is>
          <t>100-1000x</t>
        </is>
      </c>
      <c r="D88" s="54" t="n">
        <v>2</v>
      </c>
      <c r="E88" s="55" t="n">
        <v>174.9</v>
      </c>
      <c r="F88" s="56" t="n">
        <v>50</v>
      </c>
    </row>
    <row r="89">
      <c r="A89" s="57" t="inlineStr">
        <is>
          <t>Insurance|&lt;10x</t>
        </is>
      </c>
      <c r="B89" s="4" t="inlineStr">
        <is>
          <t>Insurance</t>
        </is>
      </c>
      <c r="C89" s="4" t="inlineStr">
        <is>
          <t>&lt;10x</t>
        </is>
      </c>
      <c r="D89" s="54" t="n">
        <v>2</v>
      </c>
      <c r="E89" s="55" t="n">
        <v>2.4</v>
      </c>
      <c r="F89" s="56" t="n">
        <v>50</v>
      </c>
    </row>
    <row r="90">
      <c r="A90" s="57" t="inlineStr">
        <is>
          <t>Insurance|&gt;=1000x</t>
        </is>
      </c>
      <c r="B90" s="4" t="inlineStr">
        <is>
          <t>Insurance</t>
        </is>
      </c>
      <c r="C90" s="4" t="inlineStr">
        <is>
          <t>&gt;=1000x</t>
        </is>
      </c>
      <c r="D90" s="54" t="n">
        <v>1</v>
      </c>
      <c r="E90" s="55" t="n">
        <v>158.8</v>
      </c>
      <c r="F90" s="56" t="n">
        <v>100</v>
      </c>
    </row>
    <row r="91">
      <c r="A91" s="57" t="inlineStr">
        <is>
          <t>Internet platform / e-commerce|10-100x</t>
        </is>
      </c>
      <c r="B91" s="4" t="inlineStr">
        <is>
          <t>Internet platform / e-commerce</t>
        </is>
      </c>
      <c r="C91" s="4" t="inlineStr">
        <is>
          <t>10-100x</t>
        </is>
      </c>
      <c r="D91" s="54" t="n">
        <v>8</v>
      </c>
      <c r="E91" s="55" t="n">
        <v>0.4</v>
      </c>
      <c r="F91" s="56" t="n">
        <v>50</v>
      </c>
    </row>
    <row r="92">
      <c r="A92" s="57" t="inlineStr">
        <is>
          <t>Internet platform / e-commerce|100-1000x</t>
        </is>
      </c>
      <c r="B92" s="4" t="inlineStr">
        <is>
          <t>Internet platform / e-commerce</t>
        </is>
      </c>
      <c r="C92" s="4" t="inlineStr">
        <is>
          <t>100-1000x</t>
        </is>
      </c>
      <c r="D92" s="54" t="n">
        <v>5</v>
      </c>
      <c r="E92" s="55" t="n">
        <v>-1</v>
      </c>
      <c r="F92" s="56" t="n">
        <v>20</v>
      </c>
    </row>
    <row r="93">
      <c r="A93" s="57" t="inlineStr">
        <is>
          <t>Internet platform / e-commerce|&lt;10x</t>
        </is>
      </c>
      <c r="B93" s="4" t="inlineStr">
        <is>
          <t>Internet platform / e-commerce</t>
        </is>
      </c>
      <c r="C93" s="4" t="inlineStr">
        <is>
          <t>&lt;10x</t>
        </is>
      </c>
      <c r="D93" s="54" t="n">
        <v>8</v>
      </c>
      <c r="E93" s="55" t="n">
        <v>2.6</v>
      </c>
      <c r="F93" s="56" t="n">
        <v>62</v>
      </c>
    </row>
    <row r="94">
      <c r="A94" s="57" t="inlineStr">
        <is>
          <t>Internet platform / e-commerce|&gt;=1000x</t>
        </is>
      </c>
      <c r="B94" s="4" t="inlineStr">
        <is>
          <t>Internet platform / e-commerce</t>
        </is>
      </c>
      <c r="C94" s="4" t="inlineStr">
        <is>
          <t>&gt;=1000x</t>
        </is>
      </c>
      <c r="D94" s="54" t="n">
        <v>2</v>
      </c>
      <c r="E94" s="55" t="n">
        <v>124.8</v>
      </c>
      <c r="F94" s="56" t="n">
        <v>100</v>
      </c>
    </row>
    <row r="95">
      <c r="A95" s="57" t="inlineStr">
        <is>
          <t>LLM / foundation model|&gt;=1000x</t>
        </is>
      </c>
      <c r="B95" s="4" t="inlineStr">
        <is>
          <t>LLM / foundation model</t>
        </is>
      </c>
      <c r="C95" s="4" t="inlineStr">
        <is>
          <t>&gt;=1000x</t>
        </is>
      </c>
      <c r="D95" s="54" t="n">
        <v>2</v>
      </c>
      <c r="E95" s="55" t="n">
        <v>61.1</v>
      </c>
      <c r="F95" s="56" t="n">
        <v>100</v>
      </c>
    </row>
    <row r="96">
      <c r="A96" s="57" t="inlineStr">
        <is>
          <t>Logistics|10-100x</t>
        </is>
      </c>
      <c r="B96" s="4" t="inlineStr">
        <is>
          <t>Logistics</t>
        </is>
      </c>
      <c r="C96" s="4" t="inlineStr">
        <is>
          <t>10-100x</t>
        </is>
      </c>
      <c r="D96" s="54" t="n">
        <v>4</v>
      </c>
      <c r="E96" s="55" t="n">
        <v>-1</v>
      </c>
      <c r="F96" s="56" t="n">
        <v>25</v>
      </c>
    </row>
    <row r="97">
      <c r="A97" s="57" t="inlineStr">
        <is>
          <t>Logistics|100-1000x</t>
        </is>
      </c>
      <c r="B97" s="4" t="inlineStr">
        <is>
          <t>Logistics</t>
        </is>
      </c>
      <c r="C97" s="4" t="inlineStr">
        <is>
          <t>100-1000x</t>
        </is>
      </c>
      <c r="D97" s="54" t="n">
        <v>3</v>
      </c>
      <c r="E97" s="55" t="n">
        <v>3.3</v>
      </c>
      <c r="F97" s="56" t="n">
        <v>67</v>
      </c>
    </row>
    <row r="98">
      <c r="A98" s="57" t="inlineStr">
        <is>
          <t>Logistics|&lt;10x</t>
        </is>
      </c>
      <c r="B98" s="4" t="inlineStr">
        <is>
          <t>Logistics</t>
        </is>
      </c>
      <c r="C98" s="4" t="inlineStr">
        <is>
          <t>&lt;10x</t>
        </is>
      </c>
      <c r="D98" s="54" t="n">
        <v>5</v>
      </c>
      <c r="E98" s="55" t="n">
        <v>-3.7</v>
      </c>
      <c r="F98" s="56" t="n">
        <v>0</v>
      </c>
    </row>
    <row r="99">
      <c r="A99" s="57" t="inlineStr">
        <is>
          <t>Logistics|&gt;=1000x</t>
        </is>
      </c>
      <c r="B99" s="4" t="inlineStr">
        <is>
          <t>Logistics</t>
        </is>
      </c>
      <c r="C99" s="4" t="inlineStr">
        <is>
          <t>&gt;=1000x</t>
        </is>
      </c>
      <c r="D99" s="54" t="n">
        <v>2</v>
      </c>
      <c r="E99" s="55" t="n">
        <v>-21.7</v>
      </c>
      <c r="F99" s="56" t="n">
        <v>50</v>
      </c>
    </row>
    <row r="100">
      <c r="A100" s="57" t="inlineStr">
        <is>
          <t>Media / advertising|10-100x</t>
        </is>
      </c>
      <c r="B100" s="4" t="inlineStr">
        <is>
          <t>Media / advertising</t>
        </is>
      </c>
      <c r="C100" s="4" t="inlineStr">
        <is>
          <t>10-100x</t>
        </is>
      </c>
      <c r="D100" s="54" t="n">
        <v>6</v>
      </c>
      <c r="E100" s="55" t="n">
        <v>30.1</v>
      </c>
      <c r="F100" s="56" t="n">
        <v>100</v>
      </c>
    </row>
    <row r="101">
      <c r="A101" s="57" t="inlineStr">
        <is>
          <t>Media / advertising|100-1000x</t>
        </is>
      </c>
      <c r="B101" s="4" t="inlineStr">
        <is>
          <t>Media / advertising</t>
        </is>
      </c>
      <c r="C101" s="4" t="inlineStr">
        <is>
          <t>100-1000x</t>
        </is>
      </c>
      <c r="D101" s="54" t="n">
        <v>2</v>
      </c>
      <c r="E101" s="55" t="n">
        <v>41.8</v>
      </c>
      <c r="F101" s="56" t="n">
        <v>50</v>
      </c>
    </row>
    <row r="102">
      <c r="A102" s="57" t="inlineStr">
        <is>
          <t>Media / advertising|&lt;10x</t>
        </is>
      </c>
      <c r="B102" s="4" t="inlineStr">
        <is>
          <t>Media / advertising</t>
        </is>
      </c>
      <c r="C102" s="4" t="inlineStr">
        <is>
          <t>&lt;10x</t>
        </is>
      </c>
      <c r="D102" s="54" t="n">
        <v>7</v>
      </c>
      <c r="E102" s="55" t="n">
        <v>-4.1</v>
      </c>
      <c r="F102" s="56" t="n">
        <v>29</v>
      </c>
    </row>
    <row r="103">
      <c r="A103" s="57" t="inlineStr">
        <is>
          <t>Media / advertising|&gt;=1000x</t>
        </is>
      </c>
      <c r="B103" s="4" t="inlineStr">
        <is>
          <t>Media / advertising</t>
        </is>
      </c>
      <c r="C103" s="4" t="inlineStr">
        <is>
          <t>&gt;=1000x</t>
        </is>
      </c>
      <c r="D103" s="54" t="n">
        <v>2</v>
      </c>
      <c r="E103" s="55" t="n">
        <v>-6.7</v>
      </c>
      <c r="F103" s="56" t="n">
        <v>50</v>
      </c>
    </row>
    <row r="104">
      <c r="A104" s="57" t="inlineStr">
        <is>
          <t>Medical devices|10-100x</t>
        </is>
      </c>
      <c r="B104" s="4" t="inlineStr">
        <is>
          <t>Medical devices</t>
        </is>
      </c>
      <c r="C104" s="4" t="inlineStr">
        <is>
          <t>10-100x</t>
        </is>
      </c>
      <c r="D104" s="54" t="n">
        <v>4</v>
      </c>
      <c r="E104" s="55" t="n">
        <v>1.6</v>
      </c>
      <c r="F104" s="56" t="n">
        <v>50</v>
      </c>
    </row>
    <row r="105">
      <c r="A105" s="57" t="inlineStr">
        <is>
          <t>Medical devices|100-1000x</t>
        </is>
      </c>
      <c r="B105" s="4" t="inlineStr">
        <is>
          <t>Medical devices</t>
        </is>
      </c>
      <c r="C105" s="4" t="inlineStr">
        <is>
          <t>100-1000x</t>
        </is>
      </c>
      <c r="D105" s="54" t="n">
        <v>6</v>
      </c>
      <c r="E105" s="55" t="n">
        <v>-12.8</v>
      </c>
      <c r="F105" s="56" t="n">
        <v>33</v>
      </c>
    </row>
    <row r="106">
      <c r="A106" s="57" t="inlineStr">
        <is>
          <t>Medical devices|&lt;10x</t>
        </is>
      </c>
      <c r="B106" s="4" t="inlineStr">
        <is>
          <t>Medical devices</t>
        </is>
      </c>
      <c r="C106" s="4" t="inlineStr">
        <is>
          <t>&lt;10x</t>
        </is>
      </c>
      <c r="D106" s="54" t="n">
        <v>9</v>
      </c>
      <c r="E106" s="55" t="n">
        <v>0</v>
      </c>
      <c r="F106" s="56" t="n">
        <v>33</v>
      </c>
    </row>
    <row r="107">
      <c r="A107" s="57" t="inlineStr">
        <is>
          <t>Medical devices|&gt;=1000x</t>
        </is>
      </c>
      <c r="B107" s="4" t="inlineStr">
        <is>
          <t>Medical devices</t>
        </is>
      </c>
      <c r="C107" s="4" t="inlineStr">
        <is>
          <t>&gt;=1000x</t>
        </is>
      </c>
      <c r="D107" s="54" t="n">
        <v>6</v>
      </c>
      <c r="E107" s="55" t="n">
        <v>115</v>
      </c>
      <c r="F107" s="56" t="n">
        <v>100</v>
      </c>
    </row>
    <row r="108">
      <c r="A108" s="57" t="inlineStr">
        <is>
          <t>Mining / metals|10-100x</t>
        </is>
      </c>
      <c r="B108" s="4" t="inlineStr">
        <is>
          <t>Mining / metals</t>
        </is>
      </c>
      <c r="C108" s="4" t="inlineStr">
        <is>
          <t>10-100x</t>
        </is>
      </c>
      <c r="D108" s="54" t="n">
        <v>1</v>
      </c>
      <c r="E108" s="55" t="n">
        <v>143.1</v>
      </c>
      <c r="F108" s="56" t="n">
        <v>100</v>
      </c>
    </row>
    <row r="109">
      <c r="A109" s="57" t="inlineStr">
        <is>
          <t>Mining / metals|100-1000x</t>
        </is>
      </c>
      <c r="B109" s="4" t="inlineStr">
        <is>
          <t>Mining / metals</t>
        </is>
      </c>
      <c r="C109" s="4" t="inlineStr">
        <is>
          <t>100-1000x</t>
        </is>
      </c>
      <c r="D109" s="54" t="n">
        <v>2</v>
      </c>
      <c r="E109" s="55" t="n">
        <v>47.2</v>
      </c>
      <c r="F109" s="56" t="n">
        <v>100</v>
      </c>
    </row>
    <row r="110">
      <c r="A110" s="57" t="inlineStr">
        <is>
          <t>Mining / metals|&lt;10x</t>
        </is>
      </c>
      <c r="B110" s="4" t="inlineStr">
        <is>
          <t>Mining / metals</t>
        </is>
      </c>
      <c r="C110" s="4" t="inlineStr">
        <is>
          <t>&lt;10x</t>
        </is>
      </c>
      <c r="D110" s="54" t="n">
        <v>6</v>
      </c>
      <c r="E110" s="55" t="n">
        <v>0</v>
      </c>
      <c r="F110" s="56" t="n">
        <v>17</v>
      </c>
    </row>
    <row r="111">
      <c r="A111" s="57" t="inlineStr">
        <is>
          <t>Mining / metals|&gt;=1000x</t>
        </is>
      </c>
      <c r="B111" s="4" t="inlineStr">
        <is>
          <t>Mining / metals</t>
        </is>
      </c>
      <c r="C111" s="4" t="inlineStr">
        <is>
          <t>&gt;=1000x</t>
        </is>
      </c>
      <c r="D111" s="54" t="n">
        <v>3</v>
      </c>
      <c r="E111" s="55" t="n">
        <v>90.7</v>
      </c>
      <c r="F111" s="56" t="n">
        <v>100</v>
      </c>
    </row>
    <row r="112">
      <c r="A112" s="57" t="inlineStr">
        <is>
          <t>Oil &amp; gas / utilities|10-100x</t>
        </is>
      </c>
      <c r="B112" s="4" t="inlineStr">
        <is>
          <t>Oil &amp; gas / utilities</t>
        </is>
      </c>
      <c r="C112" s="4" t="inlineStr">
        <is>
          <t>10-100x</t>
        </is>
      </c>
      <c r="D112" s="54" t="n">
        <v>2</v>
      </c>
      <c r="E112" s="55" t="n">
        <v>15.1</v>
      </c>
      <c r="F112" s="56" t="n">
        <v>50</v>
      </c>
    </row>
    <row r="113">
      <c r="A113" s="57" t="inlineStr">
        <is>
          <t>Oil &amp; gas / utilities|&lt;10x</t>
        </is>
      </c>
      <c r="B113" s="4" t="inlineStr">
        <is>
          <t>Oil &amp; gas / utilities</t>
        </is>
      </c>
      <c r="C113" s="4" t="inlineStr">
        <is>
          <t>&lt;10x</t>
        </is>
      </c>
      <c r="D113" s="54" t="n">
        <v>3</v>
      </c>
      <c r="E113" s="55" t="n">
        <v>0</v>
      </c>
      <c r="F113" s="56" t="n">
        <v>0</v>
      </c>
    </row>
    <row r="114">
      <c r="A114" s="57" t="inlineStr">
        <is>
          <t>Other / unclassified|10-100x</t>
        </is>
      </c>
      <c r="B114" s="4" t="inlineStr">
        <is>
          <t>Other / unclassified</t>
        </is>
      </c>
      <c r="C114" s="4" t="inlineStr">
        <is>
          <t>10-100x</t>
        </is>
      </c>
      <c r="D114" s="54" t="n">
        <v>2</v>
      </c>
      <c r="E114" s="55" t="n">
        <v>101</v>
      </c>
      <c r="F114" s="56" t="n">
        <v>50</v>
      </c>
    </row>
    <row r="115">
      <c r="A115" s="57" t="inlineStr">
        <is>
          <t>Other / unclassified|100-1000x</t>
        </is>
      </c>
      <c r="B115" s="4" t="inlineStr">
        <is>
          <t>Other / unclassified</t>
        </is>
      </c>
      <c r="C115" s="4" t="inlineStr">
        <is>
          <t>100-1000x</t>
        </is>
      </c>
      <c r="D115" s="54" t="n">
        <v>1</v>
      </c>
      <c r="E115" s="55" t="n">
        <v>32.8</v>
      </c>
      <c r="F115" s="56" t="n">
        <v>100</v>
      </c>
    </row>
    <row r="116">
      <c r="A116" s="57" t="inlineStr">
        <is>
          <t>Other / unclassified|&lt;10x</t>
        </is>
      </c>
      <c r="B116" s="4" t="inlineStr">
        <is>
          <t>Other / unclassified</t>
        </is>
      </c>
      <c r="C116" s="4" t="inlineStr">
        <is>
          <t>&lt;10x</t>
        </is>
      </c>
      <c r="D116" s="54" t="n">
        <v>1</v>
      </c>
      <c r="E116" s="55" t="n">
        <v>38.1</v>
      </c>
      <c r="F116" s="56" t="n">
        <v>100</v>
      </c>
    </row>
    <row r="117">
      <c r="A117" s="57" t="inlineStr">
        <is>
          <t>Other / unclassified|&gt;=1000x</t>
        </is>
      </c>
      <c r="B117" s="4" t="inlineStr">
        <is>
          <t>Other / unclassified</t>
        </is>
      </c>
      <c r="C117" s="4" t="inlineStr">
        <is>
          <t>&gt;=1000x</t>
        </is>
      </c>
      <c r="D117" s="54" t="n">
        <v>4</v>
      </c>
      <c r="E117" s="55" t="n">
        <v>35</v>
      </c>
      <c r="F117" s="56" t="n">
        <v>100</v>
      </c>
    </row>
    <row r="118">
      <c r="A118" s="57" t="inlineStr">
        <is>
          <t>Payments / lending (non-platform)|10-100x</t>
        </is>
      </c>
      <c r="B118" s="4" t="inlineStr">
        <is>
          <t>Payments / lending (non-platform)</t>
        </is>
      </c>
      <c r="C118" s="4" t="inlineStr">
        <is>
          <t>10-100x</t>
        </is>
      </c>
      <c r="D118" s="54" t="n">
        <v>1</v>
      </c>
      <c r="E118" s="55" t="n">
        <v>-0.6</v>
      </c>
      <c r="F118" s="56" t="n">
        <v>0</v>
      </c>
    </row>
    <row r="119">
      <c r="A119" s="57" t="inlineStr">
        <is>
          <t>Property management|10-100x</t>
        </is>
      </c>
      <c r="B119" s="4" t="inlineStr">
        <is>
          <t>Property management</t>
        </is>
      </c>
      <c r="C119" s="4" t="inlineStr">
        <is>
          <t>10-100x</t>
        </is>
      </c>
      <c r="D119" s="54" t="n">
        <v>4</v>
      </c>
      <c r="E119" s="55" t="n">
        <v>-0.4</v>
      </c>
      <c r="F119" s="56" t="n">
        <v>50</v>
      </c>
    </row>
    <row r="120">
      <c r="A120" s="57" t="inlineStr">
        <is>
          <t>Property management|100-1000x</t>
        </is>
      </c>
      <c r="B120" s="4" t="inlineStr">
        <is>
          <t>Property management</t>
        </is>
      </c>
      <c r="C120" s="4" t="inlineStr">
        <is>
          <t>100-1000x</t>
        </is>
      </c>
      <c r="D120" s="54" t="n">
        <v>1</v>
      </c>
      <c r="E120" s="55" t="n">
        <v>-11.5</v>
      </c>
      <c r="F120" s="56" t="n">
        <v>0</v>
      </c>
    </row>
    <row r="121">
      <c r="A121" s="57" t="inlineStr">
        <is>
          <t>Property management|&lt;10x</t>
        </is>
      </c>
      <c r="B121" s="4" t="inlineStr">
        <is>
          <t>Property management</t>
        </is>
      </c>
      <c r="C121" s="4" t="inlineStr">
        <is>
          <t>&lt;10x</t>
        </is>
      </c>
      <c r="D121" s="54" t="n">
        <v>17</v>
      </c>
      <c r="E121" s="55" t="n">
        <v>0</v>
      </c>
      <c r="F121" s="56" t="n">
        <v>29</v>
      </c>
    </row>
    <row r="122">
      <c r="A122" s="57" t="inlineStr">
        <is>
          <t>Property management|&gt;=1000x</t>
        </is>
      </c>
      <c r="B122" s="4" t="inlineStr">
        <is>
          <t>Property management</t>
        </is>
      </c>
      <c r="C122" s="4" t="inlineStr">
        <is>
          <t>&gt;=1000x</t>
        </is>
      </c>
      <c r="D122" s="54" t="n">
        <v>2</v>
      </c>
      <c r="E122" s="55" t="n">
        <v>19.9</v>
      </c>
      <c r="F122" s="56" t="n">
        <v>100</v>
      </c>
    </row>
    <row r="123">
      <c r="A123" s="57" t="inlineStr">
        <is>
          <t>Retail / distribution|10-100x</t>
        </is>
      </c>
      <c r="B123" s="4" t="inlineStr">
        <is>
          <t>Retail / distribution</t>
        </is>
      </c>
      <c r="C123" s="4" t="inlineStr">
        <is>
          <t>10-100x</t>
        </is>
      </c>
      <c r="D123" s="54" t="n">
        <v>6</v>
      </c>
      <c r="E123" s="55" t="n">
        <v>16.1</v>
      </c>
      <c r="F123" s="56" t="n">
        <v>67</v>
      </c>
    </row>
    <row r="124">
      <c r="A124" s="57" t="inlineStr">
        <is>
          <t>Retail / distribution|100-1000x</t>
        </is>
      </c>
      <c r="B124" s="4" t="inlineStr">
        <is>
          <t>Retail / distribution</t>
        </is>
      </c>
      <c r="C124" s="4" t="inlineStr">
        <is>
          <t>100-1000x</t>
        </is>
      </c>
      <c r="D124" s="54" t="n">
        <v>2</v>
      </c>
      <c r="E124" s="55" t="n">
        <v>-9.4</v>
      </c>
      <c r="F124" s="56" t="n">
        <v>50</v>
      </c>
    </row>
    <row r="125">
      <c r="A125" s="57" t="inlineStr">
        <is>
          <t>Retail / distribution|&lt;10x</t>
        </is>
      </c>
      <c r="B125" s="4" t="inlineStr">
        <is>
          <t>Retail / distribution</t>
        </is>
      </c>
      <c r="C125" s="4" t="inlineStr">
        <is>
          <t>&lt;10x</t>
        </is>
      </c>
      <c r="D125" s="54" t="n">
        <v>4</v>
      </c>
      <c r="E125" s="55" t="n">
        <v>0</v>
      </c>
      <c r="F125" s="56" t="n">
        <v>0</v>
      </c>
    </row>
    <row r="126">
      <c r="A126" s="57" t="inlineStr">
        <is>
          <t>Retail / distribution|&gt;=1000x</t>
        </is>
      </c>
      <c r="B126" s="4" t="inlineStr">
        <is>
          <t>Retail / distribution</t>
        </is>
      </c>
      <c r="C126" s="4" t="inlineStr">
        <is>
          <t>&gt;=1000x</t>
        </is>
      </c>
      <c r="D126" s="54" t="n">
        <v>3</v>
      </c>
      <c r="E126" s="55" t="n">
        <v>58.3</v>
      </c>
      <c r="F126" s="56" t="n">
        <v>100</v>
      </c>
    </row>
    <row r="127">
      <c r="A127" s="57" t="inlineStr">
        <is>
          <t>Robotics &amp; autonomous driving|10-100x</t>
        </is>
      </c>
      <c r="B127" s="4" t="inlineStr">
        <is>
          <t>Robotics &amp; autonomous driving</t>
        </is>
      </c>
      <c r="C127" s="4" t="inlineStr">
        <is>
          <t>10-100x</t>
        </is>
      </c>
      <c r="D127" s="54" t="n">
        <v>4</v>
      </c>
      <c r="E127" s="55" t="n">
        <v>2.4</v>
      </c>
      <c r="F127" s="56" t="n">
        <v>50</v>
      </c>
    </row>
    <row r="128">
      <c r="A128" s="57" t="inlineStr">
        <is>
          <t>Robotics &amp; autonomous driving|100-1000x</t>
        </is>
      </c>
      <c r="B128" s="4" t="inlineStr">
        <is>
          <t>Robotics &amp; autonomous driving</t>
        </is>
      </c>
      <c r="C128" s="4" t="inlineStr">
        <is>
          <t>100-1000x</t>
        </is>
      </c>
      <c r="D128" s="54" t="n">
        <v>6</v>
      </c>
      <c r="E128" s="55" t="n">
        <v>7.7</v>
      </c>
      <c r="F128" s="56" t="n">
        <v>83</v>
      </c>
    </row>
    <row r="129">
      <c r="A129" s="57" t="inlineStr">
        <is>
          <t>Robotics &amp; autonomous driving|&lt;10x</t>
        </is>
      </c>
      <c r="B129" s="4" t="inlineStr">
        <is>
          <t>Robotics &amp; autonomous driving</t>
        </is>
      </c>
      <c r="C129" s="4" t="inlineStr">
        <is>
          <t>&lt;10x</t>
        </is>
      </c>
      <c r="D129" s="54" t="n">
        <v>4</v>
      </c>
      <c r="E129" s="55" t="n">
        <v>0.4</v>
      </c>
      <c r="F129" s="56" t="n">
        <v>50</v>
      </c>
    </row>
    <row r="130">
      <c r="A130" s="57" t="inlineStr">
        <is>
          <t>Robotics &amp; autonomous driving|&gt;=1000x</t>
        </is>
      </c>
      <c r="B130" s="4" t="inlineStr">
        <is>
          <t>Robotics &amp; autonomous driving</t>
        </is>
      </c>
      <c r="C130" s="4" t="inlineStr">
        <is>
          <t>&gt;=1000x</t>
        </is>
      </c>
      <c r="D130" s="54" t="n">
        <v>7</v>
      </c>
      <c r="E130" s="55" t="n">
        <v>26.1</v>
      </c>
      <c r="F130" s="56" t="n">
        <v>86</v>
      </c>
    </row>
    <row r="131">
      <c r="A131" s="57" t="inlineStr">
        <is>
          <t>SaaS / enterprise software|10-100x</t>
        </is>
      </c>
      <c r="B131" s="4" t="inlineStr">
        <is>
          <t>SaaS / enterprise software</t>
        </is>
      </c>
      <c r="C131" s="4" t="inlineStr">
        <is>
          <t>10-100x</t>
        </is>
      </c>
      <c r="D131" s="54" t="n">
        <v>7</v>
      </c>
      <c r="E131" s="55" t="n">
        <v>0.6</v>
      </c>
      <c r="F131" s="56" t="n">
        <v>71</v>
      </c>
    </row>
    <row r="132">
      <c r="A132" s="57" t="inlineStr">
        <is>
          <t>SaaS / enterprise software|100-1000x</t>
        </is>
      </c>
      <c r="B132" s="4" t="inlineStr">
        <is>
          <t>SaaS / enterprise software</t>
        </is>
      </c>
      <c r="C132" s="4" t="inlineStr">
        <is>
          <t>100-1000x</t>
        </is>
      </c>
      <c r="D132" s="54" t="n">
        <v>4</v>
      </c>
      <c r="E132" s="55" t="n">
        <v>1</v>
      </c>
      <c r="F132" s="56" t="n">
        <v>50</v>
      </c>
    </row>
    <row r="133">
      <c r="A133" s="57" t="inlineStr">
        <is>
          <t>SaaS / enterprise software|&lt;10x</t>
        </is>
      </c>
      <c r="B133" s="4" t="inlineStr">
        <is>
          <t>SaaS / enterprise software</t>
        </is>
      </c>
      <c r="C133" s="4" t="inlineStr">
        <is>
          <t>&lt;10x</t>
        </is>
      </c>
      <c r="D133" s="54" t="n">
        <v>8</v>
      </c>
      <c r="E133" s="55" t="n">
        <v>0.5</v>
      </c>
      <c r="F133" s="56" t="n">
        <v>50</v>
      </c>
    </row>
    <row r="134">
      <c r="A134" s="57" t="inlineStr">
        <is>
          <t>SaaS / enterprise software|&gt;=1000x</t>
        </is>
      </c>
      <c r="B134" s="4" t="inlineStr">
        <is>
          <t>SaaS / enterprise software</t>
        </is>
      </c>
      <c r="C134" s="4" t="inlineStr">
        <is>
          <t>&gt;=1000x</t>
        </is>
      </c>
      <c r="D134" s="54" t="n">
        <v>4</v>
      </c>
      <c r="E134" s="55" t="n">
        <v>131</v>
      </c>
      <c r="F134" s="56" t="n">
        <v>100</v>
      </c>
    </row>
    <row r="135">
      <c r="A135" s="57" t="inlineStr">
        <is>
          <t>Smart hardware / consumer electronics|10-100x</t>
        </is>
      </c>
      <c r="B135" s="4" t="inlineStr">
        <is>
          <t>Smart hardware / consumer electronics</t>
        </is>
      </c>
      <c r="C135" s="4" t="inlineStr">
        <is>
          <t>10-100x</t>
        </is>
      </c>
      <c r="D135" s="54" t="n">
        <v>3</v>
      </c>
      <c r="E135" s="55" t="n">
        <v>-2</v>
      </c>
      <c r="F135" s="56" t="n">
        <v>33</v>
      </c>
    </row>
    <row r="136">
      <c r="A136" s="57" t="inlineStr">
        <is>
          <t>Smart hardware / consumer electronics|100-1000x</t>
        </is>
      </c>
      <c r="B136" s="4" t="inlineStr">
        <is>
          <t>Smart hardware / consumer electronics</t>
        </is>
      </c>
      <c r="C136" s="4" t="inlineStr">
        <is>
          <t>100-1000x</t>
        </is>
      </c>
      <c r="D136" s="54" t="n">
        <v>11</v>
      </c>
      <c r="E136" s="55" t="n">
        <v>4.7</v>
      </c>
      <c r="F136" s="56" t="n">
        <v>64</v>
      </c>
    </row>
    <row r="137">
      <c r="A137" s="57" t="inlineStr">
        <is>
          <t>Smart hardware / consumer electronics|&lt;10x</t>
        </is>
      </c>
      <c r="B137" s="4" t="inlineStr">
        <is>
          <t>Smart hardware / consumer electronics</t>
        </is>
      </c>
      <c r="C137" s="4" t="inlineStr">
        <is>
          <t>&lt;10x</t>
        </is>
      </c>
      <c r="D137" s="54" t="n">
        <v>4</v>
      </c>
      <c r="E137" s="55" t="n">
        <v>-3.4</v>
      </c>
      <c r="F137" s="56" t="n">
        <v>25</v>
      </c>
    </row>
    <row r="138">
      <c r="A138" s="57" t="inlineStr">
        <is>
          <t>Smart hardware / consumer electronics|&gt;=1000x</t>
        </is>
      </c>
      <c r="B138" s="4" t="inlineStr">
        <is>
          <t>Smart hardware / consumer electronics</t>
        </is>
      </c>
      <c r="C138" s="4" t="inlineStr">
        <is>
          <t>&gt;=1000x</t>
        </is>
      </c>
      <c r="D138" s="54" t="n">
        <v>10</v>
      </c>
      <c r="E138" s="55" t="n">
        <v>18.1</v>
      </c>
      <c r="F138" s="56" t="n">
        <v>100</v>
      </c>
    </row>
    <row r="139">
      <c r="A139" s="57" t="inlineStr">
        <is>
          <t>Solar / wind supply chain|100-1000x</t>
        </is>
      </c>
      <c r="B139" s="4" t="inlineStr">
        <is>
          <t>Solar / wind supply chain</t>
        </is>
      </c>
      <c r="C139" s="4" t="inlineStr">
        <is>
          <t>100-1000x</t>
        </is>
      </c>
      <c r="D139" s="54" t="n">
        <v>1</v>
      </c>
      <c r="E139" s="55" t="n">
        <v>0</v>
      </c>
      <c r="F139" s="56" t="n">
        <v>0</v>
      </c>
    </row>
    <row r="140">
      <c r="A140" s="57" t="inlineStr">
        <is>
          <t>Solar / wind supply chain|&lt;10x</t>
        </is>
      </c>
      <c r="B140" s="4" t="inlineStr">
        <is>
          <t>Solar / wind supply chain</t>
        </is>
      </c>
      <c r="C140" s="4" t="inlineStr">
        <is>
          <t>&lt;10x</t>
        </is>
      </c>
      <c r="D140" s="54" t="n">
        <v>1</v>
      </c>
      <c r="E140" s="55" t="n">
        <v>20.1</v>
      </c>
      <c r="F140" s="56" t="n">
        <v>100</v>
      </c>
    </row>
    <row r="141">
      <c r="A141" s="57" t="inlineStr">
        <is>
          <t>TCM|100-1000x</t>
        </is>
      </c>
      <c r="B141" s="4" t="inlineStr">
        <is>
          <t>TCM</t>
        </is>
      </c>
      <c r="C141" s="4" t="inlineStr">
        <is>
          <t>100-1000x</t>
        </is>
      </c>
      <c r="D141" s="54" t="n">
        <v>1</v>
      </c>
      <c r="E141" s="55" t="n">
        <v>-39.1</v>
      </c>
      <c r="F141" s="56" t="n">
        <v>0</v>
      </c>
    </row>
    <row r="142">
      <c r="A142" s="57" t="inlineStr">
        <is>
          <t>TCM|&lt;10x</t>
        </is>
      </c>
      <c r="B142" s="4" t="inlineStr">
        <is>
          <t>TCM</t>
        </is>
      </c>
      <c r="C142" s="4" t="inlineStr">
        <is>
          <t>&lt;10x</t>
        </is>
      </c>
      <c r="D142" s="54" t="n">
        <v>2</v>
      </c>
      <c r="E142" s="55" t="n">
        <v>3.4</v>
      </c>
      <c r="F142" s="56" t="n">
        <v>50</v>
      </c>
    </row>
    <row r="143">
      <c r="A143" s="57" t="inlineStr">
        <is>
          <t>TCM|&gt;=1000x</t>
        </is>
      </c>
      <c r="B143" s="4" t="inlineStr">
        <is>
          <t>TCM</t>
        </is>
      </c>
      <c r="C143" s="4" t="inlineStr">
        <is>
          <t>&gt;=1000x</t>
        </is>
      </c>
      <c r="D143" s="54" t="n">
        <v>1</v>
      </c>
      <c r="E143" s="55" t="n">
        <v>10.4</v>
      </c>
      <c r="F143" s="56" t="n">
        <v>100</v>
      </c>
    </row>
    <row r="144">
      <c r="A144" s="57" t="inlineStr">
        <is>
          <t>Telecom|100-1000x</t>
        </is>
      </c>
      <c r="B144" s="4" t="inlineStr">
        <is>
          <t>Telecom</t>
        </is>
      </c>
      <c r="C144" s="4" t="inlineStr">
        <is>
          <t>100-1000x</t>
        </is>
      </c>
      <c r="D144" s="54" t="n">
        <v>1</v>
      </c>
      <c r="E144" s="55" t="n">
        <v>-46.4</v>
      </c>
      <c r="F144" s="56" t="n">
        <v>0</v>
      </c>
    </row>
    <row r="145">
      <c r="A145" s="57" t="inlineStr">
        <is>
          <t>Telecom|&lt;10x</t>
        </is>
      </c>
      <c r="B145" s="4" t="inlineStr">
        <is>
          <t>Telecom</t>
        </is>
      </c>
      <c r="C145" s="4" t="inlineStr">
        <is>
          <t>&lt;10x</t>
        </is>
      </c>
      <c r="D145" s="54" t="n">
        <v>1</v>
      </c>
      <c r="E145" s="55" t="n">
        <v>-11.2</v>
      </c>
      <c r="F145" s="56" t="n">
        <v>0</v>
      </c>
    </row>
    <row r="147">
      <c r="A147" s="3" t="inlineStr">
        <is>
          <t>BY SUBSECTOR (any subscription)</t>
        </is>
      </c>
    </row>
    <row r="148">
      <c r="A148" s="14" t="inlineStr">
        <is>
          <t>Subsector</t>
        </is>
      </c>
      <c r="B148" s="14" t="inlineStr">
        <is>
          <t>n</t>
        </is>
      </c>
      <c r="C148" s="14" t="inlineStr">
        <is>
          <t>Median day-1</t>
        </is>
      </c>
      <c r="D148" s="14" t="inlineStr">
        <is>
          <t>Hit-rate</t>
        </is>
      </c>
      <c r="E148" s="14" t="inlineStr">
        <is>
          <t>Median P/E</t>
        </is>
      </c>
      <c r="F148" s="14" t="inlineStr">
        <is>
          <t>Median P/S</t>
        </is>
      </c>
      <c r="G148" s="14" t="inlineStr">
        <is>
          <t>n P/E</t>
        </is>
      </c>
      <c r="H148" s="14" t="inlineStr">
        <is>
          <t>n P/S</t>
        </is>
      </c>
    </row>
    <row r="149">
      <c r="A149" s="4" t="inlineStr">
        <is>
          <t>AI application / agent software</t>
        </is>
      </c>
      <c r="B149" s="54" t="n">
        <v>16</v>
      </c>
      <c r="C149" s="55" t="n">
        <v>64.3</v>
      </c>
      <c r="D149" s="56" t="n">
        <v>81</v>
      </c>
      <c r="E149" s="58" t="n">
        <v>172.6</v>
      </c>
      <c r="F149" s="58" t="n">
        <v>15.1</v>
      </c>
      <c r="G149" s="54" t="n">
        <v>1</v>
      </c>
      <c r="H149" s="54" t="n">
        <v>8</v>
      </c>
    </row>
    <row r="150">
      <c r="A150" s="4" t="inlineStr">
        <is>
          <t>AI chips &amp; semis</t>
        </is>
      </c>
      <c r="B150" s="54" t="n">
        <v>26</v>
      </c>
      <c r="C150" s="55" t="n">
        <v>7.4</v>
      </c>
      <c r="D150" s="56" t="n">
        <v>73</v>
      </c>
      <c r="E150" s="58" t="n">
        <v>80.3</v>
      </c>
      <c r="F150" s="58" t="n">
        <v>24.5</v>
      </c>
      <c r="G150" s="54" t="n">
        <v>10</v>
      </c>
      <c r="H150" s="54" t="n">
        <v>14</v>
      </c>
    </row>
    <row r="151">
      <c r="A151" s="4" t="inlineStr">
        <is>
          <t>Apparel / luxury</t>
        </is>
      </c>
      <c r="B151" s="54" t="n">
        <v>5</v>
      </c>
      <c r="C151" s="55" t="n">
        <v>25</v>
      </c>
      <c r="D151" s="56" t="n">
        <v>80</v>
      </c>
      <c r="E151" s="58" t="n">
        <v>32.1</v>
      </c>
      <c r="F151" s="58" t="n">
        <v>1.9</v>
      </c>
      <c r="G151" s="54" t="n">
        <v>3</v>
      </c>
      <c r="H151" s="54" t="n">
        <v>3</v>
      </c>
    </row>
    <row r="152">
      <c r="A152" s="4" t="inlineStr">
        <is>
          <t>Auto parts / supply chain</t>
        </is>
      </c>
      <c r="B152" s="54" t="n">
        <v>9</v>
      </c>
      <c r="C152" s="55" t="n">
        <v>2.1</v>
      </c>
      <c r="D152" s="56" t="n">
        <v>56</v>
      </c>
      <c r="E152" s="58" t="n">
        <v>27.3</v>
      </c>
      <c r="F152" s="58" t="n">
        <v>4.5</v>
      </c>
      <c r="G152" s="54" t="n">
        <v>3</v>
      </c>
      <c r="H152" s="54" t="n">
        <v>6</v>
      </c>
    </row>
    <row r="153">
      <c r="A153" s="4" t="inlineStr">
        <is>
          <t>Autos (NEV OEM)</t>
        </is>
      </c>
      <c r="B153" s="54" t="n">
        <v>6</v>
      </c>
      <c r="C153" s="55" t="n">
        <v>0</v>
      </c>
      <c r="D153" s="56" t="n">
        <v>33</v>
      </c>
      <c r="E153" s="58" t="n">
        <v>19.7</v>
      </c>
      <c r="F153" s="58" t="n">
        <v>0.5</v>
      </c>
      <c r="G153" s="54" t="n">
        <v>1</v>
      </c>
      <c r="H153" s="54" t="n">
        <v>1</v>
      </c>
    </row>
    <row r="154">
      <c r="A154" s="4" t="inlineStr">
        <is>
          <t>Banks</t>
        </is>
      </c>
      <c r="B154" s="54" t="n">
        <v>2</v>
      </c>
      <c r="C154" s="55" t="n">
        <v>2.5</v>
      </c>
      <c r="D154" s="56" t="n">
        <v>100</v>
      </c>
      <c r="E154" s="58" t="n"/>
      <c r="F154" s="58" t="n"/>
      <c r="G154" s="54" t="n">
        <v>0</v>
      </c>
      <c r="H154" s="54" t="n">
        <v>0</v>
      </c>
    </row>
    <row r="155">
      <c r="A155" s="4" t="inlineStr">
        <is>
          <t>Batteries / energy storage</t>
        </is>
      </c>
      <c r="B155" s="54" t="n">
        <v>13</v>
      </c>
      <c r="C155" s="55" t="n">
        <v>2.6</v>
      </c>
      <c r="D155" s="56" t="n">
        <v>77</v>
      </c>
      <c r="E155" s="58" t="n">
        <v>17.8</v>
      </c>
      <c r="F155" s="58" t="n">
        <v>6.3</v>
      </c>
      <c r="G155" s="54" t="n">
        <v>4</v>
      </c>
      <c r="H155" s="54" t="n">
        <v>12</v>
      </c>
    </row>
    <row r="156">
      <c r="A156" s="4" t="inlineStr">
        <is>
          <t>Beauty / personal care</t>
        </is>
      </c>
      <c r="B156" s="54" t="n">
        <v>7</v>
      </c>
      <c r="C156" s="55" t="n">
        <v>9.300000000000001</v>
      </c>
      <c r="D156" s="56" t="n">
        <v>57</v>
      </c>
      <c r="E156" s="58" t="n">
        <v>26.5</v>
      </c>
      <c r="F156" s="58" t="n">
        <v>12.7</v>
      </c>
      <c r="G156" s="54" t="n">
        <v>3</v>
      </c>
      <c r="H156" s="54" t="n">
        <v>3</v>
      </c>
    </row>
    <row r="157">
      <c r="A157" s="4" t="inlineStr">
        <is>
          <t>Beverages / packaged food</t>
        </is>
      </c>
      <c r="B157" s="54" t="n">
        <v>24</v>
      </c>
      <c r="C157" s="55" t="n">
        <v>1.5</v>
      </c>
      <c r="D157" s="56" t="n">
        <v>58</v>
      </c>
      <c r="E157" s="58" t="n">
        <v>17.4</v>
      </c>
      <c r="F157" s="58" t="n">
        <v>2.3</v>
      </c>
      <c r="G157" s="54" t="n">
        <v>18</v>
      </c>
      <c r="H157" s="54" t="n">
        <v>17</v>
      </c>
    </row>
    <row r="158">
      <c r="A158" s="4" t="inlineStr">
        <is>
          <t>Biopharma commercial</t>
        </is>
      </c>
      <c r="B158" s="54" t="n">
        <v>9</v>
      </c>
      <c r="C158" s="55" t="n">
        <v>50.4</v>
      </c>
      <c r="D158" s="56" t="n">
        <v>78</v>
      </c>
      <c r="E158" s="58" t="n">
        <v>34.2</v>
      </c>
      <c r="F158" s="58" t="n">
        <v>11.3</v>
      </c>
      <c r="G158" s="54" t="n">
        <v>4</v>
      </c>
      <c r="H158" s="54" t="n">
        <v>7</v>
      </c>
    </row>
    <row r="159">
      <c r="A159" s="4" t="inlineStr">
        <is>
          <t>Biotech pre-revenue (18A)</t>
        </is>
      </c>
      <c r="B159" s="54" t="n">
        <v>49</v>
      </c>
      <c r="C159" s="55" t="n">
        <v>13.2</v>
      </c>
      <c r="D159" s="56" t="n">
        <v>69</v>
      </c>
      <c r="E159" s="58" t="n"/>
      <c r="F159" s="58" t="n">
        <v>18.2</v>
      </c>
      <c r="G159" s="54" t="n">
        <v>0</v>
      </c>
      <c r="H159" s="54" t="n">
        <v>6</v>
      </c>
    </row>
    <row r="160">
      <c r="A160" s="4" t="inlineStr">
        <is>
          <t>Brokers / asset management</t>
        </is>
      </c>
      <c r="B160" s="54" t="n">
        <v>4</v>
      </c>
      <c r="C160" s="55" t="n">
        <v>-14.3</v>
      </c>
      <c r="D160" s="56" t="n">
        <v>25</v>
      </c>
      <c r="E160" s="58" t="n">
        <v>27.8</v>
      </c>
      <c r="F160" s="58" t="n">
        <v>3.5</v>
      </c>
      <c r="G160" s="54" t="n">
        <v>3</v>
      </c>
      <c r="H160" s="54" t="n">
        <v>2</v>
      </c>
    </row>
    <row r="161">
      <c r="A161" s="4" t="inlineStr">
        <is>
          <t>CXO / pharma services</t>
        </is>
      </c>
      <c r="B161" s="54" t="n">
        <v>9</v>
      </c>
      <c r="C161" s="55" t="n">
        <v>0.7</v>
      </c>
      <c r="D161" s="56" t="n">
        <v>56</v>
      </c>
      <c r="E161" s="58" t="n">
        <v>53.5</v>
      </c>
      <c r="F161" s="58" t="n">
        <v>8.9</v>
      </c>
      <c r="G161" s="54" t="n">
        <v>4</v>
      </c>
      <c r="H161" s="54" t="n">
        <v>5</v>
      </c>
    </row>
    <row r="162">
      <c r="A162" s="4" t="inlineStr">
        <is>
          <t>Capital goods / machinery</t>
        </is>
      </c>
      <c r="B162" s="54" t="n">
        <v>18</v>
      </c>
      <c r="C162" s="55" t="n">
        <v>1.9</v>
      </c>
      <c r="D162" s="56" t="n">
        <v>61</v>
      </c>
      <c r="E162" s="58" t="n">
        <v>29.2</v>
      </c>
      <c r="F162" s="58" t="n">
        <v>2.5</v>
      </c>
      <c r="G162" s="54" t="n">
        <v>12</v>
      </c>
      <c r="H162" s="54" t="n">
        <v>13</v>
      </c>
    </row>
    <row r="163">
      <c r="A163" s="4" t="inlineStr">
        <is>
          <t>Chemicals</t>
        </is>
      </c>
      <c r="B163" s="54" t="n">
        <v>13</v>
      </c>
      <c r="C163" s="55" t="n">
        <v>0</v>
      </c>
      <c r="D163" s="56" t="n">
        <v>46</v>
      </c>
      <c r="E163" s="58" t="n">
        <v>16.3</v>
      </c>
      <c r="F163" s="58" t="n">
        <v>1.4</v>
      </c>
      <c r="G163" s="54" t="n">
        <v>8</v>
      </c>
      <c r="H163" s="54" t="n">
        <v>11</v>
      </c>
    </row>
    <row r="164">
      <c r="A164" s="4" t="inlineStr">
        <is>
          <t>Construction / engineering</t>
        </is>
      </c>
      <c r="B164" s="54" t="n">
        <v>16</v>
      </c>
      <c r="C164" s="55" t="n">
        <v>-7.5</v>
      </c>
      <c r="D164" s="56" t="n">
        <v>44</v>
      </c>
      <c r="E164" s="58" t="n">
        <v>12.2</v>
      </c>
      <c r="F164" s="58" t="n">
        <v>1.5</v>
      </c>
      <c r="G164" s="54" t="n">
        <v>11</v>
      </c>
      <c r="H164" s="54" t="n">
        <v>11</v>
      </c>
    </row>
    <row r="165">
      <c r="A165" s="4" t="inlineStr">
        <is>
          <t>Consumer services / education</t>
        </is>
      </c>
      <c r="B165" s="54" t="n">
        <v>4</v>
      </c>
      <c r="C165" s="55" t="n">
        <v>6.1</v>
      </c>
      <c r="D165" s="56" t="n">
        <v>50</v>
      </c>
      <c r="E165" s="58" t="n">
        <v>28.6</v>
      </c>
      <c r="F165" s="58" t="n">
        <v>5.3</v>
      </c>
      <c r="G165" s="54" t="n">
        <v>2</v>
      </c>
      <c r="H165" s="54" t="n">
        <v>1</v>
      </c>
    </row>
    <row r="166">
      <c r="A166" s="4" t="inlineStr">
        <is>
          <t>Data center / cloud infra</t>
        </is>
      </c>
      <c r="B166" s="54" t="n">
        <v>2</v>
      </c>
      <c r="C166" s="55" t="n">
        <v>-37.1</v>
      </c>
      <c r="D166" s="56" t="n">
        <v>0</v>
      </c>
      <c r="E166" s="58" t="n">
        <v>135.6</v>
      </c>
      <c r="F166" s="58" t="n">
        <v>3.7</v>
      </c>
      <c r="G166" s="54" t="n">
        <v>1</v>
      </c>
      <c r="H166" s="54" t="n">
        <v>1</v>
      </c>
    </row>
    <row r="167">
      <c r="A167" s="4" t="inlineStr">
        <is>
          <t>Developers</t>
        </is>
      </c>
      <c r="B167" s="54" t="n">
        <v>1</v>
      </c>
      <c r="C167" s="55" t="n">
        <v>0</v>
      </c>
      <c r="D167" s="56" t="n">
        <v>0</v>
      </c>
      <c r="E167" s="58" t="n">
        <v>6.9</v>
      </c>
      <c r="F167" s="58" t="n">
        <v>0.6</v>
      </c>
      <c r="G167" s="54" t="n">
        <v>1</v>
      </c>
      <c r="H167" s="54" t="n">
        <v>1</v>
      </c>
    </row>
    <row r="168">
      <c r="A168" s="4" t="inlineStr">
        <is>
          <t>Digital health</t>
        </is>
      </c>
      <c r="B168" s="54" t="n">
        <v>17</v>
      </c>
      <c r="C168" s="55" t="n">
        <v>5.5</v>
      </c>
      <c r="D168" s="56" t="n">
        <v>59</v>
      </c>
      <c r="E168" s="58" t="n">
        <v>142.9</v>
      </c>
      <c r="F168" s="58" t="n">
        <v>4.2</v>
      </c>
      <c r="G168" s="54" t="n">
        <v>3</v>
      </c>
      <c r="H168" s="54" t="n">
        <v>10</v>
      </c>
    </row>
    <row r="169">
      <c r="A169" s="4" t="inlineStr">
        <is>
          <t>F&amp;B chains / restaurants</t>
        </is>
      </c>
      <c r="B169" s="54" t="n">
        <v>10</v>
      </c>
      <c r="C169" s="55" t="n">
        <v>-3.3</v>
      </c>
      <c r="D169" s="56" t="n">
        <v>40</v>
      </c>
      <c r="E169" s="58" t="n">
        <v>19.9</v>
      </c>
      <c r="F169" s="58" t="n">
        <v>3.4</v>
      </c>
      <c r="G169" s="54" t="n">
        <v>6</v>
      </c>
      <c r="H169" s="54" t="n">
        <v>6</v>
      </c>
    </row>
    <row r="170">
      <c r="A170" s="4" t="inlineStr">
        <is>
          <t>Fintech platform</t>
        </is>
      </c>
      <c r="B170" s="54" t="n">
        <v>6</v>
      </c>
      <c r="C170" s="55" t="n">
        <v>-3.9</v>
      </c>
      <c r="D170" s="56" t="n">
        <v>33</v>
      </c>
      <c r="E170" s="58" t="n"/>
      <c r="F170" s="58" t="n">
        <v>17.8</v>
      </c>
      <c r="G170" s="54" t="n">
        <v>0</v>
      </c>
      <c r="H170" s="54" t="n">
        <v>3</v>
      </c>
    </row>
    <row r="171">
      <c r="A171" s="4" t="inlineStr">
        <is>
          <t>Gaming / entertainment tech</t>
        </is>
      </c>
      <c r="B171" s="54" t="n">
        <v>1</v>
      </c>
      <c r="C171" s="55" t="n">
        <v>-4.6</v>
      </c>
      <c r="D171" s="56" t="n">
        <v>0</v>
      </c>
      <c r="E171" s="58" t="n">
        <v>61.6</v>
      </c>
      <c r="F171" s="58" t="n">
        <v>5.7</v>
      </c>
      <c r="G171" s="54" t="n">
        <v>1</v>
      </c>
      <c r="H171" s="54" t="n">
        <v>1</v>
      </c>
    </row>
    <row r="172">
      <c r="A172" s="4" t="inlineStr">
        <is>
          <t>Hospitals / clinics</t>
        </is>
      </c>
      <c r="B172" s="54" t="n">
        <v>9</v>
      </c>
      <c r="C172" s="55" t="n">
        <v>0.1</v>
      </c>
      <c r="D172" s="56" t="n">
        <v>56</v>
      </c>
      <c r="E172" s="58" t="n">
        <v>45.7</v>
      </c>
      <c r="F172" s="58" t="n">
        <v>4.2</v>
      </c>
      <c r="G172" s="54" t="n">
        <v>5</v>
      </c>
      <c r="H172" s="54" t="n">
        <v>6</v>
      </c>
    </row>
    <row r="173">
      <c r="A173" s="4" t="inlineStr">
        <is>
          <t>Insurance</t>
        </is>
      </c>
      <c r="B173" s="54" t="n">
        <v>7</v>
      </c>
      <c r="C173" s="55" t="n">
        <v>4.7</v>
      </c>
      <c r="D173" s="56" t="n">
        <v>71</v>
      </c>
      <c r="E173" s="58" t="n">
        <v>23</v>
      </c>
      <c r="F173" s="58" t="n">
        <v>4.5</v>
      </c>
      <c r="G173" s="54" t="n">
        <v>1</v>
      </c>
      <c r="H173" s="54" t="n">
        <v>3</v>
      </c>
    </row>
    <row r="174">
      <c r="A174" s="4" t="inlineStr">
        <is>
          <t>Internet platform / e-commerce</t>
        </is>
      </c>
      <c r="B174" s="54" t="n">
        <v>23</v>
      </c>
      <c r="C174" s="55" t="n">
        <v>0.3</v>
      </c>
      <c r="D174" s="56" t="n">
        <v>52</v>
      </c>
      <c r="E174" s="58" t="n">
        <v>31.1</v>
      </c>
      <c r="F174" s="58" t="n">
        <v>3</v>
      </c>
      <c r="G174" s="54" t="n">
        <v>5</v>
      </c>
      <c r="H174" s="54" t="n">
        <v>13</v>
      </c>
    </row>
    <row r="175">
      <c r="A175" s="4" t="inlineStr">
        <is>
          <t>LLM / foundation model</t>
        </is>
      </c>
      <c r="B175" s="54" t="n">
        <v>2</v>
      </c>
      <c r="C175" s="55" t="n">
        <v>61.1</v>
      </c>
      <c r="D175" s="56" t="n">
        <v>100</v>
      </c>
      <c r="E175" s="58" t="n"/>
      <c r="F175" s="58" t="n"/>
      <c r="G175" s="54" t="n">
        <v>0</v>
      </c>
      <c r="H175" s="54" t="n">
        <v>0</v>
      </c>
    </row>
    <row r="176">
      <c r="A176" s="4" t="inlineStr">
        <is>
          <t>Logistics</t>
        </is>
      </c>
      <c r="B176" s="54" t="n">
        <v>15</v>
      </c>
      <c r="C176" s="55" t="n">
        <v>-1.9</v>
      </c>
      <c r="D176" s="56" t="n">
        <v>27</v>
      </c>
      <c r="E176" s="58" t="n">
        <v>14.3</v>
      </c>
      <c r="F176" s="58" t="n">
        <v>1</v>
      </c>
      <c r="G176" s="54" t="n">
        <v>8</v>
      </c>
      <c r="H176" s="54" t="n">
        <v>11</v>
      </c>
    </row>
    <row r="177">
      <c r="A177" s="4" t="inlineStr">
        <is>
          <t>Media / advertising</t>
        </is>
      </c>
      <c r="B177" s="54" t="n">
        <v>17</v>
      </c>
      <c r="C177" s="55" t="n">
        <v>16.6</v>
      </c>
      <c r="D177" s="56" t="n">
        <v>59</v>
      </c>
      <c r="E177" s="58" t="n">
        <v>22.1</v>
      </c>
      <c r="F177" s="58" t="n">
        <v>3.4</v>
      </c>
      <c r="G177" s="54" t="n">
        <v>11</v>
      </c>
      <c r="H177" s="54" t="n">
        <v>11</v>
      </c>
    </row>
    <row r="178">
      <c r="A178" s="4" t="inlineStr">
        <is>
          <t>Medical devices</t>
        </is>
      </c>
      <c r="B178" s="54" t="n">
        <v>25</v>
      </c>
      <c r="C178" s="55" t="n">
        <v>1.2</v>
      </c>
      <c r="D178" s="56" t="n">
        <v>52</v>
      </c>
      <c r="E178" s="58" t="n">
        <v>146.8</v>
      </c>
      <c r="F178" s="58" t="n">
        <v>27.1</v>
      </c>
      <c r="G178" s="54" t="n">
        <v>3</v>
      </c>
      <c r="H178" s="54" t="n">
        <v>5</v>
      </c>
    </row>
    <row r="179">
      <c r="A179" s="4" t="inlineStr">
        <is>
          <t>Mining / metals</t>
        </is>
      </c>
      <c r="B179" s="54" t="n">
        <v>12</v>
      </c>
      <c r="C179" s="55" t="n">
        <v>2</v>
      </c>
      <c r="D179" s="56" t="n">
        <v>58</v>
      </c>
      <c r="E179" s="58" t="n">
        <v>14.3</v>
      </c>
      <c r="F179" s="58" t="n">
        <v>2.7</v>
      </c>
      <c r="G179" s="54" t="n">
        <v>8</v>
      </c>
      <c r="H179" s="54" t="n">
        <v>8</v>
      </c>
    </row>
    <row r="180">
      <c r="A180" s="4" t="inlineStr">
        <is>
          <t>Oil &amp; gas / utilities</t>
        </is>
      </c>
      <c r="B180" s="54" t="n">
        <v>5</v>
      </c>
      <c r="C180" s="55" t="n">
        <v>0</v>
      </c>
      <c r="D180" s="56" t="n">
        <v>20</v>
      </c>
      <c r="E180" s="58" t="n">
        <v>12.7</v>
      </c>
      <c r="F180" s="58" t="n">
        <v>0.5</v>
      </c>
      <c r="G180" s="54" t="n">
        <v>5</v>
      </c>
      <c r="H180" s="54" t="n">
        <v>5</v>
      </c>
    </row>
    <row r="181">
      <c r="A181" s="4" t="inlineStr">
        <is>
          <t>Other / unclassified</t>
        </is>
      </c>
      <c r="B181" s="54" t="n">
        <v>8</v>
      </c>
      <c r="C181" s="55" t="n">
        <v>35.5</v>
      </c>
      <c r="D181" s="56" t="n">
        <v>88</v>
      </c>
      <c r="E181" s="58" t="n">
        <v>4.6</v>
      </c>
      <c r="F181" s="58" t="n">
        <v>7.1</v>
      </c>
      <c r="G181" s="54" t="n">
        <v>1</v>
      </c>
      <c r="H181" s="54" t="n">
        <v>2</v>
      </c>
    </row>
    <row r="182">
      <c r="A182" s="4" t="inlineStr">
        <is>
          <t>Payments / lending (non-platform)</t>
        </is>
      </c>
      <c r="B182" s="54" t="n">
        <v>1</v>
      </c>
      <c r="C182" s="55" t="n">
        <v>-0.6</v>
      </c>
      <c r="D182" s="56" t="n">
        <v>0</v>
      </c>
      <c r="E182" s="58" t="n"/>
      <c r="F182" s="58" t="n"/>
      <c r="G182" s="54" t="n">
        <v>0</v>
      </c>
      <c r="H182" s="54" t="n">
        <v>0</v>
      </c>
    </row>
    <row r="183">
      <c r="A183" s="4" t="inlineStr">
        <is>
          <t>Property management</t>
        </is>
      </c>
      <c r="B183" s="54" t="n">
        <v>24</v>
      </c>
      <c r="C183" s="55" t="n">
        <v>0</v>
      </c>
      <c r="D183" s="56" t="n">
        <v>38</v>
      </c>
      <c r="E183" s="58" t="n">
        <v>12.7</v>
      </c>
      <c r="F183" s="58" t="n">
        <v>0.8</v>
      </c>
      <c r="G183" s="54" t="n">
        <v>16</v>
      </c>
      <c r="H183" s="54" t="n">
        <v>19</v>
      </c>
    </row>
    <row r="184">
      <c r="A184" s="4" t="inlineStr">
        <is>
          <t>REITs / asset-light</t>
        </is>
      </c>
      <c r="B184" s="54" t="n">
        <v>1</v>
      </c>
      <c r="C184" s="55" t="n">
        <v>-16.5</v>
      </c>
      <c r="D184" s="56" t="n">
        <v>0</v>
      </c>
      <c r="E184" s="58" t="n">
        <v>153.5</v>
      </c>
      <c r="F184" s="58" t="n">
        <v>14.8</v>
      </c>
      <c r="G184" s="54" t="n">
        <v>1</v>
      </c>
      <c r="H184" s="54" t="n">
        <v>1</v>
      </c>
    </row>
    <row r="185">
      <c r="A185" s="4" t="inlineStr">
        <is>
          <t>Retail / distribution</t>
        </is>
      </c>
      <c r="B185" s="54" t="n">
        <v>15</v>
      </c>
      <c r="C185" s="55" t="n">
        <v>7.1</v>
      </c>
      <c r="D185" s="56" t="n">
        <v>53</v>
      </c>
      <c r="E185" s="58" t="n">
        <v>10.2</v>
      </c>
      <c r="F185" s="58" t="n">
        <v>0.9</v>
      </c>
      <c r="G185" s="54" t="n">
        <v>8</v>
      </c>
      <c r="H185" s="54" t="n">
        <v>10</v>
      </c>
    </row>
    <row r="186">
      <c r="A186" s="4" t="inlineStr">
        <is>
          <t>Robotics &amp; autonomous driving</t>
        </is>
      </c>
      <c r="B186" s="54" t="n">
        <v>21</v>
      </c>
      <c r="C186" s="55" t="n">
        <v>5.4</v>
      </c>
      <c r="D186" s="56" t="n">
        <v>71</v>
      </c>
      <c r="E186" s="58" t="n"/>
      <c r="F186" s="58" t="n">
        <v>14.5</v>
      </c>
      <c r="G186" s="54" t="n">
        <v>0</v>
      </c>
      <c r="H186" s="54" t="n">
        <v>10</v>
      </c>
    </row>
    <row r="187">
      <c r="A187" s="4" t="inlineStr">
        <is>
          <t>SaaS / enterprise software</t>
        </is>
      </c>
      <c r="B187" s="54" t="n">
        <v>23</v>
      </c>
      <c r="C187" s="55" t="n">
        <v>2.6</v>
      </c>
      <c r="D187" s="56" t="n">
        <v>65</v>
      </c>
      <c r="E187" s="58" t="n">
        <v>29.6</v>
      </c>
      <c r="F187" s="58" t="n">
        <v>5.6</v>
      </c>
      <c r="G187" s="54" t="n">
        <v>11</v>
      </c>
      <c r="H187" s="54" t="n">
        <v>19</v>
      </c>
    </row>
    <row r="188">
      <c r="A188" s="4" t="inlineStr">
        <is>
          <t>Smart hardware / consumer electronics</t>
        </is>
      </c>
      <c r="B188" s="54" t="n">
        <v>28</v>
      </c>
      <c r="C188" s="55" t="n">
        <v>10.3</v>
      </c>
      <c r="D188" s="56" t="n">
        <v>68</v>
      </c>
      <c r="E188" s="58" t="n">
        <v>25.8</v>
      </c>
      <c r="F188" s="58" t="n">
        <v>2.5</v>
      </c>
      <c r="G188" s="54" t="n">
        <v>14</v>
      </c>
      <c r="H188" s="54" t="n">
        <v>13</v>
      </c>
    </row>
    <row r="189">
      <c r="A189" s="4" t="inlineStr">
        <is>
          <t>Solar / wind supply chain</t>
        </is>
      </c>
      <c r="B189" s="54" t="n">
        <v>2</v>
      </c>
      <c r="C189" s="55" t="n">
        <v>10</v>
      </c>
      <c r="D189" s="56" t="n">
        <v>50</v>
      </c>
      <c r="E189" s="58" t="n">
        <v>40.4</v>
      </c>
      <c r="F189" s="58" t="n">
        <v>7.2</v>
      </c>
      <c r="G189" s="54" t="n">
        <v>1</v>
      </c>
      <c r="H189" s="54" t="n">
        <v>1</v>
      </c>
    </row>
    <row r="190">
      <c r="A190" s="4" t="inlineStr">
        <is>
          <t>TCM</t>
        </is>
      </c>
      <c r="B190" s="54" t="n">
        <v>4</v>
      </c>
      <c r="C190" s="55" t="n">
        <v>3.4</v>
      </c>
      <c r="D190" s="56" t="n">
        <v>50</v>
      </c>
      <c r="E190" s="58" t="n">
        <v>40.7</v>
      </c>
      <c r="F190" s="58" t="n">
        <v>3.5</v>
      </c>
      <c r="G190" s="54" t="n">
        <v>2</v>
      </c>
      <c r="H190" s="54" t="n">
        <v>4</v>
      </c>
    </row>
    <row r="191">
      <c r="A191" s="4" t="inlineStr">
        <is>
          <t>Telecom</t>
        </is>
      </c>
      <c r="B191" s="54" t="n">
        <v>2</v>
      </c>
      <c r="C191" s="55" t="n">
        <v>-28.8</v>
      </c>
      <c r="D191" s="56" t="n">
        <v>0</v>
      </c>
      <c r="E191" s="58" t="n"/>
      <c r="F191" s="58" t="n">
        <v>5.3</v>
      </c>
      <c r="G191" s="54" t="n">
        <v>0</v>
      </c>
      <c r="H191" s="54" t="n">
        <v>2</v>
      </c>
    </row>
    <row r="193">
      <c r="A193" s="3" t="inlineStr">
        <is>
          <t>BY YEAR x SUBSCRIPTION — does the edge survive a bad tape?</t>
        </is>
      </c>
    </row>
    <row r="194">
      <c r="A194" s="14" t="inlineStr">
        <is>
          <t>Year</t>
        </is>
      </c>
      <c r="B194" s="14" t="inlineStr">
        <is>
          <t>Subscription</t>
        </is>
      </c>
      <c r="C194" s="14" t="inlineStr">
        <is>
          <t>n</t>
        </is>
      </c>
      <c r="D194" s="14" t="inlineStr">
        <is>
          <t>Median day-1</t>
        </is>
      </c>
      <c r="E194" s="14" t="inlineStr">
        <is>
          <t>Hit-rate</t>
        </is>
      </c>
    </row>
    <row r="195">
      <c r="A195" s="4" t="inlineStr">
        <is>
          <t>2021</t>
        </is>
      </c>
      <c r="B195" s="4" t="inlineStr">
        <is>
          <t>10-100x</t>
        </is>
      </c>
      <c r="C195" s="54" t="n">
        <v>24</v>
      </c>
      <c r="D195" s="55" t="n">
        <v>1.1</v>
      </c>
      <c r="E195" s="56" t="n">
        <v>50</v>
      </c>
    </row>
    <row r="196">
      <c r="A196" s="4" t="inlineStr">
        <is>
          <t>2021</t>
        </is>
      </c>
      <c r="B196" s="4" t="inlineStr">
        <is>
          <t>100-1000x</t>
        </is>
      </c>
      <c r="C196" s="54" t="n">
        <v>23</v>
      </c>
      <c r="D196" s="55" t="n">
        <v>-1</v>
      </c>
      <c r="E196" s="56" t="n">
        <v>43</v>
      </c>
    </row>
    <row r="197">
      <c r="A197" s="4" t="inlineStr">
        <is>
          <t>2021</t>
        </is>
      </c>
      <c r="B197" s="4" t="inlineStr">
        <is>
          <t>&lt;10x</t>
        </is>
      </c>
      <c r="C197" s="54" t="n">
        <v>35</v>
      </c>
      <c r="D197" s="55" t="n">
        <v>0</v>
      </c>
      <c r="E197" s="56" t="n">
        <v>31</v>
      </c>
    </row>
    <row r="198">
      <c r="A198" s="4" t="inlineStr">
        <is>
          <t>2021</t>
        </is>
      </c>
      <c r="B198" s="4" t="inlineStr">
        <is>
          <t>&gt;=1000x</t>
        </is>
      </c>
      <c r="C198" s="54" t="n">
        <v>6</v>
      </c>
      <c r="D198" s="55" t="n">
        <v>86.2</v>
      </c>
      <c r="E198" s="56" t="n">
        <v>100</v>
      </c>
    </row>
    <row r="199">
      <c r="A199" s="4" t="inlineStr">
        <is>
          <t>2022</t>
        </is>
      </c>
      <c r="B199" s="4" t="inlineStr">
        <is>
          <t>10-100x</t>
        </is>
      </c>
      <c r="C199" s="54" t="n">
        <v>16</v>
      </c>
      <c r="D199" s="55" t="n">
        <v>0.3</v>
      </c>
      <c r="E199" s="56" t="n">
        <v>50</v>
      </c>
    </row>
    <row r="200">
      <c r="A200" s="4" t="inlineStr">
        <is>
          <t>2022</t>
        </is>
      </c>
      <c r="B200" s="4" t="inlineStr">
        <is>
          <t>100-1000x</t>
        </is>
      </c>
      <c r="C200" s="54" t="n">
        <v>1</v>
      </c>
      <c r="D200" s="55" t="n">
        <v>-27.1</v>
      </c>
      <c r="E200" s="56" t="n">
        <v>0</v>
      </c>
    </row>
    <row r="201">
      <c r="A201" s="4" t="inlineStr">
        <is>
          <t>2022</t>
        </is>
      </c>
      <c r="B201" s="4" t="inlineStr">
        <is>
          <t>&lt;10x</t>
        </is>
      </c>
      <c r="C201" s="54" t="n">
        <v>54</v>
      </c>
      <c r="D201" s="55" t="n">
        <v>0</v>
      </c>
      <c r="E201" s="56" t="n">
        <v>30</v>
      </c>
    </row>
    <row r="202">
      <c r="A202" s="4" t="inlineStr">
        <is>
          <t>2023</t>
        </is>
      </c>
      <c r="B202" s="4" t="inlineStr">
        <is>
          <t>10-100x</t>
        </is>
      </c>
      <c r="C202" s="54" t="n">
        <v>27</v>
      </c>
      <c r="D202" s="55" t="n">
        <v>7.7</v>
      </c>
      <c r="E202" s="56" t="n">
        <v>70</v>
      </c>
    </row>
    <row r="203">
      <c r="A203" s="4" t="inlineStr">
        <is>
          <t>2023</t>
        </is>
      </c>
      <c r="B203" s="4" t="inlineStr">
        <is>
          <t>100-1000x</t>
        </is>
      </c>
      <c r="C203" s="54" t="n">
        <v>1</v>
      </c>
      <c r="D203" s="55" t="n">
        <v>0</v>
      </c>
      <c r="E203" s="56" t="n">
        <v>0</v>
      </c>
    </row>
    <row r="204">
      <c r="A204" s="4" t="inlineStr">
        <is>
          <t>2023</t>
        </is>
      </c>
      <c r="B204" s="4" t="inlineStr">
        <is>
          <t>&lt;10x</t>
        </is>
      </c>
      <c r="C204" s="54" t="n">
        <v>39</v>
      </c>
      <c r="D204" s="55" t="n">
        <v>0</v>
      </c>
      <c r="E204" s="56" t="n">
        <v>49</v>
      </c>
    </row>
    <row r="205">
      <c r="A205" s="4" t="inlineStr">
        <is>
          <t>2024</t>
        </is>
      </c>
      <c r="B205" s="4" t="inlineStr">
        <is>
          <t>10-100x</t>
        </is>
      </c>
      <c r="C205" s="54" t="n">
        <v>24</v>
      </c>
      <c r="D205" s="55" t="n">
        <v>7.5</v>
      </c>
      <c r="E205" s="56" t="n">
        <v>67</v>
      </c>
    </row>
    <row r="206">
      <c r="A206" s="4" t="inlineStr">
        <is>
          <t>2024</t>
        </is>
      </c>
      <c r="B206" s="4" t="inlineStr">
        <is>
          <t>100-1000x</t>
        </is>
      </c>
      <c r="C206" s="54" t="n">
        <v>20</v>
      </c>
      <c r="D206" s="55" t="n">
        <v>5</v>
      </c>
      <c r="E206" s="56" t="n">
        <v>55</v>
      </c>
    </row>
    <row r="207">
      <c r="A207" s="4" t="inlineStr">
        <is>
          <t>2024</t>
        </is>
      </c>
      <c r="B207" s="4" t="inlineStr">
        <is>
          <t>&lt;10x</t>
        </is>
      </c>
      <c r="C207" s="54" t="n">
        <v>20</v>
      </c>
      <c r="D207" s="55" t="n">
        <v>0.2</v>
      </c>
      <c r="E207" s="56" t="n">
        <v>55</v>
      </c>
    </row>
    <row r="208">
      <c r="A208" s="4" t="inlineStr">
        <is>
          <t>2024</t>
        </is>
      </c>
      <c r="B208" s="4" t="inlineStr">
        <is>
          <t>&gt;=1000x</t>
        </is>
      </c>
      <c r="C208" s="54" t="n">
        <v>3</v>
      </c>
      <c r="D208" s="55" t="n">
        <v>47.6</v>
      </c>
      <c r="E208" s="56" t="n">
        <v>100</v>
      </c>
    </row>
    <row r="209">
      <c r="A209" s="4" t="inlineStr">
        <is>
          <t>2025</t>
        </is>
      </c>
      <c r="B209" s="4" t="inlineStr">
        <is>
          <t>10-100x</t>
        </is>
      </c>
      <c r="C209" s="54" t="n">
        <v>24</v>
      </c>
      <c r="D209" s="55" t="n">
        <v>0</v>
      </c>
      <c r="E209" s="56" t="n">
        <v>46</v>
      </c>
    </row>
    <row r="210">
      <c r="A210" s="4" t="inlineStr">
        <is>
          <t>2025</t>
        </is>
      </c>
      <c r="B210" s="4" t="inlineStr">
        <is>
          <t>100-1000x</t>
        </is>
      </c>
      <c r="C210" s="54" t="n">
        <v>40</v>
      </c>
      <c r="D210" s="55" t="n">
        <v>6.5</v>
      </c>
      <c r="E210" s="56" t="n">
        <v>65</v>
      </c>
    </row>
    <row r="211">
      <c r="A211" s="4" t="inlineStr">
        <is>
          <t>2025</t>
        </is>
      </c>
      <c r="B211" s="4" t="inlineStr">
        <is>
          <t>&lt;10x</t>
        </is>
      </c>
      <c r="C211" s="54" t="n">
        <v>9</v>
      </c>
      <c r="D211" s="55" t="n">
        <v>0.8</v>
      </c>
      <c r="E211" s="56" t="n">
        <v>56</v>
      </c>
    </row>
    <row r="212">
      <c r="A212" s="4" t="inlineStr">
        <is>
          <t>2025</t>
        </is>
      </c>
      <c r="B212" s="4" t="inlineStr">
        <is>
          <t>&gt;=1000x</t>
        </is>
      </c>
      <c r="C212" s="54" t="n">
        <v>39</v>
      </c>
      <c r="D212" s="55" t="n">
        <v>78.7</v>
      </c>
      <c r="E212" s="56" t="n">
        <v>92</v>
      </c>
    </row>
    <row r="213">
      <c r="A213" s="4" t="inlineStr">
        <is>
          <t>2026</t>
        </is>
      </c>
      <c r="B213" s="4" t="inlineStr">
        <is>
          <t>10-100x</t>
        </is>
      </c>
      <c r="C213" s="54" t="n">
        <v>9</v>
      </c>
      <c r="D213" s="55" t="n">
        <v>-2</v>
      </c>
      <c r="E213" s="56" t="n">
        <v>33</v>
      </c>
    </row>
    <row r="214">
      <c r="A214" s="4" t="inlineStr">
        <is>
          <t>2026</t>
        </is>
      </c>
      <c r="B214" s="4" t="inlineStr">
        <is>
          <t>100-1000x</t>
        </is>
      </c>
      <c r="C214" s="54" t="n">
        <v>29</v>
      </c>
      <c r="D214" s="55" t="n">
        <v>4.2</v>
      </c>
      <c r="E214" s="56" t="n">
        <v>59</v>
      </c>
    </row>
    <row r="215">
      <c r="A215" s="4" t="inlineStr">
        <is>
          <t>2026</t>
        </is>
      </c>
      <c r="B215" s="4" t="inlineStr">
        <is>
          <t>&lt;10x</t>
        </is>
      </c>
      <c r="C215" s="54" t="n">
        <v>4</v>
      </c>
      <c r="D215" s="55" t="n">
        <v>-4</v>
      </c>
      <c r="E215" s="56" t="n">
        <v>25</v>
      </c>
    </row>
    <row r="216">
      <c r="A216" s="4" t="inlineStr">
        <is>
          <t>2026</t>
        </is>
      </c>
      <c r="B216" s="4" t="inlineStr">
        <is>
          <t>&gt;=1000x</t>
        </is>
      </c>
      <c r="C216" s="54" t="n">
        <v>58</v>
      </c>
      <c r="D216" s="55" t="n">
        <v>78.09999999999999</v>
      </c>
      <c r="E216" s="56" t="n">
        <v>91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1" customWidth="1" min="3" max="3"/>
    <col width="12" customWidth="1" min="4" max="4"/>
    <col width="22" customWidth="1" min="5" max="5"/>
  </cols>
  <sheetData>
    <row r="1">
      <c r="A1" s="1" t="inlineStr">
        <is>
          <t>SIZE BENCHMARKS</t>
        </is>
      </c>
    </row>
    <row r="2">
      <c r="A2" s="2" t="inlineStr">
        <is>
          <t>bucket thresholds are INPUT-BLUE (README weights section explains) — counts recompute</t>
        </is>
      </c>
    </row>
    <row r="4">
      <c r="A4" s="3" t="inlineStr">
        <is>
          <t>Bucket</t>
        </is>
      </c>
      <c r="B4" s="3" t="inlineStr">
        <is>
          <t>Min HK$m</t>
        </is>
      </c>
      <c r="D4" s="14" t="inlineStr">
        <is>
          <t>Year</t>
        </is>
      </c>
      <c r="E4" s="14" t="inlineStr">
        <is>
          <t>Mega</t>
        </is>
      </c>
      <c r="F4" s="14" t="inlineStr">
        <is>
          <t>Large</t>
        </is>
      </c>
      <c r="G4" s="14" t="inlineStr">
        <is>
          <t>Mid</t>
        </is>
      </c>
      <c r="H4" s="14" t="inlineStr">
        <is>
          <t>Small</t>
        </is>
      </c>
      <c r="I4" s="14" t="inlineStr">
        <is>
          <t>Sum HK$bn</t>
        </is>
      </c>
    </row>
    <row r="5">
      <c r="A5" s="4" t="inlineStr">
        <is>
          <t>Mega</t>
        </is>
      </c>
      <c r="B5" s="6" t="n">
        <v>20000</v>
      </c>
      <c r="D5" s="20" t="inlineStr">
        <is>
          <t>2021</t>
        </is>
      </c>
      <c r="E5" s="15">
        <f>COUNTIFS(Database!$G$5:$G$515,"&gt;="&amp;DATE(2021,1,1),Database!$G$5:$G$515,"&lt;="&amp;DATE(2021,12,31),Database!$H$5:$H$515,"&gt;="&amp;$B$5)</f>
        <v/>
      </c>
      <c r="F5" s="15">
        <f>COUNTIFS(Database!$G$5:$G$515,"&gt;="&amp;DATE(2021,1,1),Database!$G$5:$G$515,"&lt;="&amp;DATE(2021,12,31),Database!$H$5:$H$515,"&gt;="&amp;$B$6,Database!$H$5:$H$515,"&lt;"&amp;$B$5)</f>
        <v/>
      </c>
      <c r="G5" s="15">
        <f>COUNTIFS(Database!$G$5:$G$515,"&gt;="&amp;DATE(2021,1,1),Database!$G$5:$G$515,"&lt;="&amp;DATE(2021,12,31),Database!$H$5:$H$515,"&gt;="&amp;$B$7,Database!$H$5:$H$515,"&lt;"&amp;$B$6)</f>
        <v/>
      </c>
      <c r="H5" s="15">
        <f>COUNTIFS(Database!$G$5:$G$515,"&gt;="&amp;DATE(2021,1,1),Database!$G$5:$G$515,"&lt;="&amp;DATE(2021,12,31),Database!$H$5:$H$515,"&gt;="&amp;$B$8,Database!$H$5:$H$515,"&lt;"&amp;$B$7)</f>
        <v/>
      </c>
      <c r="I5" s="19">
        <f>SUMIFS(Database!$H$5:$H$515,Database!$G$5:$G$515,"&gt;="&amp;DATE(2021,1,1),Database!$G$5:$G$515,"&lt;="&amp;DATE(2021,12,31))/1000</f>
        <v/>
      </c>
    </row>
    <row r="6">
      <c r="A6" s="4" t="inlineStr">
        <is>
          <t>Large</t>
        </is>
      </c>
      <c r="B6" s="6" t="n">
        <v>5000</v>
      </c>
      <c r="D6" s="20" t="inlineStr">
        <is>
          <t>2022</t>
        </is>
      </c>
      <c r="E6" s="15">
        <f>COUNTIFS(Database!$G$5:$G$515,"&gt;="&amp;DATE(2022,1,1),Database!$G$5:$G$515,"&lt;="&amp;DATE(2022,12,31),Database!$H$5:$H$515,"&gt;="&amp;$B$5)</f>
        <v/>
      </c>
      <c r="F6" s="15">
        <f>COUNTIFS(Database!$G$5:$G$515,"&gt;="&amp;DATE(2022,1,1),Database!$G$5:$G$515,"&lt;="&amp;DATE(2022,12,31),Database!$H$5:$H$515,"&gt;="&amp;$B$6,Database!$H$5:$H$515,"&lt;"&amp;$B$5)</f>
        <v/>
      </c>
      <c r="G6" s="15">
        <f>COUNTIFS(Database!$G$5:$G$515,"&gt;="&amp;DATE(2022,1,1),Database!$G$5:$G$515,"&lt;="&amp;DATE(2022,12,31),Database!$H$5:$H$515,"&gt;="&amp;$B$7,Database!$H$5:$H$515,"&lt;"&amp;$B$6)</f>
        <v/>
      </c>
      <c r="H6" s="15">
        <f>COUNTIFS(Database!$G$5:$G$515,"&gt;="&amp;DATE(2022,1,1),Database!$G$5:$G$515,"&lt;="&amp;DATE(2022,12,31),Database!$H$5:$H$515,"&gt;="&amp;$B$8,Database!$H$5:$H$515,"&lt;"&amp;$B$7)</f>
        <v/>
      </c>
      <c r="I6" s="19">
        <f>SUMIFS(Database!$H$5:$H$515,Database!$G$5:$G$515,"&gt;="&amp;DATE(2022,1,1),Database!$G$5:$G$515,"&lt;="&amp;DATE(2022,12,31))/1000</f>
        <v/>
      </c>
    </row>
    <row r="7">
      <c r="A7" s="4" t="inlineStr">
        <is>
          <t>Mid</t>
        </is>
      </c>
      <c r="B7" s="6" t="n">
        <v>1000</v>
      </c>
      <c r="D7" s="20" t="inlineStr">
        <is>
          <t>2023</t>
        </is>
      </c>
      <c r="E7" s="15">
        <f>COUNTIFS(Database!$G$5:$G$515,"&gt;="&amp;DATE(2023,1,1),Database!$G$5:$G$515,"&lt;="&amp;DATE(2023,12,31),Database!$H$5:$H$515,"&gt;="&amp;$B$5)</f>
        <v/>
      </c>
      <c r="F7" s="15">
        <f>COUNTIFS(Database!$G$5:$G$515,"&gt;="&amp;DATE(2023,1,1),Database!$G$5:$G$515,"&lt;="&amp;DATE(2023,12,31),Database!$H$5:$H$515,"&gt;="&amp;$B$6,Database!$H$5:$H$515,"&lt;"&amp;$B$5)</f>
        <v/>
      </c>
      <c r="G7" s="15">
        <f>COUNTIFS(Database!$G$5:$G$515,"&gt;="&amp;DATE(2023,1,1),Database!$G$5:$G$515,"&lt;="&amp;DATE(2023,12,31),Database!$H$5:$H$515,"&gt;="&amp;$B$7,Database!$H$5:$H$515,"&lt;"&amp;$B$6)</f>
        <v/>
      </c>
      <c r="H7" s="15">
        <f>COUNTIFS(Database!$G$5:$G$515,"&gt;="&amp;DATE(2023,1,1),Database!$G$5:$G$515,"&lt;="&amp;DATE(2023,12,31),Database!$H$5:$H$515,"&gt;="&amp;$B$8,Database!$H$5:$H$515,"&lt;"&amp;$B$7)</f>
        <v/>
      </c>
      <c r="I7" s="19">
        <f>SUMIFS(Database!$H$5:$H$515,Database!$G$5:$G$515,"&gt;="&amp;DATE(2023,1,1),Database!$G$5:$G$515,"&lt;="&amp;DATE(2023,12,31))/1000</f>
        <v/>
      </c>
    </row>
    <row r="8">
      <c r="A8" s="4" t="inlineStr">
        <is>
          <t>Small</t>
        </is>
      </c>
      <c r="B8" s="6" t="n">
        <v>0</v>
      </c>
      <c r="D8" s="20" t="inlineStr">
        <is>
          <t>2024</t>
        </is>
      </c>
      <c r="E8" s="15">
        <f>COUNTIFS(Database!$G$5:$G$515,"&gt;="&amp;DATE(2024,1,1),Database!$G$5:$G$515,"&lt;="&amp;DATE(2024,12,31),Database!$H$5:$H$515,"&gt;="&amp;$B$5)</f>
        <v/>
      </c>
      <c r="F8" s="15">
        <f>COUNTIFS(Database!$G$5:$G$515,"&gt;="&amp;DATE(2024,1,1),Database!$G$5:$G$515,"&lt;="&amp;DATE(2024,12,31),Database!$H$5:$H$515,"&gt;="&amp;$B$6,Database!$H$5:$H$515,"&lt;"&amp;$B$5)</f>
        <v/>
      </c>
      <c r="G8" s="15">
        <f>COUNTIFS(Database!$G$5:$G$515,"&gt;="&amp;DATE(2024,1,1),Database!$G$5:$G$515,"&lt;="&amp;DATE(2024,12,31),Database!$H$5:$H$515,"&gt;="&amp;$B$7,Database!$H$5:$H$515,"&lt;"&amp;$B$6)</f>
        <v/>
      </c>
      <c r="H8" s="15">
        <f>COUNTIFS(Database!$G$5:$G$515,"&gt;="&amp;DATE(2024,1,1),Database!$G$5:$G$515,"&lt;="&amp;DATE(2024,12,31),Database!$H$5:$H$515,"&gt;="&amp;$B$8,Database!$H$5:$H$515,"&lt;"&amp;$B$7)</f>
        <v/>
      </c>
      <c r="I8" s="19">
        <f>SUMIFS(Database!$H$5:$H$515,Database!$G$5:$G$515,"&gt;="&amp;DATE(2024,1,1),Database!$G$5:$G$515,"&lt;="&amp;DATE(2024,12,31))/1000</f>
        <v/>
      </c>
    </row>
    <row r="9">
      <c r="D9" s="20" t="inlineStr">
        <is>
          <t>2025</t>
        </is>
      </c>
      <c r="E9" s="15">
        <f>COUNTIFS(Database!$G$5:$G$515,"&gt;="&amp;DATE(2025,1,1),Database!$G$5:$G$515,"&lt;="&amp;DATE(2025,12,31),Database!$H$5:$H$515,"&gt;="&amp;$B$5)</f>
        <v/>
      </c>
      <c r="F9" s="15">
        <f>COUNTIFS(Database!$G$5:$G$515,"&gt;="&amp;DATE(2025,1,1),Database!$G$5:$G$515,"&lt;="&amp;DATE(2025,12,31),Database!$H$5:$H$515,"&gt;="&amp;$B$6,Database!$H$5:$H$515,"&lt;"&amp;$B$5)</f>
        <v/>
      </c>
      <c r="G9" s="15">
        <f>COUNTIFS(Database!$G$5:$G$515,"&gt;="&amp;DATE(2025,1,1),Database!$G$5:$G$515,"&lt;="&amp;DATE(2025,12,31),Database!$H$5:$H$515,"&gt;="&amp;$B$7,Database!$H$5:$H$515,"&lt;"&amp;$B$6)</f>
        <v/>
      </c>
      <c r="H9" s="15">
        <f>COUNTIFS(Database!$G$5:$G$515,"&gt;="&amp;DATE(2025,1,1),Database!$G$5:$G$515,"&lt;="&amp;DATE(2025,12,31),Database!$H$5:$H$515,"&gt;="&amp;$B$8,Database!$H$5:$H$515,"&lt;"&amp;$B$7)</f>
        <v/>
      </c>
      <c r="I9" s="19">
        <f>SUMIFS(Database!$H$5:$H$515,Database!$G$5:$G$515,"&gt;="&amp;DATE(2025,1,1),Database!$G$5:$G$515,"&lt;="&amp;DATE(2025,12,31))/1000</f>
        <v/>
      </c>
    </row>
    <row r="10">
      <c r="D10" s="20" t="inlineStr">
        <is>
          <t>2026</t>
        </is>
      </c>
      <c r="E10" s="15">
        <f>COUNTIFS(Database!$G$5:$G$515,"&gt;="&amp;DATE(2026,1,1),Database!$G$5:$G$515,"&lt;="&amp;DATE(2026,12,31),Database!$H$5:$H$515,"&gt;="&amp;$B$5)</f>
        <v/>
      </c>
      <c r="F10" s="15">
        <f>COUNTIFS(Database!$G$5:$G$515,"&gt;="&amp;DATE(2026,1,1),Database!$G$5:$G$515,"&lt;="&amp;DATE(2026,12,31),Database!$H$5:$H$515,"&gt;="&amp;$B$6,Database!$H$5:$H$515,"&lt;"&amp;$B$5)</f>
        <v/>
      </c>
      <c r="G10" s="15">
        <f>COUNTIFS(Database!$G$5:$G$515,"&gt;="&amp;DATE(2026,1,1),Database!$G$5:$G$515,"&lt;="&amp;DATE(2026,12,31),Database!$H$5:$H$515,"&gt;="&amp;$B$7,Database!$H$5:$H$515,"&lt;"&amp;$B$6)</f>
        <v/>
      </c>
      <c r="H10" s="15">
        <f>COUNTIFS(Database!$G$5:$G$515,"&gt;="&amp;DATE(2026,1,1),Database!$G$5:$G$515,"&lt;="&amp;DATE(2026,12,31),Database!$H$5:$H$515,"&gt;="&amp;$B$8,Database!$H$5:$H$515,"&lt;"&amp;$B$7)</f>
        <v/>
      </c>
      <c r="I10" s="19">
        <f>SUMIFS(Database!$H$5:$H$515,Database!$G$5:$G$515,"&gt;="&amp;DATE(2026,1,1),Database!$G$5:$G$515,"&lt;="&amp;DATE(2026,12,31))/1000</f>
        <v/>
      </c>
    </row>
    <row r="12">
      <c r="A12" s="3" t="inlineStr">
        <is>
          <t>MEGA-DEAL PRECEDENTS (top 15 by proceeds)</t>
        </is>
      </c>
    </row>
    <row r="13">
      <c r="A13" s="14" t="inlineStr">
        <is>
          <t>Code</t>
        </is>
      </c>
      <c r="B13" s="14" t="inlineStr">
        <is>
          <t>Name</t>
        </is>
      </c>
      <c r="C13" s="14" t="inlineStr">
        <is>
          <t>IPO date</t>
        </is>
      </c>
      <c r="D13" s="14" t="inlineStr">
        <is>
          <t>HK$m</t>
        </is>
      </c>
      <c r="E13" s="14" t="inlineStr">
        <is>
          <t>Subsector</t>
        </is>
      </c>
    </row>
    <row r="14">
      <c r="A14" s="50" t="inlineStr">
        <is>
          <t>3308</t>
        </is>
      </c>
      <c r="B14" s="4" t="inlineStr">
        <is>
          <t>ZJ INNOLIGHT</t>
        </is>
      </c>
      <c r="C14" s="59" t="inlineStr">
        <is>
          <t>2026-07-30</t>
        </is>
      </c>
      <c r="D14" s="60" t="n">
        <v>53410</v>
      </c>
      <c r="E14" s="4" t="inlineStr">
        <is>
          <t>Smart hardware / consumer electronics</t>
        </is>
      </c>
    </row>
    <row r="15">
      <c r="A15" s="50" t="inlineStr">
        <is>
          <t>1024</t>
        </is>
      </c>
      <c r="B15" s="4" t="inlineStr">
        <is>
          <t>KUAISHOU-W</t>
        </is>
      </c>
      <c r="C15" s="59" t="inlineStr">
        <is>
          <t>2021-02-05</t>
        </is>
      </c>
      <c r="D15" s="60" t="n">
        <v>41276</v>
      </c>
      <c r="E15" s="4" t="inlineStr">
        <is>
          <t>Internet platform / e-commerce</t>
        </is>
      </c>
    </row>
    <row r="16">
      <c r="A16" s="50" t="inlineStr">
        <is>
          <t>3750</t>
        </is>
      </c>
      <c r="B16" s="4" t="inlineStr">
        <is>
          <t>CATL</t>
        </is>
      </c>
      <c r="C16" s="59" t="inlineStr">
        <is>
          <t>2025-05-20</t>
        </is>
      </c>
      <c r="D16" s="60" t="n">
        <v>35657.2</v>
      </c>
      <c r="E16" s="4" t="inlineStr">
        <is>
          <t>Batteries / energy storage</t>
        </is>
      </c>
    </row>
    <row r="17">
      <c r="A17" s="50" t="inlineStr">
        <is>
          <t>0300</t>
        </is>
      </c>
      <c r="B17" s="4" t="inlineStr">
        <is>
          <t>MIDEA GROUP</t>
        </is>
      </c>
      <c r="C17" s="59" t="inlineStr">
        <is>
          <t>2024-09-17</t>
        </is>
      </c>
      <c r="D17" s="60" t="n">
        <v>31014</v>
      </c>
      <c r="E17" s="4" t="inlineStr">
        <is>
          <t>Smart hardware / consumer electronics</t>
        </is>
      </c>
    </row>
    <row r="18">
      <c r="A18" s="50" t="inlineStr">
        <is>
          <t>2259</t>
        </is>
      </c>
      <c r="B18" s="4" t="inlineStr">
        <is>
          <t>ZIJIN GOLD INTL</t>
        </is>
      </c>
      <c r="C18" s="59" t="inlineStr">
        <is>
          <t>2025-09-30</t>
        </is>
      </c>
      <c r="D18" s="60" t="n">
        <v>24984.2</v>
      </c>
      <c r="E18" s="4" t="inlineStr">
        <is>
          <t>Mining / metals</t>
        </is>
      </c>
    </row>
    <row r="19">
      <c r="A19" s="50" t="inlineStr">
        <is>
          <t>2475</t>
        </is>
      </c>
      <c r="B19" s="4" t="inlineStr">
        <is>
          <t>LUXSHARE ICT</t>
        </is>
      </c>
      <c r="C19" s="59" t="inlineStr">
        <is>
          <t>2026-07-09</t>
        </is>
      </c>
      <c r="D19" s="60" t="n">
        <v>24266.2</v>
      </c>
      <c r="E19" s="4" t="inlineStr">
        <is>
          <t>Smart hardware / consumer electronics</t>
        </is>
      </c>
    </row>
    <row r="20">
      <c r="A20" s="50" t="inlineStr">
        <is>
          <t>9888</t>
        </is>
      </c>
      <c r="B20" s="4" t="inlineStr">
        <is>
          <t>BIDU-SW</t>
        </is>
      </c>
      <c r="C20" s="59" t="inlineStr">
        <is>
          <t>2021-03-23</t>
        </is>
      </c>
      <c r="D20" s="60" t="n">
        <v>23682</v>
      </c>
      <c r="E20" s="4" t="inlineStr">
        <is>
          <t>Internet platform / e-commerce</t>
        </is>
      </c>
    </row>
    <row r="21">
      <c r="A21" s="50" t="inlineStr">
        <is>
          <t>2476</t>
        </is>
      </c>
      <c r="B21" s="4" t="inlineStr">
        <is>
          <t>VGT</t>
        </is>
      </c>
      <c r="C21" s="59" t="inlineStr">
        <is>
          <t>2026-04-21</t>
        </is>
      </c>
      <c r="D21" s="60" t="n">
        <v>20117</v>
      </c>
      <c r="E21" s="4" t="inlineStr">
        <is>
          <t>Smart hardware / consumer electronics</t>
        </is>
      </c>
    </row>
    <row r="22">
      <c r="A22" s="50" t="inlineStr">
        <is>
          <t>9626</t>
        </is>
      </c>
      <c r="B22" s="4" t="inlineStr">
        <is>
          <t>BILIBILI-SW</t>
        </is>
      </c>
      <c r="C22" s="59" t="inlineStr">
        <is>
          <t>2021-03-27</t>
        </is>
      </c>
      <c r="D22" s="60" t="n">
        <v>19873.5</v>
      </c>
      <c r="E22" s="4" t="inlineStr">
        <is>
          <t>Internet platform / e-commerce</t>
        </is>
      </c>
    </row>
    <row r="23">
      <c r="A23" s="50" t="inlineStr">
        <is>
          <t>2378</t>
        </is>
      </c>
      <c r="B23" s="4" t="inlineStr">
        <is>
          <t>PRU</t>
        </is>
      </c>
      <c r="C23" s="59" t="inlineStr">
        <is>
          <t>2021-10-04</t>
        </is>
      </c>
      <c r="D23" s="60" t="n">
        <v>18500</v>
      </c>
      <c r="E23" s="4" t="inlineStr">
        <is>
          <t>Insurance</t>
        </is>
      </c>
    </row>
    <row r="24">
      <c r="A24" s="50" t="inlineStr">
        <is>
          <t>1880</t>
        </is>
      </c>
      <c r="B24" s="4" t="inlineStr">
        <is>
          <t>CTG DUTY-FREE</t>
        </is>
      </c>
      <c r="C24" s="59" t="inlineStr">
        <is>
          <t>2022-08-25</t>
        </is>
      </c>
      <c r="D24" s="60" t="n">
        <v>15892.3</v>
      </c>
      <c r="E24" s="4" t="inlineStr">
        <is>
          <t>Retail / distribution</t>
        </is>
      </c>
    </row>
    <row r="25">
      <c r="A25" s="50" t="inlineStr">
        <is>
          <t>9927</t>
        </is>
      </c>
      <c r="B25" s="4" t="inlineStr">
        <is>
          <t>SERES</t>
        </is>
      </c>
      <c r="C25" s="59" t="inlineStr">
        <is>
          <t>2025-11-05</t>
        </is>
      </c>
      <c r="D25" s="60" t="n">
        <v>14283.4</v>
      </c>
      <c r="E25" s="4" t="inlineStr">
        <is>
          <t>Autos (NEV OEM)</t>
        </is>
      </c>
    </row>
    <row r="26">
      <c r="A26" s="50" t="inlineStr">
        <is>
          <t>9868</t>
        </is>
      </c>
      <c r="B26" s="4" t="inlineStr">
        <is>
          <t>XPENG-W</t>
        </is>
      </c>
      <c r="C26" s="59" t="inlineStr">
        <is>
          <t>2021-07-07</t>
        </is>
      </c>
      <c r="D26" s="60" t="n">
        <v>13780.9</v>
      </c>
      <c r="E26" s="4" t="inlineStr">
        <is>
          <t>Autos (NEV OEM)</t>
        </is>
      </c>
    </row>
    <row r="27">
      <c r="A27" s="50" t="inlineStr">
        <is>
          <t>6031</t>
        </is>
      </c>
      <c r="B27" s="4" t="inlineStr">
        <is>
          <t>SANY HEAVY IND</t>
        </is>
      </c>
      <c r="C27" s="59" t="inlineStr">
        <is>
          <t>2025-10-28</t>
        </is>
      </c>
      <c r="D27" s="60" t="n">
        <v>13453.1</v>
      </c>
      <c r="E27" s="4" t="inlineStr">
        <is>
          <t>Capital goods / machinery</t>
        </is>
      </c>
    </row>
    <row r="28">
      <c r="A28" s="50" t="inlineStr">
        <is>
          <t>9696</t>
        </is>
      </c>
      <c r="B28" s="4" t="inlineStr">
        <is>
          <t>TIANQI LITHIUM</t>
        </is>
      </c>
      <c r="C28" s="59" t="inlineStr">
        <is>
          <t>2022-07-13</t>
        </is>
      </c>
      <c r="D28" s="60" t="n">
        <v>13062</v>
      </c>
      <c r="E28" s="4" t="inlineStr">
        <is>
          <t>Mining / metals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hidden="1" width="13" customWidth="1" min="5" max="5"/>
  </cols>
  <sheetData>
    <row r="1">
      <c r="A1" s="1" t="inlineStr">
        <is>
          <t>SECTOR / SUBSECTOR TAXONOMY</t>
        </is>
      </c>
    </row>
    <row r="2">
      <c r="A2" s="2" t="inlineStr">
        <is>
          <t>single source: data/taxonomy.json — edit there and rebuild; screener gates on subsector first</t>
        </is>
      </c>
    </row>
    <row r="4">
      <c r="A4" s="61" t="inlineStr">
        <is>
          <t>Tech/AI</t>
        </is>
      </c>
      <c r="E4" s="2" t="inlineStr">
        <is>
          <t>LLM / foundation model</t>
        </is>
      </c>
    </row>
    <row r="5">
      <c r="B5" s="22" t="inlineStr">
        <is>
          <t>LLM / foundation model</t>
        </is>
      </c>
      <c r="C5" s="2" t="inlineStr">
        <is>
          <t>Model-layer cos (MiniMax-type). NOT data-center, NOT AI application.</t>
        </is>
      </c>
      <c r="E5" s="2" t="inlineStr">
        <is>
          <t>AI application / agent software</t>
        </is>
      </c>
    </row>
    <row r="6">
      <c r="B6" s="22" t="inlineStr">
        <is>
          <t>AI application / agent software</t>
        </is>
      </c>
      <c r="C6" s="2" t="inlineStr">
        <is>
          <t>AI-native software &amp; agents monetising models; not the model layer itself.</t>
        </is>
      </c>
      <c r="E6" s="2" t="inlineStr">
        <is>
          <t>AI chips &amp; semis</t>
        </is>
      </c>
    </row>
    <row r="7">
      <c r="B7" s="22" t="inlineStr">
        <is>
          <t>AI chips &amp; semis</t>
        </is>
      </c>
      <c r="C7" s="2" t="inlineStr">
        <is>
          <t>GPU/ASIC/accelerator designers and semi supply chain.</t>
        </is>
      </c>
      <c r="E7" s="2" t="inlineStr">
        <is>
          <t>Data center / cloud infra</t>
        </is>
      </c>
    </row>
    <row r="8">
      <c r="B8" s="22" t="inlineStr">
        <is>
          <t>Data center / cloud infra</t>
        </is>
      </c>
      <c r="C8" s="2" t="inlineStr">
        <is>
          <t>IDC, cloud capacity, AI infra landlords. Distinct from model layer.</t>
        </is>
      </c>
      <c r="E8" s="2" t="inlineStr">
        <is>
          <t>Robotics &amp; autonomous driving</t>
        </is>
      </c>
    </row>
    <row r="9">
      <c r="B9" s="22" t="inlineStr">
        <is>
          <t>Robotics &amp; autonomous driving</t>
        </is>
      </c>
      <c r="C9" s="2" t="inlineStr">
        <is>
          <t>Embodied AI, ADAS/AD stacks, robotaxi, humanoid.</t>
        </is>
      </c>
      <c r="E9" s="2" t="inlineStr">
        <is>
          <t>Smart hardware / consumer electronics</t>
        </is>
      </c>
    </row>
    <row r="10">
      <c r="B10" s="22" t="inlineStr">
        <is>
          <t>Smart hardware / consumer electronics</t>
        </is>
      </c>
      <c r="C10" s="2" t="inlineStr">
        <is>
          <t>Devices, IoT, components ex-semis.</t>
        </is>
      </c>
      <c r="E10" s="2" t="inlineStr">
        <is>
          <t>SaaS / enterprise software</t>
        </is>
      </c>
    </row>
    <row r="11">
      <c r="B11" s="22" t="inlineStr">
        <is>
          <t>SaaS / enterprise software</t>
        </is>
      </c>
      <c r="C11" s="2" t="inlineStr">
        <is>
          <t>Recurring-revenue software without AI-native positioning.</t>
        </is>
      </c>
      <c r="E11" s="2" t="inlineStr">
        <is>
          <t>Internet platform / e-commerce</t>
        </is>
      </c>
    </row>
    <row r="12">
      <c r="B12" s="22" t="inlineStr">
        <is>
          <t>Internet platform / e-commerce</t>
        </is>
      </c>
      <c r="C12" s="2" t="inlineStr">
        <is>
          <t>Marketplaces, local services, content platforms.</t>
        </is>
      </c>
      <c r="E12" s="2" t="inlineStr">
        <is>
          <t>Gaming / entertainment tech</t>
        </is>
      </c>
    </row>
    <row r="13">
      <c r="B13" s="22" t="inlineStr">
        <is>
          <t>Gaming / entertainment tech</t>
        </is>
      </c>
      <c r="C13" s="2" t="inlineStr">
        <is>
          <t>Game devs/publishers, entertainment tech.</t>
        </is>
      </c>
      <c r="E13" s="2" t="inlineStr">
        <is>
          <t>Fintech platform</t>
        </is>
      </c>
    </row>
    <row r="14">
      <c r="B14" s="22" t="inlineStr">
        <is>
          <t>Fintech platform</t>
        </is>
      </c>
      <c r="C14" s="2" t="inlineStr">
        <is>
          <t>Payments, lending, wealth platforms (tech-first).</t>
        </is>
      </c>
      <c r="E14" s="2" t="inlineStr">
        <is>
          <t>Biotech pre-revenue (18A)</t>
        </is>
      </c>
    </row>
    <row r="15">
      <c r="A15" s="61" t="inlineStr">
        <is>
          <t>Healthcare</t>
        </is>
      </c>
      <c r="E15" s="2" t="inlineStr">
        <is>
          <t>Biopharma commercial</t>
        </is>
      </c>
    </row>
    <row r="16">
      <c r="B16" s="22" t="inlineStr">
        <is>
          <t>Biotech pre-revenue (18A)</t>
        </is>
      </c>
      <c r="C16" s="2" t="inlineStr">
        <is>
          <t>Loss-making 18A; comp on pipeline/P-S-if-any, never P/E.</t>
        </is>
      </c>
      <c r="E16" s="2" t="inlineStr">
        <is>
          <t>Medical devices</t>
        </is>
      </c>
    </row>
    <row r="17">
      <c r="B17" s="22" t="inlineStr">
        <is>
          <t>Biopharma commercial</t>
        </is>
      </c>
      <c r="C17" s="2" t="inlineStr">
        <is>
          <t>Revenue-generating pharma/biotech.</t>
        </is>
      </c>
      <c r="E17" s="2" t="inlineStr">
        <is>
          <t>CXO / pharma services</t>
        </is>
      </c>
    </row>
    <row r="18">
      <c r="B18" s="22" t="inlineStr">
        <is>
          <t>Medical devices</t>
        </is>
      </c>
      <c r="C18" s="2" t="inlineStr">
        <is>
          <t>Devices incl. 18A device names.</t>
        </is>
      </c>
      <c r="E18" s="2" t="inlineStr">
        <is>
          <t>Digital health</t>
        </is>
      </c>
    </row>
    <row r="19">
      <c r="B19" s="22" t="inlineStr">
        <is>
          <t>CXO / pharma services</t>
        </is>
      </c>
      <c r="C19" s="2" t="inlineStr">
        <is>
          <t>CRO/CDMO/CMO.</t>
        </is>
      </c>
      <c r="E19" s="2" t="inlineStr">
        <is>
          <t>Hospitals / clinics</t>
        </is>
      </c>
    </row>
    <row r="20">
      <c r="B20" s="22" t="inlineStr">
        <is>
          <t>Digital health</t>
        </is>
      </c>
      <c r="C20" s="2" t="inlineStr">
        <is>
          <t>Online healthcare platforms.</t>
        </is>
      </c>
      <c r="E20" s="2" t="inlineStr">
        <is>
          <t>TCM</t>
        </is>
      </c>
    </row>
    <row r="21">
      <c r="B21" s="22" t="inlineStr">
        <is>
          <t>Hospitals / clinics</t>
        </is>
      </c>
      <c r="C21" s="2" t="inlineStr">
        <is>
          <t>Service providers.</t>
        </is>
      </c>
      <c r="E21" s="2" t="inlineStr">
        <is>
          <t>F&amp;B chains / restaurants</t>
        </is>
      </c>
    </row>
    <row r="22">
      <c r="B22" s="22" t="inlineStr">
        <is>
          <t>TCM</t>
        </is>
      </c>
      <c r="C22" s="2" t="inlineStr">
        <is>
          <t>Traditional Chinese medicine.</t>
        </is>
      </c>
      <c r="E22" s="2" t="inlineStr">
        <is>
          <t>Beverages / packaged food</t>
        </is>
      </c>
    </row>
    <row r="23">
      <c r="A23" s="61" t="inlineStr">
        <is>
          <t>Consumer</t>
        </is>
      </c>
      <c r="E23" s="2" t="inlineStr">
        <is>
          <t>Apparel / luxury</t>
        </is>
      </c>
    </row>
    <row r="24">
      <c r="B24" s="22" t="inlineStr">
        <is>
          <t>F&amp;B chains / restaurants</t>
        </is>
      </c>
      <c r="C24" s="2" t="inlineStr">
        <is>
          <t>Mixue-type store-count stories.</t>
        </is>
      </c>
      <c r="E24" s="2" t="inlineStr">
        <is>
          <t>Beauty / personal care</t>
        </is>
      </c>
    </row>
    <row r="25">
      <c r="B25" s="22" t="inlineStr">
        <is>
          <t>Beverages / packaged food</t>
        </is>
      </c>
      <c r="C25" s="2" t="inlineStr">
        <is>
          <t>Brands, not chains.</t>
        </is>
      </c>
      <c r="E25" s="2" t="inlineStr">
        <is>
          <t>Consumer services / education</t>
        </is>
      </c>
    </row>
    <row r="26">
      <c r="B26" s="22" t="inlineStr">
        <is>
          <t>Apparel / luxury</t>
        </is>
      </c>
      <c r="C26" s="2" t="inlineStr"/>
      <c r="E26" s="2" t="inlineStr">
        <is>
          <t>Autos (NEV OEM)</t>
        </is>
      </c>
    </row>
    <row r="27">
      <c r="B27" s="22" t="inlineStr">
        <is>
          <t>Beauty / personal care</t>
        </is>
      </c>
      <c r="C27" s="2" t="inlineStr"/>
      <c r="E27" s="2" t="inlineStr">
        <is>
          <t>Auto parts / supply chain</t>
        </is>
      </c>
    </row>
    <row r="28">
      <c r="B28" s="22" t="inlineStr">
        <is>
          <t>Consumer services / education</t>
        </is>
      </c>
      <c r="C28" s="2" t="inlineStr"/>
      <c r="E28" s="2" t="inlineStr">
        <is>
          <t>Retail / distribution</t>
        </is>
      </c>
    </row>
    <row r="29">
      <c r="B29" s="22" t="inlineStr">
        <is>
          <t>Autos (NEV OEM)</t>
        </is>
      </c>
      <c r="C29" s="2" t="inlineStr">
        <is>
          <t>Vehicle OEMs; loss-making OEMs comp on P/S.</t>
        </is>
      </c>
      <c r="E29" s="2" t="inlineStr">
        <is>
          <t>Banks</t>
        </is>
      </c>
    </row>
    <row r="30">
      <c r="B30" s="22" t="inlineStr">
        <is>
          <t>Auto parts / supply chain</t>
        </is>
      </c>
      <c r="C30" s="2" t="inlineStr"/>
      <c r="E30" s="2" t="inlineStr">
        <is>
          <t>Insurance</t>
        </is>
      </c>
    </row>
    <row r="31">
      <c r="B31" s="22" t="inlineStr">
        <is>
          <t>Retail / distribution</t>
        </is>
      </c>
      <c r="C31" s="2" t="inlineStr"/>
      <c r="E31" s="2" t="inlineStr">
        <is>
          <t>Brokers / asset management</t>
        </is>
      </c>
    </row>
    <row r="32">
      <c r="A32" s="61" t="inlineStr">
        <is>
          <t>Financials</t>
        </is>
      </c>
      <c r="E32" s="2" t="inlineStr">
        <is>
          <t>Payments / lending (non-platform)</t>
        </is>
      </c>
    </row>
    <row r="33">
      <c r="B33" s="22" t="inlineStr">
        <is>
          <t>Banks</t>
        </is>
      </c>
      <c r="C33" s="2" t="inlineStr"/>
      <c r="E33" s="2" t="inlineStr">
        <is>
          <t>Capital goods / machinery</t>
        </is>
      </c>
    </row>
    <row r="34">
      <c r="B34" s="22" t="inlineStr">
        <is>
          <t>Insurance</t>
        </is>
      </c>
      <c r="C34" s="2" t="inlineStr"/>
      <c r="E34" s="2" t="inlineStr">
        <is>
          <t>Batteries / energy storage</t>
        </is>
      </c>
    </row>
    <row r="35">
      <c r="B35" s="22" t="inlineStr">
        <is>
          <t>Brokers / asset management</t>
        </is>
      </c>
      <c r="C35" s="2" t="inlineStr"/>
      <c r="E35" s="2" t="inlineStr">
        <is>
          <t>Solar / wind supply chain</t>
        </is>
      </c>
    </row>
    <row r="36">
      <c r="B36" s="22" t="inlineStr">
        <is>
          <t>Payments / lending (non-platform)</t>
        </is>
      </c>
      <c r="C36" s="2" t="inlineStr"/>
      <c r="E36" s="2" t="inlineStr">
        <is>
          <t>Logistics</t>
        </is>
      </c>
    </row>
    <row r="37">
      <c r="A37" s="61" t="inlineStr">
        <is>
          <t>Industrials</t>
        </is>
      </c>
      <c r="E37" s="2" t="inlineStr">
        <is>
          <t>Construction / engineering</t>
        </is>
      </c>
    </row>
    <row r="38">
      <c r="B38" s="22" t="inlineStr">
        <is>
          <t>Capital goods / machinery</t>
        </is>
      </c>
      <c r="C38" s="2" t="inlineStr"/>
      <c r="E38" s="2" t="inlineStr">
        <is>
          <t>Mining / metals</t>
        </is>
      </c>
    </row>
    <row r="39">
      <c r="B39" s="22" t="inlineStr">
        <is>
          <t>Batteries / energy storage</t>
        </is>
      </c>
      <c r="C39" s="2" t="inlineStr">
        <is>
          <t>CATL bucket: cells, materials, ESS.</t>
        </is>
      </c>
      <c r="E39" s="2" t="inlineStr">
        <is>
          <t>Chemicals</t>
        </is>
      </c>
    </row>
    <row r="40">
      <c r="B40" s="22" t="inlineStr">
        <is>
          <t>Solar / wind supply chain</t>
        </is>
      </c>
      <c r="C40" s="2" t="inlineStr"/>
      <c r="E40" s="2" t="inlineStr">
        <is>
          <t>Oil &amp; gas / utilities</t>
        </is>
      </c>
    </row>
    <row r="41">
      <c r="B41" s="22" t="inlineStr">
        <is>
          <t>Logistics</t>
        </is>
      </c>
      <c r="C41" s="2" t="inlineStr"/>
      <c r="E41" s="2" t="inlineStr">
        <is>
          <t>Developers</t>
        </is>
      </c>
    </row>
    <row r="42">
      <c r="B42" s="22" t="inlineStr">
        <is>
          <t>Construction / engineering</t>
        </is>
      </c>
      <c r="C42" s="2" t="inlineStr"/>
      <c r="E42" s="2" t="inlineStr">
        <is>
          <t>Property management</t>
        </is>
      </c>
    </row>
    <row r="43">
      <c r="A43" s="61" t="inlineStr">
        <is>
          <t>Materials/Energy</t>
        </is>
      </c>
      <c r="E43" s="2" t="inlineStr">
        <is>
          <t>REITs / asset-light</t>
        </is>
      </c>
    </row>
    <row r="44">
      <c r="B44" s="22" t="inlineStr">
        <is>
          <t>Mining / metals</t>
        </is>
      </c>
      <c r="C44" s="2" t="inlineStr"/>
      <c r="E44" s="2" t="inlineStr">
        <is>
          <t>Telecom</t>
        </is>
      </c>
    </row>
    <row r="45">
      <c r="B45" s="22" t="inlineStr">
        <is>
          <t>Chemicals</t>
        </is>
      </c>
      <c r="C45" s="2" t="inlineStr"/>
      <c r="E45" s="2" t="inlineStr">
        <is>
          <t>Media / advertising</t>
        </is>
      </c>
    </row>
    <row r="46">
      <c r="B46" s="22" t="inlineStr">
        <is>
          <t>Oil &amp; gas / utilities</t>
        </is>
      </c>
      <c r="C46" s="2" t="inlineStr"/>
      <c r="E46" s="2" t="inlineStr">
        <is>
          <t>Other / unclassified</t>
        </is>
      </c>
    </row>
    <row r="47">
      <c r="A47" s="61" t="inlineStr">
        <is>
          <t>Real Estate</t>
        </is>
      </c>
    </row>
    <row r="48">
      <c r="B48" s="22" t="inlineStr">
        <is>
          <t>Developers</t>
        </is>
      </c>
      <c r="C48" s="2" t="inlineStr"/>
    </row>
    <row r="49">
      <c r="B49" s="22" t="inlineStr">
        <is>
          <t>Property management</t>
        </is>
      </c>
      <c r="C49" s="2" t="inlineStr"/>
    </row>
    <row r="50">
      <c r="B50" s="22" t="inlineStr">
        <is>
          <t>REITs / asset-light</t>
        </is>
      </c>
      <c r="C50" s="2" t="inlineStr"/>
    </row>
    <row r="51">
      <c r="A51" s="61" t="inlineStr">
        <is>
          <t>TMT-other</t>
        </is>
      </c>
    </row>
    <row r="52">
      <c r="B52" s="22" t="inlineStr">
        <is>
          <t>Telecom</t>
        </is>
      </c>
      <c r="C52" s="2" t="inlineStr"/>
    </row>
    <row r="53">
      <c r="B53" s="22" t="inlineStr">
        <is>
          <t>Media / advertising</t>
        </is>
      </c>
      <c r="C53" s="2" t="inlineStr"/>
    </row>
    <row r="54">
      <c r="A54" s="61" t="inlineStr">
        <is>
          <t>Other</t>
        </is>
      </c>
    </row>
    <row r="55">
      <c r="B55" s="22" t="inlineStr">
        <is>
          <t>Other / unclassified</t>
        </is>
      </c>
      <c r="C55" s="2" t="inlineStr">
        <is>
          <t>Must stay &lt;5% of deals (checks.py enforces).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0" customWidth="1" min="3" max="3"/>
    <col width="12" customWidth="1" min="4" max="4"/>
    <col width="12" customWidth="1" min="5" max="5"/>
    <col width="10" customWidth="1" min="6" max="6"/>
    <col width="9" customWidth="1" min="7" max="7"/>
  </cols>
  <sheetData>
    <row r="1">
      <c r="A1" s="1" t="inlineStr">
        <is>
          <t>VERIFICATION — book vs official HKEX statistics</t>
        </is>
      </c>
    </row>
    <row r="2">
      <c r="A2" s="2" t="inlineStr">
        <is>
          <t>book counts are IPOs with a public offer (allotment results filed); official totals include listings by introduction / transfers — the Delta column is expected to be small and positive</t>
        </is>
      </c>
    </row>
    <row r="4">
      <c r="A4" s="14" t="inlineStr">
        <is>
          <t>Year</t>
        </is>
      </c>
      <c r="B4" s="14" t="inlineStr">
        <is>
          <t>Deals in book</t>
        </is>
      </c>
      <c r="C4" s="14" t="inlineStr">
        <is>
          <t>Official new listings</t>
        </is>
      </c>
      <c r="D4" s="14" t="inlineStr">
        <is>
          <t>Delta</t>
        </is>
      </c>
      <c r="E4" s="14" t="inlineStr">
        <is>
          <t>Book proceeds HK$bn</t>
        </is>
      </c>
      <c r="F4" s="14" t="inlineStr">
        <is>
          <t>Official IPO funds HK$bn</t>
        </is>
      </c>
      <c r="G4" s="14" t="inlineStr">
        <is>
          <t>Diff %</t>
        </is>
      </c>
    </row>
    <row r="5">
      <c r="A5" s="20" t="inlineStr">
        <is>
          <t>2021</t>
        </is>
      </c>
      <c r="B5" s="15">
        <f>COUNTIFS(Database!$G$5:$G$515,"&gt;="&amp;DATE(2021,1,1),Database!$G$5:$G$515,"&lt;="&amp;DATE(2021,12,31))</f>
        <v/>
      </c>
      <c r="C5" s="54" t="n"/>
      <c r="D5" s="15">
        <f>IF(C5="","n/a",C5-B5)</f>
        <v/>
      </c>
      <c r="E5" s="19">
        <f>SUMIFS(Database!$H$5:$H$515,Database!$G$5:$G$515,"&gt;="&amp;DATE(2021,1,1),Database!$G$5:$G$515,"&lt;="&amp;DATE(2021,12,31))/1000</f>
        <v/>
      </c>
      <c r="F5" s="62" t="n">
        <v>331.3</v>
      </c>
      <c r="G5" s="52">
        <f>IF(OR(F5="",E5=0),"n/a",F5/E5-1)</f>
        <v/>
      </c>
    </row>
    <row r="6">
      <c r="A6" s="20" t="inlineStr">
        <is>
          <t>2022</t>
        </is>
      </c>
      <c r="B6" s="15">
        <f>COUNTIFS(Database!$G$5:$G$515,"&gt;="&amp;DATE(2022,1,1),Database!$G$5:$G$515,"&lt;="&amp;DATE(2022,12,31))</f>
        <v/>
      </c>
      <c r="C6" s="54" t="n">
        <v>90</v>
      </c>
      <c r="D6" s="15">
        <f>IF(C6="","n/a",C6-B6)</f>
        <v/>
      </c>
      <c r="E6" s="19">
        <f>SUMIFS(Database!$H$5:$H$515,Database!$G$5:$G$515,"&gt;="&amp;DATE(2022,1,1),Database!$G$5:$G$515,"&lt;="&amp;DATE(2022,12,31))/1000</f>
        <v/>
      </c>
      <c r="F6" s="62" t="n">
        <v>104.6</v>
      </c>
      <c r="G6" s="52">
        <f>IF(OR(F6="",E6=0),"n/a",F6/E6-1)</f>
        <v/>
      </c>
    </row>
    <row r="7">
      <c r="A7" s="20" t="inlineStr">
        <is>
          <t>2023</t>
        </is>
      </c>
      <c r="B7" s="15">
        <f>COUNTIFS(Database!$G$5:$G$515,"&gt;="&amp;DATE(2023,1,1),Database!$G$5:$G$515,"&lt;="&amp;DATE(2023,12,31))</f>
        <v/>
      </c>
      <c r="C7" s="54" t="n">
        <v>73</v>
      </c>
      <c r="D7" s="15">
        <f>IF(C7="","n/a",C7-B7)</f>
        <v/>
      </c>
      <c r="E7" s="19">
        <f>SUMIFS(Database!$H$5:$H$515,Database!$G$5:$G$515,"&gt;="&amp;DATE(2023,1,1),Database!$G$5:$G$515,"&lt;="&amp;DATE(2023,12,31))/1000</f>
        <v/>
      </c>
      <c r="F7" s="62" t="n">
        <v>46.3</v>
      </c>
      <c r="G7" s="52">
        <f>IF(OR(F7="",E7=0),"n/a",F7/E7-1)</f>
        <v/>
      </c>
    </row>
    <row r="8">
      <c r="A8" s="20" t="inlineStr">
        <is>
          <t>2024</t>
        </is>
      </c>
      <c r="B8" s="15">
        <f>COUNTIFS(Database!$G$5:$G$515,"&gt;="&amp;DATE(2024,1,1),Database!$G$5:$G$515,"&lt;="&amp;DATE(2024,12,31))</f>
        <v/>
      </c>
      <c r="C8" s="54" t="n">
        <v>71</v>
      </c>
      <c r="D8" s="15">
        <f>IF(C8="","n/a",C8-B8)</f>
        <v/>
      </c>
      <c r="E8" s="19">
        <f>SUMIFS(Database!$H$5:$H$515,Database!$G$5:$G$515,"&gt;="&amp;DATE(2024,1,1),Database!$G$5:$G$515,"&lt;="&amp;DATE(2024,12,31))/1000</f>
        <v/>
      </c>
      <c r="F8" s="62" t="n">
        <v>87.5</v>
      </c>
      <c r="G8" s="52">
        <f>IF(OR(F8="",E8=0),"n/a",F8/E8-1)</f>
        <v/>
      </c>
    </row>
    <row r="9">
      <c r="A9" s="20" t="inlineStr">
        <is>
          <t>2025</t>
        </is>
      </c>
      <c r="B9" s="15">
        <f>COUNTIFS(Database!$G$5:$G$515,"&gt;="&amp;DATE(2025,1,1),Database!$G$5:$G$515,"&lt;="&amp;DATE(2025,12,31))</f>
        <v/>
      </c>
      <c r="C9" s="54" t="n"/>
      <c r="D9" s="15">
        <f>IF(C9="","n/a",C9-B9)</f>
        <v/>
      </c>
      <c r="E9" s="19">
        <f>SUMIFS(Database!$H$5:$H$515,Database!$G$5:$G$515,"&gt;="&amp;DATE(2025,1,1),Database!$G$5:$G$515,"&lt;="&amp;DATE(2025,12,31))/1000</f>
        <v/>
      </c>
      <c r="F9" s="62" t="n"/>
      <c r="G9" s="52">
        <f>IF(OR(F9="",E9=0),"n/a",F9/E9-1)</f>
        <v/>
      </c>
    </row>
    <row r="10">
      <c r="A10" s="20" t="inlineStr">
        <is>
          <t>2026</t>
        </is>
      </c>
      <c r="B10" s="15">
        <f>COUNTIFS(Database!$G$5:$G$515,"&gt;="&amp;DATE(2026,1,1),Database!$G$5:$G$515,"&lt;="&amp;DATE(2026,12,31))</f>
        <v/>
      </c>
      <c r="C10" s="54" t="n"/>
      <c r="D10" s="15">
        <f>IF(C10="","n/a",C10-B10)</f>
        <v/>
      </c>
      <c r="E10" s="19">
        <f>SUMIFS(Database!$H$5:$H$515,Database!$G$5:$G$515,"&gt;="&amp;DATE(2026,1,1),Database!$G$5:$G$515,"&lt;="&amp;DATE(2026,12,31))/1000</f>
        <v/>
      </c>
      <c r="F10" s="62" t="n"/>
      <c r="G10" s="52">
        <f>IF(OR(F10="",E10=0),"n/a",F10/E10-1)</f>
        <v/>
      </c>
    </row>
    <row r="12">
      <c r="A12" s="3" t="inlineStr">
        <is>
          <t>LANDMARK SPOT-CHECKS</t>
        </is>
      </c>
    </row>
    <row r="13">
      <c r="A13" s="14" t="inlineStr">
        <is>
          <t>Code</t>
        </is>
      </c>
      <c r="B13" s="14" t="inlineStr">
        <is>
          <t>Name</t>
        </is>
      </c>
      <c r="C13" s="14" t="inlineStr">
        <is>
          <t>Field</t>
        </is>
      </c>
      <c r="D13" s="14" t="inlineStr">
        <is>
          <t>Official</t>
        </is>
      </c>
      <c r="E13" s="14" t="inlineStr">
        <is>
          <t>In book</t>
        </is>
      </c>
      <c r="F13" s="14" t="inlineStr">
        <is>
          <t>Check</t>
        </is>
      </c>
    </row>
    <row r="14">
      <c r="A14" s="50" t="inlineStr">
        <is>
          <t>1024</t>
        </is>
      </c>
      <c r="B14" s="4" t="inlineStr">
        <is>
          <t>Kuaishou</t>
        </is>
      </c>
      <c r="C14" s="4" t="inlineStr">
        <is>
          <t>final_price</t>
        </is>
      </c>
      <c r="D14" s="63" t="n">
        <v>115</v>
      </c>
      <c r="E14" s="51">
        <f>INDEX(Database!$L$5:$L$515,MATCH("1024",Database!$A$5:$A$515,0))</f>
        <v/>
      </c>
      <c r="F14" s="12">
        <f>IF(E14="","MISSING",IF(ABS(E14-D14)/D14&lt;0.02,"OK","CHECK"))</f>
        <v/>
      </c>
    </row>
    <row r="15">
      <c r="A15" s="50" t="inlineStr">
        <is>
          <t>3750</t>
        </is>
      </c>
      <c r="B15" s="4" t="inlineStr">
        <is>
          <t>CATL (H)</t>
        </is>
      </c>
      <c r="C15" s="4" t="inlineStr">
        <is>
          <t>final_price</t>
        </is>
      </c>
      <c r="D15" s="63" t="n">
        <v>263</v>
      </c>
      <c r="E15" s="51">
        <f>INDEX(Database!$L$5:$L$515,MATCH("3750",Database!$A$5:$A$515,0))</f>
        <v/>
      </c>
      <c r="F15" s="12">
        <f>IF(E15="","MISSING",IF(ABS(E15-D15)/D15&lt;0.02,"OK","CHECK"))</f>
        <v/>
      </c>
    </row>
    <row r="16">
      <c r="A16" s="50" t="inlineStr">
        <is>
          <t>0300</t>
        </is>
      </c>
      <c r="B16" s="4" t="inlineStr">
        <is>
          <t>Midea Group (H)</t>
        </is>
      </c>
      <c r="C16" s="4" t="inlineStr">
        <is>
          <t>final_price</t>
        </is>
      </c>
      <c r="D16" s="63" t="n">
        <v>54.8</v>
      </c>
      <c r="E16" s="51">
        <f>INDEX(Database!$L$5:$L$515,MATCH("0300",Database!$A$5:$A$515,0))</f>
        <v/>
      </c>
      <c r="F16" s="12">
        <f>IF(E16="","MISSING",IF(ABS(E16-D16)/D16&lt;0.02,"OK","CHECK"))</f>
        <v/>
      </c>
    </row>
    <row r="17">
      <c r="A17" s="50" t="inlineStr">
        <is>
          <t>9660</t>
        </is>
      </c>
      <c r="B17" s="4" t="inlineStr">
        <is>
          <t>Horizon Robotics</t>
        </is>
      </c>
      <c r="C17" s="4" t="inlineStr">
        <is>
          <t>final_price</t>
        </is>
      </c>
      <c r="D17" s="63" t="n">
        <v>3.99</v>
      </c>
      <c r="E17" s="51">
        <f>INDEX(Database!$L$5:$L$515,MATCH("9660",Database!$A$5:$A$515,0))</f>
        <v/>
      </c>
      <c r="F17" s="12">
        <f>IF(E17="","MISSING",IF(ABS(E17-D17)/D17&lt;0.02,"OK","CHECK"))</f>
        <v/>
      </c>
    </row>
    <row r="18">
      <c r="A18" s="50" t="inlineStr">
        <is>
          <t>2097</t>
        </is>
      </c>
      <c r="B18" s="4" t="inlineStr">
        <is>
          <t>Mixue Group</t>
        </is>
      </c>
      <c r="C18" s="4" t="inlineStr">
        <is>
          <t>final_price</t>
        </is>
      </c>
      <c r="D18" s="63" t="n">
        <v>202.5</v>
      </c>
      <c r="E18" s="51">
        <f>INDEX(Database!$L$5:$L$515,MATCH("2097",Database!$A$5:$A$515,0))</f>
        <v/>
      </c>
      <c r="F18" s="12">
        <f>IF(E18="","MISSING",IF(ABS(E18-D18)/D18&lt;0.02,"OK","CHECK"))</f>
        <v/>
      </c>
    </row>
    <row r="19">
      <c r="A19" s="50" t="inlineStr">
        <is>
          <t>9696</t>
        </is>
      </c>
      <c r="B19" s="4" t="inlineStr">
        <is>
          <t>Tianqi Lithium (H)</t>
        </is>
      </c>
      <c r="C19" s="4" t="inlineStr">
        <is>
          <t>final_price</t>
        </is>
      </c>
      <c r="D19" s="63" t="n">
        <v>82</v>
      </c>
      <c r="E19" s="51">
        <f>INDEX(Database!$L$5:$L$515,MATCH("9696",Database!$A$5:$A$515,0))</f>
        <v/>
      </c>
      <c r="F19" s="12">
        <f>IF(E19="","MISSING",IF(ABS(E19-D19)/D19&lt;0.02,"OK","CHECK"))</f>
        <v/>
      </c>
    </row>
  </sheetData>
  <conditionalFormatting sqref="F14">
    <cfRule type="expression" priority="1" dxfId="1">
      <formula>$F14="CHECK"</formula>
    </cfRule>
  </conditionalFormatting>
  <conditionalFormatting sqref="F15">
    <cfRule type="expression" priority="2" dxfId="1">
      <formula>$F15="CHECK"</formula>
    </cfRule>
  </conditionalFormatting>
  <conditionalFormatting sqref="F16">
    <cfRule type="expression" priority="3" dxfId="1">
      <formula>$F16="CHECK"</formula>
    </cfRule>
  </conditionalFormatting>
  <conditionalFormatting sqref="F17">
    <cfRule type="expression" priority="4" dxfId="1">
      <formula>$F17="CHECK"</formula>
    </cfRule>
  </conditionalFormatting>
  <conditionalFormatting sqref="F18">
    <cfRule type="expression" priority="5" dxfId="1">
      <formula>$F18="CHECK"</formula>
    </cfRule>
  </conditionalFormatting>
  <conditionalFormatting sqref="F19">
    <cfRule type="expression" priority="6" dxfId="1">
      <formula>$F19="CHECK"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16" customWidth="1" min="1" max="1"/>
    <col width="74" customWidth="1" min="2" max="2"/>
    <col width="40" customWidth="1" min="3" max="3"/>
  </cols>
  <sheetData>
    <row r="1">
      <c r="A1" s="1" t="inlineStr">
        <is>
          <t>HK IPO DATABASE</t>
        </is>
      </c>
    </row>
    <row r="2">
      <c r="A2" s="2" t="inlineStr">
        <is>
          <t>511 Main Board IPOs 2021-2026 + pipeline · data as of 2026-08-17</t>
        </is>
      </c>
    </row>
    <row r="4">
      <c r="A4" s="22" t="inlineStr"/>
      <c r="B4" s="22" t="inlineStr"/>
    </row>
    <row r="5">
      <c r="A5" s="3" t="inlineStr">
        <is>
          <t>Blue cells</t>
        </is>
      </c>
      <c r="B5" s="22" t="inlineStr">
        <is>
          <t>you type these. Everything else calculates.</t>
        </is>
      </c>
    </row>
    <row r="6">
      <c r="A6" s="3" t="inlineStr">
        <is>
          <t>Start here</t>
        </is>
      </c>
      <c r="B6" s="22" t="inlineStr">
        <is>
          <t>NEW DEAL tab — type a live deal's terms, read the analog.</t>
        </is>
      </c>
    </row>
    <row r="7">
      <c r="A7" s="3" t="inlineStr">
        <is>
          <t>Screener</t>
        </is>
      </c>
      <c r="B7" s="22" t="inlineStr">
        <is>
          <t>pick any past or pipeline deal, get its closest comps.</t>
        </is>
      </c>
    </row>
    <row r="8">
      <c r="A8" s="3" t="inlineStr">
        <is>
          <t>Analogs</t>
        </is>
      </c>
      <c r="B8" s="22" t="inlineStr">
        <is>
          <t>the raw history behind the NEW DEAL read-out.</t>
        </is>
      </c>
    </row>
    <row r="9">
      <c r="A9" s="3" t="inlineStr">
        <is>
          <t>Green / amber</t>
        </is>
      </c>
      <c r="B9" s="22" t="inlineStr">
        <is>
          <t>cross-checked / single-source or judgment.</t>
        </is>
      </c>
    </row>
    <row r="10">
      <c r="A10" s="3" t="inlineStr">
        <is>
          <t>Money</t>
        </is>
      </c>
      <c r="B10" s="22" t="inlineStr">
        <is>
          <t>HK$ millions. Day-1 + = closed above offer. A/H + = H rich vs A.</t>
        </is>
      </c>
    </row>
    <row r="11">
      <c r="A11" s="3" t="inlineStr">
        <is>
          <t>Subscription</t>
        </is>
      </c>
      <c r="B11" s="22" t="inlineStr">
        <is>
          <t>filing basis: 10x = ten times the shares on offer.</t>
        </is>
      </c>
    </row>
    <row r="12">
      <c r="A12" s="22" t="inlineStr"/>
      <c r="B12" s="22" t="inlineStr"/>
    </row>
    <row r="13">
      <c r="A13" s="3" t="inlineStr">
        <is>
          <t>Not captured</t>
        </is>
      </c>
      <c r="B13" s="22" t="inlineStr">
        <is>
          <t>underwriting fee splits (never public per deal).</t>
        </is>
      </c>
    </row>
    <row r="14">
      <c r="A14" s="3" t="inlineStr">
        <is>
          <t>Judgment call</t>
        </is>
      </c>
      <c r="B14" s="22" t="inlineStr">
        <is>
          <t>sector and subsector are analyst-assigned, shown amber.</t>
        </is>
      </c>
    </row>
    <row r="16">
      <c r="A16" s="3" t="inlineStr">
        <is>
          <t>SCREENER WEIGHTS (edit to re-tune)</t>
        </is>
      </c>
    </row>
    <row r="17">
      <c r="A17" s="3" t="inlineStr">
        <is>
          <t>W_SUB</t>
        </is>
      </c>
      <c r="B17" s="5" t="n">
        <v>1000</v>
      </c>
      <c r="C17" s="2" t="inlineStr">
        <is>
          <t>same subsector — dominant by design</t>
        </is>
      </c>
    </row>
    <row r="18">
      <c r="A18" s="3" t="inlineStr">
        <is>
          <t>W_SEC</t>
        </is>
      </c>
      <c r="B18" s="5" t="n">
        <v>300</v>
      </c>
      <c r="C18" s="2" t="inlineStr">
        <is>
          <t>same sector fallback</t>
        </is>
      </c>
    </row>
    <row r="19">
      <c r="A19" s="3" t="inlineStr">
        <is>
          <t>W_SIZE</t>
        </is>
      </c>
      <c r="B19" s="5" t="n">
        <v>200</v>
      </c>
      <c r="C19" s="2" t="inlineStr">
        <is>
          <t>size proximity</t>
        </is>
      </c>
    </row>
    <row r="20">
      <c r="A20" s="3" t="inlineStr">
        <is>
          <t>W_PROF</t>
        </is>
      </c>
      <c r="B20" s="5" t="n">
        <v>100</v>
      </c>
      <c r="C20" s="2" t="inlineStr">
        <is>
          <t>profitability match</t>
        </is>
      </c>
    </row>
    <row r="21">
      <c r="A21" s="3" t="inlineStr">
        <is>
          <t>W_AH</t>
        </is>
      </c>
      <c r="B21" s="5" t="n">
        <v>50</v>
      </c>
      <c r="C21" s="2" t="inlineStr">
        <is>
          <t>H-share match</t>
        </is>
      </c>
    </row>
    <row r="22">
      <c r="A22" s="3" t="inlineStr">
        <is>
          <t>W_REC</t>
        </is>
      </c>
      <c r="B22" s="5" t="n">
        <v>80</v>
      </c>
      <c r="C22" s="2" t="inlineStr">
        <is>
          <t>recency</t>
        </is>
      </c>
    </row>
    <row r="23">
      <c r="A23" s="3" t="inlineStr">
        <is>
          <t>W_SIZEHW</t>
        </is>
      </c>
      <c r="B23" s="5" t="n">
        <v>1.5</v>
      </c>
      <c r="C23" s="2" t="inlineStr">
        <is>
          <t>size log half-width</t>
        </is>
      </c>
    </row>
    <row r="24">
      <c r="A24" s="3" t="inlineStr">
        <is>
          <t>W_RECD</t>
        </is>
      </c>
      <c r="B24" s="5" t="n">
        <v>1825</v>
      </c>
      <c r="C24" s="2" t="inlineStr">
        <is>
          <t>recency horizon (days)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2026-08-16T16:50:28Z</dcterms:created>
  <dcterms:modified xmlns:dcterms="http://purl.org/dc/terms/" xmlns:xsi="http://www.w3.org/2001/XMLSchema-instance" xsi:type="dcterms:W3CDTF">2026-08-16T16:50:28Z</dcterms:modified>
</cp:coreProperties>
</file>